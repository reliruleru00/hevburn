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DCEA7D9-40D3-4DA5-8269-0B56F45E43A4}" xr6:coauthVersionLast="47" xr6:coauthVersionMax="47" xr10:uidLastSave="{00000000-0000-0000-0000-000000000000}"/>
  <bookViews>
    <workbookView xWindow="28680" yWindow="-120" windowWidth="29040" windowHeight="15840" firstSheet="6"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3" hidden="1">grade!$B$6:$X$147</definedName>
    <definedName name="_xlnm._FilterDatabase" localSheetId="2" hidden="1">MAIN!$F:$F</definedName>
    <definedName name="_xlnm._FilterDatabase" localSheetId="8" hidden="1">skill_attack!$B$6:$V$333</definedName>
    <definedName name="_xlnm._FilterDatabase" localSheetId="9" hidden="1">skill_buff!$B$6:$R$337</definedName>
    <definedName name="_xlnm._FilterDatabase" localSheetId="7" hidden="1">skill_list!$B$6:$L$563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O4" i="62"/>
  <c r="N4" i="62"/>
  <c r="M4" i="62"/>
  <c r="L4" i="62"/>
  <c r="K4" i="62"/>
  <c r="A1" i="68"/>
  <c r="E4" i="62"/>
  <c r="B9" i="62" a="1"/>
  <c r="B9" i="62" s="1"/>
  <c r="B10" i="62" s="1"/>
  <c r="A1" i="67"/>
  <c r="A1" i="65"/>
  <c r="A1" i="64"/>
  <c r="B6" i="62" a="1"/>
  <c r="B6" i="62" s="1"/>
  <c r="B5" i="62" a="1"/>
  <c r="B5" i="62" s="1"/>
  <c r="V6" i="63"/>
  <c r="U6" i="63"/>
  <c r="T6" i="63"/>
  <c r="S6" i="63"/>
  <c r="R6" i="63"/>
  <c r="Q6" i="63"/>
  <c r="A1" i="63"/>
  <c r="D4" i="62"/>
  <c r="F4" i="62"/>
  <c r="I4" i="62"/>
  <c r="H4" i="62"/>
  <c r="J4" i="62"/>
  <c r="G4" i="62"/>
  <c r="C4" i="62"/>
  <c r="D10" i="62" s="1"/>
  <c r="A1" i="61"/>
  <c r="A1" i="60"/>
  <c r="A1" i="58"/>
  <c r="A1" i="56"/>
  <c r="A1" i="51"/>
  <c r="C15" i="62" l="1"/>
  <c r="C16" i="62"/>
  <c r="B3" i="62"/>
  <c r="D9" i="62"/>
  <c r="A1" i="39"/>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<sst xmlns="http://schemas.openxmlformats.org/spreadsheetml/2006/main" count="5129" uniqueCount="2406">
  <si>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</si>
  <si>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</si>
  <si>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</si>
  <si>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</si>
  <si>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</si>
  <si>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</si>
  <si>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</si>
  <si>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</si>
  <si>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</si>
  <si>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</si>
  <si>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</si>
  <si>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</si>
  <si>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</si>
  <si>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</si>
  <si>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</si>
  <si>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</si>
  <si>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</si>
  <si>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</si>
  <si>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</si>
  <si>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</si>
  <si>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</si>
  <si>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</si>
  <si>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</si>
  <si>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</si>
  <si>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</si>
  <si>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</si>
  <si>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</si>
  <si>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</si>
  <si>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</si>
  <si>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</si>
  <si>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</si>
  <si>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</si>
  <si>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</si>
  <si>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</si>
  <si>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</si>
  <si>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</si>
  <si>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</si>
  <si>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</si>
  <si>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</si>
  <si>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</si>
  <si>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</si>
  <si>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</si>
  <si>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</si>
  <si>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</si>
  <si>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</si>
  <si>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</si>
  <si>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</si>
  <si>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</si>
  <si>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</si>
  <si>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</si>
  <si>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</si>
  <si>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</si>
  <si>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</si>
  <si>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</si>
  <si>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</si>
  <si>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</si>
  <si>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</si>
  <si>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</si>
  <si>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</si>
  <si>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</si>
  <si>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</si>
  <si>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</si>
  <si>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</si>
  <si>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</si>
  <si>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</si>
  <si>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</si>
  <si>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</si>
  <si>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</si>
  <si>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</si>
  <si>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</si>
  <si>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</si>
  <si>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</si>
  <si>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</si>
  <si>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</si>
  <si>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</si>
  <si>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</si>
  <si>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</si>
  <si>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</si>
  <si>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</si>
  <si>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</si>
  <si>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</si>
  <si>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</si>
  <si>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</si>
  <si>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</si>
  <si>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</si>
  <si>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</si>
  <si>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</si>
  <si>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</si>
  <si>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</si>
  <si>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</si>
  <si>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</si>
  <si>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</si>
  <si>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</si>
  <si>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</si>
  <si>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</si>
  <si>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</si>
  <si>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</si>
  <si>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</si>
  <si>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</si>
  <si>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</si>
  <si>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</si>
  <si>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</si>
  <si>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</si>
  <si>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</si>
  <si>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</si>
  <si>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</si>
  <si>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</si>
  <si>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</si>
  <si>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</si>
  <si>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</si>
  <si>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</si>
  <si>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</si>
  <si>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</si>
  <si>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</si>
  <si>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</si>
  <si>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</si>
  <si>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</si>
  <si>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</si>
  <si>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</si>
  <si>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</si>
  <si>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</si>
  <si>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</si>
  <si>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</si>
  <si>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</si>
  <si>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</si>
  <si>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</si>
  <si>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</si>
  <si>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</si>
  <si>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</si>
  <si>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</si>
  <si>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</si>
  <si>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</si>
  <si>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</si>
  <si>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</si>
  <si>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</si>
  <si>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</si>
  <si>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</si>
  <si>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</si>
  <si>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</si>
  <si>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</si>
  <si>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</si>
  <si>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</si>
  <si>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</si>
  <si>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</si>
  <si>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</si>
  <si>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</si>
  <si>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</si>
  <si>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</si>
  <si>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</si>
  <si>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</si>
  <si>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</si>
  <si>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</si>
  <si>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</si>
  <si>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</si>
  <si>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</si>
  <si>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</si>
  <si>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</si>
  <si>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</si>
  <si>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</si>
  <si>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</si>
  <si>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</si>
  <si>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</si>
  <si>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</si>
  <si>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</si>
  <si>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</si>
  <si>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</si>
  <si>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</si>
  <si>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</si>
  <si>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</si>
  <si>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</si>
  <si>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</si>
  <si>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</si>
  <si>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</si>
  <si>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</si>
  <si>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</si>
  <si>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</si>
  <si>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</si>
  <si>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</si>
  <si>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</si>
  <si>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</si>
  <si>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</si>
  <si>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</si>
  <si>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</si>
  <si>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</si>
  <si>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</si>
  <si>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</si>
  <si>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</si>
  <si>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</si>
  <si>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</si>
  <si>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</si>
  <si>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</si>
  <si>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</si>
  <si>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</si>
  <si>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</si>
  <si>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</si>
  <si>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</si>
  <si>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</si>
  <si>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</si>
  <si>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</si>
  <si>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</si>
  <si>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</si>
  <si>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</si>
  <si>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</si>
  <si>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</si>
  <si>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</si>
  <si>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</si>
  <si>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</si>
  <si>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</si>
  <si>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</si>
  <si>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</si>
  <si>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</si>
  <si>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</si>
  <si>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</si>
  <si>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</si>
  <si>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</si>
  <si>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</si>
  <si>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</si>
  <si>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</si>
  <si>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</si>
  <si>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</si>
  <si>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</si>
  <si>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</si>
  <si>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</si>
  <si>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</si>
  <si>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</si>
  <si>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</si>
  <si>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</si>
  <si>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</si>
  <si>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</si>
  <si>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</si>
  <si>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</si>
  <si>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</si>
  <si>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</si>
  <si>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</si>
  <si>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</si>
  <si>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</si>
  <si>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</si>
  <si>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</si>
  <si>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</si>
  <si>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</si>
  <si>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</si>
  <si>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</si>
  <si>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</si>
  <si>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</si>
  <si>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</si>
  <si>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</si>
  <si>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</si>
  <si>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</si>
  <si>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</si>
  <si>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</si>
  <si>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</si>
  <si>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</si>
  <si>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</si>
  <si>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</si>
  <si>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</si>
  <si>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</si>
  <si>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</si>
  <si>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</si>
  <si>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</si>
  <si>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</si>
  <si>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</si>
  <si>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</si>
  <si>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</si>
  <si>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</si>
  <si>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</si>
  <si>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</si>
  <si>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</si>
  <si>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</si>
  <si>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</si>
  <si>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</si>
  <si>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</si>
  <si>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</si>
  <si>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</si>
  <si>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</si>
  <si>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</si>
  <si>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</si>
  <si>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</si>
  <si>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</si>
  <si>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</si>
  <si>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</si>
  <si>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</si>
  <si>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</si>
  <si>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</si>
  <si>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</si>
  <si>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</si>
  <si>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</si>
  <si>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</si>
  <si>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</si>
  <si>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</si>
  <si>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</si>
  <si>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</si>
  <si>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</si>
  <si>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</si>
  <si>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</si>
  <si>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</si>
  <si>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</si>
  <si>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</si>
  <si>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</si>
  <si>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</si>
  <si>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</si>
  <si>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</si>
  <si>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</si>
  <si>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</si>
  <si>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</si>
  <si>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</si>
  <si>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</si>
  <si>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</si>
  <si>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</si>
  <si>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</si>
  <si>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</si>
  <si>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</si>
  <si>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</si>
  <si>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</si>
  <si>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</si>
  <si>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</si>
  <si>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</si>
  <si>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</si>
  <si>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</si>
  <si>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</si>
  <si>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</si>
  <si>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</si>
  <si>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</si>
  <si>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</si>
  <si>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</si>
  <si>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</si>
  <si>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</si>
  <si>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</si>
  <si>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</si>
  <si>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</si>
  <si>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</si>
  <si>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</si>
  <si>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</si>
  <si>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</si>
  <si>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</si>
  <si>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</si>
  <si>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</si>
  <si>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</si>
  <si>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</si>
  <si>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</si>
  <si>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</si>
  <si>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</si>
  <si>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</si>
  <si>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</si>
  <si>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</si>
  <si>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</si>
  <si>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</si>
  <si>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</si>
  <si>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</si>
  <si>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</si>
  <si>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</si>
  <si>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</si>
  <si>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</si>
  <si>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</si>
  <si>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</si>
  <si>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</si>
  <si>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</si>
  <si>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</si>
  <si>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</si>
  <si>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</si>
  <si>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</si>
  <si>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</si>
  <si>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</si>
  <si>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</si>
  <si>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</si>
  <si>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</si>
  <si>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</si>
  <si>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</si>
  <si>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</si>
  <si>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</si>
  <si>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</si>
  <si>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</si>
  <si>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</si>
  <si>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</si>
  <si>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</si>
  <si>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</si>
  <si>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</si>
  <si>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</si>
  <si>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</si>
  <si>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</si>
  <si>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</si>
  <si>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</si>
  <si>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</si>
  <si>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</si>
  <si>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</si>
  <si>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</si>
  <si>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</si>
  <si>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</si>
  <si>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</si>
  <si>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</si>
  <si>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</si>
  <si>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</si>
  <si>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</si>
  <si>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</si>
  <si>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</si>
  <si>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</si>
  <si>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</si>
  <si>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</si>
  <si>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</si>
  <si>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</si>
  <si>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</si>
  <si>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</si>
  <si>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</si>
  <si>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</si>
  <si>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</si>
  <si>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</si>
  <si>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</si>
  <si>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</si>
  <si>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</si>
  <si>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</si>
  <si>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</si>
  <si>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</si>
  <si>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</si>
  <si>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</si>
  <si>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</si>
  <si>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</si>
  <si>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</si>
  <si>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</si>
  <si>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</si>
  <si>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</si>
  <si>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</si>
  <si>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</si>
  <si>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</si>
  <si>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</si>
  <si>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</si>
  <si>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</si>
  <si>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</si>
  <si>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</si>
  <si>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</si>
  <si>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</si>
  <si>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</si>
  <si>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</si>
  <si>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</si>
  <si>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</si>
  <si>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</si>
  <si>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</si>
  <si>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</si>
  <si>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</si>
  <si>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</si>
  <si>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</si>
  <si>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</si>
  <si>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</si>
  <si>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</si>
  <si>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</si>
  <si>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</si>
  <si>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</si>
  <si>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</si>
  <si>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</si>
  <si>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</si>
  <si>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</si>
  <si>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</si>
  <si>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</si>
  <si>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</si>
  <si>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</si>
  <si>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</si>
  <si>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</si>
  <si>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</si>
  <si>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</si>
  <si>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</si>
  <si>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</si>
  <si>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</si>
  <si>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</si>
  <si>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</si>
  <si>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</si>
  <si>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</si>
  <si>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</si>
  <si>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</si>
  <si>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</si>
  <si>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</si>
  <si>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</si>
  <si>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</si>
  <si>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</si>
  <si>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</si>
  <si>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</si>
  <si>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</si>
  <si>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</si>
  <si>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</si>
  <si>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</si>
  <si>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</si>
  <si>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</si>
  <si>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</si>
  <si>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</si>
  <si>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</si>
  <si>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</si>
  <si>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</si>
  <si>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</si>
  <si>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</si>
  <si>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</si>
  <si>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</si>
  <si>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</si>
  <si>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</si>
  <si>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</si>
  <si>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</si>
  <si>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</si>
  <si>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</si>
  <si>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</si>
  <si>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</si>
  <si>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</si>
  <si>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</si>
  <si>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</si>
  <si>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</si>
  <si>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</si>
  <si>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</si>
  <si>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</si>
  <si>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</si>
  <si>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</si>
  <si>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</si>
  <si>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</si>
  <si>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</si>
  <si>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</si>
  <si>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</si>
  <si>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</si>
  <si>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</si>
  <si>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</si>
  <si>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</si>
  <si>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</si>
  <si>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</si>
  <si>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</si>
  <si>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</si>
  <si>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</si>
  <si>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</si>
  <si>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</si>
  <si>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</si>
  <si>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</si>
  <si>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</si>
  <si>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</si>
  <si>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</si>
  <si>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</si>
  <si>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</si>
  <si>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</si>
  <si>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</si>
  <si>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</si>
  <si>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</si>
  <si>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</si>
  <si>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</si>
  <si>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</si>
  <si>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</si>
  <si>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</si>
  <si>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</si>
  <si>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</si>
  <si>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</si>
  <si>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</si>
  <si>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</si>
  <si>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</si>
  <si>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</si>
  <si>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</si>
  <si>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</si>
  <si>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</si>
  <si>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</si>
  <si>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</si>
  <si>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</si>
  <si>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</si>
  <si>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</si>
  <si>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</si>
  <si>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</si>
  <si>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</si>
  <si>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</si>
  <si>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</si>
  <si>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</si>
  <si>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</si>
  <si>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</si>
  <si>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</si>
  <si>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</si>
  <si>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</si>
  <si>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</si>
  <si>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</si>
  <si>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</si>
  <si>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</si>
  <si>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</si>
  <si>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</si>
  <si>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</si>
  <si>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</si>
  <si>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</si>
  <si>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</si>
  <si>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</si>
  <si>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</si>
  <si>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</si>
  <si>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</si>
  <si>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</si>
  <si>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</si>
  <si>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</si>
  <si>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</si>
  <si>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</si>
  <si>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</si>
  <si>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</si>
  <si>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</si>
  <si>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</si>
  <si>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</si>
  <si>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</si>
  <si>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</si>
  <si>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</si>
  <si>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</si>
  <si>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</si>
  <si>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</si>
  <si>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</si>
  <si>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</si>
  <si>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</si>
  <si>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</si>
  <si>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</si>
  <si>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</si>
  <si>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</si>
  <si>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</si>
  <si>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</si>
  <si>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</si>
  <si>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</si>
  <si>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</si>
  <si>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</si>
  <si>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</si>
  <si>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</si>
  <si>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</si>
  <si>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</si>
  <si>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</si>
  <si>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</si>
  <si>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</si>
  <si>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</si>
  <si>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</si>
  <si>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</si>
  <si>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</si>
  <si>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</si>
  <si>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</si>
  <si>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</si>
  <si>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</si>
  <si>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</si>
  <si>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</si>
  <si>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</si>
  <si>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</si>
  <si>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</si>
  <si>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</si>
  <si>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</si>
  <si>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</si>
  <si>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</si>
  <si>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</si>
  <si>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</si>
  <si>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</si>
  <si>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</si>
  <si>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</si>
  <si>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</si>
  <si>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</si>
  <si>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</si>
  <si>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</si>
  <si>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</si>
  <si>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</si>
  <si>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</si>
  <si>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</si>
  <si>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</si>
  <si>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</si>
  <si>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</si>
  <si>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</si>
  <si>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</si>
  <si>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</si>
  <si>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</si>
  <si>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</si>
  <si>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</si>
  <si>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</si>
  <si>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</si>
  <si>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</si>
  <si>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</si>
  <si>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</si>
  <si>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</si>
  <si>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</si>
  <si>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</si>
  <si>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</si>
  <si>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</si>
  <si>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</si>
  <si>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</si>
  <si>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</si>
  <si>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</si>
  <si>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</si>
  <si>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</si>
  <si>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</si>
  <si>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</si>
  <si>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</si>
  <si>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</si>
  <si>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</si>
  <si>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</si>
  <si>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</si>
  <si>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</si>
  <si>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</si>
  <si>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</si>
  <si>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</si>
  <si>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</si>
  <si>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</si>
  <si>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</si>
  <si>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</si>
  <si>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</si>
  <si>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</si>
  <si>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</si>
  <si>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</si>
  <si>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</si>
  <si>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</si>
  <si>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</si>
  <si>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</si>
  <si>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</si>
  <si>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</si>
  <si>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</si>
  <si>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</si>
  <si>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</si>
  <si>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</si>
  <si>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</si>
  <si>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</si>
  <si>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</si>
  <si>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</si>
  <si>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</si>
  <si>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</si>
  <si>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</si>
  <si>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</si>
  <si>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</si>
  <si>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</si>
  <si>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</si>
  <si>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</si>
  <si>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</si>
  <si>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</si>
  <si>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</si>
  <si>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</si>
  <si>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</si>
  <si>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</si>
  <si>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</si>
  <si>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</si>
  <si>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</si>
  <si>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</si>
  <si>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</si>
  <si>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</si>
  <si>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</si>
  <si>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</si>
  <si>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</si>
  <si>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</si>
  <si>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</si>
  <si>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</si>
  <si>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</si>
  <si>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</si>
  <si>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</si>
  <si>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</si>
  <si>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</si>
  <si>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</si>
  <si>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</si>
  <si>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</si>
  <si>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</si>
  <si>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</si>
  <si>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</si>
  <si>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</si>
  <si>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</si>
  <si>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</si>
  <si>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</si>
  <si>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</si>
  <si>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</si>
  <si>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</si>
  <si>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</si>
  <si>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</si>
  <si>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</si>
  <si>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</si>
  <si>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</si>
  <si>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</si>
  <si>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</si>
  <si>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</si>
  <si>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</si>
  <si>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</si>
  <si>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</si>
  <si>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</si>
  <si>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</si>
  <si>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</si>
  <si>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</si>
  <si>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</si>
  <si>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</si>
  <si>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</si>
  <si>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</si>
  <si>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</si>
  <si>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</si>
  <si>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</si>
  <si>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</si>
  <si>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</si>
  <si>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</si>
  <si>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</si>
  <si>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</si>
  <si>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</si>
  <si>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</si>
  <si>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</si>
  <si>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</si>
  <si>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</si>
  <si>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</si>
  <si>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</si>
  <si>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</si>
  <si>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</si>
  <si>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</si>
  <si>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</si>
  <si>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</si>
  <si>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</si>
  <si>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</si>
  <si>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</si>
  <si>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</si>
  <si>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</si>
  <si>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</si>
  <si>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</si>
  <si>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</si>
  <si>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</si>
  <si>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</si>
  <si>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</si>
  <si>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</si>
  <si>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</si>
  <si>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</si>
  <si>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</si>
  <si>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</si>
  <si>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</si>
  <si>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</si>
  <si>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</si>
  <si>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</si>
  <si>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</si>
  <si>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</si>
  <si>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</si>
  <si>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</si>
  <si>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</si>
  <si>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</si>
  <si>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</si>
  <si>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</si>
  <si>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</si>
  <si>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</si>
  <si>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</si>
  <si>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</si>
  <si>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</si>
  <si>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</si>
  <si>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</si>
  <si>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</si>
  <si>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</si>
  <si>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</si>
  <si>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</si>
  <si>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</si>
  <si>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</si>
  <si>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</si>
  <si>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</si>
  <si>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</si>
  <si>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</si>
  <si>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</si>
  <si>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</si>
  <si>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</si>
  <si>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</si>
  <si>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</si>
  <si>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</si>
  <si>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</si>
  <si>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</si>
  <si>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</si>
  <si>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</si>
  <si>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</si>
  <si>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</si>
  <si>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</si>
  <si>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</si>
  <si>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</si>
  <si>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</si>
  <si>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</si>
  <si>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</si>
  <si>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</si>
  <si>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</si>
  <si>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</si>
  <si>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</si>
  <si>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</si>
  <si>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</si>
  <si>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</si>
  <si>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</si>
  <si>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</si>
  <si>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</si>
  <si>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</si>
  <si>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</si>
  <si>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</si>
  <si>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</si>
  <si>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</si>
  <si>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</si>
  <si>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</si>
  <si>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</si>
  <si>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</si>
  <si>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</si>
  <si>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</si>
  <si>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</si>
  <si>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</si>
  <si>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</si>
  <si>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</si>
  <si>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</si>
  <si>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</si>
  <si>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</si>
  <si>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</si>
  <si>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</si>
  <si>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</si>
  <si>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</si>
  <si>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</si>
  <si>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</si>
  <si>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</si>
  <si>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</si>
  <si>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</si>
  <si>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</si>
  <si>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</si>
  <si>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</si>
  <si>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</si>
  <si>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</si>
  <si>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</si>
  <si>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</si>
  <si>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</si>
  <si>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</si>
  <si>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</si>
  <si>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</si>
  <si>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</si>
  <si>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</si>
  <si>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</si>
  <si>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</si>
  <si>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</si>
  <si>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</si>
  <si>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</si>
  <si>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</si>
  <si>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</si>
  <si>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</si>
  <si>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</si>
  <si>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</si>
  <si>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</si>
  <si>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</si>
  <si>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</si>
  <si>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</si>
  <si>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</si>
  <si>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</si>
  <si>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</si>
  <si>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</si>
  <si>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</si>
  <si>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</si>
  <si>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</si>
  <si>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</si>
  <si>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</si>
  <si>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</si>
  <si>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</si>
  <si>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</si>
  <si>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</si>
  <si>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</si>
  <si>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</si>
  <si>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</si>
  <si>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</si>
  <si>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</si>
  <si>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</si>
  <si>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</si>
  <si>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</si>
  <si>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</si>
  <si>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</si>
  <si>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</si>
  <si>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</si>
  <si>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</si>
  <si>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</si>
  <si>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</si>
  <si>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</si>
  <si>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</si>
  <si>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</si>
  <si>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</si>
  <si>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</si>
  <si>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</si>
  <si>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</si>
  <si>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</si>
  <si>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</si>
  <si>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</si>
  <si>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</si>
  <si>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</si>
  <si>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</si>
  <si>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</si>
  <si>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</si>
  <si>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</si>
  <si>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</si>
  <si>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</si>
  <si>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</si>
  <si>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</si>
  <si>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</si>
  <si>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</si>
  <si>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</si>
  <si>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</si>
  <si>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</si>
  <si>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</si>
  <si>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</si>
  <si>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</si>
  <si>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</si>
  <si>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</si>
  <si>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</si>
  <si>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</si>
  <si>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</si>
  <si>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</si>
  <si>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</si>
  <si>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</si>
  <si>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</si>
  <si>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</si>
  <si>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</si>
  <si>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</si>
  <si>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</si>
  <si>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</si>
  <si>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</si>
  <si>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</si>
  <si>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</si>
  <si>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</si>
  <si>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</si>
  <si>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</si>
  <si>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</si>
  <si>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</si>
  <si>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</si>
  <si>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</si>
  <si>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</si>
  <si>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</si>
  <si>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</si>
  <si>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</si>
  <si>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</si>
  <si>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</si>
  <si>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</si>
  <si>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</si>
  <si>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</si>
  <si>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</si>
  <si>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</si>
  <si>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</si>
  <si>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</si>
  <si>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</si>
  <si>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</si>
  <si>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</si>
  <si>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</si>
  <si>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</si>
  <si>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</si>
  <si>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</si>
  <si>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</si>
  <si>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</si>
  <si>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</si>
  <si>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</si>
  <si>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</si>
  <si>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</si>
  <si>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</si>
  <si>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</si>
  <si>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</si>
  <si>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</si>
  <si>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</si>
  <si>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</si>
  <si>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</si>
  <si>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</si>
  <si>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</si>
  <si>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</si>
  <si>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</si>
  <si>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</si>
  <si>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</si>
  <si>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</si>
  <si>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</si>
  <si>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</si>
  <si>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</si>
  <si>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</si>
  <si>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</si>
  <si>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</si>
  <si>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</si>
  <si>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</si>
  <si>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</si>
  <si>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</si>
  <si>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</si>
  <si>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</si>
  <si>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</si>
  <si>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</si>
  <si>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</si>
  <si>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</si>
  <si>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</si>
  <si>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</si>
  <si>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</si>
  <si>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</si>
  <si>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</si>
  <si>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</si>
  <si>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</si>
  <si>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</si>
  <si>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</si>
  <si>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</si>
  <si>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</si>
  <si>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</si>
  <si>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</si>
  <si>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</si>
  <si>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</si>
  <si>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</si>
  <si>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</si>
  <si>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</si>
  <si>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</si>
  <si>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</si>
  <si>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</si>
  <si>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</si>
  <si>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</si>
  <si>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</si>
  <si>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</si>
  <si>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</si>
  <si>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</si>
  <si>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</si>
  <si>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</si>
  <si>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</si>
  <si>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</si>
  <si>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</si>
  <si>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</si>
  <si>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</si>
  <si>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</si>
  <si>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</si>
  <si>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</si>
  <si>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</si>
  <si>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</si>
  <si>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</si>
  <si>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</si>
  <si>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</si>
  <si>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</si>
  <si>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</si>
  <si>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</si>
  <si>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</si>
  <si>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</si>
  <si>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</si>
  <si>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</si>
  <si>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</si>
  <si>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</si>
  <si>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</si>
  <si>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</si>
  <si>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</si>
  <si>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</si>
  <si>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</si>
  <si>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</si>
  <si>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</si>
  <si>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</si>
  <si>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</si>
  <si>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</si>
  <si>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</si>
  <si>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</si>
  <si>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</si>
  <si>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</si>
  <si>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</si>
  <si>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</si>
  <si>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</si>
  <si>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</si>
  <si>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</si>
  <si>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</si>
  <si>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</si>
  <si>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</si>
  <si>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</si>
  <si>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</si>
  <si>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</si>
  <si>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</si>
  <si>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</si>
  <si>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</si>
  <si>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</si>
  <si>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</si>
  <si>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</si>
  <si>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</si>
  <si>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</si>
  <si>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</si>
  <si>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</si>
  <si>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</si>
  <si>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</si>
  <si>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</si>
  <si>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</si>
  <si>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</si>
  <si>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</si>
  <si>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</si>
  <si>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</si>
  <si>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</si>
  <si>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</si>
  <si>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</si>
  <si>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</si>
  <si>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</si>
  <si>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</si>
  <si>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</si>
  <si>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</si>
  <si>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</si>
  <si>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</si>
  <si>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</si>
  <si>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</si>
  <si>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</si>
  <si>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</si>
  <si>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</si>
  <si>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</si>
  <si>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</si>
  <si>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</si>
  <si>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</si>
  <si>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</si>
  <si>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</si>
  <si>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</si>
  <si>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</si>
  <si>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</si>
  <si>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</si>
  <si>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</si>
  <si>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</si>
  <si>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</si>
  <si>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</si>
  <si>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</si>
  <si>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</si>
  <si>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</si>
  <si>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</si>
  <si>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</si>
  <si>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</si>
  <si>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</si>
  <si>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</si>
  <si>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</si>
  <si>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</si>
  <si>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</si>
  <si>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</si>
  <si>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</si>
  <si>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</si>
  <si>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</si>
  <si>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</si>
  <si>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</si>
  <si>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</si>
  <si>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</si>
  <si>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</si>
  <si>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</si>
  <si>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</si>
  <si>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</si>
  <si>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</si>
  <si>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</si>
  <si>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</si>
  <si>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</si>
  <si>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</si>
  <si>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</si>
  <si>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</si>
  <si>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</si>
  <si>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</si>
  <si>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</si>
  <si>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</si>
  <si>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</si>
  <si>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</si>
  <si>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</si>
  <si>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</si>
  <si>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</si>
  <si>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</si>
  <si>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</si>
  <si>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</si>
  <si>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</si>
  <si>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</si>
  <si>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</si>
  <si>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</si>
  <si>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</si>
  <si>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</si>
  <si>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</si>
  <si>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</si>
  <si>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</si>
  <si>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</si>
  <si>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</si>
  <si>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</si>
  <si>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</si>
  <si>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</si>
  <si>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</si>
  <si>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</si>
  <si>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</si>
  <si>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</si>
  <si>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</si>
  <si>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</si>
  <si>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</si>
  <si>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</si>
  <si>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</si>
  <si>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</si>
  <si>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</si>
  <si>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</si>
  <si>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</si>
  <si>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</si>
  <si>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</si>
  <si>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</si>
  <si>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</si>
  <si>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</si>
  <si>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</si>
  <si>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</si>
  <si>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</si>
  <si>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</si>
  <si>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</si>
  <si>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</si>
  <si>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</si>
  <si>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</si>
  <si>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</si>
  <si>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</si>
  <si>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</si>
  <si>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</si>
  <si>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</si>
  <si>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</si>
  <si>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</si>
  <si>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</si>
  <si>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</si>
  <si>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</si>
  <si>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</si>
  <si>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</si>
  <si>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</si>
  <si>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</si>
  <si>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</si>
  <si>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</si>
  <si>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</si>
  <si>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</si>
  <si>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</si>
  <si>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</si>
  <si>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</si>
  <si>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</si>
  <si>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</si>
  <si>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</si>
  <si>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</si>
  <si>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</si>
  <si>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</si>
  <si>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</si>
  <si>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</si>
  <si>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</si>
  <si>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</si>
  <si>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</si>
  <si>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</si>
  <si>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</si>
  <si>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</si>
  <si>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</si>
  <si>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</si>
  <si>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</si>
  <si>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</si>
  <si>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</si>
  <si>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</si>
  <si>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</si>
  <si>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</si>
  <si>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</si>
  <si>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</si>
  <si>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</si>
  <si>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</si>
  <si>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</si>
  <si>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</si>
  <si>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</si>
  <si>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</si>
  <si>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</si>
  <si>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</si>
  <si>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</si>
  <si>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</si>
  <si>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</si>
  <si>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</si>
  <si>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</si>
  <si>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</si>
  <si>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</si>
  <si>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</si>
  <si>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</si>
  <si>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</si>
  <si>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</si>
  <si>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</si>
  <si>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</si>
  <si>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</si>
  <si>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</si>
  <si>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</si>
  <si>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</si>
  <si>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</si>
  <si>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</si>
  <si>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</si>
  <si>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</si>
  <si>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</si>
  <si>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</si>
  <si>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</si>
  <si>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</si>
  <si>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</si>
  <si>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</si>
  <si>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</si>
  <si>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</si>
  <si>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</si>
  <si>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</si>
  <si>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</si>
  <si>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</si>
  <si>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</si>
  <si>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</si>
  <si>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</si>
  <si>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</si>
  <si>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</si>
  <si>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</si>
  <si>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</si>
  <si>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</si>
  <si>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</si>
  <si>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</si>
  <si>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</si>
  <si>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</si>
  <si>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</si>
  <si>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</si>
  <si>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</si>
  <si>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</si>
  <si>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</si>
  <si>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</si>
  <si>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</si>
  <si>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</si>
  <si>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</si>
  <si>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</si>
  <si>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</si>
  <si>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</si>
  <si>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</si>
  <si>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</si>
  <si>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</si>
  <si>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</si>
  <si>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</si>
  <si>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</si>
  <si>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</si>
  <si>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</si>
  <si>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</si>
  <si>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</si>
  <si>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</si>
  <si>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</si>
  <si>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</si>
  <si>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</si>
  <si>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</si>
  <si>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</si>
  <si>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</si>
  <si>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</si>
  <si>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</si>
  <si>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</si>
  <si>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</si>
  <si>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</si>
  <si>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</si>
  <si>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</si>
  <si>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</si>
  <si>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</si>
  <si>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</si>
  <si>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</si>
  <si>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</si>
  <si>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</si>
  <si>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</si>
  <si>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</si>
  <si>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</si>
  <si>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</si>
  <si>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</si>
  <si>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</si>
  <si>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</si>
  <si>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</si>
  <si>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</si>
  <si>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</si>
  <si>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</si>
  <si>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</si>
  <si>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</si>
  <si>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</si>
  <si>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</si>
  <si>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</si>
  <si>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</si>
  <si>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</si>
  <si>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</si>
  <si>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</si>
  <si>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</si>
  <si>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</si>
  <si>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</si>
  <si>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</si>
  <si>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</si>
  <si>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</si>
  <si>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</si>
  <si>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</si>
  <si>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</si>
  <si>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</si>
  <si>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</si>
  <si>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</si>
  <si>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</si>
  <si>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</si>
  <si>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</si>
  <si>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</si>
  <si>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</si>
  <si>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</si>
  <si>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</si>
  <si>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</si>
  <si>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</si>
  <si>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</si>
  <si>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</si>
  <si>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</si>
  <si>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</si>
  <si>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</si>
  <si>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</si>
  <si>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</si>
  <si>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</si>
  <si>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</si>
  <si>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</si>
  <si>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</si>
  <si>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</si>
  <si>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</si>
  <si>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</si>
  <si>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</si>
  <si>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</si>
  <si>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</si>
  <si>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</si>
  <si>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</si>
  <si>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</si>
  <si>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</si>
  <si>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</si>
  <si>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</si>
  <si>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</si>
  <si>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</si>
  <si>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</si>
  <si>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</si>
  <si>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</si>
  <si>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</si>
  <si>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</si>
  <si>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</si>
  <si>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</si>
  <si>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</si>
  <si>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</si>
  <si>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</si>
  <si>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</si>
  <si>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</si>
  <si>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</si>
  <si>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</si>
  <si>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</si>
  <si>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</si>
  <si>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</si>
  <si>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</si>
  <si>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</si>
  <si>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</si>
  <si>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</si>
  <si>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</si>
  <si>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</si>
  <si>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</si>
  <si>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</si>
  <si>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</si>
  <si>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</si>
  <si>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</si>
  <si>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</si>
  <si>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</si>
  <si>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</si>
  <si>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</si>
  <si>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</si>
  <si>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</si>
  <si>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</si>
  <si>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</si>
  <si>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</si>
  <si>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</si>
  <si>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</si>
  <si>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</si>
  <si>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</si>
  <si>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</si>
  <si>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</si>
  <si>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</si>
  <si>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</si>
  <si>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</si>
  <si>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</si>
  <si>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</si>
  <si>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</si>
  <si>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</si>
  <si>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</si>
  <si>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</si>
  <si>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</si>
  <si>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</si>
  <si>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</si>
  <si>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</si>
  <si>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</si>
  <si>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</si>
  <si>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</si>
  <si>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</si>
  <si>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</si>
  <si>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</si>
  <si>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</si>
  <si>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</si>
  <si>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</si>
  <si>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</si>
  <si>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</si>
  <si>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</si>
  <si>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</si>
  <si>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</si>
  <si>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</si>
  <si>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</si>
  <si>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</si>
  <si>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</si>
  <si>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</si>
  <si>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</si>
  <si>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</si>
  <si>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</si>
  <si>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</si>
  <si>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</si>
  <si>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</si>
  <si>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</si>
  <si>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</si>
  <si>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</si>
  <si>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</si>
  <si>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</si>
  <si>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</si>
  <si>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</si>
  <si>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</si>
  <si>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</si>
  <si>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</si>
  <si>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</si>
  <si>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</si>
  <si>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</si>
  <si>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</si>
  <si>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</si>
  <si>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</si>
  <si>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</si>
  <si>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</si>
  <si>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</si>
  <si>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</si>
  <si>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</si>
  <si>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</si>
  <si>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</si>
  <si>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</si>
  <si>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</si>
  <si>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</si>
  <si>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</si>
  <si>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</si>
  <si>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</si>
  <si>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</si>
  <si>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</si>
  <si>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</si>
  <si>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</si>
  <si>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</si>
  <si>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</si>
  <si>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</si>
  <si>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</si>
  <si>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</si>
  <si>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</si>
  <si>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</si>
  <si>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</si>
  <si>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</si>
  <si>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</si>
  <si>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</si>
  <si>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</si>
  <si>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</si>
  <si>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</si>
  <si>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</si>
  <si>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</si>
  <si>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</si>
  <si>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</si>
  <si>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</si>
  <si>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</si>
  <si>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</si>
  <si>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</si>
  <si>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</si>
  <si>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</si>
  <si>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</si>
  <si>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</si>
  <si>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</si>
  <si>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</si>
  <si>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</si>
  <si>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</si>
  <si>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</si>
  <si>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</si>
  <si>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</si>
  <si>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</si>
  <si>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</si>
  <si>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</si>
  <si>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</si>
  <si>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</si>
  <si>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</si>
  <si>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</si>
  <si>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</si>
  <si>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</si>
  <si>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</si>
  <si>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</si>
  <si>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</si>
  <si>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</si>
  <si>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</si>
  <si>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</si>
  <si>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</si>
  <si>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</si>
  <si>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</si>
  <si>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</si>
  <si>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</si>
  <si>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</si>
  <si>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</si>
  <si>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</si>
  <si>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</si>
  <si>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</si>
  <si>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</si>
  <si>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</si>
  <si>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</si>
  <si>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</si>
  <si>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</si>
  <si>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</si>
  <si>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</si>
  <si>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</si>
  <si>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</si>
  <si>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</si>
  <si>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</si>
  <si>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</si>
  <si>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</si>
  <si>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</si>
  <si>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</si>
  <si>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</si>
  <si>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</si>
  <si>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</si>
  <si>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</si>
  <si>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</si>
  <si>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</si>
  <si>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</si>
  <si>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</si>
  <si>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</si>
  <si>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</si>
  <si>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</si>
  <si>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</si>
  <si>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</si>
  <si>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</si>
  <si>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</si>
  <si>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</si>
  <si>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</si>
  <si>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</si>
  <si>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</si>
  <si>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</si>
  <si>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</si>
  <si>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</si>
  <si>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</si>
  <si>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</si>
  <si>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</si>
  <si>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</si>
  <si>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</si>
  <si>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</si>
  <si>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</si>
  <si>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</si>
  <si>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</si>
  <si>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</si>
  <si>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</si>
  <si>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</si>
  <si>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</si>
  <si>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</si>
  <si>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</si>
  <si>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</si>
  <si>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</si>
  <si>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</si>
  <si>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</si>
  <si>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</si>
  <si>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</si>
  <si>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</si>
  <si>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</si>
  <si>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</si>
  <si>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</si>
  <si>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</si>
  <si>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</si>
  <si>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</si>
  <si>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</si>
  <si>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</si>
  <si>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</si>
  <si>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</si>
  <si>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</si>
  <si>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</si>
  <si>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</si>
  <si>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</si>
  <si>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</si>
  <si>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</si>
  <si>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</si>
  <si>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</si>
  <si>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</si>
  <si>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</si>
  <si>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</si>
  <si>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</si>
  <si>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</si>
  <si>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</si>
  <si>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</si>
  <si>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</si>
  <si>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</si>
  <si>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</si>
  <si>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</si>
  <si>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</si>
  <si>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</si>
  <si>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</si>
  <si>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</si>
  <si>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</si>
  <si>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</si>
  <si>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</si>
  <si>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</si>
  <si>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</si>
  <si>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</si>
  <si>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</si>
  <si>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</si>
  <si>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</si>
  <si>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</si>
  <si>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</si>
  <si>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</si>
  <si>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</si>
  <si>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</si>
  <si>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</si>
  <si>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</si>
  <si>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</si>
  <si>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</si>
  <si>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</si>
  <si>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</si>
  <si>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</si>
  <si>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</si>
  <si>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</si>
  <si>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</si>
  <si>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</si>
  <si>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</si>
  <si>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</si>
  <si>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</si>
  <si>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</si>
  <si>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</si>
  <si>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</si>
  <si>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</si>
  <si>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</si>
  <si>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</si>
  <si>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</si>
  <si>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</si>
  <si>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</si>
  <si>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</si>
  <si>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</si>
  <si>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</si>
  <si>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</si>
  <si>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</si>
  <si>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</si>
  <si>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</si>
  <si>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</si>
  <si>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</si>
  <si>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</si>
  <si>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</si>
  <si>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</si>
  <si>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</si>
  <si>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</si>
  <si>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</si>
  <si>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</si>
  <si>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</si>
  <si>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</si>
  <si>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</si>
  <si>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</si>
  <si>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</si>
  <si>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</si>
  <si>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</si>
  <si>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</si>
  <si>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</si>
  <si>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</si>
  <si>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</si>
  <si>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</si>
  <si>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</si>
  <si>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</si>
  <si>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</si>
  <si>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</si>
  <si>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</si>
  <si>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</si>
  <si>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</si>
  <si>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</si>
  <si>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</si>
  <si>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</si>
  <si>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</si>
  <si>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</si>
  <si>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</si>
  <si>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</si>
  <si>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</si>
  <si>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</si>
  <si>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</si>
  <si>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</si>
  <si>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</si>
  <si>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</si>
  <si>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</si>
  <si>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</si>
  <si>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</si>
  <si>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</si>
  <si>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</si>
  <si>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</si>
  <si>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</si>
  <si>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</si>
  <si>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</si>
  <si>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</si>
  <si>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</si>
  <si>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</si>
  <si>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</si>
  <si>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</si>
  <si>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</si>
  <si>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</si>
  <si>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</si>
  <si>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</si>
  <si>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</si>
  <si>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</si>
  <si>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</si>
  <si>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</si>
  <si>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</si>
  <si>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</si>
  <si>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</si>
  <si>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</si>
  <si>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</si>
  <si>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</si>
  <si>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</si>
  <si>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</si>
  <si>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</si>
  <si>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</si>
  <si>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</si>
  <si>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</si>
  <si>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</si>
  <si>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</si>
  <si>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</si>
  <si>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</si>
  <si>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</si>
  <si>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</si>
  <si>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</si>
  <si>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</si>
  <si>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</si>
  <si>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</si>
  <si>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</si>
  <si>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</si>
  <si>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</si>
  <si>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</si>
  <si>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</si>
  <si>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</si>
  <si>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</si>
  <si>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</si>
  <si>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</si>
  <si>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</si>
  <si>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</si>
  <si>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</si>
  <si>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</si>
  <si>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</si>
  <si>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</si>
  <si>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</si>
  <si>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</si>
  <si>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</si>
  <si>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</si>
  <si>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</si>
  <si>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</si>
  <si>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</si>
  <si>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</si>
  <si>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</si>
  <si>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</si>
  <si>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</si>
  <si>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</si>
  <si>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</si>
  <si>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</si>
  <si>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</si>
  <si>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</si>
  <si>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</si>
  <si>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</si>
  <si>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</si>
  <si>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</si>
  <si>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</si>
  <si>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</si>
  <si>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</si>
  <si>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</si>
  <si>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</si>
  <si>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</si>
  <si>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</si>
  <si>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</si>
  <si>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</si>
  <si>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</si>
  <si>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</si>
  <si>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</si>
  <si>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</si>
  <si>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</si>
  <si>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</si>
  <si>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</si>
  <si>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</si>
  <si>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</si>
  <si>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</si>
  <si>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</si>
  <si>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</si>
  <si>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</si>
  <si>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</si>
  <si>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</si>
  <si>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</si>
  <si>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</si>
  <si>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</si>
  <si>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</si>
  <si>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</si>
  <si>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</si>
  <si>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</si>
  <si>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</si>
  <si>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</si>
  <si>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</si>
  <si>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</si>
  <si>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</si>
  <si>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</si>
  <si>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</si>
  <si>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</si>
  <si>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</si>
  <si>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</si>
  <si>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</si>
  <si>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</si>
  <si>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</si>
  <si>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</si>
  <si>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</si>
  <si>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</si>
  <si>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</si>
  <si>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</si>
  <si>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</si>
  <si>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</si>
  <si>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</si>
  <si>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</si>
  <si>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</si>
  <si>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</si>
  <si>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</si>
  <si>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</si>
  <si>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</si>
  <si>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</si>
  <si>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</si>
  <si>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</si>
  <si>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</si>
  <si>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</si>
  <si>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</si>
  <si>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</si>
  <si>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</si>
  <si>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</si>
  <si>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</si>
  <si>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</si>
  <si>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</si>
  <si>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</si>
  <si>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</si>
  <si>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</si>
  <si>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</si>
  <si>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</si>
  <si>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</si>
  <si>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</si>
  <si>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</si>
  <si>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</si>
  <si>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</si>
  <si>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</si>
  <si>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</si>
  <si>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</si>
  <si>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</si>
  <si>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</si>
  <si>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</si>
  <si>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</si>
  <si>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</si>
  <si>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</si>
  <si>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</si>
  <si>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</si>
  <si>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</si>
  <si>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</si>
  <si>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</si>
  <si>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</si>
  <si>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</si>
  <si>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</si>
  <si>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</si>
  <si>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</si>
  <si>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</si>
  <si>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</si>
  <si>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</si>
  <si>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</si>
  <si>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</si>
  <si>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</si>
  <si>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</si>
  <si>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</si>
  <si>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</si>
  <si>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</si>
  <si>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</si>
  <si>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</si>
  <si>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</si>
  <si>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</si>
  <si>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</si>
  <si>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</si>
  <si>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</si>
  <si>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</si>
  <si>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</si>
  <si>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</si>
  <si>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</si>
  <si>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</si>
  <si>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</si>
  <si>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</si>
  <si>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</si>
  <si>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</si>
  <si>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</si>
  <si>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</si>
  <si>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</si>
  <si>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</si>
  <si>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</si>
  <si>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</si>
  <si>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</si>
  <si>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</si>
  <si>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</si>
  <si>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</si>
  <si>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</si>
  <si>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</si>
  <si>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</si>
  <si>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</si>
  <si>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</si>
  <si>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</si>
  <si>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</si>
  <si>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</si>
  <si>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</si>
  <si>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</si>
  <si>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</si>
  <si>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</si>
  <si>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</si>
  <si>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</si>
  <si>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</si>
  <si>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</si>
  <si>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</si>
  <si>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</si>
  <si>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</si>
  <si>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</si>
  <si>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</si>
  <si>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</si>
  <si>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</si>
  <si>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</si>
  <si>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</si>
  <si>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</si>
  <si>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</si>
  <si>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</si>
  <si>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</si>
  <si>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</si>
  <si>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</si>
  <si>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</si>
  <si>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</si>
  <si>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</si>
  <si>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</si>
  <si>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</si>
  <si>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</si>
  <si>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</si>
  <si>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</si>
  <si>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</si>
  <si>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</si>
  <si>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</si>
  <si>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</si>
  <si>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</si>
  <si>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</si>
  <si>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</si>
  <si>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</si>
  <si>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</si>
  <si>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</si>
  <si>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</si>
  <si>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</si>
  <si>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</si>
  <si>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</si>
  <si>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</si>
  <si>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</si>
  <si>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</si>
  <si>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</si>
  <si>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</si>
  <si>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</si>
  <si>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</si>
  <si>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</si>
  <si>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</si>
  <si>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</si>
  <si>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</si>
  <si>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</si>
  <si>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</si>
  <si>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</si>
  <si>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</si>
  <si>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</si>
  <si>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</si>
  <si>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</si>
  <si>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</si>
  <si>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</si>
  <si>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</si>
  <si>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</si>
  <si>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</si>
  <si>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</si>
  <si>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</si>
  <si>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</si>
  <si>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</si>
  <si>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</si>
  <si>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</si>
  <si>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</si>
  <si>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</si>
  <si>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</si>
  <si>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</si>
  <si>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</si>
  <si>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</si>
  <si>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</si>
  <si>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</si>
  <si>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</si>
  <si>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</si>
  <si>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</si>
  <si>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</si>
  <si>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</si>
  <si>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</si>
  <si>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</si>
  <si>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</si>
  <si>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</si>
  <si>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</si>
  <si>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</si>
  <si>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</si>
  <si>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</si>
  <si>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</si>
  <si>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</si>
  <si>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</si>
  <si>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</si>
  <si>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</si>
  <si>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</si>
  <si>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</si>
  <si>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</si>
  <si>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</si>
  <si>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</si>
  <si>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</si>
  <si>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</si>
  <si>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</si>
  <si>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</si>
  <si>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</si>
  <si>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</si>
  <si>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</si>
  <si>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</si>
  <si>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</si>
  <si>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</si>
  <si>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</si>
  <si>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</si>
  <si>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</si>
  <si>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</si>
  <si>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</si>
  <si>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</si>
  <si>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</si>
  <si>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</si>
  <si>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</si>
  <si>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</si>
  <si>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</si>
  <si>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</si>
  <si>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</si>
  <si>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</si>
  <si>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</si>
  <si>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</si>
  <si>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</si>
  <si>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</si>
  <si>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</si>
  <si>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</si>
  <si>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</si>
  <si>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</si>
  <si>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</si>
  <si>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</si>
  <si>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</si>
  <si>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</si>
  <si>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</si>
  <si>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</si>
  <si>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</si>
  <si>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</si>
  <si>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</si>
  <si>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</si>
  <si>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</si>
  <si>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</si>
  <si>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</si>
  <si>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</si>
  <si>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</si>
  <si>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</si>
  <si>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</si>
  <si>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</si>
  <si>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</si>
  <si>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</si>
  <si>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</si>
  <si>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</si>
  <si>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</si>
  <si>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</si>
  <si>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</si>
  <si>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</si>
  <si>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</si>
  <si>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</si>
  <si>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</si>
  <si>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</si>
  <si>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</si>
  <si>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</si>
  <si>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</si>
  <si>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</si>
  <si>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</si>
  <si>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</si>
  <si>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</si>
  <si>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</si>
  <si>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</si>
  <si>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</si>
  <si>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</si>
  <si>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</si>
  <si>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</si>
  <si>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</si>
  <si>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</si>
  <si>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</si>
  <si>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</si>
  <si>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</si>
  <si>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</si>
  <si>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</si>
  <si>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</si>
  <si>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</si>
  <si>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</si>
  <si>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</si>
  <si>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</si>
  <si>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</si>
  <si>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</si>
  <si>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</si>
  <si>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</si>
  <si>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</si>
  <si>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</si>
  <si>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</si>
  <si>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</si>
  <si>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</si>
  <si>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</si>
  <si>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</si>
  <si>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</si>
  <si>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</si>
  <si>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</si>
  <si>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</si>
  <si>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</si>
  <si>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</si>
  <si>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</si>
  <si>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</si>
  <si>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</si>
  <si>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</si>
  <si>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</si>
  <si>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</si>
  <si>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</si>
  <si>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</si>
  <si>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</si>
  <si>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</si>
  <si>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</si>
  <si>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</si>
  <si>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</si>
  <si>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</si>
  <si>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</si>
  <si>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</si>
  <si>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</si>
  <si>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</si>
  <si>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</si>
  <si>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</si>
  <si>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</si>
  <si>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</si>
  <si>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</si>
  <si>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</si>
  <si>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</si>
  <si>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</si>
  <si>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</si>
  <si>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</si>
  <si>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</si>
  <si>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</si>
  <si>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</si>
  <si>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</si>
  <si>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</si>
  <si>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</si>
  <si>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</si>
  <si>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</si>
  <si>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</si>
  <si>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</si>
  <si>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</si>
  <si>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</si>
  <si>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</si>
  <si>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</si>
  <si>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</si>
  <si>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</si>
  <si>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</si>
  <si>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</si>
  <si>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</si>
  <si>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</si>
  <si>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</si>
  <si>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</si>
  <si>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</si>
  <si>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</si>
  <si>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</si>
  <si>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</si>
  <si>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</si>
  <si>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</si>
  <si>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</si>
  <si>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</si>
  <si>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</si>
  <si>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</si>
  <si>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</si>
  <si>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</si>
  <si>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</si>
  <si>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</si>
  <si>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</si>
  <si>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</si>
  <si>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</si>
  <si>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</si>
  <si>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</si>
  <si>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</si>
  <si>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</si>
  <si>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</si>
  <si>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</si>
  <si>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</si>
  <si>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</si>
  <si>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</si>
  <si>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</si>
  <si>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</si>
  <si>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</si>
  <si>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遥拝の君</t>
  </si>
  <si>
    <t>コードダクネス</t>
  </si>
  <si>
    <t>エクリプス</t>
    <phoneticPr fontId="1"/>
  </si>
  <si>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</si>
  <si>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</si>
  <si>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</si>
  <si>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</si>
  <si>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</si>
  <si>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</si>
  <si>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</si>
  <si>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</si>
  <si>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</si>
  <si>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</si>
  <si>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</si>
  <si>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</si>
  <si>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</si>
  <si>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</si>
  <si>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</si>
  <si>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</si>
  <si>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</si>
  <si>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</si>
  <si>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</si>
  <si>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</si>
  <si>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</si>
  <si>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</si>
  <si>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</si>
  <si>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</si>
  <si>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連撃＋改</t>
    <rPh sb="3" eb="4">
      <t>カイ</t>
    </rPh>
    <phoneticPr fontId="1"/>
  </si>
  <si>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</si>
  <si>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</si>
  <si>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</si>
  <si>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</si>
  <si>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</si>
  <si>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</si>
  <si>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</si>
  <si>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</si>
  <si>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</si>
  <si>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</si>
  <si>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</si>
  <si>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</si>
  <si>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</si>
  <si>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</si>
  <si>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</si>
  <si>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</si>
  <si>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</si>
  <si>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</si>
  <si>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</si>
  <si>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</si>
  <si>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</si>
  <si>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</si>
  <si>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</si>
  <si>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</si>
  <si>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</si>
  <si>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</si>
  <si>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フローズン・ワルツ</t>
    <phoneticPr fontId="1"/>
  </si>
  <si>
    <t>オーバードライブ中</t>
    <phoneticPr fontId="1"/>
  </si>
  <si>
    <t>セイクリッド・クワイア</t>
    <phoneticPr fontId="1"/>
  </si>
  <si>
    <t>冷艶なるサイレンスキラー</t>
  </si>
  <si>
    <t>.webp</t>
    <phoneticPr fontId="1"/>
  </si>
  <si>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</si>
  <si>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</si>
  <si>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</si>
  <si>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</si>
  <si>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</si>
  <si>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</si>
  <si>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</si>
  <si>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</si>
  <si>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ロココ・デストラクション</t>
    <phoneticPr fontId="1"/>
  </si>
  <si>
    <t>S</t>
  </si>
  <si>
    <t>上達の手応え</t>
  </si>
  <si>
    <t>上達の手応え</t>
    <rPh sb="0" eb="2">
      <t>ジョウタツ</t>
    </rPh>
    <rPh sb="3" eb="5">
      <t>テゴタ</t>
    </rPh>
    <phoneticPr fontId="1"/>
  </si>
  <si>
    <t>忍耐</t>
    <rPh sb="0" eb="2">
      <t>ニンタイ</t>
    </rPh>
    <phoneticPr fontId="1"/>
  </si>
  <si>
    <t>友愛</t>
    <rPh sb="0" eb="2">
      <t>ユウアイ</t>
    </rPh>
    <phoneticPr fontId="1"/>
  </si>
  <si>
    <t>プライベートレッスン</t>
  </si>
  <si>
    <t>プライベートレッスン</t>
    <phoneticPr fontId="1"/>
  </si>
  <si>
    <t>宙舞うハイテンション+</t>
    <phoneticPr fontId="1"/>
  </si>
  <si>
    <t>トリック・カノン+</t>
    <phoneticPr fontId="1"/>
  </si>
  <si>
    <t>トリック・カノン+</t>
  </si>
  <si>
    <t>BUFF</t>
  </si>
  <si>
    <t>10,10,10,10,60</t>
    <phoneticPr fontId="1"/>
  </si>
  <si>
    <t>15,15,15,15,40</t>
    <phoneticPr fontId="1"/>
  </si>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</sst>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xf numFmtId="0" fontId="6" fillId="0" borderId="0" xfId="0" applyFont="1"/>
    <xf numFmtId="49" fontId="6" fillId="2" borderId="1" xfId="0" applyNumberFormat="1" applyFont="1" applyFill="1" applyBorder="1"/>
    <xf numFmtId="49" fontId="7" fillId="8" borderId="1" xfId="0" applyNumberFormat="1"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7"/>
  <sheetViews>
    <sheetView workbookViewId="0">
      <selection activeCell="A6" sqref="A6:XFD6"/>
    </sheetView>
  </sheetViews>
  <sheetFormatPr defaultRowHeight="18.75"/>
  <cols>
    <col min="3" max="4" width="17" customWidth="1"/>
    <col min="10" max="10" width="11.75" bestFit="1" customWidth="1"/>
  </cols>
  <sheetData>
    <row r="1" spans="1: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1: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row r="3" spans="1:20">
      <c r="A3" t="s">
        <v>2395</v>
      </c>
      <c r="B3" s="13"/>
      <c r="C3" s="13"/>
      <c r="D3" s="13">
        <v>3</v>
      </c>
      <c r="E3" s="13">
        <v>0</v>
      </c>
      <c r="F3" s="13" t="s">
        <v>2394</v>
      </c>
      <c r="G3" s="13"/>
      <c r="H3" s="13">
        <v>30</v>
      </c>
      <c r="I3" s="13">
        <v>45</v>
      </c>
      <c r="J3" s="13">
        <v>138</v>
      </c>
      <c r="K3" s="13"/>
      <c r="L3" s="13">
        <v>1</v>
      </c>
      <c r="M3" s="13">
        <v>0</v>
      </c>
      <c r="N3" s="13">
        <v>0</v>
      </c>
      <c r="O3" s="13"/>
      <c r="P3" s="13"/>
      <c r="Q3" s="13"/>
    </row>
    <row r="4" spans="1:20">
      <c r="A4" t="s">
        <v>2395</v>
      </c>
      <c r="B4" s="13"/>
      <c r="C4" s="13"/>
      <c r="D4" s="13">
        <v>11</v>
      </c>
      <c r="E4" s="13">
        <v>0</v>
      </c>
      <c r="F4" s="13" t="s">
        <v>2394</v>
      </c>
      <c r="G4" s="13"/>
      <c r="H4" s="13">
        <v>50</v>
      </c>
      <c r="I4" s="13">
        <v>50</v>
      </c>
      <c r="J4" s="13">
        <v>0</v>
      </c>
      <c r="K4" s="13"/>
      <c r="L4" s="13">
        <v>0</v>
      </c>
      <c r="M4" s="13">
        <v>0</v>
      </c>
      <c r="N4" s="13">
        <v>0</v>
      </c>
      <c r="O4" s="13"/>
      <c r="P4" s="13"/>
      <c r="Q4" s="13"/>
    </row>
    <row r="7" spans="1:20">
      <c r="A7" t="s">
        <v>2395</v>
      </c>
      <c r="B7" s="13"/>
      <c r="C7" s="13"/>
      <c r="D7" s="13">
        <v>3</v>
      </c>
      <c r="E7" s="13">
        <v>0</v>
      </c>
      <c r="F7" s="13" t="s">
        <v>2383</v>
      </c>
      <c r="G7" s="13"/>
      <c r="H7" s="13">
        <v>100</v>
      </c>
      <c r="I7" s="13">
        <v>100</v>
      </c>
      <c r="J7" s="13">
        <v>0</v>
      </c>
      <c r="K7" s="13"/>
      <c r="L7" s="13">
        <v>7</v>
      </c>
      <c r="M7" s="13">
        <v>0</v>
      </c>
      <c r="N7" s="13">
        <v>0</v>
      </c>
      <c r="O7" s="13"/>
      <c r="P7" s="13"/>
      <c r="Q7"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2321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5078</v>
      </c>
      <c r="C3" s="13" t="s">
        <v>80</v>
      </c>
      <c r="D3" s="13" t="s">
        <v>2385</v>
      </c>
      <c r="E3" s="17" t="s">
        <v>2387</v>
      </c>
      <c r="F3" s="17" t="s">
        <v>2375</v>
      </c>
      <c r="G3" s="13" t="s">
        <v>1858</v>
      </c>
      <c r="H3" s="13" t="s">
        <v>1865</v>
      </c>
      <c r="I3" s="13"/>
      <c r="J3" s="13" t="s">
        <v>1864</v>
      </c>
      <c r="K3" s="13"/>
      <c r="L3" s="13"/>
      <c r="M3" s="13"/>
      <c r="N3" s="13" t="s">
        <v>2388</v>
      </c>
      <c r="O3" s="13"/>
      <c r="P3" s="13" t="s">
        <v>2389</v>
      </c>
    </row>
    <row r="4" spans="1:20">
      <c r="B4" s="13">
        <f>B3</f>
        <v>5078</v>
      </c>
      <c r="C4" s="13">
        <f>INDEX(Data!C1:C51, MATCH(C3,Data!D1:D51, 0))</f>
        <v>7</v>
      </c>
      <c r="D4" s="13">
        <f>INDEX(Data!A16:A18, MATCH(D3,Data!B16:B18, 0))</f>
        <v>2</v>
      </c>
      <c r="E4" s="13" t="str">
        <f>E3</f>
        <v>上達の手応え</v>
      </c>
      <c r="F4" s="13" t="str">
        <f t="shared" ref="F4" si="0">F3</f>
        <v>.webp</v>
      </c>
      <c r="G4" s="13">
        <f>INDEX(Data!G:G, MATCH(G3,Data!H1:H51, 0))</f>
        <v>7</v>
      </c>
      <c r="H4" s="13">
        <f>IFERROR(INDEX(Data!$A$9:$A$14, MATCH(H3, Data!$B$9:B14, 0)), "")</f>
        <v>0</v>
      </c>
      <c r="I4" s="13" t="str">
        <f>IFERROR(INDEX(Data!$A$9:$A$14, MATCH(I3, Data!$B$9:C14, 0)), "")</f>
        <v/>
      </c>
      <c r="J4" s="13">
        <f>INDEX(Data!I1:I6, MATCH(J3,Data!J1:J51, 0))</f>
        <v>6</v>
      </c>
      <c r="K4" s="13" t="str">
        <f>IFERROR(INDEX(ability!$B:$B, MATCH(K3,ability!$C:$C, 0)),"")</f>
        <v/>
      </c>
      <c r="L4" s="13" t="str">
        <f>IFERROR(INDEX(ability!$B:$B, MATCH(L3,ability!$C:$C, 0)),"")</f>
        <v/>
      </c>
      <c r="M4" s="13" t="str">
        <f>IFERROR(INDEX(ability!$B:$B, MATCH(M3,ability!$C:$C, 0)),"")</f>
        <v/>
      </c>
      <c r="N4" s="13">
        <f>IFERROR(INDEX(ability!$B:$B, MATCH(N3,ability!$C:$C, 0)),"")</f>
        <v>1507</v>
      </c>
      <c r="O4" s="13" t="str">
        <f>IFERROR(INDEX(ability!$B:$B, MATCH(O3,ability!$C:$C, 0)),"")</f>
        <v/>
      </c>
      <c r="P4" s="13">
        <f>IFERROR(INDEX(ability!$B:$B, MATCH(P3,ability!$C:$C, 0)),"")</f>
        <v>1115</v>
      </c>
    </row>
    <row r="5" spans="1:20">
      <c r="B5" cm="1">
        <f t="array" ref="B5">MAX(IF(character_style!B:B&lt;=1000, character_style!B:B))+1</f>
        <v>139</v>
      </c>
    </row>
    <row r="6" spans="1:20">
      <c r="B6" cm="1">
        <f t="array" ref="B6">MAX(IF(character_style!B:B&lt;=9000, character_style!B:B))+1</f>
        <v>5078</v>
      </c>
    </row>
    <row r="7" spans="1:20">
      <c r="I7" t="s">
        <v>2320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544</v>
      </c>
      <c r="C9" s="18" t="s">
        <v>2391</v>
      </c>
      <c r="D9" s="13">
        <f>$C$4</f>
        <v>7</v>
      </c>
      <c r="E9" s="13">
        <f>$B$4</f>
        <v>5078</v>
      </c>
      <c r="F9" s="18">
        <v>0</v>
      </c>
      <c r="G9" s="18">
        <v>0</v>
      </c>
      <c r="H9" s="18">
        <v>1</v>
      </c>
      <c r="I9" s="18">
        <v>1</v>
      </c>
      <c r="J9" s="18">
        <v>0</v>
      </c>
    </row>
    <row r="10" spans="1:20">
      <c r="B10" s="13">
        <f>B9+1</f>
        <v>545</v>
      </c>
      <c r="C10" s="18" t="s">
        <v>2384</v>
      </c>
      <c r="D10" s="13">
        <f>$C$4</f>
        <v>7</v>
      </c>
      <c r="E10" s="13">
        <f>$B$4</f>
        <v>5078</v>
      </c>
      <c r="F10" s="18">
        <v>14</v>
      </c>
      <c r="G10" s="18">
        <v>144</v>
      </c>
      <c r="H10" s="18">
        <v>10</v>
      </c>
      <c r="I10" s="18">
        <v>0</v>
      </c>
      <c r="J10" s="18">
        <v>1</v>
      </c>
    </row>
    <row r="11" spans="1:20">
      <c r="B11" s="13"/>
      <c r="C11" s="18"/>
      <c r="D11" s="13"/>
      <c r="E11" s="13"/>
      <c r="F11" s="18"/>
      <c r="G11" s="18"/>
      <c r="H11" s="18"/>
      <c r="I11" s="18"/>
      <c r="J11"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4">
        <v>159</v>
      </c>
      <c r="C15" s="13">
        <f>B9</f>
        <v>544</v>
      </c>
      <c r="D15" s="13" t="s">
        <v>2318</v>
      </c>
      <c r="E15" s="13" t="s">
        <v>1866</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545</v>
      </c>
      <c r="D16" s="13" t="s">
        <v>2318</v>
      </c>
      <c r="E16" s="13" t="s">
        <v>1870</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325</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O4" sqref="O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2363</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2364</v>
      </c>
    </row>
    <row r="5" spans="1:16">
      <c r="A5">
        <v>4</v>
      </c>
      <c r="B5" t="s">
        <v>75</v>
      </c>
      <c r="C5">
        <v>5</v>
      </c>
      <c r="D5" t="s">
        <v>76</v>
      </c>
      <c r="E5">
        <v>4</v>
      </c>
      <c r="F5" t="s">
        <v>537</v>
      </c>
      <c r="G5">
        <v>5</v>
      </c>
      <c r="H5" t="s">
        <v>1856</v>
      </c>
      <c r="I5">
        <v>5</v>
      </c>
      <c r="J5" t="s">
        <v>1863</v>
      </c>
      <c r="K5">
        <v>4</v>
      </c>
      <c r="L5" t="s">
        <v>1876</v>
      </c>
      <c r="O5">
        <v>5</v>
      </c>
      <c r="P5" t="s">
        <v>2367</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2365</v>
      </c>
    </row>
    <row r="13" spans="1:16">
      <c r="A13">
        <v>4</v>
      </c>
      <c r="B13" t="s">
        <v>1869</v>
      </c>
      <c r="C13">
        <v>13</v>
      </c>
      <c r="D13" t="s">
        <v>86</v>
      </c>
      <c r="E13">
        <v>12</v>
      </c>
      <c r="F13" t="s">
        <v>545</v>
      </c>
      <c r="K13">
        <v>12</v>
      </c>
      <c r="L13" t="s">
        <v>1883</v>
      </c>
      <c r="O13">
        <v>35</v>
      </c>
      <c r="P13" t="s">
        <v>2366</v>
      </c>
    </row>
    <row r="14" spans="1:16">
      <c r="A14">
        <v>5</v>
      </c>
      <c r="B14" t="s">
        <v>1870</v>
      </c>
      <c r="C14">
        <v>14</v>
      </c>
      <c r="D14" t="s">
        <v>87</v>
      </c>
      <c r="E14">
        <v>13</v>
      </c>
      <c r="K14">
        <v>13</v>
      </c>
      <c r="L14" t="s">
        <v>1884</v>
      </c>
    </row>
    <row r="15" spans="1:16">
      <c r="C15">
        <v>15</v>
      </c>
      <c r="D15" t="s">
        <v>88</v>
      </c>
      <c r="E15">
        <v>14</v>
      </c>
      <c r="F15" t="s">
        <v>548</v>
      </c>
      <c r="K15">
        <v>14</v>
      </c>
      <c r="L15" t="s">
        <v>1885</v>
      </c>
      <c r="O15">
        <v>51</v>
      </c>
      <c r="P15" t="s">
        <v>2368</v>
      </c>
    </row>
    <row r="16" spans="1:16">
      <c r="A16">
        <v>1</v>
      </c>
      <c r="B16" t="s">
        <v>1902</v>
      </c>
      <c r="C16">
        <v>16</v>
      </c>
      <c r="D16" t="s">
        <v>89</v>
      </c>
      <c r="E16">
        <v>15</v>
      </c>
      <c r="F16" t="s">
        <v>549</v>
      </c>
      <c r="K16">
        <v>15</v>
      </c>
      <c r="L16" t="s">
        <v>1886</v>
      </c>
      <c r="O16">
        <v>52</v>
      </c>
      <c r="P16" t="s">
        <v>2369</v>
      </c>
    </row>
    <row r="17" spans="1:16">
      <c r="A17">
        <v>2</v>
      </c>
      <c r="B17" t="s">
        <v>1871</v>
      </c>
      <c r="C17">
        <v>17</v>
      </c>
      <c r="D17" t="s">
        <v>90</v>
      </c>
      <c r="E17">
        <v>16</v>
      </c>
      <c r="F17" t="s">
        <v>550</v>
      </c>
      <c r="K17">
        <v>16</v>
      </c>
      <c r="L17" t="s">
        <v>1887</v>
      </c>
      <c r="O17">
        <v>53</v>
      </c>
      <c r="P17" t="s">
        <v>2370</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1"/>
    <col min="4" max="4" width="28.875" style="21" bestFit="1" customWidth="1"/>
    <col min="5" max="5" width="9.5" style="21" bestFit="1" customWidth="1"/>
    <col min="6" max="6" width="9" style="21"/>
    <col min="7" max="7" width="13.25" style="21" customWidth="1"/>
    <col min="8" max="17" width="9" style="21"/>
    <col min="18" max="18" width="19.125" style="21" customWidth="1"/>
    <col min="19" max="16384" width="9" style="21"/>
  </cols>
  <sheetData>
    <row r="1" spans="1:18">
      <c r="A1" s="21" t="s">
        <v>202</v>
      </c>
      <c r="B1" s="22" t="s">
        <v>188</v>
      </c>
      <c r="C1" s="22" t="s">
        <v>189</v>
      </c>
      <c r="D1" s="22" t="s">
        <v>190</v>
      </c>
      <c r="E1" s="22" t="s">
        <v>194</v>
      </c>
      <c r="F1" s="22" t="s">
        <v>203</v>
      </c>
      <c r="G1" s="22" t="s">
        <v>204</v>
      </c>
      <c r="H1" s="22" t="s">
        <v>50</v>
      </c>
      <c r="I1" s="22" t="s">
        <v>195</v>
      </c>
      <c r="J1" s="22" t="s">
        <v>197</v>
      </c>
      <c r="K1" s="22" t="s">
        <v>198</v>
      </c>
      <c r="L1" s="22" t="s">
        <v>199</v>
      </c>
      <c r="M1" s="22" t="s">
        <v>200</v>
      </c>
      <c r="N1" s="22" t="s">
        <v>201</v>
      </c>
      <c r="O1" s="22" t="s">
        <v>191</v>
      </c>
      <c r="P1" s="22" t="s">
        <v>192</v>
      </c>
      <c r="Q1" s="22" t="s">
        <v>193</v>
      </c>
      <c r="R1" s="22" t="s">
        <v>196</v>
      </c>
    </row>
    <row r="2" spans="1:18">
      <c r="A2" s="21" t="s">
        <v>552</v>
      </c>
      <c r="B2" s="23">
        <v>1</v>
      </c>
      <c r="C2" s="23">
        <v>1</v>
      </c>
      <c r="D2" s="23" t="s">
        <v>869</v>
      </c>
      <c r="E2" s="23">
        <v>290</v>
      </c>
      <c r="F2" s="23">
        <v>66000</v>
      </c>
      <c r="G2" s="23">
        <v>300000</v>
      </c>
      <c r="H2" s="23">
        <v>5</v>
      </c>
      <c r="I2" s="23">
        <v>300</v>
      </c>
      <c r="J2" s="23">
        <v>100</v>
      </c>
      <c r="K2" s="23">
        <v>100</v>
      </c>
      <c r="L2" s="23">
        <v>100</v>
      </c>
      <c r="M2" s="23">
        <v>100</v>
      </c>
      <c r="N2" s="23">
        <v>100</v>
      </c>
      <c r="O2" s="23">
        <v>100</v>
      </c>
      <c r="P2" s="23">
        <v>100</v>
      </c>
      <c r="Q2" s="23">
        <v>100</v>
      </c>
      <c r="R2" s="2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2328</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2327</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2326</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2325</v>
      </c>
      <c r="E200" s="14">
        <v>340</v>
      </c>
      <c r="F200" s="11" t="s">
        <v>2336</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2401</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2329</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2330</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2331</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2332</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2338</v>
      </c>
      <c r="E227" s="14">
        <v>577</v>
      </c>
      <c r="F227" s="11" t="s">
        <v>2345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2339</v>
      </c>
      <c r="E228" s="14">
        <v>672</v>
      </c>
      <c r="F228" s="11" t="s">
        <v>2346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2340</v>
      </c>
      <c r="E229" s="14">
        <v>753</v>
      </c>
      <c r="F229" s="11" t="s">
        <v>2347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2343</v>
      </c>
      <c r="E230" s="14">
        <v>646</v>
      </c>
      <c r="F230" s="11" t="s">
        <v>2348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2342</v>
      </c>
      <c r="E231" s="14">
        <v>741</v>
      </c>
      <c r="F231" s="11" t="s">
        <v>2349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2341</v>
      </c>
      <c r="E232" s="14">
        <v>763</v>
      </c>
      <c r="F232" s="11" t="s">
        <v>2350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8"/>
  <sheetViews>
    <sheetView zoomScale="85" zoomScaleNormal="85" workbookViewId="0">
      <pane ySplit="6" topLeftCell="A527" activePane="bottomLeft" state="frozen"/>
      <selection pane="bottomLeft" activeCell="E550" sqref="E55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2357</v>
      </c>
      <c r="L1" s="9" t="s">
        <v>2358</v>
      </c>
      <c r="N1">
        <v>1</v>
      </c>
      <c r="O1" t="s">
        <v>2352</v>
      </c>
      <c r="P1">
        <v>1</v>
      </c>
      <c r="Q1" t="s">
        <v>2355</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2359</v>
      </c>
      <c r="L2" s="9" t="s">
        <v>2360</v>
      </c>
      <c r="N2">
        <v>2</v>
      </c>
      <c r="O2" t="s">
        <v>2353</v>
      </c>
      <c r="P2">
        <v>2</v>
      </c>
      <c r="Q2" t="s">
        <v>2356</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11</v>
      </c>
      <c r="O3" t="s">
        <v>2354</v>
      </c>
      <c r="U3">
        <v>2</v>
      </c>
      <c r="V3" t="s">
        <v>2166</v>
      </c>
    </row>
    <row r="4" spans="1:22">
      <c r="B4" s="9" t="s">
        <v>41</v>
      </c>
      <c r="C4" s="9">
        <v>20</v>
      </c>
      <c r="D4" s="9" t="s">
        <v>38</v>
      </c>
      <c r="E4" s="9" t="s">
        <v>26</v>
      </c>
      <c r="F4" s="9" t="s">
        <v>52</v>
      </c>
      <c r="G4" s="9" t="s">
        <v>38</v>
      </c>
      <c r="H4" s="9" t="s">
        <v>30</v>
      </c>
      <c r="I4" s="9" t="s">
        <v>30</v>
      </c>
      <c r="J4" s="9" t="s">
        <v>30</v>
      </c>
      <c r="K4" s="9" t="s">
        <v>2351</v>
      </c>
      <c r="L4" s="9" t="s">
        <v>2351</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0</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2304</v>
      </c>
      <c r="D539" s="14">
        <v>37</v>
      </c>
      <c r="E539" s="14">
        <v>0</v>
      </c>
      <c r="F539" s="14">
        <v>8</v>
      </c>
      <c r="G539" s="14">
        <v>192</v>
      </c>
      <c r="H539" s="14">
        <v>10</v>
      </c>
      <c r="I539" s="14">
        <v>0</v>
      </c>
      <c r="J539" s="14">
        <v>0</v>
      </c>
      <c r="K539" s="14">
        <v>0</v>
      </c>
      <c r="L539" s="14">
        <v>0</v>
      </c>
    </row>
    <row r="540" spans="1:12">
      <c r="A540" s="8"/>
      <c r="B540" s="14">
        <v>534</v>
      </c>
      <c r="C540" s="14" t="s">
        <v>2303</v>
      </c>
      <c r="D540" s="14">
        <v>37</v>
      </c>
      <c r="E540" s="14">
        <v>135</v>
      </c>
      <c r="F540" s="14">
        <v>14</v>
      </c>
      <c r="G540" s="14">
        <v>216</v>
      </c>
      <c r="H540" s="14">
        <v>10</v>
      </c>
      <c r="I540" s="14">
        <v>0</v>
      </c>
      <c r="J540" s="14">
        <v>0</v>
      </c>
      <c r="K540" s="14">
        <v>0</v>
      </c>
      <c r="L540" s="14">
        <v>0</v>
      </c>
    </row>
    <row r="541" spans="1:12">
      <c r="A541" s="8"/>
      <c r="B541" s="14">
        <v>535</v>
      </c>
      <c r="C541" s="14" t="s">
        <v>2309</v>
      </c>
      <c r="D541" s="14">
        <v>42</v>
      </c>
      <c r="E541" s="14">
        <v>0</v>
      </c>
      <c r="F541" s="14">
        <v>9</v>
      </c>
      <c r="G541" s="14">
        <v>134</v>
      </c>
      <c r="H541" s="14">
        <v>10</v>
      </c>
      <c r="I541" s="14">
        <v>0</v>
      </c>
      <c r="J541" s="14">
        <v>0</v>
      </c>
      <c r="K541" s="14">
        <v>0</v>
      </c>
      <c r="L541" s="14">
        <v>0</v>
      </c>
    </row>
    <row r="542" spans="1:12">
      <c r="A542" s="8"/>
      <c r="B542" s="14">
        <v>536</v>
      </c>
      <c r="C542" s="14" t="s">
        <v>2317</v>
      </c>
      <c r="D542" s="14">
        <v>2</v>
      </c>
      <c r="E542" s="14">
        <v>0</v>
      </c>
      <c r="F542" s="14">
        <v>0</v>
      </c>
      <c r="G542" s="14">
        <v>0</v>
      </c>
      <c r="H542" s="14">
        <v>1</v>
      </c>
      <c r="I542" s="14">
        <v>1</v>
      </c>
      <c r="J542" s="14">
        <v>0</v>
      </c>
      <c r="K542" s="14">
        <v>0</v>
      </c>
      <c r="L542" s="14">
        <v>0</v>
      </c>
    </row>
    <row r="543" spans="1:12">
      <c r="A543" s="8"/>
      <c r="B543" s="14">
        <v>537</v>
      </c>
      <c r="C543" s="14" t="s">
        <v>2318</v>
      </c>
      <c r="D543" s="14">
        <v>2</v>
      </c>
      <c r="E543" s="14">
        <v>136</v>
      </c>
      <c r="F543" s="14">
        <v>15</v>
      </c>
      <c r="G543" s="14">
        <v>149</v>
      </c>
      <c r="H543" s="14">
        <v>10</v>
      </c>
      <c r="I543" s="14">
        <v>0</v>
      </c>
      <c r="J543" s="14">
        <v>1</v>
      </c>
      <c r="K543" s="14">
        <v>0</v>
      </c>
      <c r="L543" s="14">
        <v>0</v>
      </c>
    </row>
    <row r="544" spans="1:12">
      <c r="A544" s="8"/>
      <c r="B544" s="14">
        <v>538</v>
      </c>
      <c r="C544" s="14" t="s">
        <v>2376</v>
      </c>
      <c r="D544" s="14">
        <v>8</v>
      </c>
      <c r="E544" s="14">
        <v>0</v>
      </c>
      <c r="F544" s="14">
        <v>5</v>
      </c>
      <c r="G544" s="14">
        <v>120</v>
      </c>
      <c r="H544" s="14">
        <v>10</v>
      </c>
      <c r="I544" s="14">
        <v>0</v>
      </c>
      <c r="J544" s="14">
        <v>0</v>
      </c>
      <c r="K544" s="14">
        <v>0</v>
      </c>
      <c r="L544" s="14">
        <v>0</v>
      </c>
    </row>
    <row r="545" spans="1:12">
      <c r="A545" s="8"/>
      <c r="B545" s="14">
        <v>539</v>
      </c>
      <c r="C545" s="14" t="s">
        <v>2377</v>
      </c>
      <c r="D545" s="14">
        <v>8</v>
      </c>
      <c r="E545" s="14">
        <v>137</v>
      </c>
      <c r="F545" s="14">
        <v>13</v>
      </c>
      <c r="G545" s="14">
        <v>144</v>
      </c>
      <c r="H545" s="14">
        <v>10</v>
      </c>
      <c r="I545" s="14">
        <v>0</v>
      </c>
      <c r="J545" s="14">
        <v>1</v>
      </c>
      <c r="K545" s="14">
        <v>0</v>
      </c>
      <c r="L545" s="14">
        <v>0</v>
      </c>
    </row>
    <row r="546" spans="1:12">
      <c r="A546" s="8"/>
      <c r="B546" s="14">
        <v>540</v>
      </c>
      <c r="C546" s="14" t="s">
        <v>2382</v>
      </c>
      <c r="D546" s="14">
        <v>9</v>
      </c>
      <c r="E546" s="14">
        <v>0</v>
      </c>
      <c r="F546" s="14">
        <v>0</v>
      </c>
      <c r="G546" s="14">
        <v>0</v>
      </c>
      <c r="H546" s="14">
        <v>1</v>
      </c>
      <c r="I546" s="14">
        <v>1</v>
      </c>
      <c r="J546" s="14">
        <v>0</v>
      </c>
      <c r="K546" s="14">
        <v>0</v>
      </c>
      <c r="L546" s="14">
        <v>0</v>
      </c>
    </row>
    <row r="547" spans="1:12">
      <c r="A547" s="8"/>
      <c r="B547" s="14">
        <v>541</v>
      </c>
      <c r="C547" s="14" t="s">
        <v>2383</v>
      </c>
      <c r="D547" s="14">
        <v>9</v>
      </c>
      <c r="E547" s="14">
        <v>138</v>
      </c>
      <c r="F547" s="14">
        <v>14</v>
      </c>
      <c r="G547" s="14">
        <v>147</v>
      </c>
      <c r="H547" s="14">
        <v>10</v>
      </c>
      <c r="I547" s="14">
        <v>0</v>
      </c>
      <c r="J547" s="14">
        <v>1</v>
      </c>
      <c r="K547" s="14">
        <v>11</v>
      </c>
      <c r="L547" s="14">
        <v>2</v>
      </c>
    </row>
    <row r="548" spans="1:12">
      <c r="A548" s="8"/>
      <c r="B548" s="14">
        <v>542</v>
      </c>
      <c r="C548" s="14" t="s">
        <v>2390</v>
      </c>
      <c r="D548" s="14">
        <v>7</v>
      </c>
      <c r="E548" s="14">
        <v>0</v>
      </c>
      <c r="F548" s="14">
        <v>0</v>
      </c>
      <c r="G548" s="14">
        <v>0</v>
      </c>
      <c r="H548" s="14">
        <v>1</v>
      </c>
      <c r="I548" s="14">
        <v>1</v>
      </c>
      <c r="J548" s="14">
        <v>0</v>
      </c>
      <c r="K548" s="14">
        <v>0</v>
      </c>
      <c r="L548" s="14">
        <v>0</v>
      </c>
    </row>
    <row r="549" spans="1:12">
      <c r="A549" s="8"/>
      <c r="B549" s="14">
        <v>543</v>
      </c>
      <c r="C549" s="14" t="s">
        <v>2393</v>
      </c>
      <c r="D549" s="14">
        <v>10</v>
      </c>
      <c r="E549" s="14">
        <v>0</v>
      </c>
      <c r="F549" s="14">
        <v>13</v>
      </c>
      <c r="G549" s="14">
        <v>138</v>
      </c>
      <c r="H549" s="14">
        <v>17</v>
      </c>
      <c r="I549" s="14">
        <v>0</v>
      </c>
      <c r="J549" s="14">
        <v>2</v>
      </c>
      <c r="K549" s="14">
        <v>0</v>
      </c>
      <c r="L549" s="14">
        <v>0</v>
      </c>
    </row>
    <row r="550" spans="1:12">
      <c r="A550" s="8"/>
      <c r="B550" s="14">
        <v>8001</v>
      </c>
      <c r="C550" s="14" t="s">
        <v>1636</v>
      </c>
      <c r="D550" s="14">
        <v>501</v>
      </c>
      <c r="E550" s="14">
        <v>0</v>
      </c>
      <c r="F550" s="14">
        <v>0</v>
      </c>
      <c r="G550" s="14">
        <v>0</v>
      </c>
      <c r="H550" s="14">
        <v>1</v>
      </c>
      <c r="I550" s="14">
        <v>0</v>
      </c>
      <c r="J550" s="14">
        <v>9</v>
      </c>
      <c r="K550" s="14">
        <v>0</v>
      </c>
      <c r="L550" s="14">
        <v>0</v>
      </c>
    </row>
    <row r="551" spans="1:12">
      <c r="A551" s="8"/>
      <c r="B551" s="14">
        <v>8002</v>
      </c>
      <c r="C551" s="14" t="s">
        <v>1874</v>
      </c>
      <c r="D551" s="14">
        <v>501</v>
      </c>
      <c r="E551" s="14">
        <v>0</v>
      </c>
      <c r="F551" s="14">
        <v>0</v>
      </c>
      <c r="G551" s="14">
        <v>0</v>
      </c>
      <c r="H551" s="14">
        <v>1</v>
      </c>
      <c r="I551" s="14">
        <v>0</v>
      </c>
      <c r="J551" s="14">
        <v>9</v>
      </c>
      <c r="K551" s="14">
        <v>0</v>
      </c>
      <c r="L551" s="14">
        <v>0</v>
      </c>
    </row>
    <row r="552" spans="1:12">
      <c r="A552" s="8"/>
      <c r="B552" s="14">
        <v>8003</v>
      </c>
      <c r="C552" s="14" t="s">
        <v>2059</v>
      </c>
      <c r="D552" s="14">
        <v>501</v>
      </c>
      <c r="E552" s="14">
        <v>0</v>
      </c>
      <c r="F552" s="14">
        <v>0</v>
      </c>
      <c r="G552" s="14">
        <v>0</v>
      </c>
      <c r="H552" s="14">
        <v>1</v>
      </c>
      <c r="I552" s="14">
        <v>0</v>
      </c>
      <c r="J552" s="14">
        <v>9</v>
      </c>
      <c r="K552" s="14">
        <v>0</v>
      </c>
      <c r="L552" s="14">
        <v>0</v>
      </c>
    </row>
    <row r="553" spans="1:12">
      <c r="A553" s="8"/>
      <c r="B553" s="14">
        <v>8004</v>
      </c>
      <c r="C553" s="14" t="s">
        <v>2378</v>
      </c>
      <c r="D553" s="14">
        <v>501</v>
      </c>
      <c r="E553" s="14">
        <v>0</v>
      </c>
      <c r="F553" s="14">
        <v>0</v>
      </c>
      <c r="G553" s="14">
        <v>0</v>
      </c>
      <c r="H553" s="14">
        <v>1</v>
      </c>
      <c r="I553" s="14">
        <v>0</v>
      </c>
      <c r="J553" s="14">
        <v>9</v>
      </c>
      <c r="K553" s="14">
        <v>0</v>
      </c>
      <c r="L553" s="14">
        <v>0</v>
      </c>
    </row>
    <row r="554" spans="1:12">
      <c r="A554" s="8"/>
      <c r="B554" s="14">
        <v>9001</v>
      </c>
      <c r="C554" s="14" t="s">
        <v>1960</v>
      </c>
      <c r="D554" s="14">
        <v>0</v>
      </c>
      <c r="E554" s="14">
        <v>0</v>
      </c>
      <c r="F554" s="14">
        <v>5</v>
      </c>
      <c r="G554" s="14">
        <v>450</v>
      </c>
      <c r="H554" s="14">
        <v>1</v>
      </c>
      <c r="I554" s="14">
        <v>0</v>
      </c>
      <c r="J554" s="14">
        <v>7</v>
      </c>
      <c r="K554" s="14">
        <v>0</v>
      </c>
      <c r="L554" s="14">
        <v>0</v>
      </c>
    </row>
    <row r="555" spans="1:12">
      <c r="A555" s="8"/>
      <c r="B555" s="14">
        <v>9002</v>
      </c>
      <c r="C555" s="14" t="s">
        <v>1653</v>
      </c>
      <c r="D555" s="14">
        <v>0</v>
      </c>
      <c r="E555" s="14">
        <v>0</v>
      </c>
      <c r="F555" s="14">
        <v>11</v>
      </c>
      <c r="G555" s="14">
        <v>450</v>
      </c>
      <c r="H555" s="14">
        <v>1</v>
      </c>
      <c r="I555" s="14">
        <v>0</v>
      </c>
      <c r="J555" s="14">
        <v>7</v>
      </c>
      <c r="K555" s="14">
        <v>0</v>
      </c>
      <c r="L555" s="14">
        <v>0</v>
      </c>
    </row>
    <row r="556" spans="1:12">
      <c r="A556" s="8"/>
      <c r="B556" s="14">
        <v>9003</v>
      </c>
      <c r="C556" s="14" t="s">
        <v>1648</v>
      </c>
      <c r="D556" s="14">
        <v>0</v>
      </c>
      <c r="E556" s="14">
        <v>0</v>
      </c>
      <c r="F556" s="14">
        <v>6</v>
      </c>
      <c r="G556" s="14">
        <v>0</v>
      </c>
      <c r="H556" s="14">
        <v>1</v>
      </c>
      <c r="I556" s="14">
        <v>0</v>
      </c>
      <c r="J556" s="14">
        <v>7</v>
      </c>
      <c r="K556" s="14">
        <v>0</v>
      </c>
      <c r="L556" s="14">
        <v>0</v>
      </c>
    </row>
    <row r="557" spans="1:12">
      <c r="A557" s="8"/>
      <c r="B557" s="14">
        <v>9004</v>
      </c>
      <c r="C557" s="14" t="s">
        <v>1651</v>
      </c>
      <c r="D557" s="14">
        <v>0</v>
      </c>
      <c r="E557" s="14">
        <v>0</v>
      </c>
      <c r="F557" s="14">
        <v>3</v>
      </c>
      <c r="G557" s="14">
        <v>450</v>
      </c>
      <c r="H557" s="14">
        <v>1</v>
      </c>
      <c r="I557" s="14">
        <v>0</v>
      </c>
      <c r="J557" s="14">
        <v>7</v>
      </c>
      <c r="K557" s="14">
        <v>0</v>
      </c>
      <c r="L557" s="14">
        <v>0</v>
      </c>
    </row>
    <row r="558" spans="1:12">
      <c r="A558" s="8"/>
      <c r="B558" s="14">
        <v>9005</v>
      </c>
      <c r="C558" s="14" t="s">
        <v>587</v>
      </c>
      <c r="D558" s="14">
        <v>0</v>
      </c>
      <c r="E558" s="14">
        <v>0</v>
      </c>
      <c r="F558" s="14">
        <v>4</v>
      </c>
      <c r="G558" s="14">
        <v>450</v>
      </c>
      <c r="H558" s="14">
        <v>1</v>
      </c>
      <c r="I558" s="14">
        <v>0</v>
      </c>
      <c r="J558" s="14">
        <v>7</v>
      </c>
      <c r="K558" s="14">
        <v>0</v>
      </c>
      <c r="L558" s="14">
        <v>0</v>
      </c>
    </row>
    <row r="559" spans="1:12">
      <c r="A559" s="8"/>
      <c r="B559" s="14">
        <v>9006</v>
      </c>
      <c r="C559" s="14" t="s">
        <v>527</v>
      </c>
      <c r="D559" s="14">
        <v>0</v>
      </c>
      <c r="E559" s="14">
        <v>0</v>
      </c>
      <c r="F559" s="14">
        <v>4</v>
      </c>
      <c r="G559" s="14">
        <v>450</v>
      </c>
      <c r="H559" s="14">
        <v>1</v>
      </c>
      <c r="I559" s="14">
        <v>0</v>
      </c>
      <c r="J559" s="14">
        <v>7</v>
      </c>
      <c r="K559" s="14">
        <v>0</v>
      </c>
      <c r="L559" s="14">
        <v>0</v>
      </c>
    </row>
    <row r="560" spans="1:12">
      <c r="A560" s="8"/>
      <c r="B560" s="14">
        <v>9007</v>
      </c>
      <c r="C560" s="14" t="s">
        <v>1649</v>
      </c>
      <c r="D560" s="14">
        <v>0</v>
      </c>
      <c r="E560" s="14">
        <v>0</v>
      </c>
      <c r="F560" s="14">
        <v>1</v>
      </c>
      <c r="G560" s="14">
        <v>0</v>
      </c>
      <c r="H560" s="14">
        <v>1</v>
      </c>
      <c r="I560" s="14">
        <v>0</v>
      </c>
      <c r="J560" s="14">
        <v>7</v>
      </c>
      <c r="K560" s="14">
        <v>0</v>
      </c>
      <c r="L560" s="14">
        <v>0</v>
      </c>
    </row>
    <row r="561" spans="1:12">
      <c r="A561" s="8"/>
      <c r="B561" s="14">
        <v>9008</v>
      </c>
      <c r="C561" s="14" t="s">
        <v>1652</v>
      </c>
      <c r="D561" s="14">
        <v>0</v>
      </c>
      <c r="E561" s="14">
        <v>0</v>
      </c>
      <c r="F561" s="14">
        <v>4</v>
      </c>
      <c r="G561" s="14">
        <v>450</v>
      </c>
      <c r="H561" s="14">
        <v>1</v>
      </c>
      <c r="I561" s="14">
        <v>0</v>
      </c>
      <c r="J561" s="14">
        <v>7</v>
      </c>
      <c r="K561" s="14">
        <v>0</v>
      </c>
      <c r="L561" s="14">
        <v>0</v>
      </c>
    </row>
    <row r="562" spans="1:12">
      <c r="A562" s="8"/>
      <c r="B562" s="14">
        <v>9009</v>
      </c>
      <c r="C562" s="14" t="s">
        <v>583</v>
      </c>
      <c r="D562" s="14">
        <v>0</v>
      </c>
      <c r="E562" s="14">
        <v>0</v>
      </c>
      <c r="F562" s="14">
        <v>9</v>
      </c>
      <c r="G562" s="14">
        <v>200</v>
      </c>
      <c r="H562" s="14">
        <v>1</v>
      </c>
      <c r="I562" s="14">
        <v>0</v>
      </c>
      <c r="J562" s="14">
        <v>7</v>
      </c>
      <c r="K562" s="14">
        <v>0</v>
      </c>
      <c r="L562" s="14">
        <v>0</v>
      </c>
    </row>
    <row r="563" spans="1:12">
      <c r="A563" s="8"/>
      <c r="B563" s="14">
        <v>9010</v>
      </c>
      <c r="C563" s="14" t="s">
        <v>1650</v>
      </c>
      <c r="D563" s="14">
        <v>0</v>
      </c>
      <c r="E563" s="14">
        <v>0</v>
      </c>
      <c r="F563" s="14">
        <v>6</v>
      </c>
      <c r="G563" s="14">
        <v>200</v>
      </c>
      <c r="H563" s="14">
        <v>1</v>
      </c>
      <c r="I563" s="14">
        <v>0</v>
      </c>
      <c r="J563" s="14">
        <v>7</v>
      </c>
      <c r="K563" s="14">
        <v>0</v>
      </c>
      <c r="L563" s="14">
        <v>0</v>
      </c>
    </row>
    <row r="564" spans="1:12">
      <c r="A564" s="8"/>
      <c r="B564" s="14">
        <v>9011</v>
      </c>
      <c r="C564" s="14" t="s">
        <v>1654</v>
      </c>
      <c r="D564" s="14">
        <v>0</v>
      </c>
      <c r="E564" s="14">
        <v>0</v>
      </c>
      <c r="F564" s="14">
        <v>6</v>
      </c>
      <c r="G564" s="14">
        <v>0</v>
      </c>
      <c r="H564" s="14">
        <v>1</v>
      </c>
      <c r="I564" s="14">
        <v>0</v>
      </c>
      <c r="J564" s="14">
        <v>7</v>
      </c>
      <c r="K564" s="14">
        <v>0</v>
      </c>
      <c r="L564" s="14">
        <v>0</v>
      </c>
    </row>
    <row r="565" spans="1:12">
      <c r="A565" s="8"/>
      <c r="B565" s="14">
        <v>9012</v>
      </c>
      <c r="C565" s="14" t="s">
        <v>1961</v>
      </c>
      <c r="D565" s="14">
        <v>0</v>
      </c>
      <c r="E565" s="14">
        <v>0</v>
      </c>
      <c r="F565" s="14">
        <v>6</v>
      </c>
      <c r="G565" s="14">
        <v>0</v>
      </c>
      <c r="H565" s="14">
        <v>1</v>
      </c>
      <c r="I565" s="14">
        <v>0</v>
      </c>
      <c r="J565" s="14">
        <v>7</v>
      </c>
      <c r="K565" s="14">
        <v>0</v>
      </c>
      <c r="L565" s="14">
        <v>0</v>
      </c>
    </row>
    <row r="566" spans="1:12">
      <c r="A566" s="8"/>
      <c r="B566" s="14">
        <v>9013</v>
      </c>
      <c r="C566" s="14" t="s">
        <v>1655</v>
      </c>
      <c r="D566" s="14">
        <v>0</v>
      </c>
      <c r="E566" s="14">
        <v>0</v>
      </c>
      <c r="F566" s="14">
        <v>6</v>
      </c>
      <c r="G566" s="14">
        <v>0</v>
      </c>
      <c r="H566" s="14">
        <v>1</v>
      </c>
      <c r="I566" s="14">
        <v>0</v>
      </c>
      <c r="J566" s="14">
        <v>7</v>
      </c>
      <c r="K566" s="14">
        <v>0</v>
      </c>
      <c r="L566" s="14">
        <v>0</v>
      </c>
    </row>
    <row r="567" spans="1:12">
      <c r="A567" s="8"/>
      <c r="B567" s="14">
        <v>9014</v>
      </c>
      <c r="C567" s="14" t="s">
        <v>1962</v>
      </c>
      <c r="D567" s="14">
        <v>0</v>
      </c>
      <c r="E567" s="14">
        <v>0</v>
      </c>
      <c r="F567" s="14">
        <v>6</v>
      </c>
      <c r="G567" s="14">
        <v>0</v>
      </c>
      <c r="H567" s="14">
        <v>1</v>
      </c>
      <c r="I567" s="14">
        <v>0</v>
      </c>
      <c r="J567" s="14">
        <v>7</v>
      </c>
      <c r="K567" s="14">
        <v>0</v>
      </c>
      <c r="L567" s="14">
        <v>0</v>
      </c>
    </row>
    <row r="568" spans="1:12">
      <c r="A568" s="8"/>
      <c r="B568" s="14">
        <v>9015</v>
      </c>
      <c r="C568" s="14" t="s">
        <v>1963</v>
      </c>
      <c r="D568" s="14">
        <v>0</v>
      </c>
      <c r="E568" s="14">
        <v>0</v>
      </c>
      <c r="F568" s="14">
        <v>6</v>
      </c>
      <c r="G568" s="14">
        <v>0</v>
      </c>
      <c r="H568" s="14">
        <v>1</v>
      </c>
      <c r="I568" s="14">
        <v>0</v>
      </c>
      <c r="J568" s="14">
        <v>7</v>
      </c>
      <c r="K568" s="14">
        <v>0</v>
      </c>
      <c r="L568" s="14">
        <v>0</v>
      </c>
    </row>
  </sheetData>
  <autoFilter ref="B6:L563" xr:uid="{A1A89490-671E-4788-B74F-81F3DA99257C}"/>
  <phoneticPr fontId="1"/>
  <dataValidations count="1">
    <dataValidation type="list" allowBlank="1" showInputMessage="1" showErrorMessage="1" sqref="A7:A568" xr:uid="{4BA5D65F-61EC-4C9B-AB6A-494C89F8A4C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8"/>
  <sheetViews>
    <sheetView zoomScale="85" zoomScaleNormal="85" workbookViewId="0">
      <pane ySplit="6" topLeftCell="A181" activePane="bottomLeft" state="frozen"/>
      <selection pane="bottomLeft" activeCell="H167" sqref="H16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2318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2318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2393</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3" t="s">
        <v>2377</v>
      </c>
      <c r="E165" s="13"/>
      <c r="F165" s="13">
        <v>0</v>
      </c>
      <c r="G165" s="13">
        <v>1</v>
      </c>
      <c r="H165" s="13">
        <v>2</v>
      </c>
      <c r="I165" s="13">
        <v>1</v>
      </c>
      <c r="J165" s="13">
        <v>2178</v>
      </c>
      <c r="K165" s="13">
        <v>10890</v>
      </c>
      <c r="L165" s="13">
        <v>5</v>
      </c>
      <c r="M165" s="13">
        <v>3.25</v>
      </c>
      <c r="N165" s="13">
        <v>30</v>
      </c>
      <c r="O165" s="13">
        <v>0</v>
      </c>
      <c r="P165" s="13">
        <v>1</v>
      </c>
      <c r="Q165" s="11" t="s">
        <v>2396</v>
      </c>
      <c r="R165" s="13"/>
      <c r="S165" s="13"/>
      <c r="T165" s="13">
        <v>1</v>
      </c>
    </row>
    <row r="166" spans="1:21">
      <c r="A166" s="8"/>
      <c r="B166" s="13">
        <v>163</v>
      </c>
      <c r="C166" s="14">
        <v>541</v>
      </c>
      <c r="D166" s="13" t="s">
        <v>2383</v>
      </c>
      <c r="E166" s="13"/>
      <c r="F166" s="13">
        <v>1</v>
      </c>
      <c r="G166" s="13">
        <v>2</v>
      </c>
      <c r="H166" s="13">
        <v>0</v>
      </c>
      <c r="I166" s="13">
        <v>0</v>
      </c>
      <c r="J166" s="13">
        <v>2502</v>
      </c>
      <c r="K166" s="13">
        <v>12510</v>
      </c>
      <c r="L166" s="13">
        <v>5</v>
      </c>
      <c r="M166" s="13">
        <v>3.5</v>
      </c>
      <c r="N166" s="13">
        <v>30</v>
      </c>
      <c r="O166" s="13">
        <v>0</v>
      </c>
      <c r="P166" s="13">
        <v>1</v>
      </c>
      <c r="Q166" s="13" t="s">
        <v>2397</v>
      </c>
      <c r="R166" s="13"/>
      <c r="S166" s="13"/>
      <c r="T166" s="13"/>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2309</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3" t="s">
        <v>2376</v>
      </c>
      <c r="E338" s="13"/>
      <c r="F338" s="13">
        <v>0</v>
      </c>
      <c r="G338" s="13">
        <v>1</v>
      </c>
      <c r="H338" s="13">
        <v>2</v>
      </c>
      <c r="I338" s="13">
        <v>0</v>
      </c>
      <c r="J338" s="13">
        <v>375</v>
      </c>
      <c r="K338" s="13">
        <v>1875</v>
      </c>
      <c r="L338" s="13">
        <v>2</v>
      </c>
      <c r="M338" s="13">
        <v>1</v>
      </c>
      <c r="N338" s="13">
        <v>30</v>
      </c>
      <c r="O338" s="13">
        <v>0</v>
      </c>
      <c r="P338" s="13">
        <v>2</v>
      </c>
      <c r="Q338" s="13"/>
      <c r="R338" s="13"/>
      <c r="S338" s="13"/>
      <c r="T338" s="13"/>
    </row>
  </sheetData>
  <autoFilter ref="B6:V333" xr:uid="{03D05E3A-2E9E-4B06-A301-68A36CCCDE6A}"/>
  <phoneticPr fontId="1"/>
  <dataValidations count="1">
    <dataValidation type="list" allowBlank="1" showInputMessage="1" showErrorMessage="1" sqref="A7:A338"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6"/>
  <sheetViews>
    <sheetView tabSelected="1" zoomScale="85" zoomScaleNormal="85" workbookViewId="0">
      <pane ySplit="6" topLeftCell="A163" activePane="bottomLeft" state="frozen"/>
      <selection pane="bottomLeft" activeCell="L172" sqref="L172"/>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2361</v>
      </c>
      <c r="R1" s="9" t="s">
        <v>2362</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2351</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2371</v>
      </c>
      <c r="G77" s="14" t="s">
        <v>2372</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896</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723</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2373</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2195</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2392</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2207</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2211</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2211</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2211</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2208</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2208</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2208</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1851</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2303</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2303</v>
      </c>
      <c r="G170" s="14"/>
      <c r="H170" s="14">
        <v>5</v>
      </c>
      <c r="I170" s="14">
        <v>5</v>
      </c>
      <c r="J170" s="14">
        <v>216</v>
      </c>
      <c r="K170" s="14">
        <v>1</v>
      </c>
      <c r="L170" s="14">
        <v>4</v>
      </c>
      <c r="M170" s="14">
        <v>1</v>
      </c>
      <c r="N170" s="14">
        <v>1</v>
      </c>
      <c r="O170" s="14"/>
      <c r="P170" s="14"/>
      <c r="Q170" s="14"/>
      <c r="R170" s="14"/>
    </row>
    <row r="171" spans="1:18">
      <c r="A171" s="8"/>
      <c r="B171" s="14">
        <v>183</v>
      </c>
      <c r="C171" s="14">
        <v>537</v>
      </c>
      <c r="D171" s="13">
        <v>5</v>
      </c>
      <c r="E171" s="13">
        <v>0</v>
      </c>
      <c r="F171" s="13" t="s">
        <v>2318</v>
      </c>
      <c r="G171" s="13"/>
      <c r="H171" s="13">
        <v>35</v>
      </c>
      <c r="I171" s="13">
        <v>50</v>
      </c>
      <c r="J171" s="13">
        <v>149</v>
      </c>
      <c r="K171" s="13">
        <v>1</v>
      </c>
      <c r="L171" s="13">
        <v>1</v>
      </c>
      <c r="M171" s="13">
        <v>0</v>
      </c>
      <c r="N171" s="13">
        <v>2</v>
      </c>
      <c r="O171" s="14">
        <v>159</v>
      </c>
      <c r="P171" s="14">
        <v>160</v>
      </c>
      <c r="Q171" s="13"/>
      <c r="R171" s="13"/>
    </row>
    <row r="172" spans="1:18">
      <c r="A172" s="8"/>
      <c r="B172" s="14">
        <v>184</v>
      </c>
      <c r="C172" s="14">
        <v>537</v>
      </c>
      <c r="D172" s="13">
        <v>35</v>
      </c>
      <c r="E172" s="13">
        <v>0</v>
      </c>
      <c r="F172" s="13" t="s">
        <v>2318</v>
      </c>
      <c r="G172" s="13"/>
      <c r="H172" s="13">
        <v>0</v>
      </c>
      <c r="I172" s="13">
        <v>0</v>
      </c>
      <c r="J172" s="13">
        <v>0</v>
      </c>
      <c r="K172" s="13">
        <v>1</v>
      </c>
      <c r="L172" s="13">
        <v>1</v>
      </c>
      <c r="M172" s="13">
        <v>0</v>
      </c>
      <c r="N172" s="13">
        <v>1</v>
      </c>
      <c r="O172" s="14">
        <v>159</v>
      </c>
      <c r="P172" s="14">
        <v>160</v>
      </c>
      <c r="Q172" s="13"/>
      <c r="R172" s="13"/>
    </row>
    <row r="173" spans="1:18">
      <c r="A173" s="8"/>
      <c r="B173" s="14">
        <v>185</v>
      </c>
      <c r="C173" s="14">
        <v>541</v>
      </c>
      <c r="D173" s="13">
        <v>0</v>
      </c>
      <c r="E173" s="13">
        <v>0</v>
      </c>
      <c r="F173" s="13" t="s">
        <v>2383</v>
      </c>
      <c r="G173" s="13"/>
      <c r="H173" s="13">
        <v>60</v>
      </c>
      <c r="I173" s="13">
        <v>75</v>
      </c>
      <c r="J173" s="13">
        <v>147</v>
      </c>
      <c r="K173" s="13">
        <v>1</v>
      </c>
      <c r="L173" s="13">
        <v>7</v>
      </c>
      <c r="M173" s="13">
        <v>0</v>
      </c>
      <c r="N173" s="13">
        <v>0</v>
      </c>
      <c r="O173" s="13">
        <v>163</v>
      </c>
      <c r="P173" s="13"/>
      <c r="Q173" s="13"/>
      <c r="R173" s="13"/>
    </row>
    <row r="174" spans="1:18">
      <c r="A174" s="8"/>
      <c r="B174" s="14">
        <v>186</v>
      </c>
      <c r="C174" s="14">
        <v>543</v>
      </c>
      <c r="D174" s="14">
        <v>3</v>
      </c>
      <c r="E174" s="14">
        <v>0</v>
      </c>
      <c r="F174" s="14" t="s">
        <v>2393</v>
      </c>
      <c r="G174" s="14"/>
      <c r="H174" s="14">
        <v>30</v>
      </c>
      <c r="I174" s="14">
        <v>45</v>
      </c>
      <c r="J174" s="14">
        <v>138</v>
      </c>
      <c r="K174" s="14">
        <v>1</v>
      </c>
      <c r="L174" s="14">
        <v>1</v>
      </c>
      <c r="M174" s="14">
        <v>0</v>
      </c>
      <c r="N174" s="14">
        <v>1</v>
      </c>
      <c r="O174" s="14">
        <v>161</v>
      </c>
      <c r="P174" s="14"/>
      <c r="Q174" s="14"/>
      <c r="R174" s="14"/>
    </row>
    <row r="175" spans="1:18">
      <c r="A175" s="8"/>
      <c r="B175" s="14">
        <v>187</v>
      </c>
      <c r="C175" s="14">
        <v>543</v>
      </c>
      <c r="D175" s="14">
        <v>11</v>
      </c>
      <c r="E175" s="14">
        <v>3</v>
      </c>
      <c r="F175" s="14" t="s">
        <v>2393</v>
      </c>
      <c r="G175" s="14"/>
      <c r="H175" s="14">
        <v>50</v>
      </c>
      <c r="I175" s="14">
        <v>50</v>
      </c>
      <c r="J175" s="14">
        <v>0</v>
      </c>
      <c r="K175" s="14">
        <v>1</v>
      </c>
      <c r="L175" s="14">
        <v>0</v>
      </c>
      <c r="M175" s="14">
        <v>0</v>
      </c>
      <c r="N175" s="14">
        <v>0</v>
      </c>
      <c r="O175" s="14">
        <v>161</v>
      </c>
      <c r="P175" s="14"/>
      <c r="Q175" s="14"/>
      <c r="R175" s="14"/>
    </row>
    <row r="176" spans="1:18">
      <c r="A176" s="8"/>
      <c r="B176" s="14">
        <v>1000</v>
      </c>
      <c r="C176" s="14">
        <v>9005</v>
      </c>
      <c r="D176" s="14">
        <v>0</v>
      </c>
      <c r="E176" s="14">
        <v>0</v>
      </c>
      <c r="F176" s="14" t="s">
        <v>587</v>
      </c>
      <c r="G176" s="14"/>
      <c r="H176" s="14">
        <v>50</v>
      </c>
      <c r="I176" s="14">
        <v>65</v>
      </c>
      <c r="J176" s="14">
        <v>450</v>
      </c>
      <c r="K176" s="14">
        <v>1</v>
      </c>
      <c r="L176" s="14">
        <v>7</v>
      </c>
      <c r="M176" s="14">
        <v>0</v>
      </c>
      <c r="N176" s="14">
        <v>1</v>
      </c>
      <c r="O176" s="14"/>
      <c r="P176" s="14"/>
      <c r="Q176" s="14"/>
      <c r="R176" s="14"/>
    </row>
    <row r="177" spans="1:18">
      <c r="A177" s="8"/>
      <c r="B177" s="14">
        <v>1001</v>
      </c>
      <c r="C177" s="14">
        <v>21</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1002</v>
      </c>
      <c r="C178" s="14">
        <v>48</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1003</v>
      </c>
      <c r="C179" s="14">
        <v>84</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1004</v>
      </c>
      <c r="C180" s="14">
        <v>112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1005</v>
      </c>
      <c r="C181" s="14">
        <v>140</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1006</v>
      </c>
      <c r="C182" s="14">
        <v>156</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1007</v>
      </c>
      <c r="C183" s="14">
        <v>172</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1008</v>
      </c>
      <c r="C184" s="14">
        <v>88</v>
      </c>
      <c r="D184" s="14">
        <v>0</v>
      </c>
      <c r="E184" s="14">
        <v>0</v>
      </c>
      <c r="F184" s="14" t="s">
        <v>286</v>
      </c>
      <c r="G184" s="14"/>
      <c r="H184" s="14">
        <v>50</v>
      </c>
      <c r="I184" s="14">
        <v>65</v>
      </c>
      <c r="J184" s="14">
        <v>224</v>
      </c>
      <c r="K184" s="14">
        <v>10</v>
      </c>
      <c r="L184" s="14">
        <v>4</v>
      </c>
      <c r="M184" s="14">
        <v>0</v>
      </c>
      <c r="N184" s="14">
        <v>1</v>
      </c>
      <c r="O184" s="14"/>
      <c r="P184" s="14"/>
      <c r="Q184" s="14"/>
      <c r="R184" s="14"/>
    </row>
    <row r="185" spans="1:18">
      <c r="A185" s="8"/>
      <c r="B185" s="14">
        <v>1009</v>
      </c>
      <c r="C185" s="14">
        <v>221</v>
      </c>
      <c r="D185" s="14">
        <v>0</v>
      </c>
      <c r="E185" s="14">
        <v>0</v>
      </c>
      <c r="F185" s="14" t="s">
        <v>287</v>
      </c>
      <c r="G185" s="14"/>
      <c r="H185" s="14">
        <v>75</v>
      </c>
      <c r="I185" s="14">
        <v>90</v>
      </c>
      <c r="J185" s="14">
        <v>200</v>
      </c>
      <c r="K185" s="14">
        <v>10</v>
      </c>
      <c r="L185" s="14">
        <v>7</v>
      </c>
      <c r="M185" s="14">
        <v>0</v>
      </c>
      <c r="N185" s="14">
        <v>1</v>
      </c>
      <c r="O185" s="14"/>
      <c r="P185" s="14"/>
      <c r="Q185" s="14"/>
      <c r="R185" s="14"/>
    </row>
    <row r="186" spans="1:18">
      <c r="A186" s="8"/>
      <c r="B186" s="14">
        <v>1010</v>
      </c>
      <c r="C186" s="14">
        <v>240</v>
      </c>
      <c r="D186" s="14">
        <v>0</v>
      </c>
      <c r="E186" s="14">
        <v>0</v>
      </c>
      <c r="F186" s="14" t="s">
        <v>287</v>
      </c>
      <c r="G186" s="14"/>
      <c r="H186" s="14">
        <v>75</v>
      </c>
      <c r="I186" s="14">
        <v>90</v>
      </c>
      <c r="J186" s="14">
        <v>200</v>
      </c>
      <c r="K186" s="14">
        <v>10</v>
      </c>
      <c r="L186" s="14">
        <v>7</v>
      </c>
      <c r="M186" s="14">
        <v>0</v>
      </c>
      <c r="N186" s="14">
        <v>1</v>
      </c>
      <c r="O186" s="14"/>
      <c r="P186" s="14"/>
      <c r="Q186" s="14"/>
      <c r="R186" s="14"/>
    </row>
    <row r="187" spans="1:18">
      <c r="A187" s="8"/>
      <c r="B187" s="14">
        <v>1011</v>
      </c>
      <c r="C187" s="14">
        <v>284</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1012</v>
      </c>
      <c r="C188" s="14">
        <v>336</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1013</v>
      </c>
      <c r="C189" s="14">
        <v>49</v>
      </c>
      <c r="D189" s="14">
        <v>0</v>
      </c>
      <c r="E189" s="14">
        <v>0</v>
      </c>
      <c r="F189" s="14" t="s">
        <v>288</v>
      </c>
      <c r="G189" s="14"/>
      <c r="H189" s="14">
        <v>75</v>
      </c>
      <c r="I189" s="14">
        <v>90</v>
      </c>
      <c r="J189" s="14">
        <v>216</v>
      </c>
      <c r="K189" s="14">
        <v>10</v>
      </c>
      <c r="L189" s="14">
        <v>4</v>
      </c>
      <c r="M189" s="14">
        <v>0</v>
      </c>
      <c r="N189" s="14">
        <v>1</v>
      </c>
      <c r="O189" s="14"/>
      <c r="P189" s="14"/>
      <c r="Q189" s="14"/>
      <c r="R189" s="14"/>
    </row>
    <row r="190" spans="1:18">
      <c r="A190" s="8"/>
      <c r="B190" s="14">
        <v>1014</v>
      </c>
      <c r="C190" s="14">
        <v>299</v>
      </c>
      <c r="D190" s="14">
        <v>0</v>
      </c>
      <c r="E190" s="14">
        <v>0</v>
      </c>
      <c r="F190" s="14" t="s">
        <v>289</v>
      </c>
      <c r="G190" s="14"/>
      <c r="H190" s="14">
        <v>75</v>
      </c>
      <c r="I190" s="14">
        <v>90</v>
      </c>
      <c r="J190" s="14">
        <v>216</v>
      </c>
      <c r="K190" s="14">
        <v>10</v>
      </c>
      <c r="L190" s="14">
        <v>4</v>
      </c>
      <c r="M190" s="14">
        <v>0</v>
      </c>
      <c r="N190" s="14">
        <v>1</v>
      </c>
      <c r="O190" s="14"/>
      <c r="P190" s="14"/>
      <c r="Q190" s="14"/>
      <c r="R190" s="14"/>
    </row>
    <row r="191" spans="1:18">
      <c r="A191" s="8"/>
      <c r="B191" s="14">
        <v>1015</v>
      </c>
      <c r="C191" s="14">
        <v>322</v>
      </c>
      <c r="D191" s="14">
        <v>0</v>
      </c>
      <c r="E191" s="14">
        <v>0</v>
      </c>
      <c r="F191" s="14" t="s">
        <v>290</v>
      </c>
      <c r="G191" s="14"/>
      <c r="H191" s="14">
        <v>75</v>
      </c>
      <c r="I191" s="14">
        <v>90</v>
      </c>
      <c r="J191" s="14">
        <v>216</v>
      </c>
      <c r="K191" s="14">
        <v>10</v>
      </c>
      <c r="L191" s="14">
        <v>5</v>
      </c>
      <c r="M191" s="14">
        <v>0</v>
      </c>
      <c r="N191" s="14">
        <v>1</v>
      </c>
      <c r="O191" s="14"/>
      <c r="P191" s="14"/>
      <c r="Q191" s="14"/>
      <c r="R191" s="14"/>
    </row>
    <row r="192" spans="1:18">
      <c r="A192" s="8"/>
      <c r="B192" s="14">
        <v>1016</v>
      </c>
      <c r="C192" s="14">
        <v>188</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1017</v>
      </c>
      <c r="C193" s="14">
        <v>268</v>
      </c>
      <c r="D193" s="14">
        <v>0</v>
      </c>
      <c r="E193" s="14">
        <v>0</v>
      </c>
      <c r="F193" s="14" t="s">
        <v>65</v>
      </c>
      <c r="G193" s="14"/>
      <c r="H193" s="14">
        <v>50</v>
      </c>
      <c r="I193" s="14">
        <v>65</v>
      </c>
      <c r="J193" s="14">
        <v>232</v>
      </c>
      <c r="K193" s="14">
        <v>10</v>
      </c>
      <c r="L193" s="14">
        <v>6</v>
      </c>
      <c r="M193" s="14">
        <v>0</v>
      </c>
      <c r="N193" s="14">
        <v>1</v>
      </c>
      <c r="O193" s="14"/>
      <c r="P193" s="14"/>
      <c r="Q193" s="14"/>
      <c r="R193" s="14"/>
    </row>
    <row r="194" spans="1:18">
      <c r="A194" s="8"/>
      <c r="B194" s="14">
        <v>1018</v>
      </c>
      <c r="C194" s="14">
        <v>273</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1019</v>
      </c>
      <c r="C195" s="14">
        <v>295</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1020</v>
      </c>
      <c r="C196" s="14">
        <v>62</v>
      </c>
      <c r="D196" s="14">
        <v>0</v>
      </c>
      <c r="E196" s="14">
        <v>0</v>
      </c>
      <c r="F196" s="20" t="s">
        <v>2263</v>
      </c>
      <c r="G196" s="14"/>
      <c r="H196" s="14">
        <v>35</v>
      </c>
      <c r="I196" s="14">
        <v>50</v>
      </c>
      <c r="J196" s="14">
        <v>129</v>
      </c>
      <c r="K196" s="14">
        <v>1</v>
      </c>
      <c r="L196" s="14">
        <v>7</v>
      </c>
      <c r="M196" s="14">
        <v>0</v>
      </c>
      <c r="N196" s="14">
        <v>1</v>
      </c>
      <c r="O196" s="14">
        <v>999</v>
      </c>
      <c r="P196" s="14"/>
      <c r="Q196" s="14"/>
      <c r="R196" s="14"/>
    </row>
    <row r="197" spans="1:18">
      <c r="A197" s="8"/>
      <c r="B197" s="14">
        <v>1021</v>
      </c>
      <c r="C197" s="14">
        <v>109</v>
      </c>
      <c r="D197" s="14">
        <v>0</v>
      </c>
      <c r="E197" s="14">
        <v>0</v>
      </c>
      <c r="F197" s="20" t="s">
        <v>2251</v>
      </c>
      <c r="G197" s="14"/>
      <c r="H197" s="14">
        <v>35</v>
      </c>
      <c r="I197" s="14">
        <v>50</v>
      </c>
      <c r="J197" s="14">
        <v>120</v>
      </c>
      <c r="K197" s="14">
        <v>1</v>
      </c>
      <c r="L197" s="14">
        <v>7</v>
      </c>
      <c r="M197" s="14">
        <v>0</v>
      </c>
      <c r="N197" s="14">
        <v>1</v>
      </c>
      <c r="O197" s="14">
        <v>999</v>
      </c>
      <c r="P197" s="14"/>
      <c r="Q197" s="14"/>
      <c r="R197" s="14"/>
    </row>
    <row r="198" spans="1:18">
      <c r="A198" s="8"/>
      <c r="B198" s="14">
        <v>1022</v>
      </c>
      <c r="C198" s="14">
        <v>288</v>
      </c>
      <c r="D198" s="14">
        <v>0</v>
      </c>
      <c r="E198" s="14">
        <v>0</v>
      </c>
      <c r="F198" s="14" t="s">
        <v>2264</v>
      </c>
      <c r="G198" s="14"/>
      <c r="H198" s="14">
        <v>75</v>
      </c>
      <c r="I198" s="14">
        <v>90</v>
      </c>
      <c r="J198" s="14">
        <v>200</v>
      </c>
      <c r="K198" s="14">
        <v>10</v>
      </c>
      <c r="L198" s="14">
        <v>3</v>
      </c>
      <c r="M198" s="14">
        <v>0</v>
      </c>
      <c r="N198" s="14">
        <v>1</v>
      </c>
      <c r="O198" s="14"/>
      <c r="P198" s="14"/>
      <c r="Q198" s="14"/>
      <c r="R198" s="14"/>
    </row>
    <row r="199" spans="1:18">
      <c r="A199" s="8"/>
      <c r="B199" s="14">
        <v>1023</v>
      </c>
      <c r="C199" s="14">
        <v>217</v>
      </c>
      <c r="D199" s="14">
        <v>0</v>
      </c>
      <c r="E199" s="14">
        <v>0</v>
      </c>
      <c r="F199" s="14" t="s">
        <v>2265</v>
      </c>
      <c r="G199" s="14"/>
      <c r="H199" s="14">
        <v>50</v>
      </c>
      <c r="I199" s="14">
        <v>65</v>
      </c>
      <c r="J199" s="14">
        <v>200</v>
      </c>
      <c r="K199" s="14">
        <v>10</v>
      </c>
      <c r="L199" s="14">
        <v>7</v>
      </c>
      <c r="M199" s="14">
        <v>0</v>
      </c>
      <c r="N199" s="14">
        <v>1</v>
      </c>
      <c r="O199" s="14"/>
      <c r="P199" s="14"/>
      <c r="Q199" s="14"/>
      <c r="R199" s="14"/>
    </row>
    <row r="200" spans="1:18">
      <c r="A200" s="8"/>
      <c r="B200" s="14">
        <v>1024</v>
      </c>
      <c r="C200" s="14">
        <v>267</v>
      </c>
      <c r="D200" s="14">
        <v>0</v>
      </c>
      <c r="E200" s="14">
        <v>0</v>
      </c>
      <c r="F200" s="14" t="s">
        <v>2266</v>
      </c>
      <c r="G200" s="14"/>
      <c r="H200" s="14">
        <v>75</v>
      </c>
      <c r="I200" s="14">
        <v>90</v>
      </c>
      <c r="J200" s="14">
        <v>208</v>
      </c>
      <c r="K200" s="14">
        <v>10</v>
      </c>
      <c r="L200" s="14">
        <v>7</v>
      </c>
      <c r="M200" s="14">
        <v>0</v>
      </c>
      <c r="N200" s="14">
        <v>1</v>
      </c>
      <c r="O200" s="14"/>
      <c r="P200" s="14"/>
      <c r="Q200" s="14"/>
      <c r="R200" s="14"/>
    </row>
    <row r="201" spans="1:18">
      <c r="A201" s="8"/>
      <c r="B201" s="14">
        <v>1025</v>
      </c>
      <c r="C201" s="14">
        <v>45</v>
      </c>
      <c r="D201" s="14">
        <v>0</v>
      </c>
      <c r="E201" s="14">
        <v>0</v>
      </c>
      <c r="F201" s="20" t="s">
        <v>2250</v>
      </c>
      <c r="G201" s="14"/>
      <c r="H201" s="14">
        <v>35</v>
      </c>
      <c r="I201" s="14">
        <v>50</v>
      </c>
      <c r="J201" s="14">
        <v>126</v>
      </c>
      <c r="K201" s="14">
        <v>1</v>
      </c>
      <c r="L201" s="14">
        <v>7</v>
      </c>
      <c r="M201" s="14">
        <v>0</v>
      </c>
      <c r="N201" s="14">
        <v>1</v>
      </c>
      <c r="O201" s="14">
        <v>999</v>
      </c>
      <c r="P201" s="14"/>
      <c r="Q201" s="14"/>
      <c r="R201" s="14"/>
    </row>
    <row r="202" spans="1:18">
      <c r="A202" s="8"/>
      <c r="B202" s="14">
        <v>1026</v>
      </c>
      <c r="C202" s="14">
        <v>420</v>
      </c>
      <c r="D202" s="14">
        <v>0</v>
      </c>
      <c r="E202" s="14">
        <v>0</v>
      </c>
      <c r="F202" s="14" t="s">
        <v>2267</v>
      </c>
      <c r="G202" s="14"/>
      <c r="H202" s="14">
        <v>75</v>
      </c>
      <c r="I202" s="14">
        <v>90</v>
      </c>
      <c r="J202" s="14">
        <v>216</v>
      </c>
      <c r="K202" s="14">
        <v>10</v>
      </c>
      <c r="L202" s="14">
        <v>5</v>
      </c>
      <c r="M202" s="14">
        <v>0</v>
      </c>
      <c r="N202" s="14">
        <v>1</v>
      </c>
      <c r="O202" s="14"/>
      <c r="P202" s="14"/>
      <c r="Q202" s="14"/>
      <c r="R202" s="14"/>
    </row>
    <row r="203" spans="1:18">
      <c r="A203" s="8"/>
      <c r="B203" s="14">
        <v>1027</v>
      </c>
      <c r="C203" s="14">
        <v>425</v>
      </c>
      <c r="D203" s="14">
        <v>0</v>
      </c>
      <c r="E203" s="14">
        <v>0</v>
      </c>
      <c r="F203" s="14" t="s">
        <v>2268</v>
      </c>
      <c r="G203" s="14"/>
      <c r="H203" s="14">
        <v>75</v>
      </c>
      <c r="I203" s="14">
        <v>90</v>
      </c>
      <c r="J203" s="14">
        <v>224</v>
      </c>
      <c r="K203" s="14">
        <v>10</v>
      </c>
      <c r="L203" s="14">
        <v>7</v>
      </c>
      <c r="M203" s="14">
        <v>0</v>
      </c>
      <c r="N203" s="14">
        <v>1</v>
      </c>
      <c r="O203" s="14"/>
      <c r="P203" s="14"/>
      <c r="Q203" s="14"/>
      <c r="R203" s="14"/>
    </row>
    <row r="204" spans="1:18">
      <c r="A204" s="8"/>
      <c r="B204" s="14">
        <v>1028</v>
      </c>
      <c r="C204" s="14">
        <v>483</v>
      </c>
      <c r="D204" s="14">
        <v>0</v>
      </c>
      <c r="E204" s="14">
        <v>0</v>
      </c>
      <c r="F204" s="14" t="s">
        <v>2269</v>
      </c>
      <c r="G204" s="14"/>
      <c r="H204" s="14">
        <v>50</v>
      </c>
      <c r="I204" s="14">
        <v>65</v>
      </c>
      <c r="J204" s="14">
        <v>224</v>
      </c>
      <c r="K204" s="14">
        <v>10</v>
      </c>
      <c r="L204" s="14">
        <v>7</v>
      </c>
      <c r="M204" s="14">
        <v>0</v>
      </c>
      <c r="N204" s="14">
        <v>1</v>
      </c>
      <c r="O204" s="14"/>
      <c r="P204" s="14"/>
      <c r="Q204" s="14"/>
      <c r="R204" s="14"/>
    </row>
    <row r="205" spans="1:18">
      <c r="A205" s="8"/>
      <c r="B205" s="14">
        <v>1029</v>
      </c>
      <c r="C205" s="14">
        <v>489</v>
      </c>
      <c r="D205" s="14">
        <v>0</v>
      </c>
      <c r="E205" s="14">
        <v>0</v>
      </c>
      <c r="F205" s="14" t="s">
        <v>2270</v>
      </c>
      <c r="G205" s="14"/>
      <c r="H205" s="14">
        <v>50</v>
      </c>
      <c r="I205" s="14">
        <v>65</v>
      </c>
      <c r="J205" s="14">
        <v>232</v>
      </c>
      <c r="K205" s="14">
        <v>10</v>
      </c>
      <c r="L205" s="14">
        <v>3</v>
      </c>
      <c r="M205" s="14">
        <v>0</v>
      </c>
      <c r="N205" s="14">
        <v>1</v>
      </c>
      <c r="O205" s="14"/>
      <c r="P205" s="14"/>
      <c r="Q205" s="14"/>
      <c r="R205" s="14"/>
    </row>
    <row r="206" spans="1:18">
      <c r="A206" s="8"/>
      <c r="B206" s="14">
        <v>1030</v>
      </c>
      <c r="C206" s="14">
        <v>510</v>
      </c>
      <c r="D206" s="14">
        <v>0</v>
      </c>
      <c r="E206" s="14">
        <v>0</v>
      </c>
      <c r="F206" s="14" t="s">
        <v>2271</v>
      </c>
      <c r="G206" s="14"/>
      <c r="H206" s="14">
        <v>50</v>
      </c>
      <c r="I206" s="14">
        <v>65</v>
      </c>
      <c r="J206" s="14">
        <v>216</v>
      </c>
      <c r="K206" s="14">
        <v>10</v>
      </c>
      <c r="L206" s="14">
        <v>4</v>
      </c>
      <c r="M206" s="14">
        <v>0</v>
      </c>
      <c r="N206" s="14">
        <v>1</v>
      </c>
      <c r="O206" s="14"/>
      <c r="P206" s="14"/>
      <c r="Q206" s="14"/>
      <c r="R206" s="14"/>
    </row>
    <row r="207" spans="1:18">
      <c r="A207" s="8"/>
      <c r="B207" s="14">
        <v>1101</v>
      </c>
      <c r="C207" s="14">
        <v>373</v>
      </c>
      <c r="D207" s="14">
        <v>1</v>
      </c>
      <c r="E207" s="14">
        <v>4</v>
      </c>
      <c r="F207" s="14" t="s">
        <v>293</v>
      </c>
      <c r="G207" s="14"/>
      <c r="H207" s="14">
        <v>65</v>
      </c>
      <c r="I207" s="14">
        <v>80</v>
      </c>
      <c r="J207" s="14">
        <v>208</v>
      </c>
      <c r="K207" s="14">
        <v>10</v>
      </c>
      <c r="L207" s="14">
        <v>4</v>
      </c>
      <c r="M207" s="14">
        <v>0</v>
      </c>
      <c r="N207" s="14">
        <v>1</v>
      </c>
      <c r="O207" s="14"/>
      <c r="P207" s="14"/>
      <c r="Q207" s="14"/>
      <c r="R207" s="14"/>
    </row>
    <row r="208" spans="1:18">
      <c r="A208" s="8"/>
      <c r="B208" s="14">
        <v>1102</v>
      </c>
      <c r="C208" s="14">
        <v>371</v>
      </c>
      <c r="D208" s="14">
        <v>1</v>
      </c>
      <c r="E208" s="14">
        <v>5</v>
      </c>
      <c r="F208" s="14" t="s">
        <v>2272</v>
      </c>
      <c r="G208" s="14"/>
      <c r="H208" s="14">
        <v>65</v>
      </c>
      <c r="I208" s="14">
        <v>80</v>
      </c>
      <c r="J208" s="14">
        <v>200</v>
      </c>
      <c r="K208" s="14">
        <v>10</v>
      </c>
      <c r="L208" s="14">
        <v>7</v>
      </c>
      <c r="M208" s="14">
        <v>0</v>
      </c>
      <c r="N208" s="14">
        <v>1</v>
      </c>
      <c r="O208" s="14"/>
      <c r="P208" s="14"/>
      <c r="Q208" s="14"/>
      <c r="R208" s="14"/>
    </row>
    <row r="209" spans="1:18">
      <c r="A209" s="8"/>
      <c r="B209" s="14">
        <v>1103</v>
      </c>
      <c r="C209" s="14">
        <v>332</v>
      </c>
      <c r="D209" s="14">
        <v>1</v>
      </c>
      <c r="E209" s="14">
        <v>2</v>
      </c>
      <c r="F209" s="14" t="s">
        <v>2273</v>
      </c>
      <c r="G209" s="14"/>
      <c r="H209" s="14">
        <v>65</v>
      </c>
      <c r="I209" s="14">
        <v>80</v>
      </c>
      <c r="J209" s="14">
        <v>192</v>
      </c>
      <c r="K209" s="14">
        <v>10</v>
      </c>
      <c r="L209" s="14">
        <v>7</v>
      </c>
      <c r="M209" s="14">
        <v>0</v>
      </c>
      <c r="N209" s="14">
        <v>1</v>
      </c>
      <c r="O209" s="14"/>
      <c r="P209" s="14"/>
      <c r="Q209" s="14"/>
      <c r="R209" s="14"/>
    </row>
    <row r="210" spans="1:18">
      <c r="A210" s="8"/>
      <c r="B210" s="14">
        <v>1104</v>
      </c>
      <c r="C210" s="14">
        <v>366</v>
      </c>
      <c r="D210" s="14">
        <v>1</v>
      </c>
      <c r="E210" s="14">
        <v>5</v>
      </c>
      <c r="F210" s="14" t="s">
        <v>592</v>
      </c>
      <c r="G210" s="14"/>
      <c r="H210" s="14">
        <v>65</v>
      </c>
      <c r="I210" s="14">
        <v>80</v>
      </c>
      <c r="J210" s="14">
        <v>192</v>
      </c>
      <c r="K210" s="14">
        <v>10</v>
      </c>
      <c r="L210" s="14">
        <v>7</v>
      </c>
      <c r="M210" s="14">
        <v>0</v>
      </c>
      <c r="N210" s="14">
        <v>1</v>
      </c>
      <c r="O210" s="14"/>
      <c r="P210" s="14"/>
      <c r="Q210" s="14"/>
      <c r="R210" s="14"/>
    </row>
    <row r="211" spans="1:18">
      <c r="A211" s="8"/>
      <c r="B211" s="14">
        <v>1105</v>
      </c>
      <c r="C211" s="14">
        <v>253</v>
      </c>
      <c r="D211" s="14">
        <v>1</v>
      </c>
      <c r="E211" s="14">
        <v>3</v>
      </c>
      <c r="F211" s="20" t="s">
        <v>2274</v>
      </c>
      <c r="G211" s="14"/>
      <c r="H211" s="14">
        <v>40</v>
      </c>
      <c r="I211" s="14">
        <v>55</v>
      </c>
      <c r="J211" s="14">
        <v>129</v>
      </c>
      <c r="K211" s="14">
        <v>1</v>
      </c>
      <c r="L211" s="14">
        <v>7</v>
      </c>
      <c r="M211" s="14">
        <v>0</v>
      </c>
      <c r="N211" s="14">
        <v>1</v>
      </c>
      <c r="O211" s="14">
        <v>999</v>
      </c>
      <c r="P211" s="14"/>
      <c r="Q211" s="14"/>
      <c r="R211" s="14"/>
    </row>
    <row r="212" spans="1:18">
      <c r="A212" s="8"/>
      <c r="B212" s="14">
        <v>1106</v>
      </c>
      <c r="C212" s="14">
        <v>219</v>
      </c>
      <c r="D212" s="14">
        <v>1</v>
      </c>
      <c r="E212" s="14">
        <v>4</v>
      </c>
      <c r="F212" s="20" t="s">
        <v>2275</v>
      </c>
      <c r="G212" s="14"/>
      <c r="H212" s="14">
        <v>40</v>
      </c>
      <c r="I212" s="14">
        <v>55</v>
      </c>
      <c r="J212" s="14">
        <v>132</v>
      </c>
      <c r="K212" s="14">
        <v>1</v>
      </c>
      <c r="L212" s="14">
        <v>7</v>
      </c>
      <c r="M212" s="14">
        <v>0</v>
      </c>
      <c r="N212" s="14">
        <v>1</v>
      </c>
      <c r="O212" s="14">
        <v>999</v>
      </c>
      <c r="P212" s="14"/>
      <c r="Q212" s="14"/>
      <c r="R212" s="14"/>
    </row>
    <row r="213" spans="1:18">
      <c r="A213" s="8"/>
      <c r="B213" s="14">
        <v>1107</v>
      </c>
      <c r="C213" s="14">
        <v>339</v>
      </c>
      <c r="D213" s="14">
        <v>1</v>
      </c>
      <c r="E213" s="14">
        <v>5</v>
      </c>
      <c r="F213" s="20" t="s">
        <v>2276</v>
      </c>
      <c r="G213" s="14"/>
      <c r="H213" s="14">
        <v>40</v>
      </c>
      <c r="I213" s="14">
        <v>55</v>
      </c>
      <c r="J213" s="14">
        <v>123</v>
      </c>
      <c r="K213" s="14">
        <v>1</v>
      </c>
      <c r="L213" s="14">
        <v>7</v>
      </c>
      <c r="M213" s="14">
        <v>0</v>
      </c>
      <c r="N213" s="14">
        <v>1</v>
      </c>
      <c r="O213" s="14">
        <v>999</v>
      </c>
      <c r="P213" s="14"/>
      <c r="Q213" s="14"/>
      <c r="R213" s="14"/>
    </row>
    <row r="214" spans="1:18">
      <c r="A214" s="8"/>
      <c r="B214" s="14">
        <v>1108</v>
      </c>
      <c r="C214" s="14">
        <v>404</v>
      </c>
      <c r="D214" s="14">
        <v>1</v>
      </c>
      <c r="E214" s="14">
        <v>3</v>
      </c>
      <c r="F214" s="14" t="s">
        <v>2277</v>
      </c>
      <c r="G214" s="14"/>
      <c r="H214" s="14">
        <v>65</v>
      </c>
      <c r="I214" s="14">
        <v>80</v>
      </c>
      <c r="J214" s="14">
        <v>200</v>
      </c>
      <c r="K214" s="14">
        <v>10</v>
      </c>
      <c r="L214" s="14">
        <v>7</v>
      </c>
      <c r="M214" s="14">
        <v>0</v>
      </c>
      <c r="N214" s="14">
        <v>1</v>
      </c>
      <c r="O214" s="14"/>
      <c r="P214" s="14"/>
      <c r="Q214" s="14"/>
      <c r="R214" s="14"/>
    </row>
    <row r="215" spans="1:18">
      <c r="A215" s="8"/>
      <c r="B215" s="14">
        <v>1109</v>
      </c>
      <c r="C215" s="14">
        <v>412</v>
      </c>
      <c r="D215" s="14">
        <v>1</v>
      </c>
      <c r="E215" s="14">
        <v>2</v>
      </c>
      <c r="F215" s="14" t="s">
        <v>2278</v>
      </c>
      <c r="G215" s="14"/>
      <c r="H215" s="14">
        <v>65</v>
      </c>
      <c r="I215" s="14">
        <v>80</v>
      </c>
      <c r="J215" s="14">
        <v>192</v>
      </c>
      <c r="K215" s="14">
        <v>10</v>
      </c>
      <c r="L215" s="14">
        <v>7</v>
      </c>
      <c r="M215" s="14">
        <v>0</v>
      </c>
      <c r="N215" s="14">
        <v>1</v>
      </c>
      <c r="O215" s="14"/>
      <c r="P215" s="14"/>
      <c r="Q215" s="14"/>
      <c r="R215" s="14"/>
    </row>
    <row r="216" spans="1:18">
      <c r="A216" s="8"/>
      <c r="B216" s="14">
        <v>1110</v>
      </c>
      <c r="C216" s="14">
        <v>462</v>
      </c>
      <c r="D216" s="14">
        <v>1</v>
      </c>
      <c r="E216" s="14">
        <v>3</v>
      </c>
      <c r="F216" s="14" t="s">
        <v>2279</v>
      </c>
      <c r="G216" s="14"/>
      <c r="H216" s="14">
        <v>65</v>
      </c>
      <c r="I216" s="14">
        <v>80</v>
      </c>
      <c r="J216" s="14">
        <v>200</v>
      </c>
      <c r="K216" s="14">
        <v>10</v>
      </c>
      <c r="L216" s="14">
        <v>7</v>
      </c>
      <c r="M216" s="14">
        <v>0</v>
      </c>
      <c r="N216" s="14">
        <v>1</v>
      </c>
      <c r="O216" s="14"/>
      <c r="P216" s="14"/>
      <c r="Q216" s="14"/>
      <c r="R216" s="14"/>
    </row>
    <row r="217" spans="1:18">
      <c r="A217" s="8"/>
      <c r="B217" s="14">
        <v>1111</v>
      </c>
      <c r="C217" s="14">
        <v>466</v>
      </c>
      <c r="D217" s="14">
        <v>1</v>
      </c>
      <c r="E217" s="14">
        <v>5</v>
      </c>
      <c r="F217" s="14" t="s">
        <v>1623</v>
      </c>
      <c r="G217" s="14"/>
      <c r="H217" s="14">
        <v>65</v>
      </c>
      <c r="I217" s="14">
        <v>80</v>
      </c>
      <c r="J217" s="14">
        <v>208</v>
      </c>
      <c r="K217" s="14">
        <v>10</v>
      </c>
      <c r="L217" s="14">
        <v>4</v>
      </c>
      <c r="M217" s="14">
        <v>0</v>
      </c>
      <c r="N217" s="14">
        <v>1</v>
      </c>
      <c r="O217" s="14"/>
      <c r="P217" s="14"/>
      <c r="Q217" s="14"/>
      <c r="R217" s="14"/>
    </row>
    <row r="218" spans="1:18">
      <c r="A218" s="8"/>
      <c r="B218" s="14">
        <v>1112</v>
      </c>
      <c r="C218" s="14">
        <v>489</v>
      </c>
      <c r="D218" s="14">
        <v>1</v>
      </c>
      <c r="E218" s="14">
        <v>5</v>
      </c>
      <c r="F218" s="14" t="s">
        <v>2270</v>
      </c>
      <c r="G218" s="14"/>
      <c r="H218" s="14">
        <v>65</v>
      </c>
      <c r="I218" s="14">
        <v>80</v>
      </c>
      <c r="J218" s="14">
        <v>232</v>
      </c>
      <c r="K218" s="14">
        <v>10</v>
      </c>
      <c r="L218" s="14">
        <v>3</v>
      </c>
      <c r="M218" s="14">
        <v>0</v>
      </c>
      <c r="N218" s="14">
        <v>1</v>
      </c>
      <c r="O218" s="14"/>
      <c r="P218" s="14"/>
      <c r="Q218" s="14"/>
      <c r="R218" s="14"/>
    </row>
    <row r="219" spans="1:18">
      <c r="A219" s="8"/>
      <c r="B219" s="14">
        <v>1201</v>
      </c>
      <c r="C219" s="14">
        <v>310</v>
      </c>
      <c r="D219" s="14">
        <v>2</v>
      </c>
      <c r="E219" s="14">
        <v>0</v>
      </c>
      <c r="F219" s="14" t="s">
        <v>295</v>
      </c>
      <c r="G219" s="14"/>
      <c r="H219" s="14">
        <v>35</v>
      </c>
      <c r="I219" s="14">
        <v>50</v>
      </c>
      <c r="J219" s="14">
        <v>200</v>
      </c>
      <c r="K219" s="14">
        <v>10</v>
      </c>
      <c r="L219" s="14">
        <v>7</v>
      </c>
      <c r="M219" s="14">
        <v>0</v>
      </c>
      <c r="N219" s="14">
        <v>1</v>
      </c>
      <c r="O219" s="14"/>
      <c r="P219" s="14"/>
      <c r="Q219" s="14"/>
      <c r="R219" s="14"/>
    </row>
    <row r="220" spans="1:18">
      <c r="A220" s="8"/>
      <c r="B220" s="14">
        <v>1202</v>
      </c>
      <c r="C220" s="14">
        <v>451</v>
      </c>
      <c r="D220" s="14">
        <v>2</v>
      </c>
      <c r="E220" s="14">
        <v>0</v>
      </c>
      <c r="F220" s="14" t="s">
        <v>1950</v>
      </c>
      <c r="G220" s="14"/>
      <c r="H220" s="14">
        <v>35</v>
      </c>
      <c r="I220" s="14">
        <v>50</v>
      </c>
      <c r="J220" s="14">
        <v>200</v>
      </c>
      <c r="K220" s="14">
        <v>10</v>
      </c>
      <c r="L220" s="14">
        <v>7</v>
      </c>
      <c r="M220" s="14">
        <v>0</v>
      </c>
      <c r="N220" s="14">
        <v>1</v>
      </c>
      <c r="O220" s="14"/>
      <c r="P220" s="14"/>
      <c r="Q220" s="14"/>
      <c r="R220" s="14"/>
    </row>
    <row r="221" spans="1:18">
      <c r="A221" s="8"/>
      <c r="B221" s="14">
        <v>1203</v>
      </c>
      <c r="C221" s="14">
        <v>8002</v>
      </c>
      <c r="D221" s="14">
        <v>2</v>
      </c>
      <c r="E221" s="14">
        <v>0</v>
      </c>
      <c r="F221" s="14" t="s">
        <v>1874</v>
      </c>
      <c r="G221" s="14"/>
      <c r="H221" s="14">
        <v>50</v>
      </c>
      <c r="I221" s="14">
        <v>50</v>
      </c>
      <c r="J221" s="14">
        <v>1</v>
      </c>
      <c r="K221" s="14">
        <v>1</v>
      </c>
      <c r="L221" s="14">
        <v>7</v>
      </c>
      <c r="M221" s="14">
        <v>0</v>
      </c>
      <c r="N221" s="14">
        <v>1</v>
      </c>
      <c r="O221" s="14"/>
      <c r="P221" s="14"/>
      <c r="Q221" s="14">
        <v>1</v>
      </c>
      <c r="R221" s="14">
        <v>2</v>
      </c>
    </row>
    <row r="222" spans="1:18">
      <c r="A222" s="8"/>
      <c r="B222" s="14">
        <v>1300</v>
      </c>
      <c r="C222" s="14">
        <v>9009</v>
      </c>
      <c r="D222" s="14">
        <v>3</v>
      </c>
      <c r="E222" s="14">
        <v>0</v>
      </c>
      <c r="F222" s="14" t="s">
        <v>583</v>
      </c>
      <c r="G222" s="14"/>
      <c r="H222" s="14">
        <v>30</v>
      </c>
      <c r="I222" s="14">
        <v>45</v>
      </c>
      <c r="J222" s="14">
        <v>200</v>
      </c>
      <c r="K222" s="14">
        <v>1</v>
      </c>
      <c r="L222" s="14">
        <v>1</v>
      </c>
      <c r="M222" s="14">
        <v>0</v>
      </c>
      <c r="N222" s="14">
        <v>1</v>
      </c>
      <c r="O222" s="14"/>
      <c r="P222" s="14"/>
      <c r="Q222" s="14"/>
      <c r="R222" s="14"/>
    </row>
    <row r="223" spans="1:18">
      <c r="A223" s="8"/>
      <c r="B223" s="14">
        <v>1301</v>
      </c>
      <c r="C223" s="14">
        <v>173</v>
      </c>
      <c r="D223" s="14">
        <v>3</v>
      </c>
      <c r="E223" s="14">
        <v>0</v>
      </c>
      <c r="F223" s="14" t="s">
        <v>2280</v>
      </c>
      <c r="G223" s="14"/>
      <c r="H223" s="14">
        <v>30</v>
      </c>
      <c r="I223" s="14">
        <v>45</v>
      </c>
      <c r="J223" s="14">
        <v>123</v>
      </c>
      <c r="K223" s="14">
        <v>1</v>
      </c>
      <c r="L223" s="14">
        <v>1</v>
      </c>
      <c r="M223" s="14">
        <v>0</v>
      </c>
      <c r="N223" s="14">
        <v>1</v>
      </c>
      <c r="O223" s="14"/>
      <c r="P223" s="14"/>
      <c r="Q223" s="14"/>
      <c r="R223" s="14"/>
    </row>
    <row r="224" spans="1:18">
      <c r="A224" s="8"/>
      <c r="B224" s="14">
        <v>1302</v>
      </c>
      <c r="C224" s="14">
        <v>16</v>
      </c>
      <c r="D224" s="14">
        <v>3</v>
      </c>
      <c r="E224" s="14">
        <v>0</v>
      </c>
      <c r="F224" s="14" t="s">
        <v>66</v>
      </c>
      <c r="G224" s="14"/>
      <c r="H224" s="14">
        <v>30</v>
      </c>
      <c r="I224" s="14">
        <v>45</v>
      </c>
      <c r="J224" s="14">
        <v>129</v>
      </c>
      <c r="K224" s="14">
        <v>1</v>
      </c>
      <c r="L224" s="14">
        <v>1</v>
      </c>
      <c r="M224" s="14">
        <v>0</v>
      </c>
      <c r="N224" s="14">
        <v>1</v>
      </c>
      <c r="O224" s="14">
        <v>999</v>
      </c>
      <c r="P224" s="14"/>
      <c r="Q224" s="14"/>
      <c r="R224" s="14"/>
    </row>
    <row r="225" spans="1:18">
      <c r="A225" s="8"/>
      <c r="B225" s="14">
        <v>1303</v>
      </c>
      <c r="C225" s="14">
        <v>70</v>
      </c>
      <c r="D225" s="14">
        <v>3</v>
      </c>
      <c r="E225" s="14">
        <v>0</v>
      </c>
      <c r="F225" s="14" t="s">
        <v>297</v>
      </c>
      <c r="G225" s="14"/>
      <c r="H225" s="14">
        <v>30</v>
      </c>
      <c r="I225" s="14">
        <v>45</v>
      </c>
      <c r="J225" s="14">
        <v>117</v>
      </c>
      <c r="K225" s="14">
        <v>1</v>
      </c>
      <c r="L225" s="14">
        <v>1</v>
      </c>
      <c r="M225" s="14">
        <v>0</v>
      </c>
      <c r="N225" s="14">
        <v>1</v>
      </c>
      <c r="O225" s="14">
        <v>999</v>
      </c>
      <c r="P225" s="14"/>
      <c r="Q225" s="14"/>
      <c r="R225" s="14"/>
    </row>
    <row r="226" spans="1:18">
      <c r="A226" s="8"/>
      <c r="B226" s="14">
        <v>1304</v>
      </c>
      <c r="C226" s="14">
        <v>468</v>
      </c>
      <c r="D226" s="14">
        <v>3</v>
      </c>
      <c r="E226" s="14">
        <v>0</v>
      </c>
      <c r="F226" s="14" t="s">
        <v>1162</v>
      </c>
      <c r="G226" s="14"/>
      <c r="H226" s="14">
        <v>20</v>
      </c>
      <c r="I226" s="14">
        <v>30</v>
      </c>
      <c r="J226" s="14">
        <v>134</v>
      </c>
      <c r="K226" s="14">
        <v>1</v>
      </c>
      <c r="L226" s="14">
        <v>2</v>
      </c>
      <c r="M226" s="14">
        <v>0</v>
      </c>
      <c r="N226" s="14">
        <v>1</v>
      </c>
      <c r="O226" s="14">
        <v>999</v>
      </c>
      <c r="P226" s="14"/>
      <c r="Q226" s="14"/>
      <c r="R226" s="14"/>
    </row>
    <row r="227" spans="1:18">
      <c r="A227" s="8"/>
      <c r="B227" s="14">
        <v>1351</v>
      </c>
      <c r="C227" s="14">
        <v>116</v>
      </c>
      <c r="D227" s="14">
        <v>3</v>
      </c>
      <c r="E227" s="14">
        <v>0</v>
      </c>
      <c r="F227" s="14" t="s">
        <v>298</v>
      </c>
      <c r="G227" s="14"/>
      <c r="H227" s="14">
        <v>20</v>
      </c>
      <c r="I227" s="14">
        <v>30</v>
      </c>
      <c r="J227" s="14">
        <v>120</v>
      </c>
      <c r="K227" s="14">
        <v>1</v>
      </c>
      <c r="L227" s="14">
        <v>2</v>
      </c>
      <c r="M227" s="14">
        <v>0</v>
      </c>
      <c r="N227" s="14">
        <v>1</v>
      </c>
      <c r="O227" s="14">
        <v>999</v>
      </c>
      <c r="P227" s="14"/>
      <c r="Q227" s="14"/>
      <c r="R227" s="14"/>
    </row>
    <row r="228" spans="1:18">
      <c r="A228" s="8"/>
      <c r="B228" s="14">
        <v>1352</v>
      </c>
      <c r="C228" s="14">
        <v>126</v>
      </c>
      <c r="D228" s="14">
        <v>3</v>
      </c>
      <c r="E228" s="14">
        <v>0</v>
      </c>
      <c r="F228" s="14" t="s">
        <v>299</v>
      </c>
      <c r="G228" s="14"/>
      <c r="H228" s="14">
        <v>20</v>
      </c>
      <c r="I228" s="14">
        <v>30</v>
      </c>
      <c r="J228" s="14">
        <v>123</v>
      </c>
      <c r="K228" s="14">
        <v>1</v>
      </c>
      <c r="L228" s="14">
        <v>2</v>
      </c>
      <c r="M228" s="14">
        <v>0</v>
      </c>
      <c r="N228" s="14">
        <v>1</v>
      </c>
      <c r="O228" s="14">
        <v>999</v>
      </c>
      <c r="P228" s="14"/>
      <c r="Q228" s="14"/>
      <c r="R228" s="14"/>
    </row>
    <row r="229" spans="1:18">
      <c r="A229" s="8"/>
      <c r="B229" s="14">
        <v>1401</v>
      </c>
      <c r="C229" s="14">
        <v>204</v>
      </c>
      <c r="D229" s="14">
        <v>4</v>
      </c>
      <c r="E229" s="14">
        <v>3</v>
      </c>
      <c r="F229" s="14" t="s">
        <v>300</v>
      </c>
      <c r="G229" s="14"/>
      <c r="H229" s="14">
        <v>45</v>
      </c>
      <c r="I229" s="14">
        <v>60</v>
      </c>
      <c r="J229" s="14">
        <v>126</v>
      </c>
      <c r="K229" s="14">
        <v>1</v>
      </c>
      <c r="L229" s="14">
        <v>1</v>
      </c>
      <c r="M229" s="14">
        <v>0</v>
      </c>
      <c r="N229" s="14">
        <v>1</v>
      </c>
      <c r="O229" s="14">
        <v>999</v>
      </c>
      <c r="P229" s="14"/>
      <c r="Q229" s="14"/>
      <c r="R229" s="14"/>
    </row>
    <row r="230" spans="1:18">
      <c r="A230" s="8"/>
      <c r="B230" s="14">
        <v>1402</v>
      </c>
      <c r="C230" s="14">
        <v>328</v>
      </c>
      <c r="D230" s="14">
        <v>4</v>
      </c>
      <c r="E230" s="14">
        <v>5</v>
      </c>
      <c r="F230" s="14" t="s">
        <v>301</v>
      </c>
      <c r="G230" s="14"/>
      <c r="H230" s="14">
        <v>45</v>
      </c>
      <c r="I230" s="14">
        <v>60</v>
      </c>
      <c r="J230" s="14">
        <v>123</v>
      </c>
      <c r="K230" s="14">
        <v>1</v>
      </c>
      <c r="L230" s="14">
        <v>1</v>
      </c>
      <c r="M230" s="14">
        <v>0</v>
      </c>
      <c r="N230" s="14">
        <v>1</v>
      </c>
      <c r="O230" s="14">
        <v>999</v>
      </c>
      <c r="P230" s="14"/>
      <c r="Q230" s="14"/>
      <c r="R230" s="14"/>
    </row>
    <row r="231" spans="1:18">
      <c r="A231" s="8"/>
      <c r="B231" s="14">
        <v>1403</v>
      </c>
      <c r="C231" s="14">
        <v>282</v>
      </c>
      <c r="D231" s="14">
        <v>4</v>
      </c>
      <c r="E231" s="14">
        <v>1</v>
      </c>
      <c r="F231" s="14" t="s">
        <v>302</v>
      </c>
      <c r="G231" s="14"/>
      <c r="H231" s="14">
        <v>45</v>
      </c>
      <c r="I231" s="14">
        <v>60</v>
      </c>
      <c r="J231" s="14">
        <v>123</v>
      </c>
      <c r="K231" s="14">
        <v>1</v>
      </c>
      <c r="L231" s="14">
        <v>1</v>
      </c>
      <c r="M231" s="14">
        <v>0</v>
      </c>
      <c r="N231" s="14">
        <v>1</v>
      </c>
      <c r="O231" s="14">
        <v>999</v>
      </c>
      <c r="P231" s="14"/>
      <c r="Q231" s="14"/>
      <c r="R231" s="14"/>
    </row>
    <row r="232" spans="1:18">
      <c r="A232" s="8"/>
      <c r="B232" s="14">
        <v>1404</v>
      </c>
      <c r="C232" s="14">
        <v>222</v>
      </c>
      <c r="D232" s="14">
        <v>4</v>
      </c>
      <c r="E232" s="14">
        <v>4</v>
      </c>
      <c r="F232" s="14" t="s">
        <v>303</v>
      </c>
      <c r="G232" s="14"/>
      <c r="H232" s="14">
        <v>45</v>
      </c>
      <c r="I232" s="14">
        <v>60</v>
      </c>
      <c r="J232" s="14">
        <v>131</v>
      </c>
      <c r="K232" s="14">
        <v>1</v>
      </c>
      <c r="L232" s="14">
        <v>1</v>
      </c>
      <c r="M232" s="14">
        <v>0</v>
      </c>
      <c r="N232" s="14">
        <v>1</v>
      </c>
      <c r="O232" s="14">
        <v>999</v>
      </c>
      <c r="P232" s="14"/>
      <c r="Q232" s="14"/>
      <c r="R232" s="14"/>
    </row>
    <row r="233" spans="1:18">
      <c r="A233" s="8"/>
      <c r="B233" s="14">
        <v>1405</v>
      </c>
      <c r="C233" s="14">
        <v>222</v>
      </c>
      <c r="D233" s="14">
        <v>4</v>
      </c>
      <c r="E233" s="14">
        <v>5</v>
      </c>
      <c r="F233" s="14" t="s">
        <v>303</v>
      </c>
      <c r="G233" s="14"/>
      <c r="H233" s="14">
        <v>45</v>
      </c>
      <c r="I233" s="14">
        <v>60</v>
      </c>
      <c r="J233" s="14">
        <v>131</v>
      </c>
      <c r="K233" s="14">
        <v>1</v>
      </c>
      <c r="L233" s="14">
        <v>1</v>
      </c>
      <c r="M233" s="14">
        <v>0</v>
      </c>
      <c r="N233" s="14">
        <v>1</v>
      </c>
      <c r="O233" s="14">
        <v>999</v>
      </c>
      <c r="P233" s="14"/>
      <c r="Q233" s="14"/>
      <c r="R233" s="14"/>
    </row>
    <row r="234" spans="1:18">
      <c r="A234" s="8"/>
      <c r="B234" s="14">
        <v>1406</v>
      </c>
      <c r="C234" s="14">
        <v>446</v>
      </c>
      <c r="D234" s="14">
        <v>4</v>
      </c>
      <c r="E234" s="14">
        <v>2</v>
      </c>
      <c r="F234" s="14" t="s">
        <v>2282</v>
      </c>
      <c r="G234" s="14"/>
      <c r="H234" s="14">
        <v>45</v>
      </c>
      <c r="I234" s="14">
        <v>60</v>
      </c>
      <c r="J234" s="14">
        <v>132</v>
      </c>
      <c r="K234" s="14">
        <v>1</v>
      </c>
      <c r="L234" s="14">
        <v>1</v>
      </c>
      <c r="M234" s="14">
        <v>0</v>
      </c>
      <c r="N234" s="14">
        <v>1</v>
      </c>
      <c r="O234" s="14">
        <v>999</v>
      </c>
      <c r="P234" s="14"/>
      <c r="Q234" s="14"/>
      <c r="R234" s="14"/>
    </row>
    <row r="235" spans="1:18">
      <c r="A235" s="8"/>
      <c r="B235" s="14">
        <v>1451</v>
      </c>
      <c r="C235" s="14">
        <v>241</v>
      </c>
      <c r="D235" s="14">
        <v>4</v>
      </c>
      <c r="E235" s="14">
        <v>1</v>
      </c>
      <c r="F235" s="14" t="s">
        <v>304</v>
      </c>
      <c r="G235" s="14"/>
      <c r="H235" s="14">
        <v>30</v>
      </c>
      <c r="I235" s="14">
        <v>45</v>
      </c>
      <c r="J235" s="14">
        <v>129</v>
      </c>
      <c r="K235" s="14">
        <v>1</v>
      </c>
      <c r="L235" s="14">
        <v>2</v>
      </c>
      <c r="M235" s="14">
        <v>0</v>
      </c>
      <c r="N235" s="14">
        <v>1</v>
      </c>
      <c r="O235" s="14">
        <v>999</v>
      </c>
      <c r="P235" s="14"/>
      <c r="Q235" s="14"/>
      <c r="R235" s="14"/>
    </row>
    <row r="236" spans="1:18">
      <c r="A236" s="8"/>
      <c r="B236" s="14">
        <v>1452</v>
      </c>
      <c r="C236" s="14">
        <v>77</v>
      </c>
      <c r="D236" s="14">
        <v>4</v>
      </c>
      <c r="E236" s="14">
        <v>2</v>
      </c>
      <c r="F236" s="14" t="s">
        <v>305</v>
      </c>
      <c r="G236" s="14"/>
      <c r="H236" s="14">
        <v>30</v>
      </c>
      <c r="I236" s="14">
        <v>45</v>
      </c>
      <c r="J236" s="14">
        <v>129</v>
      </c>
      <c r="K236" s="14">
        <v>1</v>
      </c>
      <c r="L236" s="14">
        <v>2</v>
      </c>
      <c r="M236" s="14">
        <v>0</v>
      </c>
      <c r="N236" s="14">
        <v>1</v>
      </c>
      <c r="O236" s="14">
        <v>999</v>
      </c>
      <c r="P236" s="14"/>
      <c r="Q236" s="14"/>
      <c r="R236" s="14"/>
    </row>
    <row r="237" spans="1:18">
      <c r="A237" s="8"/>
      <c r="B237" s="14">
        <v>1453</v>
      </c>
      <c r="C237" s="14">
        <v>410</v>
      </c>
      <c r="D237" s="14">
        <v>4</v>
      </c>
      <c r="E237" s="14">
        <v>3</v>
      </c>
      <c r="F237" s="14" t="s">
        <v>2281</v>
      </c>
      <c r="G237" s="14"/>
      <c r="H237" s="14">
        <v>30</v>
      </c>
      <c r="I237" s="14">
        <v>45</v>
      </c>
      <c r="J237" s="14">
        <v>129</v>
      </c>
      <c r="K237" s="14">
        <v>1</v>
      </c>
      <c r="L237" s="14">
        <v>2</v>
      </c>
      <c r="M237" s="14">
        <v>0</v>
      </c>
      <c r="N237" s="14">
        <v>1</v>
      </c>
      <c r="O237" s="14">
        <v>999</v>
      </c>
      <c r="P237" s="14"/>
      <c r="Q237" s="14"/>
      <c r="R237" s="14"/>
    </row>
    <row r="238" spans="1:18">
      <c r="A238" s="8"/>
      <c r="B238" s="14">
        <v>1454</v>
      </c>
      <c r="C238" s="14">
        <v>477</v>
      </c>
      <c r="D238" s="14">
        <v>4</v>
      </c>
      <c r="E238" s="14">
        <v>5</v>
      </c>
      <c r="F238" s="14" t="s">
        <v>2252</v>
      </c>
      <c r="G238" s="14"/>
      <c r="H238" s="14">
        <v>30</v>
      </c>
      <c r="I238" s="14">
        <v>45</v>
      </c>
      <c r="J238" s="14">
        <v>129</v>
      </c>
      <c r="K238" s="14">
        <v>1</v>
      </c>
      <c r="L238" s="14">
        <v>2</v>
      </c>
      <c r="M238" s="14">
        <v>0</v>
      </c>
      <c r="N238" s="14">
        <v>1</v>
      </c>
      <c r="O238" s="14">
        <v>999</v>
      </c>
      <c r="P238" s="14"/>
      <c r="Q238" s="14"/>
      <c r="R238" s="14"/>
    </row>
    <row r="239" spans="1:18">
      <c r="A239" s="8"/>
      <c r="B239" s="14">
        <v>1455</v>
      </c>
      <c r="C239" s="14">
        <v>249</v>
      </c>
      <c r="D239" s="14">
        <v>4</v>
      </c>
      <c r="E239" s="14">
        <v>1</v>
      </c>
      <c r="F239" s="14" t="s">
        <v>2253</v>
      </c>
      <c r="G239" s="14"/>
      <c r="H239" s="14">
        <v>30</v>
      </c>
      <c r="I239" s="14">
        <v>45</v>
      </c>
      <c r="J239" s="14">
        <v>132</v>
      </c>
      <c r="K239" s="14">
        <v>1</v>
      </c>
      <c r="L239" s="14">
        <v>2</v>
      </c>
      <c r="M239" s="14">
        <v>0</v>
      </c>
      <c r="N239" s="14">
        <v>1</v>
      </c>
      <c r="O239" s="14">
        <v>999</v>
      </c>
      <c r="P239" s="14"/>
      <c r="Q239" s="14"/>
      <c r="R239" s="14"/>
    </row>
    <row r="240" spans="1:18">
      <c r="A240" s="8"/>
      <c r="B240" s="14">
        <v>1456</v>
      </c>
      <c r="C240" s="14">
        <v>515</v>
      </c>
      <c r="D240" s="14">
        <v>4</v>
      </c>
      <c r="E240" s="14">
        <v>2</v>
      </c>
      <c r="F240" s="14" t="s">
        <v>2254</v>
      </c>
      <c r="G240" s="14"/>
      <c r="H240" s="14">
        <v>30</v>
      </c>
      <c r="I240" s="14">
        <v>45</v>
      </c>
      <c r="J240" s="14">
        <v>126</v>
      </c>
      <c r="K240" s="14">
        <v>1</v>
      </c>
      <c r="L240" s="14">
        <v>2</v>
      </c>
      <c r="M240" s="14">
        <v>0</v>
      </c>
      <c r="N240" s="14">
        <v>1</v>
      </c>
      <c r="O240" s="14">
        <v>999</v>
      </c>
      <c r="P240" s="14"/>
      <c r="Q240" s="14"/>
      <c r="R240" s="14"/>
    </row>
    <row r="241" spans="1:18">
      <c r="A241" s="8"/>
      <c r="B241" s="14">
        <v>1501</v>
      </c>
      <c r="C241" s="14">
        <v>94</v>
      </c>
      <c r="D241" s="14">
        <v>5</v>
      </c>
      <c r="E241" s="14">
        <v>0</v>
      </c>
      <c r="F241" s="14" t="s">
        <v>306</v>
      </c>
      <c r="G241" s="14"/>
      <c r="H241" s="14">
        <v>35</v>
      </c>
      <c r="I241" s="14">
        <v>50</v>
      </c>
      <c r="J241" s="14">
        <v>120</v>
      </c>
      <c r="K241" s="14">
        <v>1</v>
      </c>
      <c r="L241" s="14">
        <v>1</v>
      </c>
      <c r="M241" s="14">
        <v>0</v>
      </c>
      <c r="N241" s="14">
        <v>1</v>
      </c>
      <c r="O241" s="14">
        <v>999</v>
      </c>
      <c r="P241" s="14"/>
      <c r="Q241" s="14"/>
      <c r="R241" s="14"/>
    </row>
    <row r="242" spans="1:18">
      <c r="A242" s="8"/>
      <c r="B242" s="14">
        <v>1502</v>
      </c>
      <c r="C242" s="14">
        <v>272</v>
      </c>
      <c r="D242" s="14">
        <v>5</v>
      </c>
      <c r="E242" s="14">
        <v>0</v>
      </c>
      <c r="F242" s="14" t="s">
        <v>307</v>
      </c>
      <c r="G242" s="14"/>
      <c r="H242" s="14">
        <v>35</v>
      </c>
      <c r="I242" s="14">
        <v>50</v>
      </c>
      <c r="J242" s="14">
        <v>120</v>
      </c>
      <c r="K242" s="14">
        <v>1</v>
      </c>
      <c r="L242" s="14">
        <v>1</v>
      </c>
      <c r="M242" s="14">
        <v>0</v>
      </c>
      <c r="N242" s="14">
        <v>1</v>
      </c>
      <c r="O242" s="14">
        <v>999</v>
      </c>
      <c r="P242" s="14"/>
      <c r="Q242" s="14"/>
      <c r="R242" s="14"/>
    </row>
    <row r="243" spans="1:18">
      <c r="A243" s="8"/>
      <c r="B243" s="14">
        <v>1551</v>
      </c>
      <c r="C243" s="14">
        <v>195</v>
      </c>
      <c r="D243" s="14">
        <v>5</v>
      </c>
      <c r="E243" s="14">
        <v>0</v>
      </c>
      <c r="F243" s="14" t="s">
        <v>308</v>
      </c>
      <c r="G243" s="14"/>
      <c r="H243" s="14">
        <v>35</v>
      </c>
      <c r="I243" s="14">
        <v>50</v>
      </c>
      <c r="J243" s="14">
        <v>132</v>
      </c>
      <c r="K243" s="14">
        <v>1</v>
      </c>
      <c r="L243" s="14">
        <v>2</v>
      </c>
      <c r="M243" s="14">
        <v>0</v>
      </c>
      <c r="N243" s="14">
        <v>1</v>
      </c>
      <c r="O243" s="14">
        <v>999</v>
      </c>
      <c r="P243" s="14"/>
      <c r="Q243" s="14"/>
      <c r="R243" s="14"/>
    </row>
    <row r="244" spans="1:18">
      <c r="A244" s="8"/>
      <c r="B244" s="14">
        <v>1552</v>
      </c>
      <c r="C244" s="14">
        <v>218</v>
      </c>
      <c r="D244" s="14">
        <v>5</v>
      </c>
      <c r="E244" s="14">
        <v>0</v>
      </c>
      <c r="F244" s="14" t="s">
        <v>309</v>
      </c>
      <c r="G244" s="14"/>
      <c r="H244" s="14">
        <v>35</v>
      </c>
      <c r="I244" s="14">
        <v>50</v>
      </c>
      <c r="J244" s="14">
        <v>126</v>
      </c>
      <c r="K244" s="14">
        <v>1</v>
      </c>
      <c r="L244" s="14">
        <v>2</v>
      </c>
      <c r="M244" s="14">
        <v>0</v>
      </c>
      <c r="N244" s="14">
        <v>1</v>
      </c>
      <c r="O244" s="14">
        <v>999</v>
      </c>
      <c r="P244" s="14"/>
      <c r="Q244" s="14"/>
      <c r="R244" s="14"/>
    </row>
    <row r="245" spans="1:18">
      <c r="A245" s="8"/>
      <c r="B245" s="14">
        <v>1553</v>
      </c>
      <c r="C245" s="14">
        <v>349</v>
      </c>
      <c r="D245" s="14">
        <v>5</v>
      </c>
      <c r="E245" s="14">
        <v>0</v>
      </c>
      <c r="F245" s="14" t="s">
        <v>310</v>
      </c>
      <c r="G245" s="14"/>
      <c r="H245" s="14">
        <v>35</v>
      </c>
      <c r="I245" s="14">
        <v>50</v>
      </c>
      <c r="J245" s="14">
        <v>129</v>
      </c>
      <c r="K245" s="14">
        <v>1</v>
      </c>
      <c r="L245" s="14">
        <v>2</v>
      </c>
      <c r="M245" s="14">
        <v>0</v>
      </c>
      <c r="N245" s="14">
        <v>1</v>
      </c>
      <c r="O245" s="14">
        <v>999</v>
      </c>
      <c r="P245" s="14"/>
      <c r="Q245" s="14"/>
      <c r="R245" s="14"/>
    </row>
    <row r="246" spans="1:18">
      <c r="A246" s="8"/>
      <c r="B246" s="14">
        <v>1554</v>
      </c>
      <c r="C246" s="14">
        <v>528</v>
      </c>
      <c r="D246" s="14">
        <v>5</v>
      </c>
      <c r="E246" s="14">
        <v>0</v>
      </c>
      <c r="F246" s="14" t="s">
        <v>2283</v>
      </c>
      <c r="G246" s="14"/>
      <c r="H246" s="14">
        <v>35</v>
      </c>
      <c r="I246" s="14">
        <v>50</v>
      </c>
      <c r="J246" s="14">
        <v>129</v>
      </c>
      <c r="K246" s="14">
        <v>1</v>
      </c>
      <c r="L246" s="14">
        <v>2</v>
      </c>
      <c r="M246" s="14">
        <v>0</v>
      </c>
      <c r="N246" s="14">
        <v>1</v>
      </c>
      <c r="O246" s="14">
        <v>999</v>
      </c>
      <c r="P246" s="14"/>
      <c r="Q246" s="14"/>
      <c r="R246" s="14"/>
    </row>
    <row r="247" spans="1:18">
      <c r="A247" s="8"/>
      <c r="B247" s="14">
        <v>1600</v>
      </c>
      <c r="C247" s="14">
        <v>9001</v>
      </c>
      <c r="D247" s="14">
        <v>6</v>
      </c>
      <c r="E247" s="14">
        <v>0</v>
      </c>
      <c r="F247" s="14" t="s">
        <v>1960</v>
      </c>
      <c r="G247" s="14"/>
      <c r="H247" s="14">
        <v>40</v>
      </c>
      <c r="I247" s="14">
        <v>70</v>
      </c>
      <c r="J247" s="14">
        <v>450</v>
      </c>
      <c r="K247" s="14">
        <v>1</v>
      </c>
      <c r="L247" s="14">
        <v>7</v>
      </c>
      <c r="M247" s="14">
        <v>0</v>
      </c>
      <c r="N247" s="14">
        <v>1</v>
      </c>
      <c r="O247" s="14"/>
      <c r="P247" s="14"/>
      <c r="Q247" s="14"/>
      <c r="R247" s="14"/>
    </row>
    <row r="248" spans="1:18">
      <c r="A248" s="8"/>
      <c r="B248" s="14">
        <v>1601</v>
      </c>
      <c r="C248" s="14">
        <v>71</v>
      </c>
      <c r="D248" s="14">
        <v>6</v>
      </c>
      <c r="E248" s="14">
        <v>0</v>
      </c>
      <c r="F248" s="20" t="s">
        <v>2255</v>
      </c>
      <c r="G248" s="14"/>
      <c r="H248" s="14">
        <v>35</v>
      </c>
      <c r="I248" s="14">
        <v>45</v>
      </c>
      <c r="J248" s="14">
        <v>132</v>
      </c>
      <c r="K248" s="14">
        <v>1</v>
      </c>
      <c r="L248" s="14">
        <v>7</v>
      </c>
      <c r="M248" s="14">
        <v>0</v>
      </c>
      <c r="N248" s="14">
        <v>1</v>
      </c>
      <c r="O248" s="14">
        <v>999</v>
      </c>
      <c r="P248" s="14"/>
      <c r="Q248" s="14"/>
      <c r="R248" s="14"/>
    </row>
    <row r="249" spans="1:18">
      <c r="A249" s="8"/>
      <c r="B249" s="14">
        <v>1602</v>
      </c>
      <c r="C249" s="14">
        <v>255</v>
      </c>
      <c r="D249" s="14">
        <v>6</v>
      </c>
      <c r="E249" s="14">
        <v>0</v>
      </c>
      <c r="F249" s="14" t="s">
        <v>2284</v>
      </c>
      <c r="G249" s="14"/>
      <c r="H249" s="14">
        <v>35</v>
      </c>
      <c r="I249" s="14">
        <v>45</v>
      </c>
      <c r="J249" s="14">
        <v>224</v>
      </c>
      <c r="K249" s="14">
        <v>10</v>
      </c>
      <c r="L249" s="14">
        <v>7</v>
      </c>
      <c r="M249" s="14">
        <v>0</v>
      </c>
      <c r="N249" s="14">
        <v>1</v>
      </c>
      <c r="O249" s="14"/>
      <c r="P249" s="14"/>
      <c r="Q249" s="14"/>
      <c r="R249" s="14"/>
    </row>
    <row r="250" spans="1:18">
      <c r="A250" s="8"/>
      <c r="B250" s="14">
        <v>1603</v>
      </c>
      <c r="C250" s="14">
        <v>378</v>
      </c>
      <c r="D250" s="14">
        <v>6</v>
      </c>
      <c r="E250" s="14">
        <v>0</v>
      </c>
      <c r="F250" s="14" t="s">
        <v>2285</v>
      </c>
      <c r="G250" s="14"/>
      <c r="H250" s="14">
        <v>40</v>
      </c>
      <c r="I250" s="14">
        <v>70</v>
      </c>
      <c r="J250" s="14">
        <v>216</v>
      </c>
      <c r="K250" s="14">
        <v>10</v>
      </c>
      <c r="L250" s="14">
        <v>7</v>
      </c>
      <c r="M250" s="14">
        <v>0</v>
      </c>
      <c r="N250" s="14">
        <v>1</v>
      </c>
      <c r="O250" s="14"/>
      <c r="P250" s="14"/>
      <c r="Q250" s="14"/>
      <c r="R250" s="14"/>
    </row>
    <row r="251" spans="1:18">
      <c r="A251" s="8"/>
      <c r="B251" s="14">
        <v>1604</v>
      </c>
      <c r="C251" s="14">
        <v>463</v>
      </c>
      <c r="D251" s="14">
        <v>6</v>
      </c>
      <c r="E251" s="14">
        <v>0</v>
      </c>
      <c r="F251" s="14" t="s">
        <v>875</v>
      </c>
      <c r="G251" s="14"/>
      <c r="H251" s="14">
        <v>40</v>
      </c>
      <c r="I251" s="14">
        <v>70</v>
      </c>
      <c r="J251" s="14">
        <v>232</v>
      </c>
      <c r="K251" s="14">
        <v>10</v>
      </c>
      <c r="L251" s="14">
        <v>3</v>
      </c>
      <c r="M251" s="14">
        <v>0</v>
      </c>
      <c r="N251" s="14">
        <v>1</v>
      </c>
      <c r="O251" s="14"/>
      <c r="P251" s="14"/>
      <c r="Q251" s="14"/>
      <c r="R251" s="14"/>
    </row>
    <row r="252" spans="1:18">
      <c r="A252" s="8"/>
      <c r="B252" s="14">
        <v>1605</v>
      </c>
      <c r="C252" s="14">
        <v>472</v>
      </c>
      <c r="D252" s="14">
        <v>6</v>
      </c>
      <c r="E252" s="14">
        <v>0</v>
      </c>
      <c r="F252" s="14" t="s">
        <v>2286</v>
      </c>
      <c r="G252" s="14"/>
      <c r="H252" s="14">
        <v>40</v>
      </c>
      <c r="I252" s="14">
        <v>70</v>
      </c>
      <c r="J252" s="14">
        <v>200</v>
      </c>
      <c r="K252" s="14">
        <v>10</v>
      </c>
      <c r="L252" s="14">
        <v>7</v>
      </c>
      <c r="M252" s="14">
        <v>0</v>
      </c>
      <c r="N252" s="14">
        <v>1</v>
      </c>
      <c r="O252" s="14"/>
      <c r="P252" s="14"/>
      <c r="Q252" s="14"/>
      <c r="R252" s="14"/>
    </row>
    <row r="253" spans="1:18">
      <c r="A253" s="8"/>
      <c r="B253" s="14">
        <v>1700</v>
      </c>
      <c r="C253" s="14">
        <v>9006</v>
      </c>
      <c r="D253" s="14">
        <v>7</v>
      </c>
      <c r="E253" s="14">
        <v>0</v>
      </c>
      <c r="F253" s="14" t="s">
        <v>527</v>
      </c>
      <c r="G253" s="14"/>
      <c r="H253" s="14">
        <v>10</v>
      </c>
      <c r="I253" s="14">
        <v>20</v>
      </c>
      <c r="J253" s="14">
        <v>450</v>
      </c>
      <c r="K253" s="14">
        <v>1</v>
      </c>
      <c r="L253" s="14">
        <v>7</v>
      </c>
      <c r="M253" s="14">
        <v>0</v>
      </c>
      <c r="N253" s="14">
        <v>1</v>
      </c>
      <c r="O253" s="14"/>
      <c r="P253" s="14"/>
      <c r="Q253" s="14"/>
      <c r="R253" s="14"/>
    </row>
    <row r="254" spans="1:18">
      <c r="A254" s="8"/>
      <c r="B254" s="14">
        <v>1701</v>
      </c>
      <c r="C254" s="14">
        <v>463</v>
      </c>
      <c r="D254" s="14">
        <v>7</v>
      </c>
      <c r="E254" s="14">
        <v>0</v>
      </c>
      <c r="F254" s="14" t="s">
        <v>875</v>
      </c>
      <c r="G254" s="14"/>
      <c r="H254" s="14">
        <v>30</v>
      </c>
      <c r="I254" s="14">
        <v>30</v>
      </c>
      <c r="J254" s="14">
        <v>0</v>
      </c>
      <c r="K254" s="14">
        <v>1</v>
      </c>
      <c r="L254" s="14">
        <v>3</v>
      </c>
      <c r="M254" s="14">
        <v>0</v>
      </c>
      <c r="N254" s="14">
        <v>1</v>
      </c>
      <c r="O254" s="14"/>
      <c r="P254" s="14"/>
      <c r="Q254" s="14"/>
      <c r="R254" s="14"/>
    </row>
    <row r="255" spans="1:18">
      <c r="A255" s="8"/>
      <c r="B255" s="14">
        <v>1702</v>
      </c>
      <c r="C255" s="14">
        <v>483</v>
      </c>
      <c r="D255" s="14">
        <v>7</v>
      </c>
      <c r="E255" s="14">
        <v>0</v>
      </c>
      <c r="F255" s="14" t="s">
        <v>2269</v>
      </c>
      <c r="G255" s="14"/>
      <c r="H255" s="14">
        <v>30</v>
      </c>
      <c r="I255" s="14">
        <v>30</v>
      </c>
      <c r="J255" s="14">
        <v>0</v>
      </c>
      <c r="K255" s="14">
        <v>1</v>
      </c>
      <c r="L255" s="14">
        <v>7</v>
      </c>
      <c r="M255" s="14">
        <v>0</v>
      </c>
      <c r="N255" s="14">
        <v>1</v>
      </c>
      <c r="O255" s="14"/>
      <c r="P255" s="14"/>
      <c r="Q255" s="14"/>
      <c r="R255" s="14"/>
    </row>
    <row r="256" spans="1:18">
      <c r="A256" s="8"/>
      <c r="B256" s="14">
        <v>2001</v>
      </c>
      <c r="C256" s="14">
        <v>378</v>
      </c>
      <c r="D256" s="14">
        <v>10</v>
      </c>
      <c r="E256" s="14">
        <v>0</v>
      </c>
      <c r="F256" s="14" t="s">
        <v>2285</v>
      </c>
      <c r="G256" s="14"/>
      <c r="H256" s="14">
        <v>20</v>
      </c>
      <c r="I256" s="14">
        <v>30</v>
      </c>
      <c r="J256" s="14">
        <v>216</v>
      </c>
      <c r="K256" s="14">
        <v>1</v>
      </c>
      <c r="L256" s="14">
        <v>7</v>
      </c>
      <c r="M256" s="14">
        <v>0</v>
      </c>
      <c r="N256" s="14">
        <v>1</v>
      </c>
      <c r="O256" s="14"/>
      <c r="P256" s="14"/>
      <c r="Q256" s="14"/>
      <c r="R256" s="14"/>
    </row>
    <row r="257" spans="1:18">
      <c r="A257" s="8"/>
      <c r="B257" s="14">
        <v>2002</v>
      </c>
      <c r="C257" s="14">
        <v>157</v>
      </c>
      <c r="D257" s="14">
        <v>10</v>
      </c>
      <c r="E257" s="14">
        <v>0</v>
      </c>
      <c r="F257" s="14" t="s">
        <v>313</v>
      </c>
      <c r="G257" s="14"/>
      <c r="H257" s="14">
        <v>20</v>
      </c>
      <c r="I257" s="14">
        <v>30</v>
      </c>
      <c r="J257" s="14">
        <v>216</v>
      </c>
      <c r="K257" s="14">
        <v>10</v>
      </c>
      <c r="L257" s="14">
        <v>6</v>
      </c>
      <c r="M257" s="14">
        <v>0</v>
      </c>
      <c r="N257" s="14">
        <v>1</v>
      </c>
      <c r="O257" s="14"/>
      <c r="P257" s="14"/>
      <c r="Q257" s="14"/>
      <c r="R257" s="14"/>
    </row>
    <row r="258" spans="1:18">
      <c r="A258" s="8"/>
      <c r="B258" s="14">
        <v>2003</v>
      </c>
      <c r="C258" s="14">
        <v>346</v>
      </c>
      <c r="D258" s="14">
        <v>10</v>
      </c>
      <c r="E258" s="14">
        <v>0</v>
      </c>
      <c r="F258" s="14" t="s">
        <v>314</v>
      </c>
      <c r="G258" s="14"/>
      <c r="H258" s="14">
        <v>20</v>
      </c>
      <c r="I258" s="14">
        <v>30</v>
      </c>
      <c r="J258" s="14">
        <v>200</v>
      </c>
      <c r="K258" s="14">
        <v>10</v>
      </c>
      <c r="L258" s="14">
        <v>7</v>
      </c>
      <c r="M258" s="14">
        <v>0</v>
      </c>
      <c r="N258" s="14">
        <v>1</v>
      </c>
      <c r="O258" s="14"/>
      <c r="P258" s="14"/>
      <c r="Q258" s="14"/>
      <c r="R258" s="14"/>
    </row>
    <row r="259" spans="1:18">
      <c r="A259" s="8"/>
      <c r="B259" s="14">
        <v>2004</v>
      </c>
      <c r="C259" s="14">
        <v>479</v>
      </c>
      <c r="D259" s="14">
        <v>10</v>
      </c>
      <c r="E259" s="14">
        <v>0</v>
      </c>
      <c r="F259" s="14" t="s">
        <v>2287</v>
      </c>
      <c r="G259" s="14"/>
      <c r="H259" s="14">
        <v>20</v>
      </c>
      <c r="I259" s="14">
        <v>30</v>
      </c>
      <c r="J259" s="14">
        <v>216</v>
      </c>
      <c r="K259" s="14">
        <v>1</v>
      </c>
      <c r="L259" s="14">
        <v>7</v>
      </c>
      <c r="M259" s="14">
        <v>0</v>
      </c>
      <c r="N259" s="14">
        <v>1</v>
      </c>
      <c r="O259" s="14"/>
      <c r="P259" s="14"/>
      <c r="Q259" s="14"/>
      <c r="R259" s="14"/>
    </row>
    <row r="260" spans="1:18">
      <c r="A260" s="8"/>
      <c r="B260" s="14">
        <v>2005</v>
      </c>
      <c r="C260" s="14">
        <v>8001</v>
      </c>
      <c r="D260" s="14">
        <v>10</v>
      </c>
      <c r="E260" s="14">
        <v>0</v>
      </c>
      <c r="F260" s="14" t="s">
        <v>1636</v>
      </c>
      <c r="G260" s="14"/>
      <c r="H260" s="14">
        <v>30</v>
      </c>
      <c r="I260" s="14">
        <v>30</v>
      </c>
      <c r="J260" s="14">
        <v>1</v>
      </c>
      <c r="K260" s="14">
        <v>1</v>
      </c>
      <c r="L260" s="14">
        <v>7</v>
      </c>
      <c r="M260" s="14">
        <v>0</v>
      </c>
      <c r="N260" s="14">
        <v>1</v>
      </c>
      <c r="O260" s="14"/>
      <c r="P260" s="14"/>
      <c r="Q260" s="14">
        <v>1</v>
      </c>
      <c r="R260" s="14">
        <v>2</v>
      </c>
    </row>
    <row r="261" spans="1:18">
      <c r="A261" s="8"/>
      <c r="B261" s="14">
        <v>2006</v>
      </c>
      <c r="C261" s="14">
        <v>510</v>
      </c>
      <c r="D261" s="14">
        <v>10</v>
      </c>
      <c r="E261" s="14">
        <v>0</v>
      </c>
      <c r="F261" s="14" t="s">
        <v>2271</v>
      </c>
      <c r="G261" s="14"/>
      <c r="H261" s="14">
        <v>20</v>
      </c>
      <c r="I261" s="14">
        <v>30</v>
      </c>
      <c r="J261" s="14">
        <v>216</v>
      </c>
      <c r="K261" s="14">
        <v>1</v>
      </c>
      <c r="L261" s="14">
        <v>7</v>
      </c>
      <c r="M261" s="14">
        <v>0</v>
      </c>
      <c r="N261" s="14">
        <v>1</v>
      </c>
      <c r="O261" s="14"/>
      <c r="P261" s="14"/>
      <c r="Q261" s="14"/>
      <c r="R261" s="14"/>
    </row>
    <row r="262" spans="1:18">
      <c r="A262" s="8"/>
      <c r="B262" s="14">
        <v>2007</v>
      </c>
      <c r="C262" s="14">
        <v>517</v>
      </c>
      <c r="D262" s="14">
        <v>10</v>
      </c>
      <c r="E262" s="14">
        <v>0</v>
      </c>
      <c r="F262" s="14" t="s">
        <v>2288</v>
      </c>
      <c r="G262" s="14"/>
      <c r="H262" s="14">
        <v>20</v>
      </c>
      <c r="I262" s="14">
        <v>30</v>
      </c>
      <c r="J262" s="14">
        <v>208</v>
      </c>
      <c r="K262" s="14">
        <v>10</v>
      </c>
      <c r="L262" s="14">
        <v>7</v>
      </c>
      <c r="M262" s="14">
        <v>0</v>
      </c>
      <c r="N262" s="14">
        <v>0</v>
      </c>
      <c r="O262" s="14"/>
      <c r="P262" s="14"/>
      <c r="Q262" s="14"/>
      <c r="R262" s="14"/>
    </row>
    <row r="263" spans="1:18">
      <c r="A263" s="8"/>
      <c r="B263" s="14">
        <v>2051</v>
      </c>
      <c r="C263" s="14">
        <v>226</v>
      </c>
      <c r="D263" s="14">
        <v>10</v>
      </c>
      <c r="E263" s="14">
        <v>0</v>
      </c>
      <c r="F263" s="20" t="s">
        <v>2289</v>
      </c>
      <c r="G263" s="14"/>
      <c r="H263" s="14">
        <v>20</v>
      </c>
      <c r="I263" s="14">
        <v>30</v>
      </c>
      <c r="J263" s="14">
        <v>123</v>
      </c>
      <c r="K263" s="14">
        <v>1</v>
      </c>
      <c r="L263" s="14">
        <v>7</v>
      </c>
      <c r="M263" s="14">
        <v>0</v>
      </c>
      <c r="N263" s="14">
        <v>1</v>
      </c>
      <c r="O263" s="14">
        <v>999</v>
      </c>
      <c r="P263" s="14"/>
      <c r="Q263" s="14"/>
      <c r="R263" s="14"/>
    </row>
    <row r="264" spans="1:18">
      <c r="A264" s="8"/>
      <c r="B264" s="14">
        <v>2052</v>
      </c>
      <c r="C264" s="14">
        <v>163</v>
      </c>
      <c r="D264" s="14">
        <v>10</v>
      </c>
      <c r="E264" s="14">
        <v>0</v>
      </c>
      <c r="F264" s="20" t="s">
        <v>2290</v>
      </c>
      <c r="G264" s="14"/>
      <c r="H264" s="14">
        <v>20</v>
      </c>
      <c r="I264" s="14">
        <v>30</v>
      </c>
      <c r="J264" s="14">
        <v>123</v>
      </c>
      <c r="K264" s="14">
        <v>1</v>
      </c>
      <c r="L264" s="14">
        <v>7</v>
      </c>
      <c r="M264" s="14">
        <v>0</v>
      </c>
      <c r="N264" s="14">
        <v>1</v>
      </c>
      <c r="O264" s="14">
        <v>999</v>
      </c>
      <c r="P264" s="14"/>
      <c r="Q264" s="14"/>
      <c r="R264" s="14"/>
    </row>
    <row r="265" spans="1:18">
      <c r="A265" s="8"/>
      <c r="B265" s="14">
        <v>2053</v>
      </c>
      <c r="C265" s="14">
        <v>228</v>
      </c>
      <c r="D265" s="14">
        <v>10</v>
      </c>
      <c r="E265" s="14">
        <v>0</v>
      </c>
      <c r="F265" s="20" t="s">
        <v>2291</v>
      </c>
      <c r="G265" s="14"/>
      <c r="H265" s="14">
        <v>20</v>
      </c>
      <c r="I265" s="14">
        <v>30</v>
      </c>
      <c r="J265" s="14">
        <v>132</v>
      </c>
      <c r="K265" s="14">
        <v>1</v>
      </c>
      <c r="L265" s="14">
        <v>7</v>
      </c>
      <c r="M265" s="14">
        <v>0</v>
      </c>
      <c r="N265" s="14">
        <v>1</v>
      </c>
      <c r="O265" s="14">
        <v>999</v>
      </c>
      <c r="P265" s="14"/>
      <c r="Q265" s="14"/>
      <c r="R265" s="14"/>
    </row>
    <row r="266" spans="1:18">
      <c r="A266" s="8"/>
      <c r="B266" s="14">
        <v>2201</v>
      </c>
      <c r="C266" s="14">
        <v>321</v>
      </c>
      <c r="D266" s="14">
        <v>12</v>
      </c>
      <c r="E266" s="14">
        <v>0</v>
      </c>
      <c r="F266" s="20" t="s">
        <v>2256</v>
      </c>
      <c r="G266" s="14"/>
      <c r="H266" s="14">
        <v>50</v>
      </c>
      <c r="I266" s="14">
        <v>50</v>
      </c>
      <c r="J266" s="14">
        <v>0</v>
      </c>
      <c r="K266" s="14">
        <v>1</v>
      </c>
      <c r="L266" s="14">
        <v>7</v>
      </c>
      <c r="M266" s="14">
        <v>0</v>
      </c>
      <c r="N266" s="14">
        <v>1</v>
      </c>
      <c r="O266" s="14">
        <v>999</v>
      </c>
      <c r="P266" s="14"/>
      <c r="Q266" s="14"/>
      <c r="R266" s="14"/>
    </row>
    <row r="267" spans="1:18">
      <c r="A267" s="8"/>
      <c r="B267" s="14">
        <v>2300</v>
      </c>
      <c r="C267" s="14">
        <v>9003</v>
      </c>
      <c r="D267" s="14">
        <v>13</v>
      </c>
      <c r="E267" s="14">
        <v>0</v>
      </c>
      <c r="F267" s="14" t="s">
        <v>1648</v>
      </c>
      <c r="G267" s="14"/>
      <c r="H267" s="14">
        <v>15</v>
      </c>
      <c r="I267" s="14">
        <v>15</v>
      </c>
      <c r="J267" s="14">
        <v>0</v>
      </c>
      <c r="K267" s="14">
        <v>1</v>
      </c>
      <c r="L267" s="14">
        <v>0</v>
      </c>
      <c r="M267" s="14">
        <v>0</v>
      </c>
      <c r="N267" s="14">
        <v>0</v>
      </c>
      <c r="O267" s="14"/>
      <c r="P267" s="14"/>
      <c r="Q267" s="14"/>
      <c r="R267" s="14"/>
    </row>
    <row r="268" spans="1:18">
      <c r="A268" s="8"/>
      <c r="B268" s="14">
        <v>2301</v>
      </c>
      <c r="C268" s="14">
        <v>123</v>
      </c>
      <c r="D268" s="14">
        <v>13</v>
      </c>
      <c r="E268" s="14">
        <v>0</v>
      </c>
      <c r="F268" s="14" t="s">
        <v>2292</v>
      </c>
      <c r="G268" s="14"/>
      <c r="H268" s="14">
        <v>10</v>
      </c>
      <c r="I268" s="14">
        <v>15</v>
      </c>
      <c r="J268" s="14">
        <v>117</v>
      </c>
      <c r="K268" s="14">
        <v>1</v>
      </c>
      <c r="L268" s="14">
        <v>0</v>
      </c>
      <c r="M268" s="14">
        <v>0</v>
      </c>
      <c r="N268" s="14">
        <v>0</v>
      </c>
      <c r="O268" s="14">
        <v>999</v>
      </c>
      <c r="P268" s="14"/>
      <c r="Q268" s="14"/>
      <c r="R268" s="14"/>
    </row>
    <row r="269" spans="1:18">
      <c r="A269" s="8"/>
      <c r="B269" s="14">
        <v>2302</v>
      </c>
      <c r="C269" s="14">
        <v>194</v>
      </c>
      <c r="D269" s="14">
        <v>13</v>
      </c>
      <c r="E269" s="14">
        <v>0</v>
      </c>
      <c r="F269" s="14" t="s">
        <v>1396</v>
      </c>
      <c r="G269" s="14"/>
      <c r="H269" s="14">
        <v>10</v>
      </c>
      <c r="I269" s="14">
        <v>15</v>
      </c>
      <c r="J269" s="14">
        <v>117</v>
      </c>
      <c r="K269" s="14">
        <v>1</v>
      </c>
      <c r="L269" s="14">
        <v>0</v>
      </c>
      <c r="M269" s="14">
        <v>0</v>
      </c>
      <c r="N269" s="14">
        <v>0</v>
      </c>
      <c r="O269" s="14">
        <v>999</v>
      </c>
      <c r="P269" s="14"/>
      <c r="Q269" s="14"/>
      <c r="R269" s="14"/>
    </row>
    <row r="270" spans="1:18">
      <c r="A270" s="8"/>
      <c r="B270" s="14">
        <v>2401</v>
      </c>
      <c r="C270" s="14">
        <v>293</v>
      </c>
      <c r="D270" s="14">
        <v>14</v>
      </c>
      <c r="E270" s="14">
        <v>0</v>
      </c>
      <c r="F270" s="14" t="s">
        <v>1922</v>
      </c>
      <c r="G270" s="14"/>
      <c r="H270" s="14">
        <v>0</v>
      </c>
      <c r="I270" s="14">
        <v>0</v>
      </c>
      <c r="J270" s="14">
        <v>0</v>
      </c>
      <c r="K270" s="14">
        <v>1</v>
      </c>
      <c r="L270" s="14">
        <v>4</v>
      </c>
      <c r="M270" s="14">
        <v>0</v>
      </c>
      <c r="N270" s="14">
        <v>2</v>
      </c>
      <c r="O270" s="14"/>
      <c r="P270" s="14"/>
      <c r="Q270" s="14"/>
      <c r="R270" s="14"/>
    </row>
    <row r="271" spans="1:18">
      <c r="A271" s="8"/>
      <c r="B271" s="14">
        <v>2501</v>
      </c>
      <c r="C271" s="14">
        <v>275</v>
      </c>
      <c r="D271" s="14">
        <v>15</v>
      </c>
      <c r="E271" s="14">
        <v>0</v>
      </c>
      <c r="F271" s="14" t="s">
        <v>318</v>
      </c>
      <c r="G271" s="14"/>
      <c r="H271" s="14">
        <v>0</v>
      </c>
      <c r="I271" s="14">
        <v>0</v>
      </c>
      <c r="J271" s="14">
        <v>0</v>
      </c>
      <c r="K271" s="14">
        <v>1</v>
      </c>
      <c r="L271" s="14">
        <v>1</v>
      </c>
      <c r="M271" s="14">
        <v>0</v>
      </c>
      <c r="N271" s="14">
        <v>2</v>
      </c>
      <c r="O271" s="14">
        <v>999</v>
      </c>
      <c r="P271" s="14"/>
      <c r="Q271" s="14"/>
      <c r="R271" s="14"/>
    </row>
    <row r="272" spans="1:18">
      <c r="A272" s="8"/>
      <c r="B272" s="14">
        <v>2502</v>
      </c>
      <c r="C272" s="14">
        <v>380</v>
      </c>
      <c r="D272" s="14">
        <v>15</v>
      </c>
      <c r="E272" s="14">
        <v>0</v>
      </c>
      <c r="F272" s="14" t="s">
        <v>319</v>
      </c>
      <c r="G272" s="14"/>
      <c r="H272" s="14">
        <v>0</v>
      </c>
      <c r="I272" s="14">
        <v>0</v>
      </c>
      <c r="J272" s="14">
        <v>0</v>
      </c>
      <c r="K272" s="14">
        <v>1</v>
      </c>
      <c r="L272" s="14">
        <v>1</v>
      </c>
      <c r="M272" s="14">
        <v>0</v>
      </c>
      <c r="N272" s="14">
        <v>2</v>
      </c>
      <c r="O272" s="14">
        <v>999</v>
      </c>
      <c r="P272" s="14"/>
      <c r="Q272" s="14"/>
      <c r="R272" s="14"/>
    </row>
    <row r="273" spans="1:18">
      <c r="A273" s="8"/>
      <c r="B273" s="14">
        <v>2503</v>
      </c>
      <c r="C273" s="14">
        <v>265</v>
      </c>
      <c r="D273" s="14">
        <v>15</v>
      </c>
      <c r="E273" s="14">
        <v>0</v>
      </c>
      <c r="F273" s="14" t="s">
        <v>320</v>
      </c>
      <c r="G273" s="14"/>
      <c r="H273" s="14">
        <v>0</v>
      </c>
      <c r="I273" s="14">
        <v>0</v>
      </c>
      <c r="J273" s="14">
        <v>0</v>
      </c>
      <c r="K273" s="14">
        <v>1</v>
      </c>
      <c r="L273" s="14">
        <v>2</v>
      </c>
      <c r="M273" s="14">
        <v>0</v>
      </c>
      <c r="N273" s="14">
        <v>2</v>
      </c>
      <c r="O273" s="14">
        <v>999</v>
      </c>
      <c r="P273" s="14"/>
      <c r="Q273" s="14"/>
      <c r="R273" s="14"/>
    </row>
    <row r="274" spans="1:18">
      <c r="A274" s="8"/>
      <c r="B274" s="14">
        <v>2504</v>
      </c>
      <c r="C274" s="14">
        <v>417</v>
      </c>
      <c r="D274" s="14">
        <v>15</v>
      </c>
      <c r="E274" s="14">
        <v>0</v>
      </c>
      <c r="F274" s="14" t="s">
        <v>2293</v>
      </c>
      <c r="G274" s="14"/>
      <c r="H274" s="14">
        <v>0</v>
      </c>
      <c r="I274" s="14">
        <v>0</v>
      </c>
      <c r="J274" s="14">
        <v>0</v>
      </c>
      <c r="K274" s="14">
        <v>1</v>
      </c>
      <c r="L274" s="14">
        <v>1</v>
      </c>
      <c r="M274" s="14">
        <v>0</v>
      </c>
      <c r="N274" s="14">
        <v>2</v>
      </c>
      <c r="O274" s="14">
        <v>999</v>
      </c>
      <c r="P274" s="14"/>
      <c r="Q274" s="14"/>
      <c r="R274" s="14"/>
    </row>
    <row r="275" spans="1:18">
      <c r="A275" s="8"/>
      <c r="B275" s="14">
        <v>2601</v>
      </c>
      <c r="C275" s="14">
        <v>331</v>
      </c>
      <c r="D275" s="14">
        <v>16</v>
      </c>
      <c r="E275" s="14">
        <v>0</v>
      </c>
      <c r="F275" s="14" t="s">
        <v>1926</v>
      </c>
      <c r="G275" s="14"/>
      <c r="H275" s="14">
        <v>5</v>
      </c>
      <c r="I275" s="14">
        <v>5</v>
      </c>
      <c r="J275" s="14">
        <v>0</v>
      </c>
      <c r="K275" s="14">
        <v>1</v>
      </c>
      <c r="L275" s="14">
        <v>7</v>
      </c>
      <c r="M275" s="14">
        <v>0</v>
      </c>
      <c r="N275" s="14">
        <v>1</v>
      </c>
      <c r="O275" s="14"/>
      <c r="P275" s="14"/>
      <c r="Q275" s="14"/>
      <c r="R275" s="14"/>
    </row>
    <row r="276" spans="1:18">
      <c r="A276" s="8"/>
      <c r="B276" s="14">
        <v>2602</v>
      </c>
      <c r="C276" s="14">
        <v>384</v>
      </c>
      <c r="D276" s="14">
        <v>16</v>
      </c>
      <c r="E276" s="14">
        <v>0</v>
      </c>
      <c r="F276" s="14" t="s">
        <v>1937</v>
      </c>
      <c r="G276" s="14"/>
      <c r="H276" s="14">
        <v>5</v>
      </c>
      <c r="I276" s="14">
        <v>5</v>
      </c>
      <c r="J276" s="14">
        <v>0</v>
      </c>
      <c r="K276" s="14">
        <v>1</v>
      </c>
      <c r="L276" s="14">
        <v>7</v>
      </c>
      <c r="M276" s="14">
        <v>0</v>
      </c>
      <c r="N276" s="14">
        <v>1</v>
      </c>
      <c r="O276" s="14"/>
      <c r="P276" s="14"/>
      <c r="Q276" s="14"/>
      <c r="R276" s="14"/>
    </row>
    <row r="277" spans="1:18">
      <c r="A277" s="8"/>
      <c r="B277" s="14">
        <v>2603</v>
      </c>
      <c r="C277" s="14">
        <v>425</v>
      </c>
      <c r="D277" s="14">
        <v>16</v>
      </c>
      <c r="E277" s="14">
        <v>0</v>
      </c>
      <c r="F277" s="14" t="s">
        <v>866</v>
      </c>
      <c r="G277" s="14"/>
      <c r="H277" s="14">
        <v>5</v>
      </c>
      <c r="I277" s="14">
        <v>5</v>
      </c>
      <c r="J277" s="14">
        <v>0</v>
      </c>
      <c r="K277" s="14">
        <v>1</v>
      </c>
      <c r="L277" s="14">
        <v>7</v>
      </c>
      <c r="M277" s="14">
        <v>0</v>
      </c>
      <c r="N277" s="14">
        <v>1</v>
      </c>
      <c r="O277" s="14"/>
      <c r="P277" s="14"/>
      <c r="Q277" s="14"/>
      <c r="R277" s="14"/>
    </row>
    <row r="278" spans="1:18">
      <c r="A278" s="8"/>
      <c r="B278" s="14">
        <v>2604</v>
      </c>
      <c r="C278" s="14">
        <v>8003</v>
      </c>
      <c r="D278" s="14">
        <v>16</v>
      </c>
      <c r="E278" s="14">
        <v>0</v>
      </c>
      <c r="F278" s="14" t="s">
        <v>2059</v>
      </c>
      <c r="G278" s="14"/>
      <c r="H278" s="14">
        <v>3</v>
      </c>
      <c r="I278" s="14">
        <v>3</v>
      </c>
      <c r="J278" s="14">
        <v>0</v>
      </c>
      <c r="K278" s="14">
        <v>1</v>
      </c>
      <c r="L278" s="14">
        <v>7</v>
      </c>
      <c r="M278" s="14">
        <v>0</v>
      </c>
      <c r="N278" s="14">
        <v>1</v>
      </c>
      <c r="O278" s="14"/>
      <c r="P278" s="14"/>
      <c r="Q278" s="14">
        <v>1</v>
      </c>
      <c r="R278" s="14">
        <v>2</v>
      </c>
    </row>
    <row r="279" spans="1:18">
      <c r="A279" s="8"/>
      <c r="B279" s="14">
        <v>2605</v>
      </c>
      <c r="C279" s="14">
        <v>8004</v>
      </c>
      <c r="D279" s="14">
        <v>16</v>
      </c>
      <c r="E279" s="14">
        <v>0</v>
      </c>
      <c r="F279" s="14" t="s">
        <v>2344</v>
      </c>
      <c r="G279" s="14"/>
      <c r="H279" s="14">
        <v>3</v>
      </c>
      <c r="I279" s="14">
        <v>3</v>
      </c>
      <c r="J279" s="14">
        <v>0</v>
      </c>
      <c r="K279" s="14">
        <v>1</v>
      </c>
      <c r="L279" s="14">
        <v>7</v>
      </c>
      <c r="M279" s="14">
        <v>0</v>
      </c>
      <c r="N279" s="14">
        <v>1</v>
      </c>
      <c r="O279" s="14"/>
      <c r="P279" s="14"/>
      <c r="Q279" s="14">
        <v>1</v>
      </c>
      <c r="R279" s="14">
        <v>2</v>
      </c>
    </row>
    <row r="280" spans="1:18">
      <c r="A280" s="8"/>
      <c r="B280" s="14">
        <v>2701</v>
      </c>
      <c r="C280" s="14">
        <v>189</v>
      </c>
      <c r="D280" s="14">
        <v>17</v>
      </c>
      <c r="E280" s="14">
        <v>0</v>
      </c>
      <c r="F280" s="14" t="s">
        <v>528</v>
      </c>
      <c r="G280" s="14"/>
      <c r="H280" s="14">
        <v>2</v>
      </c>
      <c r="I280" s="14">
        <v>3</v>
      </c>
      <c r="J280" s="14">
        <v>129</v>
      </c>
      <c r="K280" s="14">
        <v>1</v>
      </c>
      <c r="L280" s="14">
        <v>7</v>
      </c>
      <c r="M280" s="14">
        <v>0</v>
      </c>
      <c r="N280" s="14">
        <v>1</v>
      </c>
      <c r="O280" s="14"/>
      <c r="P280" s="14"/>
      <c r="Q280" s="14"/>
      <c r="R280" s="14"/>
    </row>
    <row r="281" spans="1:18">
      <c r="A281" s="8"/>
      <c r="B281" s="14">
        <v>2702</v>
      </c>
      <c r="C281" s="14">
        <v>255</v>
      </c>
      <c r="D281" s="14">
        <v>17</v>
      </c>
      <c r="E281" s="14">
        <v>0</v>
      </c>
      <c r="F281" s="14" t="s">
        <v>311</v>
      </c>
      <c r="G281" s="14"/>
      <c r="H281" s="14">
        <v>2</v>
      </c>
      <c r="I281" s="14">
        <v>2</v>
      </c>
      <c r="J281" s="14">
        <v>0</v>
      </c>
      <c r="K281" s="14">
        <v>1</v>
      </c>
      <c r="L281" s="14">
        <v>7</v>
      </c>
      <c r="M281" s="14">
        <v>0</v>
      </c>
      <c r="N281" s="14">
        <v>1</v>
      </c>
      <c r="O281" s="14"/>
      <c r="P281" s="14"/>
      <c r="Q281" s="14"/>
      <c r="R281" s="14"/>
    </row>
    <row r="282" spans="1:18">
      <c r="A282" s="8"/>
      <c r="B282" s="14">
        <v>2703</v>
      </c>
      <c r="C282" s="14">
        <v>236</v>
      </c>
      <c r="D282" s="14">
        <v>17</v>
      </c>
      <c r="E282" s="14">
        <v>0</v>
      </c>
      <c r="F282" s="14" t="s">
        <v>529</v>
      </c>
      <c r="G282" s="14"/>
      <c r="H282" s="14">
        <v>2</v>
      </c>
      <c r="I282" s="14">
        <v>3</v>
      </c>
      <c r="J282" s="14">
        <v>208</v>
      </c>
      <c r="K282" s="14">
        <v>1</v>
      </c>
      <c r="L282" s="14">
        <v>7</v>
      </c>
      <c r="M282" s="14">
        <v>0</v>
      </c>
      <c r="N282" s="14">
        <v>1</v>
      </c>
      <c r="O282" s="14"/>
      <c r="P282" s="14"/>
      <c r="Q282" s="14"/>
      <c r="R282" s="14"/>
    </row>
    <row r="283" spans="1:18">
      <c r="A283" s="8"/>
      <c r="B283" s="14">
        <v>3300</v>
      </c>
      <c r="C283" s="14">
        <v>9007</v>
      </c>
      <c r="D283" s="14">
        <v>23</v>
      </c>
      <c r="E283" s="14">
        <v>0</v>
      </c>
      <c r="F283" s="14" t="s">
        <v>1649</v>
      </c>
      <c r="G283" s="14"/>
      <c r="H283" s="14">
        <v>3</v>
      </c>
      <c r="I283" s="14">
        <v>3</v>
      </c>
      <c r="J283" s="14">
        <v>0</v>
      </c>
      <c r="K283" s="14">
        <v>1</v>
      </c>
      <c r="L283" s="14">
        <v>7</v>
      </c>
      <c r="M283" s="14">
        <v>0</v>
      </c>
      <c r="N283" s="14">
        <v>1</v>
      </c>
      <c r="O283" s="14"/>
      <c r="P283" s="14"/>
      <c r="Q283" s="14"/>
      <c r="R283" s="14"/>
    </row>
    <row r="284" spans="1:18">
      <c r="A284" s="8"/>
      <c r="B284" s="14">
        <v>3301</v>
      </c>
      <c r="C284" s="14">
        <v>22</v>
      </c>
      <c r="D284" s="14">
        <v>23</v>
      </c>
      <c r="E284" s="14">
        <v>0</v>
      </c>
      <c r="F284" s="14" t="s">
        <v>2257</v>
      </c>
      <c r="G284" s="14"/>
      <c r="H284" s="14">
        <v>3</v>
      </c>
      <c r="I284" s="14">
        <v>3</v>
      </c>
      <c r="J284" s="14">
        <v>0</v>
      </c>
      <c r="K284" s="14">
        <v>1</v>
      </c>
      <c r="L284" s="14">
        <v>7</v>
      </c>
      <c r="M284" s="14">
        <v>0</v>
      </c>
      <c r="N284" s="14">
        <v>1</v>
      </c>
      <c r="O284" s="14">
        <v>999</v>
      </c>
      <c r="P284" s="14"/>
      <c r="Q284" s="14"/>
      <c r="R284" s="14"/>
    </row>
    <row r="285" spans="1:18">
      <c r="A285" s="8"/>
      <c r="B285" s="14">
        <v>3302</v>
      </c>
      <c r="C285" s="14">
        <v>33</v>
      </c>
      <c r="D285" s="14">
        <v>23</v>
      </c>
      <c r="E285" s="14">
        <v>0</v>
      </c>
      <c r="F285" s="14" t="s">
        <v>1422</v>
      </c>
      <c r="G285" s="14"/>
      <c r="H285" s="14">
        <v>3</v>
      </c>
      <c r="I285" s="14">
        <v>3</v>
      </c>
      <c r="J285" s="14">
        <v>0</v>
      </c>
      <c r="K285" s="14">
        <v>1</v>
      </c>
      <c r="L285" s="14">
        <v>7</v>
      </c>
      <c r="M285" s="14">
        <v>0</v>
      </c>
      <c r="N285" s="14">
        <v>1</v>
      </c>
      <c r="O285" s="14">
        <v>999</v>
      </c>
      <c r="P285" s="14"/>
      <c r="Q285" s="14"/>
      <c r="R285" s="14"/>
    </row>
    <row r="286" spans="1:18">
      <c r="A286" s="8"/>
      <c r="B286" s="14">
        <v>3303</v>
      </c>
      <c r="C286" s="14">
        <v>113</v>
      </c>
      <c r="D286" s="14">
        <v>23</v>
      </c>
      <c r="E286" s="14">
        <v>0</v>
      </c>
      <c r="F286" s="14" t="s">
        <v>1446</v>
      </c>
      <c r="G286" s="14"/>
      <c r="H286" s="14">
        <v>2</v>
      </c>
      <c r="I286" s="14">
        <v>2</v>
      </c>
      <c r="J286" s="14">
        <v>0</v>
      </c>
      <c r="K286" s="14">
        <v>1</v>
      </c>
      <c r="L286" s="14">
        <v>7</v>
      </c>
      <c r="M286" s="14">
        <v>0</v>
      </c>
      <c r="N286" s="14">
        <v>1</v>
      </c>
      <c r="O286" s="14">
        <v>999</v>
      </c>
      <c r="P286" s="14"/>
      <c r="Q286" s="14"/>
      <c r="R286" s="14"/>
    </row>
    <row r="287" spans="1:18">
      <c r="A287" s="8"/>
      <c r="B287" s="14">
        <v>3304</v>
      </c>
      <c r="C287" s="14">
        <v>120</v>
      </c>
      <c r="D287" s="14">
        <v>23</v>
      </c>
      <c r="E287" s="14">
        <v>0</v>
      </c>
      <c r="F287" s="14" t="s">
        <v>1447</v>
      </c>
      <c r="G287" s="14"/>
      <c r="H287" s="14">
        <v>2</v>
      </c>
      <c r="I287" s="14">
        <v>2</v>
      </c>
      <c r="J287" s="14">
        <v>0</v>
      </c>
      <c r="K287" s="14">
        <v>1</v>
      </c>
      <c r="L287" s="14">
        <v>7</v>
      </c>
      <c r="M287" s="14">
        <v>0</v>
      </c>
      <c r="N287" s="14">
        <v>1</v>
      </c>
      <c r="O287" s="14">
        <v>999</v>
      </c>
      <c r="P287" s="14"/>
      <c r="Q287" s="14"/>
      <c r="R287" s="14"/>
    </row>
    <row r="288" spans="1:18">
      <c r="A288" s="8"/>
      <c r="B288" s="14">
        <v>3305</v>
      </c>
      <c r="C288" s="14">
        <v>132</v>
      </c>
      <c r="D288" s="14">
        <v>23</v>
      </c>
      <c r="E288" s="14">
        <v>0</v>
      </c>
      <c r="F288" s="14" t="s">
        <v>1454</v>
      </c>
      <c r="G288" s="14"/>
      <c r="H288" s="14">
        <v>3</v>
      </c>
      <c r="I288" s="14">
        <v>3</v>
      </c>
      <c r="J288" s="14">
        <v>0</v>
      </c>
      <c r="K288" s="14">
        <v>1</v>
      </c>
      <c r="L288" s="14">
        <v>7</v>
      </c>
      <c r="M288" s="14">
        <v>0</v>
      </c>
      <c r="N288" s="14">
        <v>1</v>
      </c>
      <c r="O288" s="14">
        <v>999</v>
      </c>
      <c r="P288" s="14"/>
      <c r="Q288" s="14"/>
      <c r="R288" s="14"/>
    </row>
    <row r="289" spans="1:18">
      <c r="A289" s="8"/>
      <c r="B289" s="14">
        <v>3306</v>
      </c>
      <c r="C289" s="14">
        <v>190</v>
      </c>
      <c r="D289" s="14">
        <v>23</v>
      </c>
      <c r="E289" s="14">
        <v>0</v>
      </c>
      <c r="F289" s="14" t="s">
        <v>1381</v>
      </c>
      <c r="G289" s="14"/>
      <c r="H289" s="14">
        <v>3</v>
      </c>
      <c r="I289" s="14">
        <v>3</v>
      </c>
      <c r="J289" s="14">
        <v>0</v>
      </c>
      <c r="K289" s="14">
        <v>1</v>
      </c>
      <c r="L289" s="14">
        <v>7</v>
      </c>
      <c r="M289" s="14">
        <v>0</v>
      </c>
      <c r="N289" s="14">
        <v>1</v>
      </c>
      <c r="O289" s="14">
        <v>999</v>
      </c>
      <c r="P289" s="14"/>
      <c r="Q289" s="14"/>
      <c r="R289" s="14"/>
    </row>
    <row r="290" spans="1:18">
      <c r="A290" s="8"/>
      <c r="B290" s="14">
        <v>3307</v>
      </c>
      <c r="C290" s="14">
        <v>212</v>
      </c>
      <c r="D290" s="14">
        <v>23</v>
      </c>
      <c r="E290" s="14">
        <v>0</v>
      </c>
      <c r="F290" s="14" t="s">
        <v>1406</v>
      </c>
      <c r="G290" s="14"/>
      <c r="H290" s="14">
        <v>3</v>
      </c>
      <c r="I290" s="14">
        <v>3</v>
      </c>
      <c r="J290" s="14">
        <v>0</v>
      </c>
      <c r="K290" s="14">
        <v>1</v>
      </c>
      <c r="L290" s="14">
        <v>7</v>
      </c>
      <c r="M290" s="14">
        <v>0</v>
      </c>
      <c r="N290" s="14">
        <v>1</v>
      </c>
      <c r="O290" s="14">
        <v>999</v>
      </c>
      <c r="P290" s="14"/>
      <c r="Q290" s="14"/>
      <c r="R290" s="14"/>
    </row>
    <row r="291" spans="1:18">
      <c r="A291" s="8"/>
      <c r="B291" s="14">
        <v>3308</v>
      </c>
      <c r="C291" s="14">
        <v>239</v>
      </c>
      <c r="D291" s="14">
        <v>23</v>
      </c>
      <c r="E291" s="14">
        <v>0</v>
      </c>
      <c r="F291" s="14" t="s">
        <v>1425</v>
      </c>
      <c r="G291" s="14"/>
      <c r="H291" s="14">
        <v>3</v>
      </c>
      <c r="I291" s="14">
        <v>3</v>
      </c>
      <c r="J291" s="14">
        <v>0</v>
      </c>
      <c r="K291" s="14">
        <v>1</v>
      </c>
      <c r="L291" s="14">
        <v>7</v>
      </c>
      <c r="M291" s="14">
        <v>0</v>
      </c>
      <c r="N291" s="14">
        <v>1</v>
      </c>
      <c r="O291" s="14">
        <v>999</v>
      </c>
      <c r="P291" s="14"/>
      <c r="Q291" s="14"/>
      <c r="R291" s="14"/>
    </row>
    <row r="292" spans="1:18">
      <c r="A292" s="8"/>
      <c r="B292" s="14">
        <v>3309</v>
      </c>
      <c r="C292" s="14">
        <v>259</v>
      </c>
      <c r="D292" s="14">
        <v>23</v>
      </c>
      <c r="E292" s="14">
        <v>0</v>
      </c>
      <c r="F292" s="14" t="s">
        <v>1415</v>
      </c>
      <c r="G292" s="14"/>
      <c r="H292" s="14">
        <v>3</v>
      </c>
      <c r="I292" s="14">
        <v>3</v>
      </c>
      <c r="J292" s="14">
        <v>0</v>
      </c>
      <c r="K292" s="14">
        <v>1</v>
      </c>
      <c r="L292" s="14">
        <v>7</v>
      </c>
      <c r="M292" s="14">
        <v>0</v>
      </c>
      <c r="N292" s="14">
        <v>1</v>
      </c>
      <c r="O292" s="14">
        <v>999</v>
      </c>
      <c r="P292" s="14"/>
      <c r="Q292" s="14"/>
      <c r="R292" s="14"/>
    </row>
    <row r="293" spans="1:18">
      <c r="A293" s="8"/>
      <c r="B293" s="14">
        <v>3310</v>
      </c>
      <c r="C293" s="14">
        <v>309</v>
      </c>
      <c r="D293" s="14">
        <v>23</v>
      </c>
      <c r="E293" s="14">
        <v>0</v>
      </c>
      <c r="F293" s="14" t="s">
        <v>1427</v>
      </c>
      <c r="G293" s="14"/>
      <c r="H293" s="14">
        <v>3</v>
      </c>
      <c r="I293" s="14">
        <v>3</v>
      </c>
      <c r="J293" s="14">
        <v>0</v>
      </c>
      <c r="K293" s="14">
        <v>1</v>
      </c>
      <c r="L293" s="14">
        <v>7</v>
      </c>
      <c r="M293" s="14">
        <v>0</v>
      </c>
      <c r="N293" s="14">
        <v>1</v>
      </c>
      <c r="O293" s="14">
        <v>999</v>
      </c>
      <c r="P293" s="14"/>
      <c r="Q293" s="14"/>
      <c r="R293" s="14"/>
    </row>
    <row r="294" spans="1:18">
      <c r="A294" s="8"/>
      <c r="B294" s="14">
        <v>3311</v>
      </c>
      <c r="C294" s="14">
        <v>324</v>
      </c>
      <c r="D294" s="14">
        <v>23</v>
      </c>
      <c r="E294" s="14">
        <v>0</v>
      </c>
      <c r="F294" s="14" t="s">
        <v>1414</v>
      </c>
      <c r="G294" s="14"/>
      <c r="H294" s="14">
        <v>3</v>
      </c>
      <c r="I294" s="14">
        <v>3</v>
      </c>
      <c r="J294" s="14">
        <v>0</v>
      </c>
      <c r="K294" s="14">
        <v>1</v>
      </c>
      <c r="L294" s="14">
        <v>7</v>
      </c>
      <c r="M294" s="14">
        <v>0</v>
      </c>
      <c r="N294" s="14">
        <v>1</v>
      </c>
      <c r="O294" s="14">
        <v>999</v>
      </c>
      <c r="P294" s="14"/>
      <c r="Q294" s="14"/>
      <c r="R294" s="14"/>
    </row>
    <row r="295" spans="1:18">
      <c r="A295" s="8"/>
      <c r="B295" s="14">
        <v>3312</v>
      </c>
      <c r="C295" s="14">
        <v>382</v>
      </c>
      <c r="D295" s="14">
        <v>23</v>
      </c>
      <c r="E295" s="14">
        <v>0</v>
      </c>
      <c r="F295" s="14" t="s">
        <v>1935</v>
      </c>
      <c r="G295" s="14"/>
      <c r="H295" s="14">
        <v>3</v>
      </c>
      <c r="I295" s="14">
        <v>3</v>
      </c>
      <c r="J295" s="14">
        <v>0</v>
      </c>
      <c r="K295" s="14">
        <v>1</v>
      </c>
      <c r="L295" s="14">
        <v>7</v>
      </c>
      <c r="M295" s="14">
        <v>0</v>
      </c>
      <c r="N295" s="14">
        <v>1</v>
      </c>
      <c r="O295" s="14">
        <v>999</v>
      </c>
      <c r="P295" s="14"/>
      <c r="Q295" s="14"/>
      <c r="R295" s="14"/>
    </row>
    <row r="296" spans="1:18">
      <c r="A296" s="8"/>
      <c r="B296" s="14">
        <v>3313</v>
      </c>
      <c r="C296" s="14">
        <v>397</v>
      </c>
      <c r="D296" s="14">
        <v>23</v>
      </c>
      <c r="E296" s="14">
        <v>0</v>
      </c>
      <c r="F296" s="14" t="s">
        <v>1417</v>
      </c>
      <c r="G296" s="14"/>
      <c r="H296" s="14">
        <v>3</v>
      </c>
      <c r="I296" s="14">
        <v>3</v>
      </c>
      <c r="J296" s="14">
        <v>0</v>
      </c>
      <c r="K296" s="14">
        <v>1</v>
      </c>
      <c r="L296" s="14">
        <v>7</v>
      </c>
      <c r="M296" s="14">
        <v>0</v>
      </c>
      <c r="N296" s="14">
        <v>1</v>
      </c>
      <c r="O296" s="14">
        <v>999</v>
      </c>
      <c r="P296" s="14"/>
      <c r="Q296" s="14"/>
      <c r="R296" s="14"/>
    </row>
    <row r="297" spans="1:18">
      <c r="A297" s="8"/>
      <c r="B297" s="14">
        <v>3314</v>
      </c>
      <c r="C297" s="14">
        <v>427</v>
      </c>
      <c r="D297" s="14">
        <v>23</v>
      </c>
      <c r="E297" s="14">
        <v>0</v>
      </c>
      <c r="F297" s="14" t="s">
        <v>1402</v>
      </c>
      <c r="G297" s="14"/>
      <c r="H297" s="14">
        <v>3</v>
      </c>
      <c r="I297" s="14">
        <v>3</v>
      </c>
      <c r="J297" s="14">
        <v>0</v>
      </c>
      <c r="K297" s="14">
        <v>1</v>
      </c>
      <c r="L297" s="14">
        <v>7</v>
      </c>
      <c r="M297" s="14">
        <v>0</v>
      </c>
      <c r="N297" s="14">
        <v>1</v>
      </c>
      <c r="O297" s="14">
        <v>999</v>
      </c>
      <c r="P297" s="14"/>
      <c r="Q297" s="14"/>
      <c r="R297" s="14"/>
    </row>
    <row r="298" spans="1:18">
      <c r="A298" s="8"/>
      <c r="B298" s="14">
        <v>3315</v>
      </c>
      <c r="C298" s="14">
        <v>481</v>
      </c>
      <c r="D298" s="14">
        <v>23</v>
      </c>
      <c r="E298" s="14">
        <v>0</v>
      </c>
      <c r="F298" s="14" t="s">
        <v>1760</v>
      </c>
      <c r="G298" s="14"/>
      <c r="H298" s="14">
        <v>7</v>
      </c>
      <c r="I298" s="14">
        <v>7</v>
      </c>
      <c r="J298" s="14">
        <v>0</v>
      </c>
      <c r="K298" s="14">
        <v>1</v>
      </c>
      <c r="L298" s="14">
        <v>7</v>
      </c>
      <c r="M298" s="14">
        <v>0</v>
      </c>
      <c r="N298" s="14">
        <v>1</v>
      </c>
      <c r="O298" s="14">
        <v>999</v>
      </c>
      <c r="P298" s="14"/>
      <c r="Q298" s="14"/>
      <c r="R298" s="14">
        <v>1</v>
      </c>
    </row>
    <row r="299" spans="1:18">
      <c r="A299" s="8"/>
      <c r="B299" s="14">
        <v>3316</v>
      </c>
      <c r="C299" s="14">
        <v>177</v>
      </c>
      <c r="D299" s="14">
        <v>23</v>
      </c>
      <c r="E299" s="14">
        <v>0</v>
      </c>
      <c r="F299" s="14" t="s">
        <v>1911</v>
      </c>
      <c r="G299" s="14"/>
      <c r="H299" s="14">
        <v>0</v>
      </c>
      <c r="I299" s="14">
        <v>0</v>
      </c>
      <c r="J299" s="14">
        <v>0</v>
      </c>
      <c r="K299" s="14">
        <v>1</v>
      </c>
      <c r="L299" s="14">
        <v>3</v>
      </c>
      <c r="M299" s="14">
        <v>0</v>
      </c>
      <c r="N299" s="14">
        <v>1</v>
      </c>
      <c r="O299" s="14"/>
      <c r="P299" s="14"/>
      <c r="Q299" s="14"/>
      <c r="R299" s="14"/>
    </row>
    <row r="300" spans="1:18">
      <c r="A300" s="8"/>
      <c r="B300" s="14">
        <v>3317</v>
      </c>
      <c r="C300" s="14">
        <v>207</v>
      </c>
      <c r="D300" s="14">
        <v>23</v>
      </c>
      <c r="E300" s="14">
        <v>1</v>
      </c>
      <c r="F300" s="14" t="s">
        <v>2294</v>
      </c>
      <c r="G300" s="14"/>
      <c r="H300" s="14">
        <v>3</v>
      </c>
      <c r="I300" s="14">
        <v>3</v>
      </c>
      <c r="J300" s="14">
        <v>0</v>
      </c>
      <c r="K300" s="14">
        <v>1</v>
      </c>
      <c r="L300" s="14">
        <v>8</v>
      </c>
      <c r="M300" s="14">
        <v>1</v>
      </c>
      <c r="N300" s="14">
        <v>1</v>
      </c>
      <c r="O300" s="14"/>
      <c r="P300" s="14"/>
      <c r="Q300" s="14"/>
      <c r="R300" s="14"/>
    </row>
    <row r="301" spans="1:18">
      <c r="A301" s="8"/>
      <c r="B301" s="14">
        <v>3318</v>
      </c>
      <c r="C301" s="14">
        <v>517</v>
      </c>
      <c r="D301" s="14">
        <v>23</v>
      </c>
      <c r="E301" s="14">
        <v>0</v>
      </c>
      <c r="F301" s="14" t="s">
        <v>2088</v>
      </c>
      <c r="G301" s="14"/>
      <c r="H301" s="14">
        <v>5</v>
      </c>
      <c r="I301" s="14">
        <v>5</v>
      </c>
      <c r="J301" s="14">
        <v>0</v>
      </c>
      <c r="K301" s="14">
        <v>1</v>
      </c>
      <c r="L301" s="14">
        <v>7</v>
      </c>
      <c r="M301" s="14">
        <v>0</v>
      </c>
      <c r="N301" s="14">
        <v>1</v>
      </c>
      <c r="O301" s="14"/>
      <c r="P301" s="14"/>
      <c r="Q301" s="14"/>
      <c r="R301" s="14"/>
    </row>
    <row r="302" spans="1:18">
      <c r="A302" s="8"/>
      <c r="B302" s="14">
        <v>3319</v>
      </c>
      <c r="C302" s="14">
        <v>520</v>
      </c>
      <c r="D302" s="14">
        <v>23</v>
      </c>
      <c r="E302" s="14">
        <v>0</v>
      </c>
      <c r="F302" s="14" t="s">
        <v>2295</v>
      </c>
      <c r="G302" s="14"/>
      <c r="H302" s="14">
        <v>3</v>
      </c>
      <c r="I302" s="14">
        <v>3</v>
      </c>
      <c r="J302" s="14">
        <v>0</v>
      </c>
      <c r="K302" s="14">
        <v>1</v>
      </c>
      <c r="L302" s="14">
        <v>3</v>
      </c>
      <c r="M302" s="14">
        <v>0</v>
      </c>
      <c r="N302" s="14">
        <v>1</v>
      </c>
      <c r="O302" s="14"/>
      <c r="P302" s="14"/>
      <c r="Q302" s="14"/>
      <c r="R302" s="14"/>
    </row>
    <row r="303" spans="1:18">
      <c r="A303" s="8"/>
      <c r="B303" s="14">
        <v>3320</v>
      </c>
      <c r="C303" s="14">
        <v>526</v>
      </c>
      <c r="D303" s="14">
        <v>23</v>
      </c>
      <c r="E303" s="14">
        <v>4</v>
      </c>
      <c r="F303" s="14" t="s">
        <v>2296</v>
      </c>
      <c r="G303" s="14"/>
      <c r="H303" s="14">
        <v>6</v>
      </c>
      <c r="I303" s="14">
        <v>6</v>
      </c>
      <c r="J303" s="14">
        <v>0</v>
      </c>
      <c r="K303" s="14">
        <v>1</v>
      </c>
      <c r="L303" s="14">
        <v>3</v>
      </c>
      <c r="M303" s="14">
        <v>0</v>
      </c>
      <c r="N303" s="14">
        <v>1</v>
      </c>
      <c r="O303" s="14"/>
      <c r="P303" s="14"/>
      <c r="Q303" s="14"/>
      <c r="R303" s="14"/>
    </row>
    <row r="304" spans="1:18">
      <c r="A304" s="8"/>
      <c r="B304" s="14">
        <v>3321</v>
      </c>
      <c r="C304" s="14">
        <v>449</v>
      </c>
      <c r="D304" s="14">
        <v>23</v>
      </c>
      <c r="E304" s="14">
        <v>0</v>
      </c>
      <c r="F304" s="14" t="s">
        <v>1949</v>
      </c>
      <c r="G304" s="14"/>
      <c r="H304" s="14">
        <v>6</v>
      </c>
      <c r="I304" s="14">
        <v>6</v>
      </c>
      <c r="J304" s="14">
        <v>0</v>
      </c>
      <c r="K304" s="14">
        <v>1</v>
      </c>
      <c r="L304" s="14">
        <v>3</v>
      </c>
      <c r="M304" s="14">
        <v>0</v>
      </c>
      <c r="N304" s="14">
        <v>0</v>
      </c>
      <c r="O304" s="14"/>
      <c r="P304" s="14"/>
      <c r="Q304" s="14"/>
      <c r="R304" s="14"/>
    </row>
    <row r="305" spans="1:18">
      <c r="A305" s="8"/>
      <c r="B305" s="14">
        <v>3322</v>
      </c>
      <c r="C305" s="14">
        <v>512</v>
      </c>
      <c r="D305" s="14">
        <v>23</v>
      </c>
      <c r="E305" s="14">
        <v>0</v>
      </c>
      <c r="F305" s="14" t="s">
        <v>2057</v>
      </c>
      <c r="G305" s="14"/>
      <c r="H305" s="14">
        <v>6</v>
      </c>
      <c r="I305" s="14">
        <v>6</v>
      </c>
      <c r="J305" s="14">
        <v>0</v>
      </c>
      <c r="K305" s="14">
        <v>1</v>
      </c>
      <c r="L305" s="14">
        <v>3</v>
      </c>
      <c r="M305" s="14">
        <v>0</v>
      </c>
      <c r="N305" s="14">
        <v>0</v>
      </c>
      <c r="O305" s="14"/>
      <c r="P305" s="14"/>
      <c r="Q305" s="14"/>
      <c r="R305" s="14"/>
    </row>
    <row r="306" spans="1:18">
      <c r="A306" s="8"/>
      <c r="B306" s="14">
        <v>3401</v>
      </c>
      <c r="C306" s="14">
        <v>137</v>
      </c>
      <c r="D306" s="14">
        <v>24</v>
      </c>
      <c r="E306" s="14">
        <v>0</v>
      </c>
      <c r="F306" s="14" t="s">
        <v>2258</v>
      </c>
      <c r="G306" s="14"/>
      <c r="H306" s="14">
        <v>0</v>
      </c>
      <c r="I306" s="14">
        <v>0</v>
      </c>
      <c r="J306" s="14">
        <v>0</v>
      </c>
      <c r="K306" s="14">
        <v>0</v>
      </c>
      <c r="L306" s="14">
        <v>7</v>
      </c>
      <c r="M306" s="14">
        <v>0</v>
      </c>
      <c r="N306" s="14">
        <v>2</v>
      </c>
      <c r="O306" s="14">
        <v>999</v>
      </c>
      <c r="P306" s="14"/>
      <c r="Q306" s="14"/>
      <c r="R306" s="14"/>
    </row>
    <row r="307" spans="1:18">
      <c r="A307" s="8"/>
      <c r="B307" s="14">
        <v>3402</v>
      </c>
      <c r="C307" s="14">
        <v>211</v>
      </c>
      <c r="D307" s="14">
        <v>24</v>
      </c>
      <c r="E307" s="14">
        <v>0</v>
      </c>
      <c r="F307" s="14" t="s">
        <v>1915</v>
      </c>
      <c r="G307" s="14"/>
      <c r="H307" s="14">
        <v>0</v>
      </c>
      <c r="I307" s="14">
        <v>0</v>
      </c>
      <c r="J307" s="14">
        <v>0</v>
      </c>
      <c r="K307" s="14">
        <v>0</v>
      </c>
      <c r="L307" s="14">
        <v>7</v>
      </c>
      <c r="M307" s="14">
        <v>0</v>
      </c>
      <c r="N307" s="14">
        <v>2</v>
      </c>
      <c r="O307" s="14"/>
      <c r="P307" s="14"/>
      <c r="Q307" s="14"/>
      <c r="R307" s="14"/>
    </row>
    <row r="308" spans="1:18">
      <c r="A308" s="8"/>
      <c r="B308" s="14">
        <v>3403</v>
      </c>
      <c r="C308" s="14">
        <v>229</v>
      </c>
      <c r="D308" s="14">
        <v>24</v>
      </c>
      <c r="E308" s="14">
        <v>0</v>
      </c>
      <c r="F308" s="14" t="s">
        <v>2259</v>
      </c>
      <c r="G308" s="14"/>
      <c r="H308" s="14">
        <v>0</v>
      </c>
      <c r="I308" s="14">
        <v>0</v>
      </c>
      <c r="J308" s="14">
        <v>0</v>
      </c>
      <c r="K308" s="14">
        <v>0</v>
      </c>
      <c r="L308" s="14">
        <v>7</v>
      </c>
      <c r="M308" s="14">
        <v>0</v>
      </c>
      <c r="N308" s="14">
        <v>2</v>
      </c>
      <c r="O308" s="14">
        <v>999</v>
      </c>
      <c r="P308" s="14"/>
      <c r="Q308" s="14"/>
      <c r="R308" s="14"/>
    </row>
    <row r="309" spans="1:18">
      <c r="A309" s="8"/>
      <c r="B309" s="14">
        <v>3404</v>
      </c>
      <c r="C309" s="14">
        <v>243</v>
      </c>
      <c r="D309" s="14">
        <v>24</v>
      </c>
      <c r="E309" s="14">
        <v>0</v>
      </c>
      <c r="F309" s="14" t="s">
        <v>2297</v>
      </c>
      <c r="G309" s="14"/>
      <c r="H309" s="14">
        <v>0</v>
      </c>
      <c r="I309" s="14">
        <v>0</v>
      </c>
      <c r="J309" s="14">
        <v>0</v>
      </c>
      <c r="K309" s="14">
        <v>0</v>
      </c>
      <c r="L309" s="14">
        <v>7</v>
      </c>
      <c r="M309" s="14">
        <v>0</v>
      </c>
      <c r="N309" s="14">
        <v>2</v>
      </c>
      <c r="O309" s="14">
        <v>999</v>
      </c>
      <c r="P309" s="14"/>
      <c r="Q309" s="14"/>
      <c r="R309" s="14"/>
    </row>
    <row r="310" spans="1:18">
      <c r="A310" s="8"/>
      <c r="B310" s="14">
        <v>3405</v>
      </c>
      <c r="C310" s="14">
        <v>322</v>
      </c>
      <c r="D310" s="14">
        <v>24</v>
      </c>
      <c r="E310" s="14">
        <v>0</v>
      </c>
      <c r="F310" s="14" t="s">
        <v>290</v>
      </c>
      <c r="G310" s="14"/>
      <c r="H310" s="14">
        <v>0</v>
      </c>
      <c r="I310" s="14">
        <v>0</v>
      </c>
      <c r="J310" s="14">
        <v>0</v>
      </c>
      <c r="K310" s="14">
        <v>0</v>
      </c>
      <c r="L310" s="14">
        <v>7</v>
      </c>
      <c r="M310" s="14">
        <v>0</v>
      </c>
      <c r="N310" s="14">
        <v>2</v>
      </c>
      <c r="O310" s="14"/>
      <c r="P310" s="14"/>
      <c r="Q310" s="14"/>
      <c r="R310" s="14"/>
    </row>
    <row r="311" spans="1:18">
      <c r="A311" s="8"/>
      <c r="B311" s="14">
        <v>3406</v>
      </c>
      <c r="C311" s="14">
        <v>474</v>
      </c>
      <c r="D311" s="14">
        <v>24</v>
      </c>
      <c r="E311" s="14">
        <v>0</v>
      </c>
      <c r="F311" s="14" t="s">
        <v>1953</v>
      </c>
      <c r="G311" s="14"/>
      <c r="H311" s="14">
        <v>0</v>
      </c>
      <c r="I311" s="14">
        <v>0</v>
      </c>
      <c r="J311" s="14">
        <v>0</v>
      </c>
      <c r="K311" s="14">
        <v>0</v>
      </c>
      <c r="L311" s="14">
        <v>7</v>
      </c>
      <c r="M311" s="14">
        <v>0</v>
      </c>
      <c r="N311" s="14">
        <v>2</v>
      </c>
      <c r="O311" s="14">
        <v>999</v>
      </c>
      <c r="P311" s="14"/>
      <c r="Q311" s="14"/>
      <c r="R311" s="14"/>
    </row>
    <row r="312" spans="1:18">
      <c r="A312" s="8"/>
      <c r="B312" s="14">
        <v>3501</v>
      </c>
      <c r="C312" s="14">
        <v>38</v>
      </c>
      <c r="D312" s="14">
        <v>25</v>
      </c>
      <c r="E312" s="14">
        <v>0</v>
      </c>
      <c r="F312" s="14" t="s">
        <v>1909</v>
      </c>
      <c r="G312" s="14"/>
      <c r="H312" s="14">
        <v>2</v>
      </c>
      <c r="I312" s="14">
        <v>3</v>
      </c>
      <c r="J312" s="14">
        <v>208</v>
      </c>
      <c r="K312" s="14">
        <v>0</v>
      </c>
      <c r="L312" s="14">
        <v>2</v>
      </c>
      <c r="M312" s="14">
        <v>0</v>
      </c>
      <c r="N312" s="14">
        <v>3</v>
      </c>
      <c r="O312" s="14"/>
      <c r="P312" s="14"/>
      <c r="Q312" s="14"/>
      <c r="R312" s="14"/>
    </row>
    <row r="313" spans="1:18">
      <c r="A313" s="8"/>
      <c r="B313" s="14">
        <v>3502</v>
      </c>
      <c r="C313" s="14">
        <v>65</v>
      </c>
      <c r="D313" s="14">
        <v>25</v>
      </c>
      <c r="E313" s="14">
        <v>0</v>
      </c>
      <c r="F313" s="14" t="s">
        <v>2260</v>
      </c>
      <c r="G313" s="14"/>
      <c r="H313" s="14">
        <v>2</v>
      </c>
      <c r="I313" s="14">
        <v>3</v>
      </c>
      <c r="J313" s="14">
        <v>129</v>
      </c>
      <c r="K313" s="14">
        <v>0</v>
      </c>
      <c r="L313" s="14">
        <v>2</v>
      </c>
      <c r="M313" s="14">
        <v>0</v>
      </c>
      <c r="N313" s="14">
        <v>3</v>
      </c>
      <c r="O313" s="14">
        <v>999</v>
      </c>
      <c r="P313" s="14"/>
      <c r="Q313" s="14"/>
      <c r="R313" s="14"/>
    </row>
    <row r="314" spans="1:18">
      <c r="A314" s="8"/>
      <c r="B314" s="14">
        <v>3503</v>
      </c>
      <c r="C314" s="14">
        <v>129</v>
      </c>
      <c r="D314" s="14">
        <v>25</v>
      </c>
      <c r="E314" s="14">
        <v>0</v>
      </c>
      <c r="F314" s="14" t="s">
        <v>1910</v>
      </c>
      <c r="G314" s="14"/>
      <c r="H314" s="14">
        <v>2</v>
      </c>
      <c r="I314" s="14">
        <v>3</v>
      </c>
      <c r="J314" s="14">
        <v>184</v>
      </c>
      <c r="K314" s="14">
        <v>0</v>
      </c>
      <c r="L314" s="14">
        <v>2</v>
      </c>
      <c r="M314" s="14">
        <v>0</v>
      </c>
      <c r="N314" s="14">
        <v>3</v>
      </c>
      <c r="O314" s="14"/>
      <c r="P314" s="14"/>
      <c r="Q314" s="14"/>
      <c r="R314" s="14"/>
    </row>
    <row r="315" spans="1:18">
      <c r="A315" s="8"/>
      <c r="B315" s="14">
        <v>3504</v>
      </c>
      <c r="C315" s="14">
        <v>160</v>
      </c>
      <c r="D315" s="14">
        <v>25</v>
      </c>
      <c r="E315" s="14">
        <v>0</v>
      </c>
      <c r="F315" s="14" t="s">
        <v>2261</v>
      </c>
      <c r="G315" s="14"/>
      <c r="H315" s="14">
        <v>2</v>
      </c>
      <c r="I315" s="14">
        <v>3</v>
      </c>
      <c r="J315" s="14">
        <v>117</v>
      </c>
      <c r="K315" s="14">
        <v>0</v>
      </c>
      <c r="L315" s="14">
        <v>2</v>
      </c>
      <c r="M315" s="14">
        <v>0</v>
      </c>
      <c r="N315" s="14">
        <v>3</v>
      </c>
      <c r="O315" s="14">
        <v>999</v>
      </c>
      <c r="P315" s="14"/>
      <c r="Q315" s="14"/>
      <c r="R315" s="14"/>
    </row>
    <row r="316" spans="1:18">
      <c r="A316" s="8"/>
      <c r="B316" s="14">
        <v>3505</v>
      </c>
      <c r="C316" s="14">
        <v>233</v>
      </c>
      <c r="D316" s="14">
        <v>25</v>
      </c>
      <c r="E316" s="14">
        <v>0</v>
      </c>
      <c r="F316" s="14" t="s">
        <v>1909</v>
      </c>
      <c r="G316" s="14"/>
      <c r="H316" s="14">
        <v>2</v>
      </c>
      <c r="I316" s="14">
        <v>3</v>
      </c>
      <c r="J316" s="14">
        <v>208</v>
      </c>
      <c r="K316" s="14">
        <v>0</v>
      </c>
      <c r="L316" s="14">
        <v>2</v>
      </c>
      <c r="M316" s="14">
        <v>0</v>
      </c>
      <c r="N316" s="14">
        <v>3</v>
      </c>
      <c r="O316" s="14"/>
      <c r="P316" s="14"/>
      <c r="Q316" s="14"/>
      <c r="R316" s="14"/>
    </row>
    <row r="317" spans="1:18">
      <c r="A317" s="8"/>
      <c r="B317" s="14">
        <v>3506</v>
      </c>
      <c r="C317" s="14">
        <v>257</v>
      </c>
      <c r="D317" s="14">
        <v>25</v>
      </c>
      <c r="E317" s="14">
        <v>0</v>
      </c>
      <c r="F317" s="14" t="s">
        <v>2262</v>
      </c>
      <c r="G317" s="14"/>
      <c r="H317" s="14">
        <v>2</v>
      </c>
      <c r="I317" s="14">
        <v>3</v>
      </c>
      <c r="J317" s="14">
        <v>131</v>
      </c>
      <c r="K317" s="14">
        <v>0</v>
      </c>
      <c r="L317" s="14">
        <v>2</v>
      </c>
      <c r="M317" s="14">
        <v>0</v>
      </c>
      <c r="N317" s="14">
        <v>3</v>
      </c>
      <c r="O317" s="14">
        <v>999</v>
      </c>
      <c r="P317" s="14"/>
      <c r="Q317" s="14"/>
      <c r="R317" s="14"/>
    </row>
    <row r="318" spans="1:18">
      <c r="A318" s="8"/>
      <c r="B318" s="14">
        <v>3507</v>
      </c>
      <c r="C318" s="14">
        <v>326</v>
      </c>
      <c r="D318" s="14">
        <v>25</v>
      </c>
      <c r="E318" s="14">
        <v>0</v>
      </c>
      <c r="F318" s="14" t="s">
        <v>1925</v>
      </c>
      <c r="G318" s="14"/>
      <c r="H318" s="14">
        <v>2</v>
      </c>
      <c r="I318" s="14">
        <v>3</v>
      </c>
      <c r="J318" s="14">
        <v>184</v>
      </c>
      <c r="K318" s="14">
        <v>0</v>
      </c>
      <c r="L318" s="14">
        <v>2</v>
      </c>
      <c r="M318" s="14">
        <v>0</v>
      </c>
      <c r="N318" s="14">
        <v>3</v>
      </c>
      <c r="O318" s="14"/>
      <c r="P318" s="14"/>
      <c r="Q318" s="14"/>
      <c r="R318" s="14"/>
    </row>
    <row r="319" spans="1:18">
      <c r="A319" s="8"/>
      <c r="B319" s="14">
        <v>3508</v>
      </c>
      <c r="C319" s="14">
        <v>341</v>
      </c>
      <c r="D319" s="14">
        <v>25</v>
      </c>
      <c r="E319" s="14">
        <v>0</v>
      </c>
      <c r="F319" s="14" t="s">
        <v>1928</v>
      </c>
      <c r="G319" s="14"/>
      <c r="H319" s="14">
        <v>2</v>
      </c>
      <c r="I319" s="14">
        <v>3</v>
      </c>
      <c r="J319" s="14">
        <v>192</v>
      </c>
      <c r="K319" s="14">
        <v>0</v>
      </c>
      <c r="L319" s="14">
        <v>2</v>
      </c>
      <c r="M319" s="14">
        <v>0</v>
      </c>
      <c r="N319" s="14">
        <v>3</v>
      </c>
      <c r="O319" s="14"/>
      <c r="P319" s="14"/>
      <c r="Q319" s="14"/>
      <c r="R319" s="14"/>
    </row>
    <row r="320" spans="1:18">
      <c r="A320" s="8"/>
      <c r="B320" s="14">
        <v>3509</v>
      </c>
      <c r="C320" s="14">
        <v>358</v>
      </c>
      <c r="D320" s="14">
        <v>25</v>
      </c>
      <c r="E320" s="14">
        <v>0</v>
      </c>
      <c r="F320" s="14" t="s">
        <v>1931</v>
      </c>
      <c r="G320" s="14"/>
      <c r="H320" s="14">
        <v>2</v>
      </c>
      <c r="I320" s="14">
        <v>3</v>
      </c>
      <c r="J320" s="14">
        <v>184</v>
      </c>
      <c r="K320" s="14">
        <v>0</v>
      </c>
      <c r="L320" s="14">
        <v>2</v>
      </c>
      <c r="M320" s="14">
        <v>0</v>
      </c>
      <c r="N320" s="14">
        <v>3</v>
      </c>
      <c r="O320" s="14"/>
      <c r="P320" s="14"/>
      <c r="Q320" s="14"/>
      <c r="R320" s="14"/>
    </row>
    <row r="321" spans="1:18">
      <c r="A321" s="8"/>
      <c r="B321" s="14">
        <v>3510</v>
      </c>
      <c r="C321" s="14">
        <v>434</v>
      </c>
      <c r="D321" s="14">
        <v>25</v>
      </c>
      <c r="E321" s="14">
        <v>0</v>
      </c>
      <c r="F321" s="14" t="s">
        <v>1945</v>
      </c>
      <c r="G321" s="14"/>
      <c r="H321" s="14">
        <v>2</v>
      </c>
      <c r="I321" s="14">
        <v>3</v>
      </c>
      <c r="J321" s="14">
        <v>184</v>
      </c>
      <c r="K321" s="14">
        <v>0</v>
      </c>
      <c r="L321" s="14">
        <v>2</v>
      </c>
      <c r="M321" s="14">
        <v>0</v>
      </c>
      <c r="N321" s="14">
        <v>3</v>
      </c>
      <c r="O321" s="14"/>
      <c r="P321" s="14"/>
      <c r="Q321" s="14"/>
      <c r="R321" s="14"/>
    </row>
    <row r="322" spans="1:18">
      <c r="A322" s="8"/>
      <c r="B322" s="14">
        <v>3511</v>
      </c>
      <c r="C322" s="14">
        <v>462</v>
      </c>
      <c r="D322" s="14">
        <v>25</v>
      </c>
      <c r="E322" s="14">
        <v>0</v>
      </c>
      <c r="F322" s="14" t="s">
        <v>2279</v>
      </c>
      <c r="G322" s="14"/>
      <c r="H322" s="14">
        <v>2</v>
      </c>
      <c r="I322" s="14">
        <v>3</v>
      </c>
      <c r="J322" s="14">
        <v>200</v>
      </c>
      <c r="K322" s="14">
        <v>0</v>
      </c>
      <c r="L322" s="14">
        <v>2</v>
      </c>
      <c r="M322" s="14">
        <v>0</v>
      </c>
      <c r="N322" s="14">
        <v>3</v>
      </c>
      <c r="O322" s="14"/>
      <c r="P322" s="14"/>
      <c r="Q322" s="14"/>
      <c r="R322" s="14"/>
    </row>
    <row r="323" spans="1:18">
      <c r="A323" s="8"/>
      <c r="B323" s="14">
        <v>3601</v>
      </c>
      <c r="C323" s="14">
        <v>88</v>
      </c>
      <c r="D323" s="14">
        <v>26</v>
      </c>
      <c r="E323" s="14">
        <v>0</v>
      </c>
      <c r="F323" s="14" t="s">
        <v>286</v>
      </c>
      <c r="G323" s="14"/>
      <c r="H323" s="14">
        <v>0</v>
      </c>
      <c r="I323" s="14">
        <v>0</v>
      </c>
      <c r="J323" s="14">
        <v>0</v>
      </c>
      <c r="K323" s="14">
        <v>0</v>
      </c>
      <c r="L323" s="14">
        <v>7</v>
      </c>
      <c r="M323" s="14">
        <v>0</v>
      </c>
      <c r="N323" s="14">
        <v>1</v>
      </c>
      <c r="O323" s="14"/>
      <c r="P323" s="14"/>
      <c r="Q323" s="14"/>
      <c r="R323" s="14"/>
    </row>
    <row r="324" spans="1:18">
      <c r="A324" s="8"/>
      <c r="B324" s="14">
        <v>3602</v>
      </c>
      <c r="C324" s="14">
        <v>217</v>
      </c>
      <c r="D324" s="14">
        <v>26</v>
      </c>
      <c r="E324" s="14">
        <v>0</v>
      </c>
      <c r="F324" s="14" t="s">
        <v>589</v>
      </c>
      <c r="G324" s="14"/>
      <c r="H324" s="14">
        <v>0</v>
      </c>
      <c r="I324" s="14">
        <v>0</v>
      </c>
      <c r="J324" s="14">
        <v>0</v>
      </c>
      <c r="K324" s="14">
        <v>0</v>
      </c>
      <c r="L324" s="14">
        <v>7</v>
      </c>
      <c r="M324" s="14">
        <v>0</v>
      </c>
      <c r="N324" s="14">
        <v>1</v>
      </c>
      <c r="O324" s="14"/>
      <c r="P324" s="14"/>
      <c r="Q324" s="14"/>
      <c r="R324" s="14"/>
    </row>
    <row r="325" spans="1:18">
      <c r="A325" s="8"/>
      <c r="B325" s="14">
        <v>3603</v>
      </c>
      <c r="C325" s="14">
        <v>267</v>
      </c>
      <c r="D325" s="14">
        <v>26</v>
      </c>
      <c r="E325" s="14">
        <v>0</v>
      </c>
      <c r="F325" s="14" t="s">
        <v>292</v>
      </c>
      <c r="G325" s="14"/>
      <c r="H325" s="14">
        <v>0</v>
      </c>
      <c r="I325" s="14">
        <v>0</v>
      </c>
      <c r="J325" s="14">
        <v>0</v>
      </c>
      <c r="K325" s="14">
        <v>0</v>
      </c>
      <c r="L325" s="14">
        <v>7</v>
      </c>
      <c r="M325" s="14">
        <v>0</v>
      </c>
      <c r="N325" s="14">
        <v>1</v>
      </c>
      <c r="O325" s="14"/>
      <c r="P325" s="14"/>
      <c r="Q325" s="14"/>
      <c r="R325" s="14"/>
    </row>
    <row r="326" spans="1:18">
      <c r="A326" s="8"/>
      <c r="B326" s="14">
        <v>3604</v>
      </c>
      <c r="C326" s="14">
        <v>346</v>
      </c>
      <c r="D326" s="14">
        <v>26</v>
      </c>
      <c r="E326" s="14">
        <v>0</v>
      </c>
      <c r="F326" s="14" t="s">
        <v>314</v>
      </c>
      <c r="G326" s="14"/>
      <c r="H326" s="14">
        <v>0</v>
      </c>
      <c r="I326" s="14">
        <v>0</v>
      </c>
      <c r="J326" s="14">
        <v>0</v>
      </c>
      <c r="K326" s="14">
        <v>0</v>
      </c>
      <c r="L326" s="14">
        <v>7</v>
      </c>
      <c r="M326" s="14">
        <v>0</v>
      </c>
      <c r="N326" s="14">
        <v>1</v>
      </c>
      <c r="O326" s="14"/>
      <c r="P326" s="14"/>
      <c r="Q326" s="14"/>
      <c r="R326" s="14"/>
    </row>
    <row r="327" spans="1:18">
      <c r="A327" s="8"/>
      <c r="B327" s="14">
        <v>3605</v>
      </c>
      <c r="C327" s="14">
        <v>371</v>
      </c>
      <c r="D327" s="14">
        <v>26</v>
      </c>
      <c r="E327" s="14">
        <v>0</v>
      </c>
      <c r="F327" s="14" t="s">
        <v>294</v>
      </c>
      <c r="G327" s="14"/>
      <c r="H327" s="14">
        <v>0</v>
      </c>
      <c r="I327" s="14">
        <v>0</v>
      </c>
      <c r="J327" s="14">
        <v>0</v>
      </c>
      <c r="K327" s="14">
        <v>0</v>
      </c>
      <c r="L327" s="14">
        <v>7</v>
      </c>
      <c r="M327" s="14">
        <v>0</v>
      </c>
      <c r="N327" s="14">
        <v>1</v>
      </c>
      <c r="O327" s="14"/>
      <c r="P327" s="14"/>
      <c r="Q327" s="14"/>
      <c r="R327" s="14"/>
    </row>
    <row r="328" spans="1:18">
      <c r="A328" s="8"/>
      <c r="B328" s="14">
        <v>3606</v>
      </c>
      <c r="C328" s="14">
        <v>380</v>
      </c>
      <c r="D328" s="14">
        <v>26</v>
      </c>
      <c r="E328" s="14">
        <v>0</v>
      </c>
      <c r="F328" s="14" t="s">
        <v>2298</v>
      </c>
      <c r="G328" s="14"/>
      <c r="H328" s="14">
        <v>0</v>
      </c>
      <c r="I328" s="14">
        <v>0</v>
      </c>
      <c r="J328" s="14">
        <v>0</v>
      </c>
      <c r="K328" s="14">
        <v>0</v>
      </c>
      <c r="L328" s="14">
        <v>7</v>
      </c>
      <c r="M328" s="14">
        <v>0</v>
      </c>
      <c r="N328" s="14">
        <v>1</v>
      </c>
      <c r="O328" s="14">
        <v>999</v>
      </c>
      <c r="P328" s="14"/>
      <c r="Q328" s="14"/>
      <c r="R328" s="14"/>
    </row>
    <row r="329" spans="1:18">
      <c r="A329" s="8"/>
      <c r="B329" s="14">
        <v>3607</v>
      </c>
      <c r="C329" s="14">
        <v>404</v>
      </c>
      <c r="D329" s="14">
        <v>26</v>
      </c>
      <c r="E329" s="14">
        <v>0</v>
      </c>
      <c r="F329" s="14" t="s">
        <v>2277</v>
      </c>
      <c r="G329" s="14"/>
      <c r="H329" s="14">
        <v>0</v>
      </c>
      <c r="I329" s="14">
        <v>0</v>
      </c>
      <c r="J329" s="14">
        <v>0</v>
      </c>
      <c r="K329" s="14">
        <v>0</v>
      </c>
      <c r="L329" s="14">
        <v>7</v>
      </c>
      <c r="M329" s="14">
        <v>0</v>
      </c>
      <c r="N329" s="14">
        <v>1</v>
      </c>
      <c r="O329" s="14"/>
      <c r="P329" s="14"/>
      <c r="Q329" s="14"/>
      <c r="R329" s="14"/>
    </row>
    <row r="330" spans="1:18">
      <c r="A330" s="8"/>
      <c r="B330" s="14">
        <v>3608</v>
      </c>
      <c r="C330" s="14">
        <v>472</v>
      </c>
      <c r="D330" s="14">
        <v>26</v>
      </c>
      <c r="E330" s="14">
        <v>0</v>
      </c>
      <c r="F330" s="14" t="s">
        <v>1632</v>
      </c>
      <c r="G330" s="14"/>
      <c r="H330" s="14">
        <v>0</v>
      </c>
      <c r="I330" s="14">
        <v>0</v>
      </c>
      <c r="J330" s="14">
        <v>0</v>
      </c>
      <c r="K330" s="14">
        <v>0</v>
      </c>
      <c r="L330" s="14">
        <v>7</v>
      </c>
      <c r="M330" s="14">
        <v>0</v>
      </c>
      <c r="N330" s="14">
        <v>1</v>
      </c>
      <c r="O330" s="14"/>
      <c r="P330" s="14"/>
      <c r="Q330" s="14"/>
      <c r="R330" s="14"/>
    </row>
    <row r="331" spans="1:18">
      <c r="A331" s="8"/>
      <c r="B331" s="14">
        <v>3609</v>
      </c>
      <c r="C331" s="14">
        <v>495</v>
      </c>
      <c r="D331" s="14">
        <v>26</v>
      </c>
      <c r="E331" s="14">
        <v>0</v>
      </c>
      <c r="F331" s="14" t="s">
        <v>1966</v>
      </c>
      <c r="G331" s="14"/>
      <c r="H331" s="14">
        <v>0</v>
      </c>
      <c r="I331" s="14">
        <v>0</v>
      </c>
      <c r="J331" s="14">
        <v>0</v>
      </c>
      <c r="K331" s="14">
        <v>0</v>
      </c>
      <c r="L331" s="14">
        <v>4</v>
      </c>
      <c r="M331" s="14">
        <v>0</v>
      </c>
      <c r="N331" s="14">
        <v>1</v>
      </c>
      <c r="O331" s="14"/>
      <c r="P331" s="14"/>
      <c r="Q331" s="14"/>
      <c r="R331" s="14"/>
    </row>
    <row r="332" spans="1:18">
      <c r="A332" s="8"/>
      <c r="B332" s="14">
        <v>3610</v>
      </c>
      <c r="C332" s="14">
        <v>515</v>
      </c>
      <c r="D332" s="14">
        <v>26</v>
      </c>
      <c r="E332" s="14">
        <v>0</v>
      </c>
      <c r="F332" s="14" t="s">
        <v>2090</v>
      </c>
      <c r="G332" s="14"/>
      <c r="H332" s="14">
        <v>0</v>
      </c>
      <c r="I332" s="14">
        <v>0</v>
      </c>
      <c r="J332" s="14">
        <v>0</v>
      </c>
      <c r="K332" s="14">
        <v>0</v>
      </c>
      <c r="L332" s="14">
        <v>7</v>
      </c>
      <c r="M332" s="14">
        <v>0</v>
      </c>
      <c r="N332" s="14">
        <v>1</v>
      </c>
      <c r="O332" s="14">
        <v>999</v>
      </c>
      <c r="P332" s="14"/>
      <c r="Q332" s="14"/>
      <c r="R332" s="14"/>
    </row>
    <row r="333" spans="1:18">
      <c r="A333" s="8"/>
      <c r="B333" s="14">
        <v>3701</v>
      </c>
      <c r="C333" s="14">
        <v>487</v>
      </c>
      <c r="D333" s="14">
        <v>27</v>
      </c>
      <c r="E333" s="14">
        <v>0</v>
      </c>
      <c r="F333" s="14" t="s">
        <v>1958</v>
      </c>
      <c r="G333" s="14"/>
      <c r="H333" s="14">
        <v>2</v>
      </c>
      <c r="I333" s="14">
        <v>3</v>
      </c>
      <c r="J333" s="14">
        <v>160</v>
      </c>
      <c r="K333" s="14">
        <v>1</v>
      </c>
      <c r="L333" s="14">
        <v>2</v>
      </c>
      <c r="M333" s="14">
        <v>0</v>
      </c>
      <c r="N333" s="14">
        <v>0</v>
      </c>
      <c r="O333" s="14"/>
      <c r="P333" s="14"/>
      <c r="Q333" s="14"/>
      <c r="R333" s="14"/>
    </row>
    <row r="334" spans="1:18">
      <c r="A334" s="8"/>
      <c r="B334" s="14">
        <v>4001</v>
      </c>
      <c r="C334" s="14">
        <v>470</v>
      </c>
      <c r="D334" s="14">
        <v>30</v>
      </c>
      <c r="E334" s="14">
        <v>0</v>
      </c>
      <c r="F334" s="14" t="s">
        <v>1849</v>
      </c>
      <c r="G334" s="14"/>
      <c r="H334" s="14">
        <v>0</v>
      </c>
      <c r="I334" s="14">
        <v>0</v>
      </c>
      <c r="J334" s="14">
        <v>0</v>
      </c>
      <c r="K334" s="14">
        <v>1</v>
      </c>
      <c r="L334" s="14">
        <v>7</v>
      </c>
      <c r="M334" s="14">
        <v>0</v>
      </c>
      <c r="N334" s="14">
        <v>0</v>
      </c>
      <c r="O334" s="14"/>
      <c r="P334" s="14"/>
      <c r="Q334" s="14"/>
      <c r="R334" s="14"/>
    </row>
    <row r="335" spans="1:18">
      <c r="A335" s="8"/>
      <c r="B335" s="14">
        <v>4201</v>
      </c>
      <c r="C335" s="14">
        <v>503</v>
      </c>
      <c r="D335" s="14">
        <v>32</v>
      </c>
      <c r="E335" s="14">
        <v>0</v>
      </c>
      <c r="F335" s="14" t="s">
        <v>2203</v>
      </c>
      <c r="G335" s="14"/>
      <c r="H335" s="14">
        <v>0</v>
      </c>
      <c r="I335" s="14">
        <v>0</v>
      </c>
      <c r="J335" s="14">
        <v>0</v>
      </c>
      <c r="K335" s="14">
        <v>1</v>
      </c>
      <c r="L335" s="14">
        <v>7</v>
      </c>
      <c r="M335" s="14">
        <v>0</v>
      </c>
      <c r="N335" s="14">
        <v>1</v>
      </c>
      <c r="O335" s="14"/>
      <c r="P335" s="14"/>
      <c r="Q335" s="14"/>
      <c r="R335" s="14"/>
    </row>
    <row r="336" spans="1:18">
      <c r="A336" s="8"/>
      <c r="B336" s="14">
        <v>4301</v>
      </c>
      <c r="C336" s="14">
        <v>523</v>
      </c>
      <c r="D336" s="14">
        <v>33</v>
      </c>
      <c r="E336" s="14">
        <v>0</v>
      </c>
      <c r="F336" s="14" t="s">
        <v>2194</v>
      </c>
      <c r="G336" s="14"/>
      <c r="H336" s="14">
        <v>30</v>
      </c>
      <c r="I336" s="14">
        <v>30</v>
      </c>
      <c r="J336" s="14">
        <v>0</v>
      </c>
      <c r="K336" s="14">
        <v>1</v>
      </c>
      <c r="L336" s="14">
        <v>8</v>
      </c>
      <c r="M336" s="14">
        <v>0</v>
      </c>
      <c r="N336" s="14">
        <v>3</v>
      </c>
      <c r="O336" s="14"/>
      <c r="P336" s="14"/>
      <c r="Q336" s="14"/>
      <c r="R336" s="14"/>
    </row>
  </sheetData>
  <autoFilter ref="B6:R337" xr:uid="{912709C0-2233-4DB6-B07B-7541D7A38096}"/>
  <phoneticPr fontId="1"/>
  <dataValidations count="1">
    <dataValidation type="list" allowBlank="1" showInputMessage="1" showErrorMessage="1" sqref="A7:A33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P31" sqref="P31"/>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2299</v>
      </c>
    </row>
    <row r="42" spans="1:6">
      <c r="A42" s="8"/>
      <c r="B42" s="14">
        <v>35</v>
      </c>
      <c r="C42" s="14">
        <v>0</v>
      </c>
      <c r="D42" s="14">
        <v>0</v>
      </c>
      <c r="F42" t="s">
        <v>2322</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8"/>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2305</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2306</v>
      </c>
      <c r="G139" s="14">
        <v>6</v>
      </c>
      <c r="H139" s="14">
        <v>4</v>
      </c>
      <c r="I139" s="14"/>
      <c r="J139" s="14">
        <v>4</v>
      </c>
      <c r="K139" s="14">
        <v>1120</v>
      </c>
      <c r="L139" s="14"/>
      <c r="M139" s="14">
        <v>1101</v>
      </c>
      <c r="N139" s="14">
        <v>1516</v>
      </c>
      <c r="O139" s="14"/>
      <c r="P139" s="14"/>
    </row>
    <row r="140" spans="1:16">
      <c r="A140" s="8"/>
      <c r="B140" s="14">
        <v>135</v>
      </c>
      <c r="C140" s="14">
        <v>37</v>
      </c>
      <c r="D140" s="14">
        <v>1</v>
      </c>
      <c r="E140" s="11" t="s">
        <v>2323</v>
      </c>
      <c r="F140" s="11" t="s">
        <v>2300</v>
      </c>
      <c r="G140" s="14">
        <v>4</v>
      </c>
      <c r="H140" s="14">
        <v>1</v>
      </c>
      <c r="I140" s="14"/>
      <c r="J140" s="14">
        <v>2</v>
      </c>
      <c r="K140" s="14">
        <v>1302</v>
      </c>
      <c r="L140" s="14"/>
      <c r="M140" s="14">
        <v>1101</v>
      </c>
      <c r="N140" s="14">
        <v>501</v>
      </c>
      <c r="O140" s="14"/>
      <c r="P140" s="14"/>
    </row>
    <row r="141" spans="1:16">
      <c r="A141" s="8"/>
      <c r="B141" s="14">
        <v>136</v>
      </c>
      <c r="C141" s="14">
        <v>2</v>
      </c>
      <c r="D141" s="14">
        <v>1</v>
      </c>
      <c r="E141" s="11" t="s">
        <v>2316</v>
      </c>
      <c r="F141" s="11" t="s">
        <v>2324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2374</v>
      </c>
      <c r="F142" s="11" t="s">
        <v>2398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2379</v>
      </c>
      <c r="F143" s="11" t="s">
        <v>2399</v>
      </c>
      <c r="G143" s="14">
        <v>1</v>
      </c>
      <c r="H143" s="14">
        <v>0</v>
      </c>
      <c r="I143" s="14"/>
      <c r="J143" s="14">
        <v>1</v>
      </c>
      <c r="K143" s="14">
        <v>1518</v>
      </c>
      <c r="L143" s="14"/>
      <c r="M143" s="14">
        <v>1101</v>
      </c>
      <c r="N143" s="14">
        <v>6</v>
      </c>
      <c r="O143" s="14"/>
      <c r="P143" s="14"/>
    </row>
    <row r="144" spans="1:16">
      <c r="A144" s="8"/>
      <c r="B144" s="14">
        <v>5001</v>
      </c>
      <c r="C144" s="14">
        <v>1</v>
      </c>
      <c r="D144" s="14">
        <v>2</v>
      </c>
      <c r="E144" s="11" t="s">
        <v>991</v>
      </c>
      <c r="F144" s="11" t="s">
        <v>1062</v>
      </c>
      <c r="G144" s="14">
        <v>1</v>
      </c>
      <c r="H144" s="14">
        <v>0</v>
      </c>
      <c r="I144" s="14"/>
      <c r="J144" s="14">
        <v>1</v>
      </c>
      <c r="K144" s="14"/>
      <c r="L144" s="14"/>
      <c r="M144" s="14"/>
      <c r="N144" s="14">
        <v>1502</v>
      </c>
      <c r="O144" s="14"/>
      <c r="P144" s="14"/>
    </row>
    <row r="145" spans="1:16">
      <c r="A145" s="8"/>
      <c r="B145" s="14">
        <v>5002</v>
      </c>
      <c r="C145" s="14">
        <v>3</v>
      </c>
      <c r="D145" s="14">
        <v>2</v>
      </c>
      <c r="E145" s="11" t="s">
        <v>992</v>
      </c>
      <c r="F145" s="11" t="s">
        <v>1065</v>
      </c>
      <c r="G145" s="14">
        <v>6</v>
      </c>
      <c r="H145" s="14">
        <v>0</v>
      </c>
      <c r="I145" s="14"/>
      <c r="J145" s="14">
        <v>4</v>
      </c>
      <c r="K145" s="14"/>
      <c r="L145" s="14"/>
      <c r="M145" s="14"/>
      <c r="N145" s="14">
        <v>212</v>
      </c>
      <c r="O145" s="14"/>
      <c r="P145" s="14"/>
    </row>
    <row r="146" spans="1:16">
      <c r="A146" s="8"/>
      <c r="B146" s="14">
        <v>5003</v>
      </c>
      <c r="C146" s="14">
        <v>6</v>
      </c>
      <c r="D146" s="14">
        <v>2</v>
      </c>
      <c r="E146" s="11" t="s">
        <v>993</v>
      </c>
      <c r="F146" s="11" t="s">
        <v>1069</v>
      </c>
      <c r="G146" s="14">
        <v>4</v>
      </c>
      <c r="H146" s="14">
        <v>0</v>
      </c>
      <c r="I146" s="14"/>
      <c r="J146" s="14">
        <v>2</v>
      </c>
      <c r="K146" s="14"/>
      <c r="L146" s="14"/>
      <c r="M146" s="14"/>
      <c r="N146" s="14">
        <v>1109</v>
      </c>
      <c r="O146" s="14"/>
      <c r="P146" s="14"/>
    </row>
    <row r="147" spans="1:16">
      <c r="A147" s="8"/>
      <c r="B147" s="14">
        <v>5004</v>
      </c>
      <c r="C147" s="14">
        <v>7</v>
      </c>
      <c r="D147" s="14">
        <v>2</v>
      </c>
      <c r="E147" s="11" t="s">
        <v>994</v>
      </c>
      <c r="F147" s="11" t="s">
        <v>1071</v>
      </c>
      <c r="G147" s="14">
        <v>7</v>
      </c>
      <c r="H147" s="14">
        <v>0</v>
      </c>
      <c r="I147" s="14"/>
      <c r="J147" s="14">
        <v>6</v>
      </c>
      <c r="K147" s="14"/>
      <c r="L147" s="14"/>
      <c r="M147" s="14"/>
      <c r="N147" s="14">
        <v>1502</v>
      </c>
      <c r="O147" s="14"/>
      <c r="P147" s="14"/>
    </row>
    <row r="148" spans="1:16">
      <c r="A148" s="8"/>
      <c r="B148" s="14">
        <v>5005</v>
      </c>
      <c r="C148" s="14">
        <v>9</v>
      </c>
      <c r="D148" s="14">
        <v>2</v>
      </c>
      <c r="E148" s="11" t="s">
        <v>995</v>
      </c>
      <c r="F148" s="11" t="s">
        <v>1073</v>
      </c>
      <c r="G148" s="14">
        <v>2</v>
      </c>
      <c r="H148" s="14">
        <v>0</v>
      </c>
      <c r="I148" s="14"/>
      <c r="J148" s="14">
        <v>1</v>
      </c>
      <c r="K148" s="14"/>
      <c r="L148" s="14"/>
      <c r="M148" s="14"/>
      <c r="N148" s="14">
        <v>220</v>
      </c>
      <c r="O148" s="14"/>
      <c r="P148" s="14"/>
    </row>
    <row r="149" spans="1:16">
      <c r="A149" s="8"/>
      <c r="B149" s="14">
        <v>5006</v>
      </c>
      <c r="C149" s="14">
        <v>13</v>
      </c>
      <c r="D149" s="14">
        <v>2</v>
      </c>
      <c r="E149" s="11" t="s">
        <v>996</v>
      </c>
      <c r="F149" s="11" t="s">
        <v>1078</v>
      </c>
      <c r="G149" s="14">
        <v>1</v>
      </c>
      <c r="H149" s="14">
        <v>0</v>
      </c>
      <c r="I149" s="14"/>
      <c r="J149" s="14">
        <v>1</v>
      </c>
      <c r="K149" s="14"/>
      <c r="L149" s="14"/>
      <c r="M149" s="14"/>
      <c r="N149" s="14">
        <v>1114</v>
      </c>
      <c r="O149" s="14"/>
      <c r="P149" s="14"/>
    </row>
    <row r="150" spans="1:16">
      <c r="A150" s="8"/>
      <c r="B150" s="14">
        <v>5007</v>
      </c>
      <c r="C150" s="14">
        <v>16</v>
      </c>
      <c r="D150" s="14">
        <v>2</v>
      </c>
      <c r="E150" s="11" t="s">
        <v>997</v>
      </c>
      <c r="F150" s="11" t="s">
        <v>1083</v>
      </c>
      <c r="G150" s="14">
        <v>2</v>
      </c>
      <c r="H150" s="14">
        <v>0</v>
      </c>
      <c r="I150" s="14"/>
      <c r="J150" s="14">
        <v>1</v>
      </c>
      <c r="K150" s="14"/>
      <c r="L150" s="14"/>
      <c r="M150" s="14"/>
      <c r="N150" s="14">
        <v>1114</v>
      </c>
      <c r="O150" s="14"/>
      <c r="P150" s="14"/>
    </row>
    <row r="151" spans="1:16">
      <c r="A151" s="8"/>
      <c r="B151" s="14">
        <v>5008</v>
      </c>
      <c r="C151" s="14">
        <v>43</v>
      </c>
      <c r="D151" s="14">
        <v>2</v>
      </c>
      <c r="E151" s="11" t="s">
        <v>998</v>
      </c>
      <c r="F151" s="11" t="s">
        <v>1086</v>
      </c>
      <c r="G151" s="14">
        <v>1</v>
      </c>
      <c r="H151" s="14">
        <v>0</v>
      </c>
      <c r="I151" s="14"/>
      <c r="J151" s="14">
        <v>1</v>
      </c>
      <c r="K151" s="14"/>
      <c r="L151" s="14"/>
      <c r="M151" s="14"/>
      <c r="N151" s="14">
        <v>220</v>
      </c>
      <c r="O151" s="14"/>
      <c r="P151" s="14"/>
    </row>
    <row r="152" spans="1:16">
      <c r="A152" s="8"/>
      <c r="B152" s="14">
        <v>5009</v>
      </c>
      <c r="C152" s="14">
        <v>48</v>
      </c>
      <c r="D152" s="14">
        <v>2</v>
      </c>
      <c r="E152" s="11" t="s">
        <v>999</v>
      </c>
      <c r="F152" s="11" t="s">
        <v>1093</v>
      </c>
      <c r="G152" s="14">
        <v>3</v>
      </c>
      <c r="H152" s="14">
        <v>0</v>
      </c>
      <c r="I152" s="14"/>
      <c r="J152" s="14">
        <v>1</v>
      </c>
      <c r="K152" s="14"/>
      <c r="L152" s="14"/>
      <c r="M152" s="14"/>
      <c r="N152" s="14">
        <v>212</v>
      </c>
      <c r="O152" s="14"/>
      <c r="P152" s="14"/>
    </row>
    <row r="153" spans="1:16">
      <c r="A153" s="8"/>
      <c r="B153" s="14">
        <v>5010</v>
      </c>
      <c r="C153" s="14">
        <v>20</v>
      </c>
      <c r="D153" s="14">
        <v>2</v>
      </c>
      <c r="E153" s="11" t="s">
        <v>1000</v>
      </c>
      <c r="F153" s="11" t="s">
        <v>1096</v>
      </c>
      <c r="G153" s="14">
        <v>5</v>
      </c>
      <c r="H153" s="14">
        <v>0</v>
      </c>
      <c r="I153" s="14"/>
      <c r="J153" s="14">
        <v>3</v>
      </c>
      <c r="K153" s="14"/>
      <c r="L153" s="14"/>
      <c r="M153" s="14"/>
      <c r="N153" s="14">
        <v>1114</v>
      </c>
      <c r="O153" s="14"/>
      <c r="P153" s="14"/>
    </row>
    <row r="154" spans="1:16">
      <c r="A154" s="8"/>
      <c r="B154" s="14">
        <v>5011</v>
      </c>
      <c r="C154" s="14">
        <v>22</v>
      </c>
      <c r="D154" s="14">
        <v>2</v>
      </c>
      <c r="E154" s="11" t="s">
        <v>1001</v>
      </c>
      <c r="F154" s="11" t="s">
        <v>1099</v>
      </c>
      <c r="G154" s="14">
        <v>4</v>
      </c>
      <c r="H154" s="14">
        <v>0</v>
      </c>
      <c r="I154" s="14"/>
      <c r="J154" s="14">
        <v>2</v>
      </c>
      <c r="K154" s="14"/>
      <c r="L154" s="14"/>
      <c r="M154" s="14"/>
      <c r="N154" s="14">
        <v>1115</v>
      </c>
      <c r="O154" s="14"/>
      <c r="P154" s="14"/>
    </row>
    <row r="155" spans="1:16">
      <c r="A155" s="8"/>
      <c r="B155" s="14">
        <v>5012</v>
      </c>
      <c r="C155" s="14">
        <v>26</v>
      </c>
      <c r="D155" s="14">
        <v>2</v>
      </c>
      <c r="E155" s="11" t="s">
        <v>1002</v>
      </c>
      <c r="F155" s="11" t="s">
        <v>1105</v>
      </c>
      <c r="G155" s="14">
        <v>3</v>
      </c>
      <c r="H155" s="14">
        <v>0</v>
      </c>
      <c r="I155" s="14"/>
      <c r="J155" s="14">
        <v>1</v>
      </c>
      <c r="K155" s="14"/>
      <c r="L155" s="14"/>
      <c r="M155" s="14"/>
      <c r="N155" s="14">
        <v>1109</v>
      </c>
      <c r="O155" s="14"/>
      <c r="P155" s="14"/>
    </row>
    <row r="156" spans="1:16">
      <c r="A156" s="8"/>
      <c r="B156" s="14">
        <v>5013</v>
      </c>
      <c r="C156" s="14">
        <v>27</v>
      </c>
      <c r="D156" s="14">
        <v>2</v>
      </c>
      <c r="E156" s="11" t="s">
        <v>1003</v>
      </c>
      <c r="F156" s="11" t="s">
        <v>1107</v>
      </c>
      <c r="G156" s="14">
        <v>1</v>
      </c>
      <c r="H156" s="14">
        <v>0</v>
      </c>
      <c r="I156" s="14"/>
      <c r="J156" s="14">
        <v>1</v>
      </c>
      <c r="K156" s="14"/>
      <c r="L156" s="14"/>
      <c r="M156" s="14"/>
      <c r="N156" s="14">
        <v>212</v>
      </c>
      <c r="O156" s="14"/>
      <c r="P156" s="14"/>
    </row>
    <row r="157" spans="1:16">
      <c r="A157" s="8"/>
      <c r="B157" s="14">
        <v>5014</v>
      </c>
      <c r="C157" s="14">
        <v>31</v>
      </c>
      <c r="D157" s="14">
        <v>2</v>
      </c>
      <c r="E157" s="11" t="s">
        <v>1004</v>
      </c>
      <c r="F157" s="11" t="s">
        <v>1112</v>
      </c>
      <c r="G157" s="14">
        <v>4</v>
      </c>
      <c r="H157" s="14">
        <v>0</v>
      </c>
      <c r="I157" s="14"/>
      <c r="J157" s="14">
        <v>2</v>
      </c>
      <c r="K157" s="14"/>
      <c r="L157" s="14"/>
      <c r="M157" s="14"/>
      <c r="N157" s="14">
        <v>1115</v>
      </c>
      <c r="O157" s="14"/>
      <c r="P157" s="14"/>
    </row>
    <row r="158" spans="1:16">
      <c r="A158" s="8"/>
      <c r="B158" s="14">
        <v>5015</v>
      </c>
      <c r="C158" s="14">
        <v>33</v>
      </c>
      <c r="D158" s="14">
        <v>2</v>
      </c>
      <c r="E158" s="11" t="s">
        <v>1005</v>
      </c>
      <c r="F158" s="11" t="s">
        <v>1115</v>
      </c>
      <c r="G158" s="14">
        <v>5</v>
      </c>
      <c r="H158" s="14">
        <v>0</v>
      </c>
      <c r="I158" s="14"/>
      <c r="J158" s="14">
        <v>3</v>
      </c>
      <c r="K158" s="14"/>
      <c r="L158" s="14"/>
      <c r="M158" s="14"/>
      <c r="N158" s="14">
        <v>1116</v>
      </c>
      <c r="O158" s="14"/>
      <c r="P158" s="14"/>
    </row>
    <row r="159" spans="1:16">
      <c r="A159" s="8"/>
      <c r="B159" s="14">
        <v>5016</v>
      </c>
      <c r="C159" s="14">
        <v>38</v>
      </c>
      <c r="D159" s="14">
        <v>2</v>
      </c>
      <c r="E159" s="11" t="s">
        <v>1006</v>
      </c>
      <c r="F159" s="11" t="s">
        <v>1120</v>
      </c>
      <c r="G159" s="14">
        <v>5</v>
      </c>
      <c r="H159" s="14">
        <v>0</v>
      </c>
      <c r="I159" s="14"/>
      <c r="J159" s="14">
        <v>3</v>
      </c>
      <c r="K159" s="14"/>
      <c r="L159" s="14"/>
      <c r="M159" s="14"/>
      <c r="N159" s="14">
        <v>1116</v>
      </c>
      <c r="O159" s="14"/>
      <c r="P159" s="14"/>
    </row>
    <row r="160" spans="1:16">
      <c r="A160" s="8"/>
      <c r="B160" s="14">
        <v>5017</v>
      </c>
      <c r="C160" s="14">
        <v>39</v>
      </c>
      <c r="D160" s="14">
        <v>2</v>
      </c>
      <c r="E160" s="11" t="s">
        <v>1007</v>
      </c>
      <c r="F160" s="11" t="s">
        <v>1121</v>
      </c>
      <c r="G160" s="14">
        <v>2</v>
      </c>
      <c r="H160" s="14">
        <v>0</v>
      </c>
      <c r="I160" s="14"/>
      <c r="J160" s="14">
        <v>1</v>
      </c>
      <c r="K160" s="14"/>
      <c r="L160" s="14"/>
      <c r="M160" s="14"/>
      <c r="N160" s="14">
        <v>10</v>
      </c>
      <c r="O160" s="14"/>
      <c r="P160" s="14"/>
    </row>
    <row r="161" spans="1:16">
      <c r="A161" s="8"/>
      <c r="B161" s="14">
        <v>5018</v>
      </c>
      <c r="C161" s="14">
        <v>4</v>
      </c>
      <c r="D161" s="14">
        <v>2</v>
      </c>
      <c r="E161" s="11" t="s">
        <v>1008</v>
      </c>
      <c r="F161" s="11" t="s">
        <v>1066</v>
      </c>
      <c r="G161" s="14">
        <v>5</v>
      </c>
      <c r="H161" s="14">
        <v>0</v>
      </c>
      <c r="I161" s="14"/>
      <c r="J161" s="14">
        <v>3</v>
      </c>
      <c r="K161" s="14"/>
      <c r="L161" s="14"/>
      <c r="M161" s="14"/>
      <c r="N161" s="14">
        <v>1114</v>
      </c>
      <c r="O161" s="14"/>
      <c r="P161" s="14"/>
    </row>
    <row r="162" spans="1:16">
      <c r="A162" s="8"/>
      <c r="B162" s="14">
        <v>5019</v>
      </c>
      <c r="C162" s="14">
        <v>17</v>
      </c>
      <c r="D162" s="14">
        <v>2</v>
      </c>
      <c r="E162" s="11" t="s">
        <v>1009</v>
      </c>
      <c r="F162" s="11" t="s">
        <v>1084</v>
      </c>
      <c r="G162" s="14">
        <v>3</v>
      </c>
      <c r="H162" s="14">
        <v>0</v>
      </c>
      <c r="I162" s="14"/>
      <c r="J162" s="14">
        <v>1</v>
      </c>
      <c r="K162" s="14"/>
      <c r="L162" s="14"/>
      <c r="M162" s="14"/>
      <c r="N162" s="14">
        <v>212</v>
      </c>
      <c r="O162" s="14"/>
      <c r="P162" s="14">
        <v>242</v>
      </c>
    </row>
    <row r="163" spans="1:16">
      <c r="A163" s="8"/>
      <c r="B163" s="14">
        <v>5020</v>
      </c>
      <c r="C163" s="14">
        <v>47</v>
      </c>
      <c r="D163" s="14">
        <v>2</v>
      </c>
      <c r="E163" s="11" t="s">
        <v>1010</v>
      </c>
      <c r="F163" s="11" t="s">
        <v>1092</v>
      </c>
      <c r="G163" s="14">
        <v>2</v>
      </c>
      <c r="H163" s="14">
        <v>0</v>
      </c>
      <c r="I163" s="14"/>
      <c r="J163" s="14">
        <v>1</v>
      </c>
      <c r="K163" s="14"/>
      <c r="L163" s="14"/>
      <c r="M163" s="14"/>
      <c r="N163" s="14">
        <v>301</v>
      </c>
      <c r="O163" s="14"/>
      <c r="P163" s="14"/>
    </row>
    <row r="164" spans="1:16">
      <c r="A164" s="8"/>
      <c r="B164" s="14">
        <v>5021</v>
      </c>
      <c r="C164" s="14">
        <v>42</v>
      </c>
      <c r="D164" s="14">
        <v>2</v>
      </c>
      <c r="E164" s="11" t="s">
        <v>1011</v>
      </c>
      <c r="F164" s="11" t="s">
        <v>1125</v>
      </c>
      <c r="G164" s="14">
        <v>6</v>
      </c>
      <c r="H164" s="14">
        <v>0</v>
      </c>
      <c r="I164" s="14"/>
      <c r="J164" s="14">
        <v>1</v>
      </c>
      <c r="K164" s="14"/>
      <c r="L164" s="14"/>
      <c r="M164" s="14"/>
      <c r="N164" s="14">
        <v>1109</v>
      </c>
      <c r="O164" s="14"/>
      <c r="P164" s="14"/>
    </row>
    <row r="165" spans="1:16">
      <c r="A165" s="8"/>
      <c r="B165" s="14">
        <v>5022</v>
      </c>
      <c r="C165" s="14">
        <v>11</v>
      </c>
      <c r="D165" s="14">
        <v>2</v>
      </c>
      <c r="E165" s="11" t="s">
        <v>1012</v>
      </c>
      <c r="F165" s="11" t="s">
        <v>1076</v>
      </c>
      <c r="G165" s="14">
        <v>6</v>
      </c>
      <c r="H165" s="14">
        <v>0</v>
      </c>
      <c r="I165" s="14"/>
      <c r="J165" s="14">
        <v>4</v>
      </c>
      <c r="K165" s="14"/>
      <c r="L165" s="14"/>
      <c r="M165" s="14"/>
      <c r="N165" s="14">
        <v>1502</v>
      </c>
      <c r="O165" s="14"/>
      <c r="P165" s="14">
        <v>243</v>
      </c>
    </row>
    <row r="166" spans="1:16">
      <c r="A166" s="8"/>
      <c r="B166" s="14">
        <v>5023</v>
      </c>
      <c r="C166" s="14">
        <v>5</v>
      </c>
      <c r="D166" s="14">
        <v>2</v>
      </c>
      <c r="E166" s="11" t="s">
        <v>1013</v>
      </c>
      <c r="F166" s="11" t="s">
        <v>1067</v>
      </c>
      <c r="G166" s="14">
        <v>3</v>
      </c>
      <c r="H166" s="14">
        <v>0</v>
      </c>
      <c r="I166" s="14"/>
      <c r="J166" s="14">
        <v>1</v>
      </c>
      <c r="K166" s="14"/>
      <c r="L166" s="14"/>
      <c r="M166" s="14"/>
      <c r="N166" s="14">
        <v>212</v>
      </c>
      <c r="O166" s="14"/>
      <c r="P166" s="14"/>
    </row>
    <row r="167" spans="1:16">
      <c r="A167" s="8"/>
      <c r="B167" s="14">
        <v>5024</v>
      </c>
      <c r="C167" s="14">
        <v>23</v>
      </c>
      <c r="D167" s="14">
        <v>2</v>
      </c>
      <c r="E167" s="11" t="s">
        <v>1014</v>
      </c>
      <c r="F167" s="11" t="s">
        <v>1101</v>
      </c>
      <c r="G167" s="14">
        <v>2</v>
      </c>
      <c r="H167" s="14">
        <v>0</v>
      </c>
      <c r="I167" s="14"/>
      <c r="J167" s="14">
        <v>1</v>
      </c>
      <c r="K167" s="14"/>
      <c r="L167" s="14"/>
      <c r="M167" s="14"/>
      <c r="N167" s="14">
        <v>9</v>
      </c>
      <c r="O167" s="14"/>
      <c r="P167" s="14">
        <v>245</v>
      </c>
    </row>
    <row r="168" spans="1:16">
      <c r="A168" s="8"/>
      <c r="B168" s="14">
        <v>5025</v>
      </c>
      <c r="C168" s="14">
        <v>30</v>
      </c>
      <c r="D168" s="14">
        <v>2</v>
      </c>
      <c r="E168" s="11" t="s">
        <v>1015</v>
      </c>
      <c r="F168" s="11" t="s">
        <v>1110</v>
      </c>
      <c r="G168" s="14">
        <v>4</v>
      </c>
      <c r="H168" s="14">
        <v>0</v>
      </c>
      <c r="I168" s="14"/>
      <c r="J168" s="14">
        <v>2</v>
      </c>
      <c r="K168" s="14"/>
      <c r="L168" s="14"/>
      <c r="M168" s="14"/>
      <c r="N168" s="14">
        <v>1115</v>
      </c>
      <c r="O168" s="14"/>
      <c r="P168" s="14"/>
    </row>
    <row r="169" spans="1:16">
      <c r="A169" s="8"/>
      <c r="B169" s="14">
        <v>5026</v>
      </c>
      <c r="C169" s="14">
        <v>35</v>
      </c>
      <c r="D169" s="14">
        <v>2</v>
      </c>
      <c r="E169" s="11" t="s">
        <v>1016</v>
      </c>
      <c r="F169" s="11" t="s">
        <v>1117</v>
      </c>
      <c r="G169" s="14">
        <v>1</v>
      </c>
      <c r="H169" s="14">
        <v>0</v>
      </c>
      <c r="I169" s="14"/>
      <c r="J169" s="14">
        <v>1</v>
      </c>
      <c r="K169" s="14"/>
      <c r="L169" s="14"/>
      <c r="M169" s="14"/>
      <c r="N169" s="14">
        <v>220</v>
      </c>
      <c r="O169" s="14"/>
      <c r="P169" s="14"/>
    </row>
    <row r="170" spans="1:16">
      <c r="A170" s="8"/>
      <c r="B170" s="14">
        <v>5027</v>
      </c>
      <c r="C170" s="14">
        <v>44</v>
      </c>
      <c r="D170" s="14">
        <v>2</v>
      </c>
      <c r="E170" s="11" t="s">
        <v>1017</v>
      </c>
      <c r="F170" s="11" t="s">
        <v>1088</v>
      </c>
      <c r="G170" s="14">
        <v>1</v>
      </c>
      <c r="H170" s="14">
        <v>0</v>
      </c>
      <c r="I170" s="14"/>
      <c r="J170" s="14">
        <v>1</v>
      </c>
      <c r="K170" s="14"/>
      <c r="L170" s="14"/>
      <c r="M170" s="14"/>
      <c r="N170" s="14">
        <v>1508</v>
      </c>
      <c r="O170" s="14"/>
      <c r="P170" s="14">
        <v>244</v>
      </c>
    </row>
    <row r="171" spans="1:16">
      <c r="A171" s="8"/>
      <c r="B171" s="14">
        <v>5028</v>
      </c>
      <c r="C171" s="14">
        <v>45</v>
      </c>
      <c r="D171" s="14">
        <v>2</v>
      </c>
      <c r="E171" s="11" t="s">
        <v>1018</v>
      </c>
      <c r="F171" s="11" t="s">
        <v>1089</v>
      </c>
      <c r="G171" s="14">
        <v>6</v>
      </c>
      <c r="H171" s="14">
        <v>0</v>
      </c>
      <c r="I171" s="14"/>
      <c r="J171" s="14">
        <v>4</v>
      </c>
      <c r="K171" s="14"/>
      <c r="L171" s="14"/>
      <c r="M171" s="14"/>
      <c r="N171" s="14">
        <v>1507</v>
      </c>
      <c r="O171" s="14"/>
      <c r="P171" s="14"/>
    </row>
    <row r="172" spans="1:16">
      <c r="A172" s="8"/>
      <c r="B172" s="14">
        <v>5029</v>
      </c>
      <c r="C172" s="14">
        <v>2</v>
      </c>
      <c r="D172" s="14">
        <v>2</v>
      </c>
      <c r="E172" s="11" t="s">
        <v>1019</v>
      </c>
      <c r="F172" s="11" t="s">
        <v>1064</v>
      </c>
      <c r="G172" s="14">
        <v>2</v>
      </c>
      <c r="H172" s="14">
        <v>0</v>
      </c>
      <c r="I172" s="14"/>
      <c r="J172" s="14">
        <v>1</v>
      </c>
      <c r="K172" s="14"/>
      <c r="L172" s="14"/>
      <c r="M172" s="14"/>
      <c r="N172" s="14">
        <v>9</v>
      </c>
      <c r="O172" s="14"/>
      <c r="P172" s="14"/>
    </row>
    <row r="173" spans="1:16">
      <c r="A173" s="8"/>
      <c r="B173" s="14">
        <v>5030</v>
      </c>
      <c r="C173" s="14">
        <v>36</v>
      </c>
      <c r="D173" s="14">
        <v>2</v>
      </c>
      <c r="E173" s="11" t="s">
        <v>1020</v>
      </c>
      <c r="F173" s="11" t="s">
        <v>1118</v>
      </c>
      <c r="G173" s="14">
        <v>3</v>
      </c>
      <c r="H173" s="14">
        <v>0</v>
      </c>
      <c r="I173" s="14"/>
      <c r="J173" s="14">
        <v>1</v>
      </c>
      <c r="K173" s="14"/>
      <c r="L173" s="14"/>
      <c r="M173" s="14"/>
      <c r="N173" s="14">
        <v>1113</v>
      </c>
      <c r="O173" s="14"/>
      <c r="P173" s="14">
        <v>248</v>
      </c>
    </row>
    <row r="174" spans="1:16">
      <c r="A174" s="8"/>
      <c r="B174" s="14">
        <v>5031</v>
      </c>
      <c r="C174" s="14">
        <v>14</v>
      </c>
      <c r="D174" s="14">
        <v>2</v>
      </c>
      <c r="E174" s="11" t="s">
        <v>1021</v>
      </c>
      <c r="F174" s="11" t="s">
        <v>1080</v>
      </c>
      <c r="G174" s="14">
        <v>7</v>
      </c>
      <c r="H174" s="14">
        <v>0</v>
      </c>
      <c r="I174" s="14"/>
      <c r="J174" s="14">
        <v>6</v>
      </c>
      <c r="K174" s="14"/>
      <c r="L174" s="14"/>
      <c r="M174" s="14"/>
      <c r="N174" s="14">
        <v>1507</v>
      </c>
      <c r="O174" s="14"/>
      <c r="P174" s="14"/>
    </row>
    <row r="175" spans="1:16">
      <c r="A175" s="8"/>
      <c r="B175" s="14">
        <v>5032</v>
      </c>
      <c r="C175" s="14">
        <v>46</v>
      </c>
      <c r="D175" s="14">
        <v>2</v>
      </c>
      <c r="E175" s="11" t="s">
        <v>1022</v>
      </c>
      <c r="F175" s="11" t="s">
        <v>1090</v>
      </c>
      <c r="G175" s="14">
        <v>4</v>
      </c>
      <c r="H175" s="14">
        <v>0</v>
      </c>
      <c r="I175" s="14"/>
      <c r="J175" s="14">
        <v>2</v>
      </c>
      <c r="K175" s="14"/>
      <c r="L175" s="14"/>
      <c r="M175" s="14"/>
      <c r="N175" s="14">
        <v>1502</v>
      </c>
      <c r="O175" s="14"/>
      <c r="P175" s="14"/>
    </row>
    <row r="176" spans="1:16">
      <c r="A176" s="8"/>
      <c r="B176" s="14">
        <v>5033</v>
      </c>
      <c r="C176" s="14">
        <v>28</v>
      </c>
      <c r="D176" s="14">
        <v>2</v>
      </c>
      <c r="E176" s="11" t="s">
        <v>1023</v>
      </c>
      <c r="F176" s="11" t="s">
        <v>1108</v>
      </c>
      <c r="G176" s="14">
        <v>5</v>
      </c>
      <c r="H176" s="14">
        <v>0</v>
      </c>
      <c r="I176" s="14"/>
      <c r="J176" s="14">
        <v>3</v>
      </c>
      <c r="K176" s="14"/>
      <c r="L176" s="14"/>
      <c r="M176" s="14"/>
      <c r="N176" s="14">
        <v>1112</v>
      </c>
      <c r="O176" s="14"/>
      <c r="P176" s="14">
        <v>241</v>
      </c>
    </row>
    <row r="177" spans="1:16">
      <c r="A177" s="8"/>
      <c r="B177" s="14">
        <v>5034</v>
      </c>
      <c r="C177" s="14">
        <v>19</v>
      </c>
      <c r="D177" s="14">
        <v>2</v>
      </c>
      <c r="E177" s="11" t="s">
        <v>1024</v>
      </c>
      <c r="F177" s="11" t="s">
        <v>1095</v>
      </c>
      <c r="G177" s="14">
        <v>1</v>
      </c>
      <c r="H177" s="14">
        <v>0</v>
      </c>
      <c r="I177" s="14"/>
      <c r="J177" s="14">
        <v>1</v>
      </c>
      <c r="K177" s="14"/>
      <c r="L177" s="14"/>
      <c r="M177" s="14"/>
      <c r="N177" s="14">
        <v>1109</v>
      </c>
      <c r="O177" s="14"/>
      <c r="P177" s="14"/>
    </row>
    <row r="178" spans="1:16">
      <c r="A178" s="8"/>
      <c r="B178" s="14">
        <v>5035</v>
      </c>
      <c r="C178" s="14">
        <v>6</v>
      </c>
      <c r="D178" s="14">
        <v>2</v>
      </c>
      <c r="E178" s="11" t="s">
        <v>1025</v>
      </c>
      <c r="F178" s="11" t="s">
        <v>1070</v>
      </c>
      <c r="G178" s="14">
        <v>4</v>
      </c>
      <c r="H178" s="14">
        <v>0</v>
      </c>
      <c r="I178" s="14"/>
      <c r="J178" s="14">
        <v>2</v>
      </c>
      <c r="K178" s="14"/>
      <c r="L178" s="14"/>
      <c r="M178" s="14"/>
      <c r="N178" s="14">
        <v>1115</v>
      </c>
      <c r="O178" s="14"/>
      <c r="P178" s="14"/>
    </row>
    <row r="179" spans="1:16">
      <c r="A179" s="8"/>
      <c r="B179" s="14">
        <v>5036</v>
      </c>
      <c r="C179" s="14">
        <v>1</v>
      </c>
      <c r="D179" s="14">
        <v>2</v>
      </c>
      <c r="E179" s="11" t="s">
        <v>1026</v>
      </c>
      <c r="F179" s="11" t="s">
        <v>1063</v>
      </c>
      <c r="G179" s="14">
        <v>1</v>
      </c>
      <c r="H179" s="14">
        <v>1</v>
      </c>
      <c r="I179" s="14"/>
      <c r="J179" s="14">
        <v>1</v>
      </c>
      <c r="K179" s="14"/>
      <c r="L179" s="14"/>
      <c r="M179" s="14"/>
      <c r="N179" s="14">
        <v>1109</v>
      </c>
      <c r="O179" s="14"/>
      <c r="P179" s="14">
        <v>240</v>
      </c>
    </row>
    <row r="180" spans="1:16">
      <c r="A180" s="8"/>
      <c r="B180" s="14">
        <v>5037</v>
      </c>
      <c r="C180" s="14">
        <v>40</v>
      </c>
      <c r="D180" s="14">
        <v>2</v>
      </c>
      <c r="E180" s="11" t="s">
        <v>1027</v>
      </c>
      <c r="F180" s="11" t="s">
        <v>1122</v>
      </c>
      <c r="G180" s="14">
        <v>6</v>
      </c>
      <c r="H180" s="14">
        <v>0</v>
      </c>
      <c r="I180" s="14"/>
      <c r="J180" s="14">
        <v>6</v>
      </c>
      <c r="K180" s="14"/>
      <c r="L180" s="14"/>
      <c r="M180" s="14"/>
      <c r="N180" s="14">
        <v>1502</v>
      </c>
      <c r="O180" s="14"/>
      <c r="P180" s="14">
        <v>253</v>
      </c>
    </row>
    <row r="181" spans="1:16">
      <c r="A181" s="8"/>
      <c r="B181" s="14">
        <v>5038</v>
      </c>
      <c r="C181" s="14">
        <v>10</v>
      </c>
      <c r="D181" s="14">
        <v>2</v>
      </c>
      <c r="E181" s="11" t="s">
        <v>1028</v>
      </c>
      <c r="F181" s="11" t="s">
        <v>1074</v>
      </c>
      <c r="G181" s="14">
        <v>5</v>
      </c>
      <c r="H181" s="14">
        <v>0</v>
      </c>
      <c r="I181" s="14"/>
      <c r="J181" s="14">
        <v>3</v>
      </c>
      <c r="K181" s="14"/>
      <c r="L181" s="14"/>
      <c r="M181" s="14"/>
      <c r="N181" s="14">
        <v>1113</v>
      </c>
      <c r="O181" s="14"/>
      <c r="P181" s="14"/>
    </row>
    <row r="182" spans="1:16">
      <c r="A182" s="8"/>
      <c r="B182" s="14">
        <v>5039</v>
      </c>
      <c r="C182" s="14">
        <v>48</v>
      </c>
      <c r="D182" s="14">
        <v>2</v>
      </c>
      <c r="E182" s="11" t="s">
        <v>1029</v>
      </c>
      <c r="F182" s="11" t="s">
        <v>1094</v>
      </c>
      <c r="G182" s="14">
        <v>3</v>
      </c>
      <c r="H182" s="14">
        <v>0</v>
      </c>
      <c r="I182" s="14"/>
      <c r="J182" s="14">
        <v>1</v>
      </c>
      <c r="K182" s="14"/>
      <c r="L182" s="14"/>
      <c r="M182" s="14"/>
      <c r="N182" s="14">
        <v>10</v>
      </c>
      <c r="O182" s="14"/>
      <c r="P182" s="14">
        <v>246</v>
      </c>
    </row>
    <row r="183" spans="1:16">
      <c r="A183" s="8"/>
      <c r="B183" s="14">
        <v>5040</v>
      </c>
      <c r="C183" s="14">
        <v>24</v>
      </c>
      <c r="D183" s="14">
        <v>2</v>
      </c>
      <c r="E183" s="11" t="s">
        <v>1030</v>
      </c>
      <c r="F183" s="11" t="s">
        <v>1102</v>
      </c>
      <c r="G183" s="14">
        <v>6</v>
      </c>
      <c r="H183" s="14">
        <v>0</v>
      </c>
      <c r="I183" s="14"/>
      <c r="J183" s="14">
        <v>4</v>
      </c>
      <c r="K183" s="14"/>
      <c r="L183" s="14"/>
      <c r="M183" s="14"/>
      <c r="N183" s="14">
        <v>1109</v>
      </c>
      <c r="O183" s="14"/>
      <c r="P183" s="14"/>
    </row>
    <row r="184" spans="1:16">
      <c r="A184" s="8"/>
      <c r="B184" s="14">
        <v>5041</v>
      </c>
      <c r="C184" s="14">
        <v>12</v>
      </c>
      <c r="D184" s="14">
        <v>2</v>
      </c>
      <c r="E184" s="11" t="s">
        <v>1031</v>
      </c>
      <c r="F184" s="11" t="s">
        <v>1077</v>
      </c>
      <c r="G184" s="14">
        <v>3</v>
      </c>
      <c r="H184" s="14">
        <v>0</v>
      </c>
      <c r="I184" s="14"/>
      <c r="J184" s="14">
        <v>1</v>
      </c>
      <c r="K184" s="14"/>
      <c r="L184" s="14"/>
      <c r="M184" s="14"/>
      <c r="N184" s="14">
        <v>301</v>
      </c>
      <c r="O184" s="14"/>
      <c r="P184" s="14">
        <v>252</v>
      </c>
    </row>
    <row r="185" spans="1:16">
      <c r="A185" s="8"/>
      <c r="B185" s="14">
        <v>5042</v>
      </c>
      <c r="C185" s="14">
        <v>29</v>
      </c>
      <c r="D185" s="14">
        <v>2</v>
      </c>
      <c r="E185" s="11" t="s">
        <v>1032</v>
      </c>
      <c r="F185" s="11" t="s">
        <v>1109</v>
      </c>
      <c r="G185" s="14">
        <v>6</v>
      </c>
      <c r="H185" s="14">
        <v>0</v>
      </c>
      <c r="I185" s="14"/>
      <c r="J185" s="14">
        <v>4</v>
      </c>
      <c r="K185" s="14"/>
      <c r="L185" s="14"/>
      <c r="M185" s="14"/>
      <c r="N185" s="14">
        <v>212</v>
      </c>
      <c r="O185" s="14"/>
      <c r="P185" s="14"/>
    </row>
    <row r="186" spans="1:16">
      <c r="A186" s="8"/>
      <c r="B186" s="14">
        <v>5043</v>
      </c>
      <c r="C186" s="14">
        <v>32</v>
      </c>
      <c r="D186" s="14">
        <v>2</v>
      </c>
      <c r="E186" s="11" t="s">
        <v>1033</v>
      </c>
      <c r="F186" s="11" t="s">
        <v>1113</v>
      </c>
      <c r="G186" s="14">
        <v>2</v>
      </c>
      <c r="H186" s="14">
        <v>5</v>
      </c>
      <c r="I186" s="14"/>
      <c r="J186" s="14">
        <v>1</v>
      </c>
      <c r="K186" s="14"/>
      <c r="L186" s="14"/>
      <c r="M186" s="14"/>
      <c r="N186" s="14">
        <v>9</v>
      </c>
      <c r="O186" s="14"/>
      <c r="P186" s="14">
        <v>255</v>
      </c>
    </row>
    <row r="187" spans="1:16">
      <c r="A187" s="8"/>
      <c r="B187" s="14">
        <v>5044</v>
      </c>
      <c r="C187" s="14">
        <v>15</v>
      </c>
      <c r="D187" s="14">
        <v>2</v>
      </c>
      <c r="E187" s="11" t="s">
        <v>1034</v>
      </c>
      <c r="F187" s="11" t="s">
        <v>1082</v>
      </c>
      <c r="G187" s="14">
        <v>6</v>
      </c>
      <c r="H187" s="14">
        <v>0</v>
      </c>
      <c r="I187" s="14"/>
      <c r="J187" s="14">
        <v>4</v>
      </c>
      <c r="K187" s="14"/>
      <c r="L187" s="14"/>
      <c r="M187" s="14"/>
      <c r="N187" s="14">
        <v>212</v>
      </c>
      <c r="O187" s="14"/>
      <c r="P187" s="14"/>
    </row>
    <row r="188" spans="1:16">
      <c r="A188" s="8"/>
      <c r="B188" s="14">
        <v>5045</v>
      </c>
      <c r="C188" s="14">
        <v>18</v>
      </c>
      <c r="D188" s="14">
        <v>2</v>
      </c>
      <c r="E188" s="11" t="s">
        <v>1035</v>
      </c>
      <c r="F188" s="11" t="s">
        <v>1085</v>
      </c>
      <c r="G188" s="14">
        <v>5</v>
      </c>
      <c r="H188" s="14">
        <v>0</v>
      </c>
      <c r="I188" s="14"/>
      <c r="J188" s="14">
        <v>3</v>
      </c>
      <c r="K188" s="14"/>
      <c r="L188" s="14"/>
      <c r="M188" s="14"/>
      <c r="N188" s="14">
        <v>1109</v>
      </c>
      <c r="O188" s="14"/>
      <c r="P188" s="14">
        <v>247</v>
      </c>
    </row>
    <row r="189" spans="1:16">
      <c r="A189" s="8"/>
      <c r="B189" s="14">
        <v>5046</v>
      </c>
      <c r="C189" s="14">
        <v>37</v>
      </c>
      <c r="D189" s="14">
        <v>2</v>
      </c>
      <c r="E189" s="11" t="s">
        <v>1036</v>
      </c>
      <c r="F189" s="11" t="s">
        <v>1119</v>
      </c>
      <c r="G189" s="14">
        <v>1</v>
      </c>
      <c r="H189" s="14">
        <v>0</v>
      </c>
      <c r="I189" s="14"/>
      <c r="J189" s="14">
        <v>1</v>
      </c>
      <c r="K189" s="14"/>
      <c r="L189" s="14"/>
      <c r="M189" s="14"/>
      <c r="N189" s="14">
        <v>10</v>
      </c>
      <c r="O189" s="14"/>
      <c r="P189" s="14"/>
    </row>
    <row r="190" spans="1:16">
      <c r="A190" s="8"/>
      <c r="B190" s="14">
        <v>5047</v>
      </c>
      <c r="C190" s="14">
        <v>103</v>
      </c>
      <c r="D190" s="14">
        <v>2</v>
      </c>
      <c r="E190" s="11" t="s">
        <v>1037</v>
      </c>
      <c r="F190" s="11" t="s">
        <v>1126</v>
      </c>
      <c r="G190" s="14">
        <v>7</v>
      </c>
      <c r="H190" s="14">
        <v>0</v>
      </c>
      <c r="I190" s="14"/>
      <c r="J190" s="14">
        <v>2</v>
      </c>
      <c r="K190" s="14"/>
      <c r="L190" s="14"/>
      <c r="M190" s="14"/>
      <c r="N190" s="14">
        <v>1114</v>
      </c>
      <c r="O190" s="14"/>
      <c r="P190" s="14">
        <v>213</v>
      </c>
    </row>
    <row r="191" spans="1:16">
      <c r="A191" s="8"/>
      <c r="B191" s="14">
        <v>5048</v>
      </c>
      <c r="C191" s="14">
        <v>26</v>
      </c>
      <c r="D191" s="14">
        <v>2</v>
      </c>
      <c r="E191" s="11" t="s">
        <v>1038</v>
      </c>
      <c r="F191" s="11" t="s">
        <v>1106</v>
      </c>
      <c r="G191" s="14">
        <v>3</v>
      </c>
      <c r="H191" s="14">
        <v>0</v>
      </c>
      <c r="I191" s="14"/>
      <c r="J191" s="14">
        <v>1</v>
      </c>
      <c r="K191" s="14"/>
      <c r="L191" s="14"/>
      <c r="M191" s="14"/>
      <c r="N191" s="14">
        <v>10</v>
      </c>
      <c r="O191" s="14"/>
      <c r="P191" s="14">
        <v>251</v>
      </c>
    </row>
    <row r="192" spans="1:16">
      <c r="A192" s="8"/>
      <c r="B192" s="14">
        <v>5049</v>
      </c>
      <c r="C192" s="14">
        <v>25</v>
      </c>
      <c r="D192" s="14">
        <v>2</v>
      </c>
      <c r="E192" s="11" t="s">
        <v>1039</v>
      </c>
      <c r="F192" s="11" t="s">
        <v>1104</v>
      </c>
      <c r="G192" s="14">
        <v>7</v>
      </c>
      <c r="H192" s="14">
        <v>1</v>
      </c>
      <c r="I192" s="14"/>
      <c r="J192" s="14">
        <v>6</v>
      </c>
      <c r="K192" s="14"/>
      <c r="L192" s="14"/>
      <c r="M192" s="14"/>
      <c r="N192" s="14">
        <v>1502</v>
      </c>
      <c r="O192" s="14"/>
      <c r="P192" s="14"/>
    </row>
    <row r="193" spans="1:16">
      <c r="A193" s="8"/>
      <c r="B193" s="14">
        <v>5050</v>
      </c>
      <c r="C193" s="14">
        <v>13</v>
      </c>
      <c r="D193" s="14">
        <v>2</v>
      </c>
      <c r="E193" s="11" t="s">
        <v>1040</v>
      </c>
      <c r="F193" s="11" t="s">
        <v>1079</v>
      </c>
      <c r="G193" s="14">
        <v>1</v>
      </c>
      <c r="H193" s="14">
        <v>0</v>
      </c>
      <c r="I193" s="14"/>
      <c r="J193" s="14">
        <v>1</v>
      </c>
      <c r="K193" s="14"/>
      <c r="L193" s="14"/>
      <c r="M193" s="14"/>
      <c r="N193" s="14">
        <v>212</v>
      </c>
      <c r="O193" s="14"/>
      <c r="P193" s="14">
        <v>256</v>
      </c>
    </row>
    <row r="194" spans="1:16">
      <c r="A194" s="8"/>
      <c r="B194" s="14">
        <v>5051</v>
      </c>
      <c r="C194" s="14">
        <v>43</v>
      </c>
      <c r="D194" s="14">
        <v>2</v>
      </c>
      <c r="E194" s="11" t="s">
        <v>1041</v>
      </c>
      <c r="F194" s="11" t="s">
        <v>1087</v>
      </c>
      <c r="G194" s="14">
        <v>1</v>
      </c>
      <c r="H194" s="14">
        <v>4</v>
      </c>
      <c r="I194" s="14"/>
      <c r="J194" s="14">
        <v>1</v>
      </c>
      <c r="K194" s="14"/>
      <c r="L194" s="14"/>
      <c r="M194" s="14"/>
      <c r="N194" s="14">
        <v>10</v>
      </c>
      <c r="O194" s="14"/>
      <c r="P194" s="14"/>
    </row>
    <row r="195" spans="1:16">
      <c r="A195" s="8"/>
      <c r="B195" s="14">
        <v>5052</v>
      </c>
      <c r="C195" s="14">
        <v>8</v>
      </c>
      <c r="D195" s="14">
        <v>2</v>
      </c>
      <c r="E195" s="11" t="s">
        <v>1042</v>
      </c>
      <c r="F195" s="11" t="s">
        <v>1072</v>
      </c>
      <c r="G195" s="14">
        <v>1</v>
      </c>
      <c r="H195" s="14">
        <v>3</v>
      </c>
      <c r="I195" s="14"/>
      <c r="J195" s="14">
        <v>1</v>
      </c>
      <c r="K195" s="14"/>
      <c r="L195" s="14"/>
      <c r="M195" s="14"/>
      <c r="N195" s="14">
        <v>220</v>
      </c>
      <c r="O195" s="14"/>
      <c r="P195" s="14">
        <v>257</v>
      </c>
    </row>
    <row r="196" spans="1:16">
      <c r="A196" s="8"/>
      <c r="B196" s="14">
        <v>5053</v>
      </c>
      <c r="C196" s="14">
        <v>22</v>
      </c>
      <c r="D196" s="14">
        <v>2</v>
      </c>
      <c r="E196" s="11" t="s">
        <v>1043</v>
      </c>
      <c r="F196" s="11" t="s">
        <v>1100</v>
      </c>
      <c r="G196" s="14">
        <v>4</v>
      </c>
      <c r="H196" s="14">
        <v>0</v>
      </c>
      <c r="I196" s="14"/>
      <c r="J196" s="14">
        <v>2</v>
      </c>
      <c r="K196" s="14"/>
      <c r="L196" s="14"/>
      <c r="M196" s="14"/>
      <c r="N196" s="14">
        <v>1109</v>
      </c>
      <c r="O196" s="14"/>
      <c r="P196" s="14"/>
    </row>
    <row r="197" spans="1:16">
      <c r="A197" s="8"/>
      <c r="B197" s="14">
        <v>5054</v>
      </c>
      <c r="C197" s="14">
        <v>41</v>
      </c>
      <c r="D197" s="14">
        <v>2</v>
      </c>
      <c r="E197" s="11" t="s">
        <v>1044</v>
      </c>
      <c r="F197" s="11" t="s">
        <v>1124</v>
      </c>
      <c r="G197" s="14">
        <v>4</v>
      </c>
      <c r="H197" s="14">
        <v>0</v>
      </c>
      <c r="I197" s="14"/>
      <c r="J197" s="14">
        <v>2</v>
      </c>
      <c r="K197" s="14"/>
      <c r="L197" s="14"/>
      <c r="M197" s="14"/>
      <c r="N197" s="14">
        <v>1115</v>
      </c>
      <c r="O197" s="14"/>
      <c r="P197" s="14">
        <v>258</v>
      </c>
    </row>
    <row r="198" spans="1:16">
      <c r="A198" s="8"/>
      <c r="B198" s="14">
        <v>5055</v>
      </c>
      <c r="C198" s="14">
        <v>21</v>
      </c>
      <c r="D198" s="14">
        <v>2</v>
      </c>
      <c r="E198" s="11" t="s">
        <v>1045</v>
      </c>
      <c r="F198" s="11" t="s">
        <v>1098</v>
      </c>
      <c r="G198" s="14">
        <v>6</v>
      </c>
      <c r="H198" s="14">
        <v>0</v>
      </c>
      <c r="I198" s="14"/>
      <c r="J198" s="14">
        <v>4</v>
      </c>
      <c r="K198" s="14"/>
      <c r="L198" s="14"/>
      <c r="M198" s="14"/>
      <c r="N198" s="14">
        <v>9</v>
      </c>
      <c r="O198" s="14"/>
      <c r="P198" s="14">
        <v>266</v>
      </c>
    </row>
    <row r="199" spans="1:16">
      <c r="A199" s="8"/>
      <c r="B199" s="14">
        <v>5056</v>
      </c>
      <c r="C199" s="14">
        <v>20</v>
      </c>
      <c r="D199" s="14">
        <v>2</v>
      </c>
      <c r="E199" s="11" t="s">
        <v>1046</v>
      </c>
      <c r="F199" s="11" t="s">
        <v>1097</v>
      </c>
      <c r="G199" s="14">
        <v>5</v>
      </c>
      <c r="H199" s="14">
        <v>5</v>
      </c>
      <c r="I199" s="14"/>
      <c r="J199" s="14">
        <v>3</v>
      </c>
      <c r="K199" s="14"/>
      <c r="L199" s="14"/>
      <c r="M199" s="14"/>
      <c r="N199" s="14">
        <v>1109</v>
      </c>
      <c r="O199" s="14"/>
      <c r="P199" s="14"/>
    </row>
    <row r="200" spans="1:16">
      <c r="A200" s="8"/>
      <c r="B200" s="14">
        <v>5057</v>
      </c>
      <c r="C200" s="14">
        <v>2</v>
      </c>
      <c r="D200" s="14">
        <v>2</v>
      </c>
      <c r="E200" s="11" t="s">
        <v>1047</v>
      </c>
      <c r="F200" s="11" t="s">
        <v>1327</v>
      </c>
      <c r="G200" s="14">
        <v>2</v>
      </c>
      <c r="H200" s="14">
        <v>1</v>
      </c>
      <c r="I200" s="14"/>
      <c r="J200" s="14">
        <v>1</v>
      </c>
      <c r="K200" s="14"/>
      <c r="L200" s="14"/>
      <c r="M200" s="14"/>
      <c r="N200" s="14">
        <v>10</v>
      </c>
      <c r="O200" s="14"/>
      <c r="P200" s="14">
        <v>267</v>
      </c>
    </row>
    <row r="201" spans="1:16">
      <c r="A201" s="8"/>
      <c r="B201" s="14">
        <v>5058</v>
      </c>
      <c r="C201" s="14">
        <v>32</v>
      </c>
      <c r="D201" s="14">
        <v>2</v>
      </c>
      <c r="E201" s="11" t="s">
        <v>1048</v>
      </c>
      <c r="F201" s="11" t="s">
        <v>1114</v>
      </c>
      <c r="G201" s="14">
        <v>2</v>
      </c>
      <c r="H201" s="14">
        <v>0</v>
      </c>
      <c r="I201" s="14"/>
      <c r="J201" s="14">
        <v>1</v>
      </c>
      <c r="K201" s="14"/>
      <c r="L201" s="14"/>
      <c r="M201" s="14"/>
      <c r="N201" s="14">
        <v>10</v>
      </c>
      <c r="O201" s="14"/>
      <c r="P201" s="14"/>
    </row>
    <row r="202" spans="1:16">
      <c r="A202" s="8"/>
      <c r="B202" s="14">
        <v>5059</v>
      </c>
      <c r="C202" s="14">
        <v>34</v>
      </c>
      <c r="D202" s="14">
        <v>2</v>
      </c>
      <c r="E202" s="11" t="s">
        <v>1049</v>
      </c>
      <c r="F202" s="11" t="s">
        <v>1116</v>
      </c>
      <c r="G202" s="14">
        <v>7</v>
      </c>
      <c r="H202" s="14">
        <v>0</v>
      </c>
      <c r="I202" s="14"/>
      <c r="J202" s="14">
        <v>6</v>
      </c>
      <c r="K202" s="14"/>
      <c r="L202" s="14"/>
      <c r="M202" s="14"/>
      <c r="N202" s="14">
        <v>1502</v>
      </c>
      <c r="O202" s="14"/>
      <c r="P202" s="14">
        <v>268</v>
      </c>
    </row>
    <row r="203" spans="1:16">
      <c r="A203" s="8"/>
      <c r="B203" s="14">
        <v>5060</v>
      </c>
      <c r="C203" s="14">
        <v>5</v>
      </c>
      <c r="D203" s="14">
        <v>2</v>
      </c>
      <c r="E203" s="11" t="s">
        <v>1050</v>
      </c>
      <c r="F203" s="11" t="s">
        <v>1068</v>
      </c>
      <c r="G203" s="14">
        <v>3</v>
      </c>
      <c r="H203" s="14">
        <v>1</v>
      </c>
      <c r="I203" s="14"/>
      <c r="J203" s="14">
        <v>1</v>
      </c>
      <c r="K203" s="14"/>
      <c r="L203" s="14"/>
      <c r="M203" s="14"/>
      <c r="N203" s="14">
        <v>239</v>
      </c>
      <c r="O203" s="14"/>
      <c r="P203" s="14"/>
    </row>
    <row r="204" spans="1:16">
      <c r="A204" s="8"/>
      <c r="B204" s="14">
        <v>5061</v>
      </c>
      <c r="C204" s="14">
        <v>30</v>
      </c>
      <c r="D204" s="14">
        <v>2</v>
      </c>
      <c r="E204" s="11" t="s">
        <v>1051</v>
      </c>
      <c r="F204" s="11" t="s">
        <v>1111</v>
      </c>
      <c r="G204" s="14">
        <v>4</v>
      </c>
      <c r="H204" s="14">
        <v>1</v>
      </c>
      <c r="I204" s="14"/>
      <c r="J204" s="14">
        <v>2</v>
      </c>
      <c r="K204" s="14"/>
      <c r="L204" s="14"/>
      <c r="M204" s="14"/>
      <c r="N204" s="14">
        <v>1115</v>
      </c>
      <c r="O204" s="14"/>
      <c r="P204" s="14">
        <v>261</v>
      </c>
    </row>
    <row r="205" spans="1:16">
      <c r="A205" s="8"/>
      <c r="B205" s="14">
        <v>5062</v>
      </c>
      <c r="C205" s="14">
        <v>40</v>
      </c>
      <c r="D205" s="14">
        <v>2</v>
      </c>
      <c r="E205" s="11" t="s">
        <v>1052</v>
      </c>
      <c r="F205" s="11" t="s">
        <v>1123</v>
      </c>
      <c r="G205" s="14">
        <v>7</v>
      </c>
      <c r="H205" s="14">
        <v>0</v>
      </c>
      <c r="I205" s="14"/>
      <c r="J205" s="14">
        <v>6</v>
      </c>
      <c r="K205" s="14"/>
      <c r="L205" s="14"/>
      <c r="M205" s="14"/>
      <c r="N205" s="14">
        <v>1502</v>
      </c>
      <c r="O205" s="14"/>
      <c r="P205" s="14"/>
    </row>
    <row r="206" spans="1:16">
      <c r="A206" s="8"/>
      <c r="B206" s="14">
        <v>5063</v>
      </c>
      <c r="C206" s="14">
        <v>46</v>
      </c>
      <c r="D206" s="14">
        <v>2</v>
      </c>
      <c r="E206" s="11" t="s">
        <v>1053</v>
      </c>
      <c r="F206" s="11" t="s">
        <v>1091</v>
      </c>
      <c r="G206" s="14">
        <v>4</v>
      </c>
      <c r="H206" s="14">
        <v>0</v>
      </c>
      <c r="I206" s="14"/>
      <c r="J206" s="14">
        <v>2</v>
      </c>
      <c r="K206" s="14"/>
      <c r="L206" s="14"/>
      <c r="M206" s="14"/>
      <c r="N206" s="14">
        <v>1109</v>
      </c>
      <c r="O206" s="14"/>
      <c r="P206" s="14">
        <v>264</v>
      </c>
    </row>
    <row r="207" spans="1:16">
      <c r="A207" s="8"/>
      <c r="B207" s="14">
        <v>5064</v>
      </c>
      <c r="C207" s="14">
        <v>24</v>
      </c>
      <c r="D207" s="14">
        <v>2</v>
      </c>
      <c r="E207" s="11" t="s">
        <v>1054</v>
      </c>
      <c r="F207" s="11" t="s">
        <v>1103</v>
      </c>
      <c r="G207" s="14">
        <v>6</v>
      </c>
      <c r="H207" s="14">
        <v>0</v>
      </c>
      <c r="I207" s="14"/>
      <c r="J207" s="14">
        <v>1</v>
      </c>
      <c r="K207" s="14"/>
      <c r="L207" s="14"/>
      <c r="M207" s="14"/>
      <c r="N207" s="14">
        <v>220</v>
      </c>
      <c r="O207" s="14"/>
      <c r="P207" s="14">
        <v>262</v>
      </c>
    </row>
    <row r="208" spans="1:16">
      <c r="A208" s="8"/>
      <c r="B208" s="14">
        <v>5065</v>
      </c>
      <c r="C208" s="14">
        <v>10</v>
      </c>
      <c r="D208" s="14">
        <v>2</v>
      </c>
      <c r="E208" s="11" t="s">
        <v>1055</v>
      </c>
      <c r="F208" s="11" t="s">
        <v>1075</v>
      </c>
      <c r="G208" s="14">
        <v>5</v>
      </c>
      <c r="H208" s="14">
        <v>1</v>
      </c>
      <c r="I208" s="14"/>
      <c r="J208" s="14">
        <v>1</v>
      </c>
      <c r="K208" s="14"/>
      <c r="L208" s="14"/>
      <c r="M208" s="14"/>
      <c r="N208" s="14">
        <v>1112</v>
      </c>
      <c r="O208" s="14"/>
      <c r="P208" s="14">
        <v>271</v>
      </c>
    </row>
    <row r="209" spans="1:16">
      <c r="A209" s="8"/>
      <c r="B209" s="14">
        <v>5066</v>
      </c>
      <c r="C209" s="14">
        <v>104</v>
      </c>
      <c r="D209" s="14">
        <v>2</v>
      </c>
      <c r="E209" s="11" t="s">
        <v>1056</v>
      </c>
      <c r="F209" s="11" t="s">
        <v>825</v>
      </c>
      <c r="G209" s="14">
        <v>6</v>
      </c>
      <c r="H209" s="14">
        <v>2</v>
      </c>
      <c r="I209" s="14"/>
      <c r="J209" s="14">
        <v>4</v>
      </c>
      <c r="K209" s="14"/>
      <c r="L209" s="14"/>
      <c r="M209" s="14"/>
      <c r="N209" s="14">
        <v>1109</v>
      </c>
      <c r="O209" s="14"/>
      <c r="P209" s="14">
        <v>216</v>
      </c>
    </row>
    <row r="210" spans="1:16">
      <c r="A210" s="8"/>
      <c r="B210" s="14">
        <v>5067</v>
      </c>
      <c r="C210" s="14">
        <v>14</v>
      </c>
      <c r="D210" s="14">
        <v>2</v>
      </c>
      <c r="E210" s="11" t="s">
        <v>1057</v>
      </c>
      <c r="F210" s="11" t="s">
        <v>1081</v>
      </c>
      <c r="G210" s="14">
        <v>7</v>
      </c>
      <c r="H210" s="14">
        <v>4</v>
      </c>
      <c r="I210" s="14"/>
      <c r="J210" s="14">
        <v>4</v>
      </c>
      <c r="K210" s="14"/>
      <c r="L210" s="14"/>
      <c r="M210" s="14"/>
      <c r="N210" s="14">
        <v>1502</v>
      </c>
      <c r="O210" s="14"/>
      <c r="P210" s="14">
        <v>1114</v>
      </c>
    </row>
    <row r="211" spans="1:16">
      <c r="A211" s="8"/>
      <c r="B211" s="14">
        <v>5068</v>
      </c>
      <c r="C211" s="14">
        <v>9</v>
      </c>
      <c r="D211" s="14">
        <v>2</v>
      </c>
      <c r="E211" s="11" t="s">
        <v>1058</v>
      </c>
      <c r="F211" s="11" t="s">
        <v>1127</v>
      </c>
      <c r="G211" s="14">
        <v>2</v>
      </c>
      <c r="H211" s="14">
        <v>3</v>
      </c>
      <c r="I211" s="14"/>
      <c r="J211" s="14">
        <v>3</v>
      </c>
      <c r="K211" s="14"/>
      <c r="L211" s="14"/>
      <c r="M211" s="14"/>
      <c r="N211" s="14">
        <v>220</v>
      </c>
      <c r="O211" s="14"/>
      <c r="P211" s="14"/>
    </row>
    <row r="212" spans="1:16">
      <c r="A212" s="8"/>
      <c r="B212" s="14">
        <v>5069</v>
      </c>
      <c r="C212" s="14">
        <v>47</v>
      </c>
      <c r="D212" s="14">
        <v>2</v>
      </c>
      <c r="E212" s="11" t="s">
        <v>1617</v>
      </c>
      <c r="F212" s="11" t="s">
        <v>1620</v>
      </c>
      <c r="G212" s="14">
        <v>2</v>
      </c>
      <c r="H212" s="14">
        <v>2</v>
      </c>
      <c r="I212" s="14"/>
      <c r="J212" s="14">
        <v>1</v>
      </c>
      <c r="K212" s="14"/>
      <c r="L212" s="14"/>
      <c r="M212" s="14"/>
      <c r="N212" s="14">
        <v>242</v>
      </c>
      <c r="O212" s="14"/>
      <c r="P212" s="14">
        <v>216</v>
      </c>
    </row>
    <row r="213" spans="1:16">
      <c r="A213" s="8"/>
      <c r="B213" s="14">
        <v>5070</v>
      </c>
      <c r="C213" s="14">
        <v>25</v>
      </c>
      <c r="D213" s="14">
        <v>2</v>
      </c>
      <c r="E213" s="11" t="s">
        <v>1906</v>
      </c>
      <c r="F213" s="11" t="s">
        <v>1763</v>
      </c>
      <c r="G213" s="14">
        <v>1</v>
      </c>
      <c r="H213" s="14">
        <v>0</v>
      </c>
      <c r="I213" s="14"/>
      <c r="J213" s="14">
        <v>1</v>
      </c>
      <c r="K213" s="14"/>
      <c r="L213" s="14"/>
      <c r="M213" s="14"/>
      <c r="N213" s="14">
        <v>10</v>
      </c>
      <c r="O213" s="14"/>
      <c r="P213" s="14"/>
    </row>
    <row r="214" spans="1:16">
      <c r="A214" s="8"/>
      <c r="B214" s="14">
        <v>5071</v>
      </c>
      <c r="C214" s="14">
        <v>37</v>
      </c>
      <c r="D214" s="14">
        <v>2</v>
      </c>
      <c r="E214" s="11" t="s">
        <v>1796</v>
      </c>
      <c r="F214" s="11" t="s">
        <v>1797</v>
      </c>
      <c r="G214" s="14">
        <v>2</v>
      </c>
      <c r="H214" s="14">
        <v>3</v>
      </c>
      <c r="I214" s="14"/>
      <c r="J214" s="14">
        <v>1</v>
      </c>
      <c r="K214" s="14"/>
      <c r="L214" s="14"/>
      <c r="M214" s="14"/>
      <c r="N214" s="14">
        <v>238</v>
      </c>
      <c r="O214" s="14"/>
      <c r="P214" s="14">
        <v>1112</v>
      </c>
    </row>
    <row r="215" spans="1:16">
      <c r="A215" s="8"/>
      <c r="B215" s="14">
        <v>5072</v>
      </c>
      <c r="C215" s="14">
        <v>6</v>
      </c>
      <c r="D215" s="14">
        <v>2</v>
      </c>
      <c r="E215" s="11" t="s">
        <v>1980</v>
      </c>
      <c r="F215" s="11" t="s">
        <v>1981</v>
      </c>
      <c r="G215" s="14">
        <v>4</v>
      </c>
      <c r="H215" s="14">
        <v>0</v>
      </c>
      <c r="I215" s="14"/>
      <c r="J215" s="14">
        <v>2</v>
      </c>
      <c r="K215" s="14"/>
      <c r="L215" s="14"/>
      <c r="M215" s="14"/>
      <c r="N215" s="14">
        <v>1507</v>
      </c>
      <c r="O215" s="14"/>
      <c r="P215" s="14">
        <v>1115</v>
      </c>
    </row>
    <row r="216" spans="1:16">
      <c r="A216" s="8"/>
      <c r="B216" s="14">
        <v>5073</v>
      </c>
      <c r="C216" s="14">
        <v>4</v>
      </c>
      <c r="D216" s="14">
        <v>2</v>
      </c>
      <c r="E216" s="11" t="s">
        <v>1994</v>
      </c>
      <c r="F216" s="11" t="s">
        <v>2046</v>
      </c>
      <c r="G216" s="14">
        <v>5</v>
      </c>
      <c r="H216" s="14">
        <v>0</v>
      </c>
      <c r="I216" s="14"/>
      <c r="J216" s="14">
        <v>3</v>
      </c>
      <c r="K216" s="14"/>
      <c r="L216" s="14"/>
      <c r="M216" s="14"/>
      <c r="N216" s="14">
        <v>503</v>
      </c>
      <c r="O216" s="14"/>
      <c r="P216" s="14">
        <v>1007</v>
      </c>
    </row>
    <row r="217" spans="1:16">
      <c r="A217" s="8"/>
      <c r="B217" s="14">
        <v>5074</v>
      </c>
      <c r="C217" s="14">
        <v>31</v>
      </c>
      <c r="D217" s="14">
        <v>2</v>
      </c>
      <c r="E217" s="11" t="s">
        <v>2160</v>
      </c>
      <c r="F217" s="11" t="s">
        <v>2161</v>
      </c>
      <c r="G217" s="14">
        <v>4</v>
      </c>
      <c r="H217" s="14">
        <v>0</v>
      </c>
      <c r="I217" s="14"/>
      <c r="J217" s="14">
        <v>2</v>
      </c>
      <c r="K217" s="14"/>
      <c r="L217" s="14"/>
      <c r="M217" s="14"/>
      <c r="N217" s="14">
        <v>1112</v>
      </c>
      <c r="O217" s="14"/>
      <c r="P217" s="14">
        <v>1511</v>
      </c>
    </row>
    <row r="218" spans="1:16">
      <c r="A218" s="8"/>
      <c r="B218" s="14">
        <v>5075</v>
      </c>
      <c r="C218" s="14">
        <v>25</v>
      </c>
      <c r="D218" s="14">
        <v>2</v>
      </c>
      <c r="E218" s="11" t="s">
        <v>2220</v>
      </c>
      <c r="F218" s="11" t="s">
        <v>2221</v>
      </c>
      <c r="G218" s="14">
        <v>5</v>
      </c>
      <c r="H218" s="14">
        <v>0</v>
      </c>
      <c r="I218" s="14"/>
      <c r="J218" s="14">
        <v>3</v>
      </c>
      <c r="K218" s="14"/>
      <c r="L218" s="14"/>
      <c r="M218" s="14"/>
      <c r="N218" s="14">
        <v>258</v>
      </c>
      <c r="O218" s="14"/>
      <c r="P218" s="14">
        <v>1107</v>
      </c>
    </row>
    <row r="219" spans="1:16">
      <c r="A219" s="8"/>
      <c r="B219" s="14">
        <v>5076</v>
      </c>
      <c r="C219" s="14">
        <v>42</v>
      </c>
      <c r="D219" s="14">
        <v>2</v>
      </c>
      <c r="E219" s="11" t="s">
        <v>2307</v>
      </c>
      <c r="F219" s="11" t="s">
        <v>2308</v>
      </c>
      <c r="G219" s="14">
        <v>1</v>
      </c>
      <c r="H219" s="14">
        <v>5</v>
      </c>
      <c r="I219" s="14"/>
      <c r="J219" s="14">
        <v>1</v>
      </c>
      <c r="K219" s="14"/>
      <c r="L219" s="14"/>
      <c r="M219" s="14"/>
      <c r="N219" s="14">
        <v>9</v>
      </c>
      <c r="O219" s="14"/>
      <c r="P219" s="14"/>
    </row>
    <row r="220" spans="1:16">
      <c r="A220" s="8"/>
      <c r="B220" s="14">
        <v>5077</v>
      </c>
      <c r="C220" s="14">
        <v>7</v>
      </c>
      <c r="D220" s="14">
        <v>2</v>
      </c>
      <c r="E220" s="11" t="s">
        <v>2386</v>
      </c>
      <c r="F220" s="11" t="s">
        <v>2400</v>
      </c>
      <c r="G220" s="14">
        <v>7</v>
      </c>
      <c r="H220" s="14">
        <v>0</v>
      </c>
      <c r="I220" s="14"/>
      <c r="J220" s="14">
        <v>6</v>
      </c>
      <c r="K220" s="14"/>
      <c r="L220" s="14"/>
      <c r="M220" s="14"/>
      <c r="N220" s="14">
        <v>1507</v>
      </c>
      <c r="O220" s="14"/>
      <c r="P220" s="14">
        <v>1115</v>
      </c>
    </row>
    <row r="221" spans="1:16">
      <c r="A221" s="8"/>
      <c r="B221" s="14">
        <v>9001</v>
      </c>
      <c r="C221" s="14">
        <v>1</v>
      </c>
      <c r="D221" s="14">
        <v>3</v>
      </c>
      <c r="E221" s="11" t="s">
        <v>897</v>
      </c>
      <c r="F221" s="11" t="s">
        <v>987</v>
      </c>
      <c r="G221" s="14">
        <v>1</v>
      </c>
      <c r="H221" s="14">
        <v>0</v>
      </c>
      <c r="I221" s="14"/>
      <c r="J221" s="14"/>
      <c r="K221" s="14"/>
      <c r="L221" s="14"/>
      <c r="M221" s="14"/>
      <c r="N221" s="14"/>
      <c r="O221" s="14">
        <v>9</v>
      </c>
      <c r="P221" s="14"/>
    </row>
    <row r="222" spans="1:16">
      <c r="A222" s="8"/>
      <c r="B222" s="14">
        <v>9002</v>
      </c>
      <c r="C222" s="14">
        <v>2</v>
      </c>
      <c r="D222" s="14">
        <v>3</v>
      </c>
      <c r="E222" s="11" t="s">
        <v>898</v>
      </c>
      <c r="F222" s="11" t="s">
        <v>986</v>
      </c>
      <c r="G222" s="14">
        <v>2</v>
      </c>
      <c r="H222" s="14">
        <v>0</v>
      </c>
      <c r="I222" s="14"/>
      <c r="J222" s="14"/>
      <c r="K222" s="14"/>
      <c r="L222" s="14"/>
      <c r="M222" s="14"/>
      <c r="N222" s="14"/>
      <c r="O222" s="14">
        <v>238</v>
      </c>
      <c r="P222" s="14"/>
    </row>
    <row r="223" spans="1:16">
      <c r="A223" s="8"/>
      <c r="B223" s="14">
        <v>9003</v>
      </c>
      <c r="C223" s="14">
        <v>3</v>
      </c>
      <c r="D223" s="14">
        <v>3</v>
      </c>
      <c r="E223" s="11" t="s">
        <v>899</v>
      </c>
      <c r="F223" s="11" t="s">
        <v>985</v>
      </c>
      <c r="G223" s="14">
        <v>6</v>
      </c>
      <c r="H223" s="14">
        <v>0</v>
      </c>
      <c r="I223" s="14"/>
      <c r="J223" s="14"/>
      <c r="K223" s="14"/>
      <c r="L223" s="14"/>
      <c r="M223" s="14"/>
      <c r="N223" s="14"/>
      <c r="O223" s="14">
        <v>1007</v>
      </c>
      <c r="P223" s="14"/>
    </row>
    <row r="224" spans="1:16">
      <c r="A224" s="8"/>
      <c r="B224" s="14">
        <v>9004</v>
      </c>
      <c r="C224" s="14">
        <v>4</v>
      </c>
      <c r="D224" s="14">
        <v>3</v>
      </c>
      <c r="E224" s="11" t="s">
        <v>900</v>
      </c>
      <c r="F224" s="11" t="s">
        <v>984</v>
      </c>
      <c r="G224" s="14">
        <v>5</v>
      </c>
      <c r="H224" s="14">
        <v>0</v>
      </c>
      <c r="I224" s="14"/>
      <c r="J224" s="14"/>
      <c r="K224" s="14"/>
      <c r="L224" s="14"/>
      <c r="M224" s="14"/>
      <c r="N224" s="14"/>
      <c r="O224" s="14">
        <v>1112</v>
      </c>
      <c r="P224" s="14"/>
    </row>
    <row r="225" spans="1:16">
      <c r="A225" s="8"/>
      <c r="B225" s="14">
        <v>9005</v>
      </c>
      <c r="C225" s="14">
        <v>5</v>
      </c>
      <c r="D225" s="14">
        <v>3</v>
      </c>
      <c r="E225" s="11" t="s">
        <v>901</v>
      </c>
      <c r="F225" s="11" t="s">
        <v>989</v>
      </c>
      <c r="G225" s="14">
        <v>3</v>
      </c>
      <c r="H225" s="14">
        <v>0</v>
      </c>
      <c r="I225" s="14"/>
      <c r="J225" s="14"/>
      <c r="K225" s="14"/>
      <c r="L225" s="14"/>
      <c r="M225" s="14"/>
      <c r="N225" s="14"/>
      <c r="O225" s="14">
        <v>1007</v>
      </c>
      <c r="P225" s="14"/>
    </row>
    <row r="226" spans="1:16">
      <c r="A226" s="8"/>
      <c r="B226" s="14">
        <v>9006</v>
      </c>
      <c r="C226" s="14">
        <v>6</v>
      </c>
      <c r="D226" s="14">
        <v>3</v>
      </c>
      <c r="E226" s="11" t="s">
        <v>902</v>
      </c>
      <c r="F226" s="11" t="s">
        <v>983</v>
      </c>
      <c r="G226" s="14">
        <v>4</v>
      </c>
      <c r="H226" s="14">
        <v>0</v>
      </c>
      <c r="I226" s="14"/>
      <c r="J226" s="14"/>
      <c r="K226" s="14"/>
      <c r="L226" s="14"/>
      <c r="M226" s="14"/>
      <c r="N226" s="14"/>
      <c r="O226" s="14">
        <v>1507</v>
      </c>
      <c r="P226" s="14"/>
    </row>
    <row r="227" spans="1:16">
      <c r="A227" s="8"/>
      <c r="B227" s="14">
        <v>9007</v>
      </c>
      <c r="C227" s="14">
        <v>7</v>
      </c>
      <c r="D227" s="14">
        <v>3</v>
      </c>
      <c r="E227" s="11" t="s">
        <v>903</v>
      </c>
      <c r="F227" s="11" t="s">
        <v>982</v>
      </c>
      <c r="G227" s="14">
        <v>7</v>
      </c>
      <c r="H227" s="14">
        <v>0</v>
      </c>
      <c r="I227" s="14"/>
      <c r="J227" s="14"/>
      <c r="K227" s="14"/>
      <c r="L227" s="14"/>
      <c r="M227" s="14"/>
      <c r="N227" s="14"/>
      <c r="O227" s="14">
        <v>239</v>
      </c>
      <c r="P227" s="14"/>
    </row>
    <row r="228" spans="1:16">
      <c r="A228" s="8"/>
      <c r="B228" s="14">
        <v>9008</v>
      </c>
      <c r="C228" s="14">
        <v>8</v>
      </c>
      <c r="D228" s="14">
        <v>3</v>
      </c>
      <c r="E228" s="11" t="s">
        <v>904</v>
      </c>
      <c r="F228" s="11" t="s">
        <v>981</v>
      </c>
      <c r="G228" s="14">
        <v>1</v>
      </c>
      <c r="H228" s="14">
        <v>0</v>
      </c>
      <c r="I228" s="14"/>
      <c r="J228" s="14"/>
      <c r="K228" s="14"/>
      <c r="L228" s="14"/>
      <c r="M228" s="14"/>
      <c r="N228" s="14"/>
      <c r="O228" s="14">
        <v>238</v>
      </c>
      <c r="P228" s="14"/>
    </row>
    <row r="229" spans="1:16">
      <c r="A229" s="8"/>
      <c r="B229" s="14">
        <v>9009</v>
      </c>
      <c r="C229" s="14">
        <v>9</v>
      </c>
      <c r="D229" s="14">
        <v>3</v>
      </c>
      <c r="E229" s="11" t="s">
        <v>905</v>
      </c>
      <c r="F229" s="11" t="s">
        <v>1328</v>
      </c>
      <c r="G229" s="14">
        <v>2</v>
      </c>
      <c r="H229" s="14">
        <v>0</v>
      </c>
      <c r="I229" s="14"/>
      <c r="J229" s="14"/>
      <c r="K229" s="14"/>
      <c r="L229" s="14"/>
      <c r="M229" s="14"/>
      <c r="N229" s="14"/>
      <c r="O229" s="14">
        <v>238</v>
      </c>
      <c r="P229" s="14"/>
    </row>
    <row r="230" spans="1:16">
      <c r="A230" s="8"/>
      <c r="B230" s="14">
        <v>9010</v>
      </c>
      <c r="C230" s="14">
        <v>10</v>
      </c>
      <c r="D230" s="14">
        <v>3</v>
      </c>
      <c r="E230" s="11" t="s">
        <v>906</v>
      </c>
      <c r="F230" s="11" t="s">
        <v>980</v>
      </c>
      <c r="G230" s="14">
        <v>5</v>
      </c>
      <c r="H230" s="14">
        <v>0</v>
      </c>
      <c r="I230" s="14"/>
      <c r="J230" s="14"/>
      <c r="K230" s="14"/>
      <c r="L230" s="14"/>
      <c r="M230" s="14"/>
      <c r="N230" s="14"/>
      <c r="O230" s="14">
        <v>1006</v>
      </c>
      <c r="P230" s="14"/>
    </row>
    <row r="231" spans="1:16">
      <c r="A231" s="8"/>
      <c r="B231" s="14">
        <v>9011</v>
      </c>
      <c r="C231" s="14">
        <v>11</v>
      </c>
      <c r="D231" s="14">
        <v>3</v>
      </c>
      <c r="E231" s="11" t="s">
        <v>907</v>
      </c>
      <c r="F231" s="11" t="s">
        <v>979</v>
      </c>
      <c r="G231" s="14">
        <v>6</v>
      </c>
      <c r="H231" s="14">
        <v>0</v>
      </c>
      <c r="I231" s="14"/>
      <c r="J231" s="14"/>
      <c r="K231" s="14"/>
      <c r="L231" s="14"/>
      <c r="M231" s="14"/>
      <c r="N231" s="14"/>
      <c r="O231" s="14">
        <v>1008</v>
      </c>
      <c r="P231" s="14"/>
    </row>
    <row r="232" spans="1:16">
      <c r="A232" s="8"/>
      <c r="B232" s="14">
        <v>9012</v>
      </c>
      <c r="C232" s="14">
        <v>12</v>
      </c>
      <c r="D232" s="14">
        <v>3</v>
      </c>
      <c r="E232" s="11" t="s">
        <v>908</v>
      </c>
      <c r="F232" s="11" t="s">
        <v>978</v>
      </c>
      <c r="G232" s="14">
        <v>3</v>
      </c>
      <c r="H232" s="14">
        <v>0</v>
      </c>
      <c r="I232" s="14"/>
      <c r="J232" s="14"/>
      <c r="K232" s="14"/>
      <c r="L232" s="14"/>
      <c r="M232" s="14"/>
      <c r="N232" s="14"/>
      <c r="O232" s="14">
        <v>1507</v>
      </c>
      <c r="P232" s="14"/>
    </row>
    <row r="233" spans="1:16">
      <c r="A233" s="8"/>
      <c r="B233" s="14">
        <v>9013</v>
      </c>
      <c r="C233" s="14">
        <v>13</v>
      </c>
      <c r="D233" s="14">
        <v>3</v>
      </c>
      <c r="E233" s="11" t="s">
        <v>909</v>
      </c>
      <c r="F233" s="11" t="s">
        <v>977</v>
      </c>
      <c r="G233" s="14">
        <v>1</v>
      </c>
      <c r="H233" s="14">
        <v>0</v>
      </c>
      <c r="I233" s="14"/>
      <c r="J233" s="14"/>
      <c r="K233" s="14"/>
      <c r="L233" s="14"/>
      <c r="M233" s="14"/>
      <c r="N233" s="14"/>
      <c r="O233" s="14">
        <v>9</v>
      </c>
      <c r="P233" s="14"/>
    </row>
    <row r="234" spans="1:16">
      <c r="A234" s="8"/>
      <c r="B234" s="14">
        <v>9014</v>
      </c>
      <c r="C234" s="14">
        <v>14</v>
      </c>
      <c r="D234" s="14">
        <v>3</v>
      </c>
      <c r="E234" s="11" t="s">
        <v>910</v>
      </c>
      <c r="F234" s="11" t="s">
        <v>976</v>
      </c>
      <c r="G234" s="14">
        <v>4</v>
      </c>
      <c r="H234" s="14">
        <v>0</v>
      </c>
      <c r="I234" s="14"/>
      <c r="J234" s="14"/>
      <c r="K234" s="14"/>
      <c r="L234" s="14"/>
      <c r="M234" s="14"/>
      <c r="N234" s="14"/>
      <c r="O234" s="14">
        <v>239</v>
      </c>
      <c r="P234" s="14"/>
    </row>
    <row r="235" spans="1:16">
      <c r="A235" s="8"/>
      <c r="B235" s="14">
        <v>9015</v>
      </c>
      <c r="C235" s="14">
        <v>15</v>
      </c>
      <c r="D235" s="14">
        <v>3</v>
      </c>
      <c r="E235" s="11" t="s">
        <v>911</v>
      </c>
      <c r="F235" s="11" t="s">
        <v>975</v>
      </c>
      <c r="G235" s="14">
        <v>6</v>
      </c>
      <c r="H235" s="14">
        <v>0</v>
      </c>
      <c r="I235" s="14"/>
      <c r="J235" s="14"/>
      <c r="K235" s="14"/>
      <c r="L235" s="14"/>
      <c r="M235" s="14"/>
      <c r="N235" s="14"/>
      <c r="O235" s="14">
        <v>8</v>
      </c>
      <c r="P235" s="14"/>
    </row>
    <row r="236" spans="1:16">
      <c r="A236" s="8"/>
      <c r="B236" s="14">
        <v>9016</v>
      </c>
      <c r="C236" s="14">
        <v>16</v>
      </c>
      <c r="D236" s="14">
        <v>3</v>
      </c>
      <c r="E236" s="11" t="s">
        <v>912</v>
      </c>
      <c r="F236" s="11" t="s">
        <v>974</v>
      </c>
      <c r="G236" s="14">
        <v>2</v>
      </c>
      <c r="H236" s="14">
        <v>0</v>
      </c>
      <c r="I236" s="14"/>
      <c r="J236" s="14"/>
      <c r="K236" s="14"/>
      <c r="L236" s="14"/>
      <c r="M236" s="14"/>
      <c r="N236" s="14"/>
      <c r="O236" s="14">
        <v>1112</v>
      </c>
      <c r="P236" s="14"/>
    </row>
    <row r="237" spans="1:16">
      <c r="A237" s="8"/>
      <c r="B237" s="14">
        <v>9017</v>
      </c>
      <c r="C237" s="14">
        <v>17</v>
      </c>
      <c r="D237" s="14">
        <v>3</v>
      </c>
      <c r="E237" s="11" t="s">
        <v>913</v>
      </c>
      <c r="F237" s="11" t="s">
        <v>973</v>
      </c>
      <c r="G237" s="14">
        <v>3</v>
      </c>
      <c r="H237" s="14">
        <v>0</v>
      </c>
      <c r="I237" s="14"/>
      <c r="J237" s="14"/>
      <c r="K237" s="14"/>
      <c r="L237" s="14"/>
      <c r="M237" s="14"/>
      <c r="N237" s="14"/>
      <c r="O237" s="14">
        <v>1507</v>
      </c>
      <c r="P237" s="14"/>
    </row>
    <row r="238" spans="1:16">
      <c r="A238" s="8"/>
      <c r="B238" s="14">
        <v>9018</v>
      </c>
      <c r="C238" s="14">
        <v>18</v>
      </c>
      <c r="D238" s="14">
        <v>3</v>
      </c>
      <c r="E238" s="11" t="s">
        <v>914</v>
      </c>
      <c r="F238" s="11" t="s">
        <v>972</v>
      </c>
      <c r="G238" s="14">
        <v>5</v>
      </c>
      <c r="H238" s="14">
        <v>0</v>
      </c>
      <c r="I238" s="14"/>
      <c r="J238" s="14"/>
      <c r="K238" s="14"/>
      <c r="L238" s="14"/>
      <c r="M238" s="14"/>
      <c r="N238" s="14"/>
      <c r="O238" s="14">
        <v>1113</v>
      </c>
      <c r="P238" s="14"/>
    </row>
    <row r="239" spans="1:16">
      <c r="A239" s="8"/>
      <c r="B239" s="14">
        <v>9019</v>
      </c>
      <c r="C239" s="14">
        <v>19</v>
      </c>
      <c r="D239" s="14">
        <v>3</v>
      </c>
      <c r="E239" s="11" t="s">
        <v>915</v>
      </c>
      <c r="F239" s="11" t="s">
        <v>988</v>
      </c>
      <c r="G239" s="14">
        <v>1</v>
      </c>
      <c r="H239" s="14">
        <v>0</v>
      </c>
      <c r="I239" s="14"/>
      <c r="J239" s="14"/>
      <c r="K239" s="14"/>
      <c r="L239" s="14"/>
      <c r="M239" s="14"/>
      <c r="N239" s="14"/>
      <c r="O239" s="14">
        <v>1507</v>
      </c>
      <c r="P239" s="14"/>
    </row>
    <row r="240" spans="1:16">
      <c r="A240" s="8"/>
      <c r="B240" s="14">
        <v>9020</v>
      </c>
      <c r="C240" s="14">
        <v>20</v>
      </c>
      <c r="D240" s="14">
        <v>3</v>
      </c>
      <c r="E240" s="11" t="s">
        <v>916</v>
      </c>
      <c r="F240" s="11" t="s">
        <v>966</v>
      </c>
      <c r="G240" s="14">
        <v>5</v>
      </c>
      <c r="H240" s="14">
        <v>0</v>
      </c>
      <c r="I240" s="14"/>
      <c r="J240" s="14"/>
      <c r="K240" s="14"/>
      <c r="L240" s="14"/>
      <c r="M240" s="14"/>
      <c r="N240" s="14"/>
      <c r="O240" s="14">
        <v>1007</v>
      </c>
      <c r="P240" s="14"/>
    </row>
    <row r="241" spans="1:16">
      <c r="A241" s="8"/>
      <c r="B241" s="14">
        <v>9021</v>
      </c>
      <c r="C241" s="14">
        <v>21</v>
      </c>
      <c r="D241" s="14">
        <v>3</v>
      </c>
      <c r="E241" s="11" t="s">
        <v>917</v>
      </c>
      <c r="F241" s="11" t="s">
        <v>965</v>
      </c>
      <c r="G241" s="14">
        <v>6</v>
      </c>
      <c r="H241" s="14">
        <v>0</v>
      </c>
      <c r="I241" s="14"/>
      <c r="J241" s="14"/>
      <c r="K241" s="14"/>
      <c r="L241" s="14"/>
      <c r="M241" s="14"/>
      <c r="N241" s="14"/>
      <c r="O241" s="14">
        <v>238</v>
      </c>
      <c r="P241" s="14"/>
    </row>
    <row r="242" spans="1:16">
      <c r="A242" s="8"/>
      <c r="B242" s="14">
        <v>9022</v>
      </c>
      <c r="C242" s="14">
        <v>22</v>
      </c>
      <c r="D242" s="14">
        <v>3</v>
      </c>
      <c r="E242" s="11" t="s">
        <v>918</v>
      </c>
      <c r="F242" s="11" t="s">
        <v>964</v>
      </c>
      <c r="G242" s="14">
        <v>4</v>
      </c>
      <c r="H242" s="14">
        <v>0</v>
      </c>
      <c r="I242" s="14"/>
      <c r="J242" s="14"/>
      <c r="K242" s="14"/>
      <c r="L242" s="14"/>
      <c r="M242" s="14"/>
      <c r="N242" s="14"/>
      <c r="O242" s="14">
        <v>1113</v>
      </c>
      <c r="P242" s="14"/>
    </row>
    <row r="243" spans="1:16">
      <c r="A243" s="8"/>
      <c r="B243" s="14">
        <v>9023</v>
      </c>
      <c r="C243" s="14">
        <v>23</v>
      </c>
      <c r="D243" s="14">
        <v>3</v>
      </c>
      <c r="E243" s="11" t="s">
        <v>919</v>
      </c>
      <c r="F243" s="11" t="s">
        <v>963</v>
      </c>
      <c r="G243" s="14">
        <v>2</v>
      </c>
      <c r="H243" s="14">
        <v>0</v>
      </c>
      <c r="I243" s="14"/>
      <c r="J243" s="14"/>
      <c r="K243" s="14"/>
      <c r="L243" s="14"/>
      <c r="M243" s="14"/>
      <c r="N243" s="14"/>
      <c r="O243" s="14">
        <v>9</v>
      </c>
      <c r="P243" s="14"/>
    </row>
    <row r="244" spans="1:16">
      <c r="A244" s="8"/>
      <c r="B244" s="14">
        <v>9024</v>
      </c>
      <c r="C244" s="14">
        <v>24</v>
      </c>
      <c r="D244" s="14">
        <v>3</v>
      </c>
      <c r="E244" s="11" t="s">
        <v>920</v>
      </c>
      <c r="F244" s="11" t="s">
        <v>962</v>
      </c>
      <c r="G244" s="14">
        <v>6</v>
      </c>
      <c r="H244" s="14">
        <v>0</v>
      </c>
      <c r="I244" s="14"/>
      <c r="J244" s="14"/>
      <c r="K244" s="14"/>
      <c r="L244" s="14"/>
      <c r="M244" s="14"/>
      <c r="N244" s="14"/>
      <c r="O244" s="14">
        <v>8</v>
      </c>
      <c r="P244" s="14"/>
    </row>
    <row r="245" spans="1:16">
      <c r="A245" s="8"/>
      <c r="B245" s="14">
        <v>9025</v>
      </c>
      <c r="C245" s="14">
        <v>25</v>
      </c>
      <c r="D245" s="14">
        <v>3</v>
      </c>
      <c r="E245" s="11" t="s">
        <v>921</v>
      </c>
      <c r="F245" s="11" t="s">
        <v>990</v>
      </c>
      <c r="G245" s="14">
        <v>7</v>
      </c>
      <c r="H245" s="14">
        <v>0</v>
      </c>
      <c r="I245" s="14"/>
      <c r="J245" s="14"/>
      <c r="K245" s="14"/>
      <c r="L245" s="14"/>
      <c r="M245" s="14"/>
      <c r="N245" s="14"/>
      <c r="O245" s="14">
        <v>1008</v>
      </c>
      <c r="P245" s="14"/>
    </row>
    <row r="246" spans="1:16">
      <c r="A246" s="8"/>
      <c r="B246" s="14">
        <v>9026</v>
      </c>
      <c r="C246" s="14">
        <v>26</v>
      </c>
      <c r="D246" s="14">
        <v>3</v>
      </c>
      <c r="E246" s="11" t="s">
        <v>922</v>
      </c>
      <c r="F246" s="11" t="s">
        <v>961</v>
      </c>
      <c r="G246" s="14">
        <v>3</v>
      </c>
      <c r="H246" s="14">
        <v>0</v>
      </c>
      <c r="I246" s="14"/>
      <c r="J246" s="14"/>
      <c r="K246" s="14"/>
      <c r="L246" s="14"/>
      <c r="M246" s="14"/>
      <c r="N246" s="14"/>
      <c r="O246" s="14">
        <v>1007</v>
      </c>
      <c r="P246" s="14"/>
    </row>
    <row r="247" spans="1:16">
      <c r="A247" s="8"/>
      <c r="B247" s="14">
        <v>9027</v>
      </c>
      <c r="C247" s="14">
        <v>27</v>
      </c>
      <c r="D247" s="14">
        <v>3</v>
      </c>
      <c r="E247" s="11" t="s">
        <v>923</v>
      </c>
      <c r="F247" s="11" t="s">
        <v>960</v>
      </c>
      <c r="G247" s="14">
        <v>1</v>
      </c>
      <c r="H247" s="14">
        <v>0</v>
      </c>
      <c r="I247" s="14"/>
      <c r="J247" s="14"/>
      <c r="K247" s="14"/>
      <c r="L247" s="14"/>
      <c r="M247" s="14"/>
      <c r="N247" s="14"/>
      <c r="O247" s="14">
        <v>1006</v>
      </c>
      <c r="P247" s="14"/>
    </row>
    <row r="248" spans="1:16">
      <c r="A248" s="8"/>
      <c r="B248" s="14">
        <v>9028</v>
      </c>
      <c r="C248" s="14">
        <v>28</v>
      </c>
      <c r="D248" s="14">
        <v>3</v>
      </c>
      <c r="E248" s="11" t="s">
        <v>924</v>
      </c>
      <c r="F248" s="11" t="s">
        <v>959</v>
      </c>
      <c r="G248" s="14">
        <v>5</v>
      </c>
      <c r="H248" s="14">
        <v>0</v>
      </c>
      <c r="I248" s="14"/>
      <c r="J248" s="14"/>
      <c r="K248" s="14"/>
      <c r="L248" s="14"/>
      <c r="M248" s="14"/>
      <c r="N248" s="14"/>
      <c r="O248" s="14">
        <v>1007</v>
      </c>
      <c r="P248" s="14"/>
    </row>
    <row r="249" spans="1:16">
      <c r="A249" s="8"/>
      <c r="B249" s="14">
        <v>9029</v>
      </c>
      <c r="C249" s="14">
        <v>29</v>
      </c>
      <c r="D249" s="14">
        <v>3</v>
      </c>
      <c r="E249" s="11" t="s">
        <v>925</v>
      </c>
      <c r="F249" s="11" t="s">
        <v>958</v>
      </c>
      <c r="G249" s="14">
        <v>6</v>
      </c>
      <c r="H249" s="14">
        <v>0</v>
      </c>
      <c r="I249" s="14"/>
      <c r="J249" s="14"/>
      <c r="K249" s="14"/>
      <c r="L249" s="14"/>
      <c r="M249" s="14"/>
      <c r="N249" s="14"/>
      <c r="O249" s="14">
        <v>8</v>
      </c>
      <c r="P249" s="14"/>
    </row>
    <row r="250" spans="1:16">
      <c r="A250" s="8"/>
      <c r="B250" s="14">
        <v>9030</v>
      </c>
      <c r="C250" s="14">
        <v>30</v>
      </c>
      <c r="D250" s="14">
        <v>3</v>
      </c>
      <c r="E250" s="11" t="s">
        <v>926</v>
      </c>
      <c r="F250" s="11" t="s">
        <v>957</v>
      </c>
      <c r="G250" s="14">
        <v>4</v>
      </c>
      <c r="H250" s="14">
        <v>0</v>
      </c>
      <c r="I250" s="14"/>
      <c r="J250" s="14"/>
      <c r="K250" s="14"/>
      <c r="L250" s="14"/>
      <c r="M250" s="14"/>
      <c r="N250" s="14"/>
      <c r="O250" s="14">
        <v>1113</v>
      </c>
      <c r="P250" s="14"/>
    </row>
    <row r="251" spans="1:16">
      <c r="A251" s="8"/>
      <c r="B251" s="14">
        <v>9031</v>
      </c>
      <c r="C251" s="14">
        <v>31</v>
      </c>
      <c r="D251" s="14">
        <v>3</v>
      </c>
      <c r="E251" s="11" t="s">
        <v>927</v>
      </c>
      <c r="F251" s="11" t="s">
        <v>956</v>
      </c>
      <c r="G251" s="14">
        <v>4</v>
      </c>
      <c r="H251" s="14">
        <v>0</v>
      </c>
      <c r="I251" s="14"/>
      <c r="J251" s="14"/>
      <c r="K251" s="14"/>
      <c r="L251" s="14"/>
      <c r="M251" s="14"/>
      <c r="N251" s="14"/>
      <c r="O251" s="14">
        <v>1112</v>
      </c>
      <c r="P251" s="14"/>
    </row>
    <row r="252" spans="1:16">
      <c r="A252" s="8"/>
      <c r="B252" s="14">
        <v>9032</v>
      </c>
      <c r="C252" s="14">
        <v>32</v>
      </c>
      <c r="D252" s="14">
        <v>3</v>
      </c>
      <c r="E252" s="11" t="s">
        <v>928</v>
      </c>
      <c r="F252" s="11" t="s">
        <v>955</v>
      </c>
      <c r="G252" s="14">
        <v>2</v>
      </c>
      <c r="H252" s="14">
        <v>0</v>
      </c>
      <c r="I252" s="14"/>
      <c r="J252" s="14"/>
      <c r="K252" s="14"/>
      <c r="L252" s="14"/>
      <c r="M252" s="14"/>
      <c r="N252" s="14"/>
      <c r="O252" s="14">
        <v>239</v>
      </c>
      <c r="P252" s="14"/>
    </row>
    <row r="253" spans="1:16">
      <c r="A253" s="8"/>
      <c r="B253" s="14">
        <v>9033</v>
      </c>
      <c r="C253" s="14">
        <v>33</v>
      </c>
      <c r="D253" s="14">
        <v>3</v>
      </c>
      <c r="E253" s="11" t="s">
        <v>929</v>
      </c>
      <c r="F253" s="11" t="s">
        <v>954</v>
      </c>
      <c r="G253" s="14">
        <v>5</v>
      </c>
      <c r="H253" s="14">
        <v>0</v>
      </c>
      <c r="I253" s="14"/>
      <c r="J253" s="14"/>
      <c r="K253" s="14"/>
      <c r="L253" s="14"/>
      <c r="M253" s="14"/>
      <c r="N253" s="14"/>
      <c r="O253" s="14">
        <v>1007</v>
      </c>
      <c r="P253" s="14"/>
    </row>
    <row r="254" spans="1:16">
      <c r="A254" s="8"/>
      <c r="B254" s="14">
        <v>9034</v>
      </c>
      <c r="C254" s="14">
        <v>34</v>
      </c>
      <c r="D254" s="14">
        <v>3</v>
      </c>
      <c r="E254" s="11" t="s">
        <v>930</v>
      </c>
      <c r="F254" s="11" t="s">
        <v>953</v>
      </c>
      <c r="G254" s="14">
        <v>7</v>
      </c>
      <c r="H254" s="14">
        <v>0</v>
      </c>
      <c r="I254" s="14"/>
      <c r="J254" s="14"/>
      <c r="K254" s="14"/>
      <c r="L254" s="14"/>
      <c r="M254" s="14"/>
      <c r="N254" s="14"/>
      <c r="O254" s="14">
        <v>8</v>
      </c>
      <c r="P254" s="14"/>
    </row>
    <row r="255" spans="1:16">
      <c r="A255" s="8"/>
      <c r="B255" s="14">
        <v>9035</v>
      </c>
      <c r="C255" s="14">
        <v>35</v>
      </c>
      <c r="D255" s="14">
        <v>3</v>
      </c>
      <c r="E255" s="11" t="s">
        <v>931</v>
      </c>
      <c r="F255" s="11" t="s">
        <v>952</v>
      </c>
      <c r="G255" s="14">
        <v>1</v>
      </c>
      <c r="H255" s="14">
        <v>0</v>
      </c>
      <c r="I255" s="14"/>
      <c r="J255" s="14"/>
      <c r="K255" s="14"/>
      <c r="L255" s="14"/>
      <c r="M255" s="14"/>
      <c r="N255" s="14"/>
      <c r="O255" s="14">
        <v>238</v>
      </c>
      <c r="P255" s="14"/>
    </row>
    <row r="256" spans="1:16">
      <c r="A256" s="8"/>
      <c r="B256" s="14">
        <v>9036</v>
      </c>
      <c r="C256" s="14">
        <v>36</v>
      </c>
      <c r="D256" s="14">
        <v>3</v>
      </c>
      <c r="E256" s="11" t="s">
        <v>932</v>
      </c>
      <c r="F256" s="11" t="s">
        <v>951</v>
      </c>
      <c r="G256" s="14">
        <v>3</v>
      </c>
      <c r="H256" s="14">
        <v>0</v>
      </c>
      <c r="I256" s="14"/>
      <c r="J256" s="14"/>
      <c r="K256" s="14"/>
      <c r="L256" s="14"/>
      <c r="M256" s="14"/>
      <c r="N256" s="14"/>
      <c r="O256" s="14">
        <v>8</v>
      </c>
      <c r="P256" s="14"/>
    </row>
    <row r="257" spans="1:16">
      <c r="A257" s="8"/>
      <c r="B257" s="14">
        <v>9037</v>
      </c>
      <c r="C257" s="14">
        <v>37</v>
      </c>
      <c r="D257" s="14">
        <v>3</v>
      </c>
      <c r="E257" s="11" t="s">
        <v>933</v>
      </c>
      <c r="F257" s="11" t="s">
        <v>950</v>
      </c>
      <c r="G257" s="14">
        <v>1</v>
      </c>
      <c r="H257" s="14">
        <v>0</v>
      </c>
      <c r="I257" s="14"/>
      <c r="J257" s="14"/>
      <c r="K257" s="14"/>
      <c r="L257" s="14"/>
      <c r="M257" s="14"/>
      <c r="N257" s="14"/>
      <c r="O257" s="14">
        <v>238</v>
      </c>
      <c r="P257" s="14"/>
    </row>
    <row r="258" spans="1:16">
      <c r="A258" s="8"/>
      <c r="B258" s="14">
        <v>9038</v>
      </c>
      <c r="C258" s="14">
        <v>38</v>
      </c>
      <c r="D258" s="14">
        <v>3</v>
      </c>
      <c r="E258" s="11" t="s">
        <v>934</v>
      </c>
      <c r="F258" s="11" t="s">
        <v>949</v>
      </c>
      <c r="G258" s="14">
        <v>5</v>
      </c>
      <c r="H258" s="14">
        <v>0</v>
      </c>
      <c r="I258" s="14"/>
      <c r="J258" s="14"/>
      <c r="K258" s="14"/>
      <c r="L258" s="14"/>
      <c r="M258" s="14"/>
      <c r="N258" s="14"/>
      <c r="O258" s="14">
        <v>1112</v>
      </c>
      <c r="P258" s="14"/>
    </row>
    <row r="259" spans="1:16">
      <c r="A259" s="8"/>
      <c r="B259" s="14">
        <v>9039</v>
      </c>
      <c r="C259" s="14">
        <v>39</v>
      </c>
      <c r="D259" s="14">
        <v>3</v>
      </c>
      <c r="E259" s="11" t="s">
        <v>935</v>
      </c>
      <c r="F259" s="11" t="s">
        <v>948</v>
      </c>
      <c r="G259" s="14">
        <v>2</v>
      </c>
      <c r="H259" s="14">
        <v>0</v>
      </c>
      <c r="I259" s="14"/>
      <c r="J259" s="14"/>
      <c r="K259" s="14"/>
      <c r="L259" s="14"/>
      <c r="M259" s="14"/>
      <c r="N259" s="14"/>
      <c r="O259" s="14">
        <v>9</v>
      </c>
      <c r="P259" s="14"/>
    </row>
    <row r="260" spans="1:16">
      <c r="A260" s="8"/>
      <c r="B260" s="14">
        <v>9040</v>
      </c>
      <c r="C260" s="14">
        <v>40</v>
      </c>
      <c r="D260" s="14">
        <v>3</v>
      </c>
      <c r="E260" s="11" t="s">
        <v>936</v>
      </c>
      <c r="F260" s="11" t="s">
        <v>947</v>
      </c>
      <c r="G260" s="14">
        <v>6</v>
      </c>
      <c r="H260" s="14">
        <v>0</v>
      </c>
      <c r="I260" s="14"/>
      <c r="J260" s="14"/>
      <c r="K260" s="14"/>
      <c r="L260" s="14"/>
      <c r="M260" s="14"/>
      <c r="N260" s="14"/>
      <c r="O260" s="14">
        <v>1507</v>
      </c>
      <c r="P260" s="14"/>
    </row>
    <row r="261" spans="1:16">
      <c r="A261" s="8"/>
      <c r="B261" s="14">
        <v>9041</v>
      </c>
      <c r="C261" s="14">
        <v>41</v>
      </c>
      <c r="D261" s="14">
        <v>3</v>
      </c>
      <c r="E261" s="11" t="s">
        <v>937</v>
      </c>
      <c r="F261" s="11" t="s">
        <v>946</v>
      </c>
      <c r="G261" s="14">
        <v>4</v>
      </c>
      <c r="H261" s="14">
        <v>0</v>
      </c>
      <c r="I261" s="14"/>
      <c r="J261" s="14"/>
      <c r="K261" s="14"/>
      <c r="L261" s="14"/>
      <c r="M261" s="14"/>
      <c r="N261" s="14"/>
      <c r="O261" s="14">
        <v>1508</v>
      </c>
      <c r="P261" s="14"/>
    </row>
    <row r="262" spans="1:16">
      <c r="A262" s="8"/>
      <c r="B262" s="14">
        <v>9042</v>
      </c>
      <c r="C262" s="14">
        <v>42</v>
      </c>
      <c r="D262" s="14">
        <v>3</v>
      </c>
      <c r="E262" s="11" t="s">
        <v>938</v>
      </c>
      <c r="F262" s="11" t="s">
        <v>945</v>
      </c>
      <c r="G262" s="14">
        <v>6</v>
      </c>
      <c r="H262" s="14">
        <v>0</v>
      </c>
      <c r="I262" s="14"/>
      <c r="J262" s="14"/>
      <c r="K262" s="14"/>
      <c r="L262" s="14"/>
      <c r="M262" s="14"/>
      <c r="N262" s="14"/>
      <c r="O262" s="14">
        <v>238</v>
      </c>
      <c r="P262" s="14"/>
    </row>
    <row r="263" spans="1:16">
      <c r="A263" s="8"/>
      <c r="B263" s="14">
        <v>9043</v>
      </c>
      <c r="C263" s="14">
        <v>43</v>
      </c>
      <c r="D263" s="14">
        <v>3</v>
      </c>
      <c r="E263" s="11" t="s">
        <v>939</v>
      </c>
      <c r="F263" s="11" t="s">
        <v>971</v>
      </c>
      <c r="G263" s="14">
        <v>1</v>
      </c>
      <c r="H263" s="14">
        <v>0</v>
      </c>
      <c r="I263" s="14"/>
      <c r="J263" s="14"/>
      <c r="K263" s="14"/>
      <c r="L263" s="14"/>
      <c r="M263" s="14"/>
      <c r="N263" s="14"/>
      <c r="O263" s="14">
        <v>1507</v>
      </c>
      <c r="P263" s="14"/>
    </row>
    <row r="264" spans="1:16">
      <c r="A264" s="8"/>
      <c r="B264" s="14">
        <v>9044</v>
      </c>
      <c r="C264" s="14">
        <v>44</v>
      </c>
      <c r="D264" s="14">
        <v>3</v>
      </c>
      <c r="E264" s="11" t="s">
        <v>940</v>
      </c>
      <c r="F264" s="11" t="s">
        <v>970</v>
      </c>
      <c r="G264" s="14">
        <v>1</v>
      </c>
      <c r="H264" s="14">
        <v>0</v>
      </c>
      <c r="I264" s="14"/>
      <c r="J264" s="14"/>
      <c r="K264" s="14"/>
      <c r="L264" s="14"/>
      <c r="M264" s="14"/>
      <c r="N264" s="14"/>
      <c r="O264" s="14">
        <v>1508</v>
      </c>
      <c r="P264" s="14"/>
    </row>
    <row r="265" spans="1:16">
      <c r="A265" s="8"/>
      <c r="B265" s="14">
        <v>9045</v>
      </c>
      <c r="C265" s="14">
        <v>45</v>
      </c>
      <c r="D265" s="14">
        <v>3</v>
      </c>
      <c r="E265" s="11" t="s">
        <v>941</v>
      </c>
      <c r="F265" s="11" t="s">
        <v>969</v>
      </c>
      <c r="G265" s="14">
        <v>6</v>
      </c>
      <c r="H265" s="14">
        <v>0</v>
      </c>
      <c r="I265" s="14"/>
      <c r="J265" s="14"/>
      <c r="K265" s="14"/>
      <c r="L265" s="14"/>
      <c r="M265" s="14"/>
      <c r="N265" s="14"/>
      <c r="O265" s="14">
        <v>1006</v>
      </c>
      <c r="P265" s="14"/>
    </row>
    <row r="266" spans="1:16">
      <c r="A266" s="8"/>
      <c r="B266" s="14">
        <v>9046</v>
      </c>
      <c r="C266" s="14">
        <v>46</v>
      </c>
      <c r="D266" s="14">
        <v>3</v>
      </c>
      <c r="E266" s="11" t="s">
        <v>942</v>
      </c>
      <c r="F266" s="11" t="s">
        <v>968</v>
      </c>
      <c r="G266" s="14">
        <v>4</v>
      </c>
      <c r="H266" s="14">
        <v>0</v>
      </c>
      <c r="I266" s="14"/>
      <c r="J266" s="14"/>
      <c r="K266" s="14"/>
      <c r="L266" s="14"/>
      <c r="M266" s="14"/>
      <c r="N266" s="14"/>
      <c r="O266" s="14">
        <v>1008</v>
      </c>
      <c r="P266" s="14"/>
    </row>
    <row r="267" spans="1:16">
      <c r="A267" s="8"/>
      <c r="B267" s="14">
        <v>9047</v>
      </c>
      <c r="C267" s="14">
        <v>47</v>
      </c>
      <c r="D267" s="14">
        <v>3</v>
      </c>
      <c r="E267" s="11" t="s">
        <v>943</v>
      </c>
      <c r="F267" s="11" t="s">
        <v>967</v>
      </c>
      <c r="G267" s="14">
        <v>2</v>
      </c>
      <c r="H267" s="14">
        <v>0</v>
      </c>
      <c r="I267" s="14"/>
      <c r="J267" s="14"/>
      <c r="K267" s="14"/>
      <c r="L267" s="14"/>
      <c r="M267" s="14"/>
      <c r="N267" s="14"/>
      <c r="O267" s="14">
        <v>8</v>
      </c>
      <c r="P267" s="14"/>
    </row>
    <row r="268" spans="1:16">
      <c r="A268" s="8"/>
      <c r="B268" s="14">
        <v>9048</v>
      </c>
      <c r="C268" s="14">
        <v>48</v>
      </c>
      <c r="D268" s="14">
        <v>3</v>
      </c>
      <c r="E268" s="11" t="s">
        <v>944</v>
      </c>
      <c r="F268" s="11" t="s">
        <v>1329</v>
      </c>
      <c r="G268" s="14">
        <v>3</v>
      </c>
      <c r="H268" s="14">
        <v>0</v>
      </c>
      <c r="I268" s="14"/>
      <c r="J268" s="14"/>
      <c r="K268" s="14"/>
      <c r="L268" s="14"/>
      <c r="M268" s="14"/>
      <c r="N268" s="14"/>
      <c r="O268" s="14">
        <v>1112</v>
      </c>
      <c r="P268" s="14"/>
    </row>
  </sheetData>
  <phoneticPr fontId="1"/>
  <dataValidations count="1">
    <dataValidation type="list" allowBlank="1" showInputMessage="1" showErrorMessage="1" sqref="A7:A268" xr:uid="{68EED8E5-BB36-4119-9540-306705703E1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1"/>
  <sheetViews>
    <sheetView zoomScale="85" zoomScaleNormal="85" workbookViewId="0">
      <pane ySplit="6" topLeftCell="A124" activePane="bottomLeft" state="frozen"/>
      <selection activeCell="D1" sqref="D1"/>
      <selection pane="bottomLeft" activeCell="D148" sqref="D14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2337</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301</v>
      </c>
      <c r="C77" s="11" t="s">
        <v>2137</v>
      </c>
      <c r="D77" s="11" t="s">
        <v>1585</v>
      </c>
      <c r="E77" s="11" t="s">
        <v>1585</v>
      </c>
      <c r="F77" s="14">
        <v>5</v>
      </c>
      <c r="G77" s="14">
        <v>1</v>
      </c>
      <c r="H77" s="14" t="s">
        <v>1586</v>
      </c>
      <c r="I77" s="14">
        <v>1</v>
      </c>
      <c r="J77" s="14">
        <v>0</v>
      </c>
      <c r="K77" s="14">
        <v>0</v>
      </c>
      <c r="L77" s="14">
        <v>0</v>
      </c>
      <c r="M77" s="14">
        <v>1</v>
      </c>
      <c r="N77" s="14">
        <v>20</v>
      </c>
      <c r="O77" s="14">
        <v>1</v>
      </c>
    </row>
    <row r="78" spans="1:15">
      <c r="A78" s="8"/>
      <c r="B78" s="14">
        <v>401</v>
      </c>
      <c r="C78" s="11" t="s">
        <v>362</v>
      </c>
      <c r="D78" s="11" t="s">
        <v>363</v>
      </c>
      <c r="E78" s="11" t="s">
        <v>403</v>
      </c>
      <c r="F78" s="14">
        <v>0</v>
      </c>
      <c r="G78" s="14">
        <v>3</v>
      </c>
      <c r="H78" s="14"/>
      <c r="I78" s="14">
        <v>4</v>
      </c>
      <c r="J78" s="14">
        <v>0</v>
      </c>
      <c r="K78" s="14">
        <v>1</v>
      </c>
      <c r="L78" s="14">
        <v>0</v>
      </c>
      <c r="M78" s="14">
        <v>1</v>
      </c>
      <c r="N78" s="14">
        <v>10</v>
      </c>
      <c r="O78" s="14">
        <v>0</v>
      </c>
    </row>
    <row r="79" spans="1:15">
      <c r="A79" s="8"/>
      <c r="B79" s="14">
        <v>402</v>
      </c>
      <c r="C79" s="11" t="s">
        <v>364</v>
      </c>
      <c r="D79" s="11" t="s">
        <v>365</v>
      </c>
      <c r="E79" s="11" t="s">
        <v>404</v>
      </c>
      <c r="F79" s="14">
        <v>0</v>
      </c>
      <c r="G79" s="14">
        <v>3</v>
      </c>
      <c r="H79" s="14"/>
      <c r="I79" s="14">
        <v>4</v>
      </c>
      <c r="J79" s="14">
        <v>0</v>
      </c>
      <c r="K79" s="14">
        <v>2</v>
      </c>
      <c r="L79" s="14">
        <v>0</v>
      </c>
      <c r="M79" s="14">
        <v>1</v>
      </c>
      <c r="N79" s="14">
        <v>10</v>
      </c>
      <c r="O79" s="14">
        <v>0</v>
      </c>
    </row>
    <row r="80" spans="1:15">
      <c r="A80" s="8"/>
      <c r="B80" s="14">
        <v>403</v>
      </c>
      <c r="C80" s="11" t="s">
        <v>366</v>
      </c>
      <c r="D80" s="11" t="s">
        <v>367</v>
      </c>
      <c r="E80" s="11" t="s">
        <v>405</v>
      </c>
      <c r="F80" s="14">
        <v>0</v>
      </c>
      <c r="G80" s="14">
        <v>3</v>
      </c>
      <c r="H80" s="14"/>
      <c r="I80" s="14">
        <v>4</v>
      </c>
      <c r="J80" s="14">
        <v>0</v>
      </c>
      <c r="K80" s="14">
        <v>3</v>
      </c>
      <c r="L80" s="14">
        <v>0</v>
      </c>
      <c r="M80" s="14">
        <v>1</v>
      </c>
      <c r="N80" s="14">
        <v>10</v>
      </c>
      <c r="O80" s="14">
        <v>0</v>
      </c>
    </row>
    <row r="81" spans="1:15">
      <c r="A81" s="8"/>
      <c r="B81" s="14">
        <v>404</v>
      </c>
      <c r="C81" s="11" t="s">
        <v>368</v>
      </c>
      <c r="D81" s="11" t="s">
        <v>369</v>
      </c>
      <c r="E81" s="11" t="s">
        <v>406</v>
      </c>
      <c r="F81" s="14">
        <v>0</v>
      </c>
      <c r="G81" s="14">
        <v>3</v>
      </c>
      <c r="H81" s="14"/>
      <c r="I81" s="14">
        <v>4</v>
      </c>
      <c r="J81" s="14">
        <v>0</v>
      </c>
      <c r="K81" s="14">
        <v>4</v>
      </c>
      <c r="L81" s="14">
        <v>0</v>
      </c>
      <c r="M81" s="14">
        <v>1</v>
      </c>
      <c r="N81" s="14">
        <v>10</v>
      </c>
      <c r="O81" s="14">
        <v>0</v>
      </c>
    </row>
    <row r="82" spans="1:15">
      <c r="A82" s="8"/>
      <c r="B82" s="14">
        <v>405</v>
      </c>
      <c r="C82" s="11" t="s">
        <v>370</v>
      </c>
      <c r="D82" s="11" t="s">
        <v>371</v>
      </c>
      <c r="E82" s="11" t="s">
        <v>407</v>
      </c>
      <c r="F82" s="14">
        <v>0</v>
      </c>
      <c r="G82" s="14">
        <v>3</v>
      </c>
      <c r="H82" s="14"/>
      <c r="I82" s="14">
        <v>4</v>
      </c>
      <c r="J82" s="14">
        <v>0</v>
      </c>
      <c r="K82" s="14">
        <v>5</v>
      </c>
      <c r="L82" s="14">
        <v>0</v>
      </c>
      <c r="M82" s="14">
        <v>1</v>
      </c>
      <c r="N82" s="14">
        <v>10</v>
      </c>
      <c r="O82" s="14">
        <v>0</v>
      </c>
    </row>
    <row r="83" spans="1:15">
      <c r="A83" s="8"/>
      <c r="B83" s="14">
        <v>406</v>
      </c>
      <c r="C83" s="11" t="s">
        <v>603</v>
      </c>
      <c r="D83" s="11" t="s">
        <v>1152</v>
      </c>
      <c r="E83" s="11" t="s">
        <v>1153</v>
      </c>
      <c r="F83" s="14">
        <v>0</v>
      </c>
      <c r="G83" s="14">
        <v>3</v>
      </c>
      <c r="H83" s="14"/>
      <c r="I83" s="14">
        <v>4</v>
      </c>
      <c r="J83" s="14">
        <v>0</v>
      </c>
      <c r="K83" s="14">
        <v>0</v>
      </c>
      <c r="L83" s="14">
        <v>0</v>
      </c>
      <c r="M83" s="14">
        <v>1</v>
      </c>
      <c r="N83" s="14">
        <v>8</v>
      </c>
      <c r="O83" s="14">
        <v>0</v>
      </c>
    </row>
    <row r="84" spans="1:15">
      <c r="A84" s="8"/>
      <c r="B84" s="14">
        <v>407</v>
      </c>
      <c r="C84" s="11" t="s">
        <v>837</v>
      </c>
      <c r="D84" s="11" t="s">
        <v>1216</v>
      </c>
      <c r="E84" s="11" t="s">
        <v>2205</v>
      </c>
      <c r="F84" s="14">
        <v>0</v>
      </c>
      <c r="G84" s="14">
        <v>0</v>
      </c>
      <c r="H84" s="14" t="s">
        <v>1587</v>
      </c>
      <c r="I84" s="14">
        <v>4</v>
      </c>
      <c r="J84" s="14">
        <v>0</v>
      </c>
      <c r="K84" s="14">
        <v>0</v>
      </c>
      <c r="L84" s="14">
        <v>0</v>
      </c>
      <c r="M84" s="14">
        <v>1</v>
      </c>
      <c r="N84" s="14">
        <v>30</v>
      </c>
      <c r="O84" s="14">
        <v>8</v>
      </c>
    </row>
    <row r="85" spans="1:15">
      <c r="A85" s="8"/>
      <c r="B85" s="14">
        <v>408</v>
      </c>
      <c r="C85" s="11" t="s">
        <v>838</v>
      </c>
      <c r="D85" s="11" t="s">
        <v>1217</v>
      </c>
      <c r="E85" s="11" t="s">
        <v>2206</v>
      </c>
      <c r="F85" s="14">
        <v>0</v>
      </c>
      <c r="G85" s="14">
        <v>0</v>
      </c>
      <c r="H85" s="14" t="s">
        <v>1588</v>
      </c>
      <c r="I85" s="14">
        <v>4</v>
      </c>
      <c r="J85" s="14">
        <v>0</v>
      </c>
      <c r="K85" s="14">
        <v>0</v>
      </c>
      <c r="L85" s="14">
        <v>0</v>
      </c>
      <c r="M85" s="14">
        <v>1</v>
      </c>
      <c r="N85" s="14">
        <v>30</v>
      </c>
      <c r="O85" s="14">
        <v>8</v>
      </c>
    </row>
    <row r="86" spans="1:15">
      <c r="A86" s="8"/>
      <c r="B86" s="14">
        <v>409</v>
      </c>
      <c r="C86" s="11" t="s">
        <v>2310</v>
      </c>
      <c r="D86" s="11" t="s">
        <v>2312</v>
      </c>
      <c r="E86" s="11" t="s">
        <v>2314</v>
      </c>
      <c r="F86" s="14">
        <v>0</v>
      </c>
      <c r="G86" s="14">
        <v>3</v>
      </c>
      <c r="H86" s="14"/>
      <c r="I86" s="14">
        <v>4</v>
      </c>
      <c r="J86" s="14">
        <v>0</v>
      </c>
      <c r="K86" s="14">
        <v>0</v>
      </c>
      <c r="L86" s="14">
        <v>5</v>
      </c>
      <c r="M86" s="14">
        <v>1</v>
      </c>
      <c r="N86" s="14">
        <v>10</v>
      </c>
      <c r="O86" s="14">
        <v>0</v>
      </c>
    </row>
    <row r="87" spans="1:15">
      <c r="A87" s="8"/>
      <c r="B87" s="14">
        <v>410</v>
      </c>
      <c r="C87" s="11" t="s">
        <v>2311</v>
      </c>
      <c r="D87" s="11" t="s">
        <v>2313</v>
      </c>
      <c r="E87" s="11" t="s">
        <v>2315</v>
      </c>
      <c r="F87" s="14">
        <v>0</v>
      </c>
      <c r="G87" s="14">
        <v>3</v>
      </c>
      <c r="H87" s="14"/>
      <c r="I87" s="14">
        <v>4</v>
      </c>
      <c r="J87" s="14">
        <v>0</v>
      </c>
      <c r="K87" s="14">
        <v>0</v>
      </c>
      <c r="L87" s="14">
        <v>1</v>
      </c>
      <c r="M87" s="14">
        <v>1</v>
      </c>
      <c r="N87" s="14">
        <v>10</v>
      </c>
      <c r="O87" s="14">
        <v>0</v>
      </c>
    </row>
    <row r="88" spans="1:15">
      <c r="A88" s="8"/>
      <c r="B88" s="14">
        <v>501</v>
      </c>
      <c r="C88" s="11" t="s">
        <v>372</v>
      </c>
      <c r="D88" s="11" t="s">
        <v>373</v>
      </c>
      <c r="E88" s="11" t="s">
        <v>373</v>
      </c>
      <c r="F88" s="14">
        <v>1</v>
      </c>
      <c r="G88" s="14">
        <v>0</v>
      </c>
      <c r="H88" s="14"/>
      <c r="I88" s="14">
        <v>0</v>
      </c>
      <c r="J88" s="14">
        <v>0</v>
      </c>
      <c r="K88" s="14">
        <v>0</v>
      </c>
      <c r="L88" s="14">
        <v>0</v>
      </c>
      <c r="M88" s="14">
        <v>0</v>
      </c>
      <c r="N88" s="14">
        <v>25</v>
      </c>
      <c r="O88" s="14"/>
    </row>
    <row r="89" spans="1:15">
      <c r="A89" s="8"/>
      <c r="B89" s="14">
        <v>502</v>
      </c>
      <c r="C89" s="11" t="s">
        <v>374</v>
      </c>
      <c r="D89" s="11" t="s">
        <v>375</v>
      </c>
      <c r="E89" s="11" t="s">
        <v>375</v>
      </c>
      <c r="F89" s="14">
        <v>1</v>
      </c>
      <c r="G89" s="14">
        <v>0</v>
      </c>
      <c r="H89" s="14"/>
      <c r="I89" s="14">
        <v>0</v>
      </c>
      <c r="J89" s="14">
        <v>0</v>
      </c>
      <c r="K89" s="14">
        <v>0</v>
      </c>
      <c r="L89" s="14">
        <v>0</v>
      </c>
      <c r="M89" s="14">
        <v>0</v>
      </c>
      <c r="N89" s="14">
        <v>25</v>
      </c>
      <c r="O89" s="14"/>
    </row>
    <row r="90" spans="1:15">
      <c r="A90" s="8"/>
      <c r="B90" s="14">
        <v>503</v>
      </c>
      <c r="C90" s="11" t="s">
        <v>1607</v>
      </c>
      <c r="D90" s="11" t="s">
        <v>1608</v>
      </c>
      <c r="E90" s="11" t="s">
        <v>1608</v>
      </c>
      <c r="F90" s="14">
        <v>1</v>
      </c>
      <c r="G90" s="14">
        <v>0</v>
      </c>
      <c r="H90" s="14"/>
      <c r="I90" s="14">
        <v>0</v>
      </c>
      <c r="J90" s="14">
        <v>0</v>
      </c>
      <c r="K90" s="14">
        <v>0</v>
      </c>
      <c r="L90" s="14">
        <v>0</v>
      </c>
      <c r="M90" s="14">
        <v>0</v>
      </c>
      <c r="N90" s="14">
        <v>10</v>
      </c>
      <c r="O90" s="14"/>
    </row>
    <row r="91" spans="1:15">
      <c r="A91" s="8"/>
      <c r="B91" s="14">
        <v>504</v>
      </c>
      <c r="C91" s="11" t="s">
        <v>1609</v>
      </c>
      <c r="D91" s="11" t="s">
        <v>1610</v>
      </c>
      <c r="E91" s="11" t="s">
        <v>1610</v>
      </c>
      <c r="F91" s="14">
        <v>1</v>
      </c>
      <c r="G91" s="14">
        <v>0</v>
      </c>
      <c r="H91" s="14"/>
      <c r="I91" s="14">
        <v>0</v>
      </c>
      <c r="J91" s="14">
        <v>0</v>
      </c>
      <c r="K91" s="14">
        <v>0</v>
      </c>
      <c r="L91" s="14">
        <v>0</v>
      </c>
      <c r="M91" s="14">
        <v>0</v>
      </c>
      <c r="N91" s="14">
        <v>10</v>
      </c>
      <c r="O91" s="14"/>
    </row>
    <row r="92" spans="1:15">
      <c r="A92" s="8"/>
      <c r="B92" s="14">
        <v>505</v>
      </c>
      <c r="C92" s="11" t="s">
        <v>1611</v>
      </c>
      <c r="D92" s="11" t="s">
        <v>1612</v>
      </c>
      <c r="E92" s="11" t="s">
        <v>1612</v>
      </c>
      <c r="F92" s="14">
        <v>1</v>
      </c>
      <c r="G92" s="14">
        <v>0</v>
      </c>
      <c r="H92" s="14" t="s">
        <v>1639</v>
      </c>
      <c r="I92" s="14">
        <v>0</v>
      </c>
      <c r="J92" s="14">
        <v>0</v>
      </c>
      <c r="K92" s="14">
        <v>0</v>
      </c>
      <c r="L92" s="14">
        <v>0</v>
      </c>
      <c r="M92" s="14">
        <v>0</v>
      </c>
      <c r="N92" s="14">
        <v>30</v>
      </c>
      <c r="O92" s="14"/>
    </row>
    <row r="93" spans="1:15">
      <c r="A93" s="8"/>
      <c r="B93" s="14">
        <v>506</v>
      </c>
      <c r="C93" s="11" t="s">
        <v>1764</v>
      </c>
      <c r="D93" s="11" t="s">
        <v>1765</v>
      </c>
      <c r="E93" s="11" t="s">
        <v>1765</v>
      </c>
      <c r="F93" s="14">
        <v>1</v>
      </c>
      <c r="G93" s="14">
        <v>0</v>
      </c>
      <c r="H93" s="14"/>
      <c r="I93" s="14">
        <v>0</v>
      </c>
      <c r="J93" s="14">
        <v>0</v>
      </c>
      <c r="K93" s="14">
        <v>0</v>
      </c>
      <c r="L93" s="14">
        <v>0</v>
      </c>
      <c r="M93" s="14">
        <v>0</v>
      </c>
      <c r="N93" s="14">
        <v>30</v>
      </c>
      <c r="O93" s="14"/>
    </row>
    <row r="94" spans="1:15">
      <c r="A94" s="8"/>
      <c r="B94" s="14">
        <v>507</v>
      </c>
      <c r="C94" s="11" t="s">
        <v>2138</v>
      </c>
      <c r="D94" s="11" t="s">
        <v>2139</v>
      </c>
      <c r="E94" s="11" t="s">
        <v>2140</v>
      </c>
      <c r="F94" s="14">
        <v>1</v>
      </c>
      <c r="G94" s="14">
        <v>1</v>
      </c>
      <c r="H94" s="14" t="s">
        <v>1571</v>
      </c>
      <c r="I94" s="14">
        <v>0</v>
      </c>
      <c r="J94" s="14">
        <v>0</v>
      </c>
      <c r="K94" s="14">
        <v>0</v>
      </c>
      <c r="L94" s="14">
        <v>0</v>
      </c>
      <c r="M94" s="14">
        <v>0</v>
      </c>
      <c r="N94" s="14">
        <v>25</v>
      </c>
      <c r="O94" s="14"/>
    </row>
    <row r="95" spans="1:15">
      <c r="A95" s="8"/>
      <c r="B95" s="14">
        <v>601</v>
      </c>
      <c r="C95" s="11" t="s">
        <v>602</v>
      </c>
      <c r="D95" s="11" t="s">
        <v>1766</v>
      </c>
      <c r="E95" s="11" t="s">
        <v>1154</v>
      </c>
      <c r="F95" s="14">
        <v>1</v>
      </c>
      <c r="G95" s="14">
        <v>1</v>
      </c>
      <c r="H95" s="14" t="s">
        <v>1589</v>
      </c>
      <c r="I95" s="14">
        <v>1</v>
      </c>
      <c r="J95" s="14">
        <v>0</v>
      </c>
      <c r="K95" s="14">
        <v>0</v>
      </c>
      <c r="L95" s="14">
        <v>0</v>
      </c>
      <c r="M95" s="14">
        <v>1</v>
      </c>
      <c r="N95" s="14">
        <v>50</v>
      </c>
      <c r="O95" s="14">
        <v>1</v>
      </c>
    </row>
    <row r="96" spans="1:15">
      <c r="A96" s="8"/>
      <c r="B96" s="14">
        <v>602</v>
      </c>
      <c r="C96" s="11" t="s">
        <v>1767</v>
      </c>
      <c r="D96" s="11" t="s">
        <v>1768</v>
      </c>
      <c r="E96" s="11" t="s">
        <v>1769</v>
      </c>
      <c r="F96" s="14">
        <v>1</v>
      </c>
      <c r="G96" s="14">
        <v>1</v>
      </c>
      <c r="H96" s="14"/>
      <c r="I96" s="14">
        <v>1</v>
      </c>
      <c r="J96" s="14">
        <v>0</v>
      </c>
      <c r="K96" s="14">
        <v>0</v>
      </c>
      <c r="L96" s="14">
        <v>0</v>
      </c>
      <c r="M96" s="14">
        <v>1</v>
      </c>
      <c r="N96" s="14">
        <v>100</v>
      </c>
      <c r="O96" s="14">
        <v>1</v>
      </c>
    </row>
    <row r="97" spans="1:15">
      <c r="A97" s="8"/>
      <c r="B97" s="14">
        <v>1001</v>
      </c>
      <c r="C97" s="11" t="s">
        <v>376</v>
      </c>
      <c r="D97" s="11" t="s">
        <v>1218</v>
      </c>
      <c r="E97" s="11" t="s">
        <v>730</v>
      </c>
      <c r="F97" s="14">
        <v>0</v>
      </c>
      <c r="G97" s="14">
        <v>1</v>
      </c>
      <c r="H97" s="14" t="s">
        <v>1590</v>
      </c>
      <c r="I97" s="14">
        <v>5</v>
      </c>
      <c r="J97" s="14">
        <v>0</v>
      </c>
      <c r="K97" s="14">
        <v>0</v>
      </c>
      <c r="L97" s="14">
        <v>0</v>
      </c>
      <c r="M97" s="14">
        <v>21</v>
      </c>
      <c r="N97" s="14"/>
      <c r="O97" s="14">
        <v>1</v>
      </c>
    </row>
    <row r="98" spans="1:15">
      <c r="A98" s="8"/>
      <c r="B98" s="14">
        <v>1002</v>
      </c>
      <c r="C98" s="11" t="s">
        <v>377</v>
      </c>
      <c r="D98" s="11" t="s">
        <v>1219</v>
      </c>
      <c r="E98" s="11" t="s">
        <v>730</v>
      </c>
      <c r="F98" s="14">
        <v>0</v>
      </c>
      <c r="G98" s="14">
        <v>1</v>
      </c>
      <c r="H98" s="14"/>
      <c r="I98" s="14">
        <v>1</v>
      </c>
      <c r="J98" s="14">
        <v>0</v>
      </c>
      <c r="K98" s="14">
        <v>0</v>
      </c>
      <c r="L98" s="14">
        <v>0</v>
      </c>
      <c r="M98" s="14">
        <v>30</v>
      </c>
      <c r="N98" s="14">
        <v>5</v>
      </c>
      <c r="O98" s="14"/>
    </row>
    <row r="99" spans="1:15">
      <c r="A99" s="8"/>
      <c r="B99" s="14">
        <v>1003</v>
      </c>
      <c r="C99" s="11" t="s">
        <v>378</v>
      </c>
      <c r="D99" s="11" t="s">
        <v>1220</v>
      </c>
      <c r="E99" s="11" t="s">
        <v>730</v>
      </c>
      <c r="F99" s="14">
        <v>0</v>
      </c>
      <c r="G99" s="14">
        <v>1</v>
      </c>
      <c r="H99" s="14"/>
      <c r="I99" s="14">
        <v>5</v>
      </c>
      <c r="J99" s="14">
        <v>0</v>
      </c>
      <c r="K99" s="14">
        <v>0</v>
      </c>
      <c r="L99" s="14">
        <v>0</v>
      </c>
      <c r="M99" s="14">
        <v>22</v>
      </c>
      <c r="N99" s="14"/>
      <c r="O99" s="14">
        <v>2</v>
      </c>
    </row>
    <row r="100" spans="1:15">
      <c r="A100" s="8"/>
      <c r="B100" s="14">
        <v>1004</v>
      </c>
      <c r="C100" s="11" t="s">
        <v>1591</v>
      </c>
      <c r="D100" s="11" t="s">
        <v>1544</v>
      </c>
      <c r="E100" s="11" t="s">
        <v>730</v>
      </c>
      <c r="F100" s="14">
        <v>0</v>
      </c>
      <c r="G100" s="14">
        <v>1</v>
      </c>
      <c r="H100" s="14"/>
      <c r="I100" s="14">
        <v>1</v>
      </c>
      <c r="J100" s="14">
        <v>0</v>
      </c>
      <c r="K100" s="14">
        <v>0</v>
      </c>
      <c r="L100" s="14">
        <v>0</v>
      </c>
      <c r="M100" s="14">
        <v>12</v>
      </c>
      <c r="N100" s="14">
        <v>5</v>
      </c>
      <c r="O100" s="14"/>
    </row>
    <row r="101" spans="1:15">
      <c r="A101" s="8"/>
      <c r="B101" s="14">
        <v>1005</v>
      </c>
      <c r="C101" s="11" t="s">
        <v>1592</v>
      </c>
      <c r="D101" s="11" t="s">
        <v>1221</v>
      </c>
      <c r="E101" s="11" t="s">
        <v>730</v>
      </c>
      <c r="F101" s="14">
        <v>0</v>
      </c>
      <c r="G101" s="14">
        <v>3</v>
      </c>
      <c r="H101" s="14"/>
      <c r="I101" s="14">
        <v>1</v>
      </c>
      <c r="J101" s="14">
        <v>0</v>
      </c>
      <c r="K101" s="14">
        <v>0</v>
      </c>
      <c r="L101" s="14">
        <v>0</v>
      </c>
      <c r="M101" s="14">
        <v>20</v>
      </c>
      <c r="N101" s="14"/>
      <c r="O101" s="14">
        <v>0</v>
      </c>
    </row>
    <row r="102" spans="1:15">
      <c r="A102" s="8"/>
      <c r="B102" s="14">
        <v>1006</v>
      </c>
      <c r="C102" s="11" t="s">
        <v>1271</v>
      </c>
      <c r="D102" s="11" t="s">
        <v>1222</v>
      </c>
      <c r="E102" s="11" t="s">
        <v>730</v>
      </c>
      <c r="F102" s="14">
        <v>0</v>
      </c>
      <c r="G102" s="14">
        <v>1</v>
      </c>
      <c r="H102" s="14"/>
      <c r="I102" s="14">
        <v>4</v>
      </c>
      <c r="J102" s="14">
        <v>0</v>
      </c>
      <c r="K102" s="14">
        <v>0</v>
      </c>
      <c r="L102" s="14">
        <v>0</v>
      </c>
      <c r="M102" s="14">
        <v>14</v>
      </c>
      <c r="N102" s="14">
        <v>10</v>
      </c>
      <c r="O102" s="14"/>
    </row>
    <row r="103" spans="1:15">
      <c r="A103" s="8"/>
      <c r="B103" s="14">
        <v>1007</v>
      </c>
      <c r="C103" s="11" t="s">
        <v>1272</v>
      </c>
      <c r="D103" s="11" t="s">
        <v>1223</v>
      </c>
      <c r="E103" s="11" t="s">
        <v>730</v>
      </c>
      <c r="F103" s="14">
        <v>0</v>
      </c>
      <c r="G103" s="14">
        <v>1</v>
      </c>
      <c r="H103" s="14"/>
      <c r="I103" s="14">
        <v>1</v>
      </c>
      <c r="J103" s="14">
        <v>0</v>
      </c>
      <c r="K103" s="14">
        <v>0</v>
      </c>
      <c r="L103" s="14">
        <v>0</v>
      </c>
      <c r="M103" s="14">
        <v>12</v>
      </c>
      <c r="N103" s="14">
        <v>2</v>
      </c>
      <c r="O103" s="14"/>
    </row>
    <row r="104" spans="1:15">
      <c r="A104" s="8"/>
      <c r="B104" s="14">
        <v>1008</v>
      </c>
      <c r="C104" s="11" t="s">
        <v>1273</v>
      </c>
      <c r="D104" s="11" t="s">
        <v>1224</v>
      </c>
      <c r="E104" s="11" t="s">
        <v>730</v>
      </c>
      <c r="F104" s="14">
        <v>0</v>
      </c>
      <c r="G104" s="14">
        <v>1</v>
      </c>
      <c r="H104" s="14"/>
      <c r="I104" s="14">
        <v>1</v>
      </c>
      <c r="J104" s="14">
        <v>0</v>
      </c>
      <c r="K104" s="14">
        <v>0</v>
      </c>
      <c r="L104" s="14">
        <v>0</v>
      </c>
      <c r="M104" s="14">
        <v>11</v>
      </c>
      <c r="N104" s="14">
        <v>25</v>
      </c>
      <c r="O104" s="14">
        <v>3</v>
      </c>
    </row>
    <row r="105" spans="1:15">
      <c r="A105" s="8"/>
      <c r="B105" s="14">
        <v>1011</v>
      </c>
      <c r="C105" s="11" t="s">
        <v>1593</v>
      </c>
      <c r="D105" s="11" t="s">
        <v>1545</v>
      </c>
      <c r="E105" s="11" t="s">
        <v>730</v>
      </c>
      <c r="F105" s="14">
        <v>0</v>
      </c>
      <c r="G105" s="14">
        <v>3</v>
      </c>
      <c r="H105" s="14" t="s">
        <v>1594</v>
      </c>
      <c r="I105" s="14">
        <v>4</v>
      </c>
      <c r="J105" s="14">
        <v>0</v>
      </c>
      <c r="K105" s="14">
        <v>0</v>
      </c>
      <c r="L105" s="14">
        <v>0</v>
      </c>
      <c r="M105" s="14">
        <v>11</v>
      </c>
      <c r="N105" s="14">
        <v>50</v>
      </c>
      <c r="O105" s="14">
        <v>4</v>
      </c>
    </row>
    <row r="106" spans="1:15">
      <c r="A106" s="8"/>
      <c r="B106" s="14">
        <v>1012</v>
      </c>
      <c r="C106" s="11" t="s">
        <v>1616</v>
      </c>
      <c r="D106" s="11" t="s">
        <v>1626</v>
      </c>
      <c r="E106" s="11" t="s">
        <v>730</v>
      </c>
      <c r="F106" s="14">
        <v>0</v>
      </c>
      <c r="G106" s="14">
        <v>3</v>
      </c>
      <c r="H106" s="14"/>
      <c r="I106" s="14">
        <v>1</v>
      </c>
      <c r="J106" s="14">
        <v>0</v>
      </c>
      <c r="K106" s="14">
        <v>0</v>
      </c>
      <c r="L106" s="14">
        <v>0</v>
      </c>
      <c r="M106" s="14">
        <v>23</v>
      </c>
      <c r="N106" s="14"/>
      <c r="O106" s="14">
        <v>1</v>
      </c>
    </row>
    <row r="107" spans="1:15">
      <c r="A107" s="8"/>
      <c r="B107" s="14">
        <v>1013</v>
      </c>
      <c r="C107" s="11" t="s">
        <v>2141</v>
      </c>
      <c r="D107" s="11" t="s">
        <v>2142</v>
      </c>
      <c r="E107" s="11" t="s">
        <v>730</v>
      </c>
      <c r="F107" s="14">
        <v>0</v>
      </c>
      <c r="G107" s="14">
        <v>3</v>
      </c>
      <c r="H107" s="14"/>
      <c r="I107" s="14">
        <v>1</v>
      </c>
      <c r="J107" s="14">
        <v>0</v>
      </c>
      <c r="K107" s="14">
        <v>0</v>
      </c>
      <c r="L107" s="14">
        <v>0</v>
      </c>
      <c r="M107" s="14">
        <v>24</v>
      </c>
      <c r="N107" s="14"/>
      <c r="O107" s="14">
        <v>2</v>
      </c>
    </row>
    <row r="108" spans="1:15">
      <c r="A108" s="8"/>
      <c r="B108" s="14">
        <v>1014</v>
      </c>
      <c r="C108" s="11" t="s">
        <v>1972</v>
      </c>
      <c r="D108" s="11" t="s">
        <v>2142</v>
      </c>
      <c r="E108" s="11" t="s">
        <v>730</v>
      </c>
      <c r="F108" s="14">
        <v>0</v>
      </c>
      <c r="G108" s="14">
        <v>3</v>
      </c>
      <c r="H108" s="14"/>
      <c r="I108" s="14">
        <v>1</v>
      </c>
      <c r="J108" s="14">
        <v>0</v>
      </c>
      <c r="K108" s="14">
        <v>0</v>
      </c>
      <c r="L108" s="14">
        <v>0</v>
      </c>
      <c r="M108" s="14">
        <v>24</v>
      </c>
      <c r="N108" s="14"/>
      <c r="O108" s="14">
        <v>2</v>
      </c>
    </row>
    <row r="109" spans="1:15">
      <c r="A109" s="8"/>
      <c r="B109" s="14">
        <v>1015</v>
      </c>
      <c r="C109" s="11" t="s">
        <v>2154</v>
      </c>
      <c r="D109" s="11" t="s">
        <v>2155</v>
      </c>
      <c r="E109" s="11" t="s">
        <v>730</v>
      </c>
      <c r="F109" s="14">
        <v>0</v>
      </c>
      <c r="G109" s="14">
        <v>3</v>
      </c>
      <c r="H109" s="14"/>
      <c r="I109" s="14">
        <v>1</v>
      </c>
      <c r="J109" s="14">
        <v>0</v>
      </c>
      <c r="K109" s="14">
        <v>0</v>
      </c>
      <c r="L109" s="14">
        <v>0</v>
      </c>
      <c r="M109" s="14">
        <v>8</v>
      </c>
      <c r="N109" s="14"/>
      <c r="O109" s="14">
        <v>0</v>
      </c>
    </row>
    <row r="110" spans="1:15">
      <c r="A110" s="8"/>
      <c r="B110" s="14">
        <v>1101</v>
      </c>
      <c r="C110" s="11" t="s">
        <v>1595</v>
      </c>
      <c r="D110" s="11" t="s">
        <v>379</v>
      </c>
      <c r="E110" s="11" t="s">
        <v>730</v>
      </c>
      <c r="F110" s="14">
        <v>1</v>
      </c>
      <c r="G110" s="14">
        <v>1</v>
      </c>
      <c r="H110" s="14"/>
      <c r="I110" s="14">
        <v>1</v>
      </c>
      <c r="J110" s="14">
        <v>0</v>
      </c>
      <c r="K110" s="14">
        <v>0</v>
      </c>
      <c r="L110" s="14">
        <v>0</v>
      </c>
      <c r="M110" s="14">
        <v>12</v>
      </c>
      <c r="N110" s="14">
        <v>1</v>
      </c>
      <c r="O110" s="14"/>
    </row>
    <row r="111" spans="1:15">
      <c r="A111" s="8"/>
      <c r="B111" s="14">
        <v>1102</v>
      </c>
      <c r="C111" s="11" t="s">
        <v>380</v>
      </c>
      <c r="D111" s="11" t="s">
        <v>1225</v>
      </c>
      <c r="E111" s="11" t="s">
        <v>730</v>
      </c>
      <c r="F111" s="14">
        <v>1</v>
      </c>
      <c r="G111" s="14">
        <v>1</v>
      </c>
      <c r="H111" s="14" t="s">
        <v>1200</v>
      </c>
      <c r="I111" s="14">
        <v>1</v>
      </c>
      <c r="J111" s="14">
        <v>0</v>
      </c>
      <c r="K111" s="14">
        <v>0</v>
      </c>
      <c r="L111" s="14">
        <v>0</v>
      </c>
      <c r="M111" s="14">
        <v>13</v>
      </c>
      <c r="N111" s="14">
        <v>50</v>
      </c>
      <c r="O111" s="14"/>
    </row>
    <row r="112" spans="1:15">
      <c r="A112" s="8"/>
      <c r="B112" s="14">
        <v>1103</v>
      </c>
      <c r="C112" s="11" t="s">
        <v>381</v>
      </c>
      <c r="D112" s="11" t="s">
        <v>1226</v>
      </c>
      <c r="E112" s="11" t="s">
        <v>730</v>
      </c>
      <c r="F112" s="14">
        <v>1</v>
      </c>
      <c r="G112" s="14">
        <v>1</v>
      </c>
      <c r="H112" s="14"/>
      <c r="I112" s="14">
        <v>4</v>
      </c>
      <c r="J112" s="14">
        <v>0</v>
      </c>
      <c r="K112" s="14">
        <v>0</v>
      </c>
      <c r="L112" s="14">
        <v>0</v>
      </c>
      <c r="M112" s="14">
        <v>14</v>
      </c>
      <c r="N112" s="14">
        <v>5</v>
      </c>
      <c r="O112" s="14"/>
    </row>
    <row r="113" spans="1:15">
      <c r="A113" s="8"/>
      <c r="B113" s="14">
        <v>1104</v>
      </c>
      <c r="C113" s="11" t="s">
        <v>382</v>
      </c>
      <c r="D113" s="11" t="s">
        <v>1227</v>
      </c>
      <c r="E113" s="11" t="s">
        <v>730</v>
      </c>
      <c r="F113" s="14">
        <v>1</v>
      </c>
      <c r="G113" s="14">
        <v>1</v>
      </c>
      <c r="H113" s="14"/>
      <c r="I113" s="14">
        <v>1</v>
      </c>
      <c r="J113" s="14">
        <v>0</v>
      </c>
      <c r="K113" s="14">
        <v>0</v>
      </c>
      <c r="L113" s="14">
        <v>0</v>
      </c>
      <c r="M113" s="14">
        <v>11</v>
      </c>
      <c r="N113" s="14">
        <v>30</v>
      </c>
      <c r="O113" s="14">
        <v>1</v>
      </c>
    </row>
    <row r="114" spans="1:15">
      <c r="A114" s="8"/>
      <c r="B114" s="14">
        <v>1105</v>
      </c>
      <c r="C114" s="11" t="s">
        <v>383</v>
      </c>
      <c r="D114" s="11" t="s">
        <v>1228</v>
      </c>
      <c r="E114" s="11" t="s">
        <v>730</v>
      </c>
      <c r="F114" s="14">
        <v>1</v>
      </c>
      <c r="G114" s="14">
        <v>1</v>
      </c>
      <c r="H114" s="14"/>
      <c r="I114" s="14">
        <v>2</v>
      </c>
      <c r="J114" s="14">
        <v>0</v>
      </c>
      <c r="K114" s="14">
        <v>0</v>
      </c>
      <c r="L114" s="14">
        <v>0</v>
      </c>
      <c r="M114" s="14">
        <v>13</v>
      </c>
      <c r="N114" s="14">
        <v>10</v>
      </c>
      <c r="O114" s="14"/>
    </row>
    <row r="115" spans="1:15">
      <c r="A115" s="8"/>
      <c r="B115" s="14">
        <v>1106</v>
      </c>
      <c r="C115" s="11" t="s">
        <v>384</v>
      </c>
      <c r="D115" s="11" t="s">
        <v>1229</v>
      </c>
      <c r="E115" s="11" t="s">
        <v>730</v>
      </c>
      <c r="F115" s="14">
        <v>1</v>
      </c>
      <c r="G115" s="14">
        <v>1</v>
      </c>
      <c r="H115" s="14"/>
      <c r="I115" s="14">
        <v>4</v>
      </c>
      <c r="J115" s="14">
        <v>0</v>
      </c>
      <c r="K115" s="14">
        <v>0</v>
      </c>
      <c r="L115" s="14">
        <v>0</v>
      </c>
      <c r="M115" s="14">
        <v>13</v>
      </c>
      <c r="N115" s="14">
        <v>7</v>
      </c>
      <c r="O115" s="14"/>
    </row>
    <row r="116" spans="1:15">
      <c r="A116" s="8"/>
      <c r="B116" s="14">
        <v>1107</v>
      </c>
      <c r="C116" s="11" t="s">
        <v>1596</v>
      </c>
      <c r="D116" s="11" t="s">
        <v>1546</v>
      </c>
      <c r="E116" s="11" t="s">
        <v>730</v>
      </c>
      <c r="F116" s="14">
        <v>1</v>
      </c>
      <c r="G116" s="14">
        <v>2</v>
      </c>
      <c r="H116" s="14"/>
      <c r="I116" s="14">
        <v>1</v>
      </c>
      <c r="J116" s="14">
        <v>0</v>
      </c>
      <c r="K116" s="14">
        <v>0</v>
      </c>
      <c r="L116" s="14">
        <v>0</v>
      </c>
      <c r="M116" s="14">
        <v>12</v>
      </c>
      <c r="N116" s="14">
        <v>1</v>
      </c>
      <c r="O116" s="14"/>
    </row>
    <row r="117" spans="1:15">
      <c r="A117" s="8"/>
      <c r="B117" s="14">
        <v>1108</v>
      </c>
      <c r="C117" s="11" t="s">
        <v>1597</v>
      </c>
      <c r="D117" s="11" t="s">
        <v>1547</v>
      </c>
      <c r="E117" s="11" t="s">
        <v>730</v>
      </c>
      <c r="F117" s="14">
        <v>1</v>
      </c>
      <c r="G117" s="14">
        <v>2</v>
      </c>
      <c r="H117" s="14"/>
      <c r="I117" s="14">
        <v>4</v>
      </c>
      <c r="J117" s="14">
        <v>0</v>
      </c>
      <c r="K117" s="14">
        <v>0</v>
      </c>
      <c r="L117" s="14">
        <v>0</v>
      </c>
      <c r="M117" s="14">
        <v>13</v>
      </c>
      <c r="N117" s="14">
        <v>7</v>
      </c>
      <c r="O117" s="14"/>
    </row>
    <row r="118" spans="1:15">
      <c r="A118" s="8"/>
      <c r="B118" s="14">
        <v>1109</v>
      </c>
      <c r="C118" s="11" t="s">
        <v>1155</v>
      </c>
      <c r="D118" s="11" t="s">
        <v>1230</v>
      </c>
      <c r="E118" s="11" t="s">
        <v>730</v>
      </c>
      <c r="F118" s="14">
        <v>1</v>
      </c>
      <c r="G118" s="14">
        <v>1</v>
      </c>
      <c r="H118" s="14" t="s">
        <v>1555</v>
      </c>
      <c r="I118" s="14">
        <v>1</v>
      </c>
      <c r="J118" s="14">
        <v>0</v>
      </c>
      <c r="K118" s="14">
        <v>0</v>
      </c>
      <c r="L118" s="14">
        <v>0</v>
      </c>
      <c r="M118" s="14">
        <v>12</v>
      </c>
      <c r="N118" s="14">
        <v>3</v>
      </c>
      <c r="O118" s="14"/>
    </row>
    <row r="119" spans="1:15">
      <c r="A119" s="8"/>
      <c r="B119" s="14">
        <v>1110</v>
      </c>
      <c r="C119" s="11" t="s">
        <v>1598</v>
      </c>
      <c r="D119" s="11" t="s">
        <v>1231</v>
      </c>
      <c r="E119" s="11" t="s">
        <v>730</v>
      </c>
      <c r="F119" s="14">
        <v>1</v>
      </c>
      <c r="G119" s="14">
        <v>3</v>
      </c>
      <c r="H119" s="14"/>
      <c r="I119" s="14">
        <v>1</v>
      </c>
      <c r="J119" s="14">
        <v>0</v>
      </c>
      <c r="K119" s="14">
        <v>0</v>
      </c>
      <c r="L119" s="14">
        <v>0</v>
      </c>
      <c r="M119" s="14">
        <v>13</v>
      </c>
      <c r="N119" s="14">
        <v>7</v>
      </c>
      <c r="O119" s="14"/>
    </row>
    <row r="120" spans="1:15">
      <c r="A120" s="8"/>
      <c r="B120" s="14">
        <v>1111</v>
      </c>
      <c r="C120" s="11" t="s">
        <v>1808</v>
      </c>
      <c r="D120" s="11" t="s">
        <v>1232</v>
      </c>
      <c r="E120" s="11" t="s">
        <v>730</v>
      </c>
      <c r="F120" s="14">
        <v>1</v>
      </c>
      <c r="G120" s="14">
        <v>1</v>
      </c>
      <c r="H120" s="14" t="s">
        <v>1599</v>
      </c>
      <c r="I120" s="14">
        <v>1</v>
      </c>
      <c r="J120" s="14">
        <v>0</v>
      </c>
      <c r="K120" s="14">
        <v>0</v>
      </c>
      <c r="L120" s="14">
        <v>0</v>
      </c>
      <c r="M120" s="14">
        <v>12</v>
      </c>
      <c r="N120" s="14">
        <v>1</v>
      </c>
      <c r="O120" s="14"/>
    </row>
    <row r="121" spans="1:15">
      <c r="A121" s="8"/>
      <c r="B121" s="14">
        <v>1112</v>
      </c>
      <c r="C121" s="11" t="s">
        <v>1274</v>
      </c>
      <c r="D121" s="11" t="s">
        <v>1233</v>
      </c>
      <c r="E121" s="11" t="s">
        <v>730</v>
      </c>
      <c r="F121" s="14">
        <v>1</v>
      </c>
      <c r="G121" s="14">
        <v>1</v>
      </c>
      <c r="H121" s="14" t="s">
        <v>1234</v>
      </c>
      <c r="I121" s="14">
        <v>1</v>
      </c>
      <c r="J121" s="14">
        <v>0</v>
      </c>
      <c r="K121" s="14">
        <v>0</v>
      </c>
      <c r="L121" s="14">
        <v>0</v>
      </c>
      <c r="M121" s="14">
        <v>12</v>
      </c>
      <c r="N121" s="14">
        <v>1</v>
      </c>
      <c r="O121" s="14"/>
    </row>
    <row r="122" spans="1:15">
      <c r="A122" s="8"/>
      <c r="B122" s="14">
        <v>1113</v>
      </c>
      <c r="C122" s="11" t="s">
        <v>1275</v>
      </c>
      <c r="D122" s="11" t="s">
        <v>1235</v>
      </c>
      <c r="E122" s="11" t="s">
        <v>730</v>
      </c>
      <c r="F122" s="14">
        <v>1</v>
      </c>
      <c r="G122" s="14">
        <v>1</v>
      </c>
      <c r="H122" s="14" t="s">
        <v>1236</v>
      </c>
      <c r="I122" s="14">
        <v>1</v>
      </c>
      <c r="J122" s="14">
        <v>0</v>
      </c>
      <c r="K122" s="14">
        <v>0</v>
      </c>
      <c r="L122" s="14">
        <v>0</v>
      </c>
      <c r="M122" s="14">
        <v>13</v>
      </c>
      <c r="N122" s="14">
        <v>15</v>
      </c>
      <c r="O122" s="14"/>
    </row>
    <row r="123" spans="1:15">
      <c r="A123" s="8"/>
      <c r="B123" s="14">
        <v>1114</v>
      </c>
      <c r="C123" s="11" t="s">
        <v>1276</v>
      </c>
      <c r="D123" s="11" t="s">
        <v>1237</v>
      </c>
      <c r="E123" s="11" t="s">
        <v>730</v>
      </c>
      <c r="F123" s="14">
        <v>1</v>
      </c>
      <c r="G123" s="14">
        <v>1</v>
      </c>
      <c r="H123" s="14" t="s">
        <v>1555</v>
      </c>
      <c r="I123" s="14">
        <v>4</v>
      </c>
      <c r="J123" s="14">
        <v>0</v>
      </c>
      <c r="K123" s="14">
        <v>0</v>
      </c>
      <c r="L123" s="14">
        <v>0</v>
      </c>
      <c r="M123" s="14">
        <v>14</v>
      </c>
      <c r="N123" s="14">
        <v>10</v>
      </c>
      <c r="O123" s="14"/>
    </row>
    <row r="124" spans="1:15">
      <c r="A124" s="8"/>
      <c r="B124" s="14">
        <v>1115</v>
      </c>
      <c r="C124" s="11" t="s">
        <v>1277</v>
      </c>
      <c r="D124" s="11" t="s">
        <v>1238</v>
      </c>
      <c r="E124" s="11" t="s">
        <v>730</v>
      </c>
      <c r="F124" s="14">
        <v>1</v>
      </c>
      <c r="G124" s="14">
        <v>1</v>
      </c>
      <c r="H124" s="14"/>
      <c r="I124" s="14">
        <v>3</v>
      </c>
      <c r="J124" s="14">
        <v>0</v>
      </c>
      <c r="K124" s="14">
        <v>0</v>
      </c>
      <c r="L124" s="14">
        <v>0</v>
      </c>
      <c r="M124" s="14">
        <v>13</v>
      </c>
      <c r="N124" s="14">
        <v>10</v>
      </c>
      <c r="O124" s="14"/>
    </row>
    <row r="125" spans="1:15">
      <c r="A125" s="8"/>
      <c r="B125" s="14">
        <v>1116</v>
      </c>
      <c r="C125" s="11" t="s">
        <v>1278</v>
      </c>
      <c r="D125" s="11" t="s">
        <v>1239</v>
      </c>
      <c r="E125" s="11" t="s">
        <v>730</v>
      </c>
      <c r="F125" s="14">
        <v>1</v>
      </c>
      <c r="G125" s="14">
        <v>1</v>
      </c>
      <c r="H125" s="14"/>
      <c r="I125" s="14">
        <v>3</v>
      </c>
      <c r="J125" s="14">
        <v>0</v>
      </c>
      <c r="K125" s="14">
        <v>0</v>
      </c>
      <c r="L125" s="14">
        <v>0</v>
      </c>
      <c r="M125" s="14">
        <v>12</v>
      </c>
      <c r="N125" s="14">
        <v>1</v>
      </c>
      <c r="O125" s="14"/>
    </row>
    <row r="126" spans="1:15">
      <c r="A126" s="8"/>
      <c r="B126" s="14">
        <v>1117</v>
      </c>
      <c r="C126" s="11" t="s">
        <v>1613</v>
      </c>
      <c r="D126" s="11" t="s">
        <v>1614</v>
      </c>
      <c r="E126" s="11" t="s">
        <v>730</v>
      </c>
      <c r="F126" s="14">
        <v>1</v>
      </c>
      <c r="G126" s="14">
        <v>1</v>
      </c>
      <c r="H126" s="14"/>
      <c r="I126" s="14">
        <v>0</v>
      </c>
      <c r="J126" s="14">
        <v>0</v>
      </c>
      <c r="K126" s="14">
        <v>0</v>
      </c>
      <c r="L126" s="14">
        <v>0</v>
      </c>
      <c r="M126" s="14">
        <v>2</v>
      </c>
      <c r="N126" s="14">
        <v>10</v>
      </c>
      <c r="O126" s="14"/>
    </row>
    <row r="127" spans="1:15">
      <c r="A127" s="8"/>
      <c r="B127" s="14">
        <v>1118</v>
      </c>
      <c r="C127" s="11" t="s">
        <v>1770</v>
      </c>
      <c r="D127" s="11" t="s">
        <v>1771</v>
      </c>
      <c r="E127" s="11" t="s">
        <v>730</v>
      </c>
      <c r="F127" s="14">
        <v>1</v>
      </c>
      <c r="G127" s="14">
        <v>3</v>
      </c>
      <c r="H127" s="14" t="s">
        <v>1772</v>
      </c>
      <c r="I127" s="14">
        <v>1</v>
      </c>
      <c r="J127" s="14">
        <v>0</v>
      </c>
      <c r="K127" s="14">
        <v>0</v>
      </c>
      <c r="L127" s="14">
        <v>0</v>
      </c>
      <c r="M127" s="14">
        <v>12</v>
      </c>
      <c r="N127" s="14">
        <v>1</v>
      </c>
      <c r="O127" s="14"/>
    </row>
    <row r="128" spans="1:15">
      <c r="A128" s="8"/>
      <c r="B128" s="14">
        <v>1119</v>
      </c>
      <c r="C128" s="11" t="s">
        <v>1773</v>
      </c>
      <c r="D128" s="11" t="s">
        <v>1774</v>
      </c>
      <c r="E128" s="11" t="s">
        <v>730</v>
      </c>
      <c r="F128" s="14">
        <v>1</v>
      </c>
      <c r="G128" s="14">
        <v>3</v>
      </c>
      <c r="H128" s="14" t="s">
        <v>1775</v>
      </c>
      <c r="I128" s="14">
        <v>1</v>
      </c>
      <c r="J128" s="14">
        <v>0</v>
      </c>
      <c r="K128" s="14">
        <v>0</v>
      </c>
      <c r="L128" s="14">
        <v>0</v>
      </c>
      <c r="M128" s="14">
        <v>12</v>
      </c>
      <c r="N128" s="14">
        <v>1</v>
      </c>
      <c r="O128" s="14"/>
    </row>
    <row r="129" spans="1:15">
      <c r="A129" s="8"/>
      <c r="B129" s="14">
        <v>1120</v>
      </c>
      <c r="C129" s="11" t="s">
        <v>2216</v>
      </c>
      <c r="D129" s="11" t="s">
        <v>2217</v>
      </c>
      <c r="E129" s="11"/>
      <c r="F129" s="14">
        <v>1</v>
      </c>
      <c r="G129" s="14">
        <v>3</v>
      </c>
      <c r="H129" s="14" t="s">
        <v>2218</v>
      </c>
      <c r="I129" s="14">
        <v>4</v>
      </c>
      <c r="J129" s="14">
        <v>0</v>
      </c>
      <c r="K129" s="14">
        <v>0</v>
      </c>
      <c r="L129" s="14">
        <v>0</v>
      </c>
      <c r="M129" s="14">
        <v>0</v>
      </c>
      <c r="N129" s="14">
        <v>0</v>
      </c>
      <c r="O129" s="14"/>
    </row>
    <row r="130" spans="1:15">
      <c r="A130" s="8"/>
      <c r="B130" s="14">
        <v>1203</v>
      </c>
      <c r="C130" s="11" t="s">
        <v>810</v>
      </c>
      <c r="D130" s="11" t="s">
        <v>1240</v>
      </c>
      <c r="E130" s="11" t="s">
        <v>730</v>
      </c>
      <c r="F130" s="14">
        <v>2</v>
      </c>
      <c r="G130" s="14">
        <v>1</v>
      </c>
      <c r="H130" s="14" t="s">
        <v>1556</v>
      </c>
      <c r="I130" s="14">
        <v>1</v>
      </c>
      <c r="J130" s="14">
        <v>0</v>
      </c>
      <c r="K130" s="14">
        <v>0</v>
      </c>
      <c r="L130" s="14">
        <v>0</v>
      </c>
      <c r="M130" s="14">
        <v>11</v>
      </c>
      <c r="N130" s="14">
        <v>50</v>
      </c>
      <c r="O130" s="14">
        <v>1</v>
      </c>
    </row>
    <row r="131" spans="1:15">
      <c r="A131" s="8"/>
      <c r="B131" s="14">
        <v>1204</v>
      </c>
      <c r="C131" s="11" t="s">
        <v>2143</v>
      </c>
      <c r="D131" s="11" t="s">
        <v>2144</v>
      </c>
      <c r="E131" s="11" t="s">
        <v>730</v>
      </c>
      <c r="F131" s="14">
        <v>1</v>
      </c>
      <c r="G131" s="14">
        <v>1</v>
      </c>
      <c r="H131" s="14" t="s">
        <v>2145</v>
      </c>
      <c r="I131" s="14">
        <v>4</v>
      </c>
      <c r="J131" s="14">
        <v>0</v>
      </c>
      <c r="K131" s="14">
        <v>0</v>
      </c>
      <c r="L131" s="14">
        <v>0</v>
      </c>
      <c r="M131" s="14">
        <v>12</v>
      </c>
      <c r="N131" s="14">
        <v>1</v>
      </c>
      <c r="O131" s="14"/>
    </row>
    <row r="132" spans="1:15">
      <c r="A132" s="8"/>
      <c r="B132" s="14">
        <v>1205</v>
      </c>
      <c r="C132" s="11" t="s">
        <v>1819</v>
      </c>
      <c r="D132" s="11" t="s">
        <v>2146</v>
      </c>
      <c r="E132" s="11" t="s">
        <v>730</v>
      </c>
      <c r="F132" s="14">
        <v>2</v>
      </c>
      <c r="G132" s="14">
        <v>3</v>
      </c>
      <c r="H132" s="14" t="s">
        <v>2145</v>
      </c>
      <c r="I132" s="14">
        <v>7</v>
      </c>
      <c r="J132" s="14">
        <v>0</v>
      </c>
      <c r="K132" s="14">
        <v>0</v>
      </c>
      <c r="L132" s="14">
        <v>0</v>
      </c>
      <c r="M132" s="14">
        <v>13</v>
      </c>
      <c r="N132" s="14">
        <v>15</v>
      </c>
      <c r="O132" s="14"/>
    </row>
    <row r="133" spans="1:15">
      <c r="A133" s="8"/>
      <c r="B133" s="14">
        <v>1302</v>
      </c>
      <c r="C133" s="11" t="s">
        <v>2302</v>
      </c>
      <c r="D133" s="11" t="s">
        <v>2301</v>
      </c>
      <c r="E133" s="11" t="s">
        <v>730</v>
      </c>
      <c r="F133" s="14">
        <v>3</v>
      </c>
      <c r="G133" s="14">
        <v>1</v>
      </c>
      <c r="H133" s="14" t="s">
        <v>1556</v>
      </c>
      <c r="I133" s="14">
        <v>2</v>
      </c>
      <c r="J133" s="14">
        <v>0</v>
      </c>
      <c r="K133" s="14">
        <v>0</v>
      </c>
      <c r="L133" s="14">
        <v>0</v>
      </c>
      <c r="M133" s="14">
        <v>11</v>
      </c>
      <c r="N133" s="14">
        <v>15</v>
      </c>
      <c r="O133" s="14">
        <v>1</v>
      </c>
    </row>
    <row r="134" spans="1:15">
      <c r="A134" s="8"/>
      <c r="B134" s="14">
        <v>1501</v>
      </c>
      <c r="C134" s="11" t="s">
        <v>387</v>
      </c>
      <c r="D134" s="11" t="s">
        <v>388</v>
      </c>
      <c r="E134" s="11" t="s">
        <v>730</v>
      </c>
      <c r="F134" s="14">
        <v>2</v>
      </c>
      <c r="G134" s="14">
        <v>0</v>
      </c>
      <c r="H134" s="14"/>
      <c r="I134" s="14">
        <v>0</v>
      </c>
      <c r="J134" s="14">
        <v>0</v>
      </c>
      <c r="K134" s="14">
        <v>0</v>
      </c>
      <c r="L134" s="14">
        <v>0</v>
      </c>
      <c r="M134" s="14">
        <v>0</v>
      </c>
      <c r="N134" s="14">
        <v>20</v>
      </c>
      <c r="O134" s="14"/>
    </row>
    <row r="135" spans="1:15">
      <c r="A135" s="8"/>
      <c r="B135" s="14">
        <v>1502</v>
      </c>
      <c r="C135" s="11" t="s">
        <v>389</v>
      </c>
      <c r="D135" s="11" t="s">
        <v>1241</v>
      </c>
      <c r="E135" s="11" t="s">
        <v>730</v>
      </c>
      <c r="F135" s="14">
        <v>3</v>
      </c>
      <c r="G135" s="14">
        <v>1</v>
      </c>
      <c r="H135" s="14" t="s">
        <v>1242</v>
      </c>
      <c r="I135" s="14">
        <v>1</v>
      </c>
      <c r="J135" s="14">
        <v>0</v>
      </c>
      <c r="K135" s="14">
        <v>0</v>
      </c>
      <c r="L135" s="14">
        <v>0</v>
      </c>
      <c r="M135" s="14">
        <v>11</v>
      </c>
      <c r="N135" s="14">
        <v>50</v>
      </c>
      <c r="O135" s="14">
        <v>1</v>
      </c>
    </row>
    <row r="136" spans="1:15">
      <c r="A136" s="8"/>
      <c r="B136" s="14">
        <v>1503</v>
      </c>
      <c r="C136" s="11" t="s">
        <v>1156</v>
      </c>
      <c r="D136" s="11" t="s">
        <v>1157</v>
      </c>
      <c r="E136" s="11" t="s">
        <v>730</v>
      </c>
      <c r="F136" s="14">
        <v>0</v>
      </c>
      <c r="G136" s="14">
        <v>0</v>
      </c>
      <c r="H136" s="14" t="s">
        <v>1600</v>
      </c>
      <c r="I136" s="14">
        <v>0</v>
      </c>
      <c r="J136" s="14">
        <v>0</v>
      </c>
      <c r="K136" s="14">
        <v>0</v>
      </c>
      <c r="L136" s="14">
        <v>0</v>
      </c>
      <c r="M136" s="14">
        <v>30</v>
      </c>
      <c r="N136" s="14">
        <v>1</v>
      </c>
      <c r="O136" s="14"/>
    </row>
    <row r="137" spans="1:15">
      <c r="A137" s="8"/>
      <c r="B137" s="14">
        <v>1504</v>
      </c>
      <c r="C137" s="11" t="s">
        <v>572</v>
      </c>
      <c r="D137" s="11" t="s">
        <v>1601</v>
      </c>
      <c r="E137" s="11" t="s">
        <v>730</v>
      </c>
      <c r="F137" s="14">
        <v>0</v>
      </c>
      <c r="G137" s="14">
        <v>0</v>
      </c>
      <c r="H137" s="14" t="s">
        <v>1602</v>
      </c>
      <c r="I137" s="14">
        <v>0</v>
      </c>
      <c r="J137" s="14">
        <v>0</v>
      </c>
      <c r="K137" s="14">
        <v>0</v>
      </c>
      <c r="L137" s="14">
        <v>0</v>
      </c>
      <c r="M137" s="14">
        <v>30</v>
      </c>
      <c r="N137" s="14">
        <v>1</v>
      </c>
      <c r="O137" s="14"/>
    </row>
    <row r="138" spans="1:15">
      <c r="A138" s="8"/>
      <c r="B138" s="14">
        <v>1505</v>
      </c>
      <c r="C138" s="11" t="s">
        <v>1603</v>
      </c>
      <c r="D138" s="11" t="s">
        <v>1604</v>
      </c>
      <c r="E138" s="11" t="s">
        <v>730</v>
      </c>
      <c r="F138" s="14">
        <v>6</v>
      </c>
      <c r="G138" s="14">
        <v>0</v>
      </c>
      <c r="H138" s="14" t="s">
        <v>1588</v>
      </c>
      <c r="I138" s="14">
        <v>1</v>
      </c>
      <c r="J138" s="14">
        <v>0</v>
      </c>
      <c r="K138" s="14">
        <v>0</v>
      </c>
      <c r="L138" s="14">
        <v>0</v>
      </c>
      <c r="M138" s="14">
        <v>12</v>
      </c>
      <c r="N138" s="14">
        <v>8</v>
      </c>
      <c r="O138" s="14"/>
    </row>
    <row r="139" spans="1:15">
      <c r="A139" s="8"/>
      <c r="B139" s="14">
        <v>1506</v>
      </c>
      <c r="C139" s="11" t="s">
        <v>2147</v>
      </c>
      <c r="D139" s="11" t="s">
        <v>1605</v>
      </c>
      <c r="E139" s="11" t="s">
        <v>730</v>
      </c>
      <c r="F139" s="14">
        <v>6</v>
      </c>
      <c r="G139" s="14">
        <v>3</v>
      </c>
      <c r="H139" s="14" t="s">
        <v>1606</v>
      </c>
      <c r="I139" s="14">
        <v>1</v>
      </c>
      <c r="J139" s="14">
        <v>0</v>
      </c>
      <c r="K139" s="14">
        <v>0</v>
      </c>
      <c r="L139" s="14">
        <v>0</v>
      </c>
      <c r="M139" s="14">
        <v>15</v>
      </c>
      <c r="N139" s="14">
        <v>2</v>
      </c>
      <c r="O139" s="14"/>
    </row>
    <row r="140" spans="1:15">
      <c r="A140" s="8"/>
      <c r="B140" s="14">
        <v>1507</v>
      </c>
      <c r="C140" s="11" t="s">
        <v>1279</v>
      </c>
      <c r="D140" s="11" t="s">
        <v>1243</v>
      </c>
      <c r="E140" s="11" t="s">
        <v>730</v>
      </c>
      <c r="F140" s="14">
        <v>3</v>
      </c>
      <c r="G140" s="14">
        <v>1</v>
      </c>
      <c r="H140" s="14" t="s">
        <v>1236</v>
      </c>
      <c r="I140" s="14">
        <v>1</v>
      </c>
      <c r="J140" s="14">
        <v>0</v>
      </c>
      <c r="K140" s="14">
        <v>0</v>
      </c>
      <c r="L140" s="14">
        <v>0</v>
      </c>
      <c r="M140" s="14">
        <v>11</v>
      </c>
      <c r="N140" s="14">
        <v>25</v>
      </c>
      <c r="O140" s="14">
        <v>1</v>
      </c>
    </row>
    <row r="141" spans="1:15">
      <c r="A141" s="8"/>
      <c r="B141" s="14">
        <v>1508</v>
      </c>
      <c r="C141" s="11" t="s">
        <v>1280</v>
      </c>
      <c r="D141" s="11" t="s">
        <v>1244</v>
      </c>
      <c r="E141" s="11" t="s">
        <v>730</v>
      </c>
      <c r="F141" s="14">
        <v>3</v>
      </c>
      <c r="G141" s="14">
        <v>1</v>
      </c>
      <c r="H141" s="14"/>
      <c r="I141" s="14">
        <v>1</v>
      </c>
      <c r="J141" s="14">
        <v>0</v>
      </c>
      <c r="K141" s="14">
        <v>0</v>
      </c>
      <c r="L141" s="14">
        <v>0</v>
      </c>
      <c r="M141" s="14">
        <v>32</v>
      </c>
      <c r="N141" s="14">
        <v>7</v>
      </c>
      <c r="O141" s="14">
        <v>1</v>
      </c>
    </row>
    <row r="142" spans="1:15">
      <c r="A142" s="8"/>
      <c r="B142" s="14">
        <v>1509</v>
      </c>
      <c r="C142" s="11" t="s">
        <v>1802</v>
      </c>
      <c r="D142" s="11" t="s">
        <v>1809</v>
      </c>
      <c r="E142" s="11" t="s">
        <v>730</v>
      </c>
      <c r="F142" s="14">
        <v>6</v>
      </c>
      <c r="G142" s="14">
        <v>0</v>
      </c>
      <c r="H142" s="14" t="s">
        <v>1810</v>
      </c>
      <c r="I142" s="14">
        <v>2</v>
      </c>
      <c r="J142" s="14">
        <v>0</v>
      </c>
      <c r="K142" s="14">
        <v>0</v>
      </c>
      <c r="L142" s="14">
        <v>0</v>
      </c>
      <c r="M142" s="14">
        <v>12</v>
      </c>
      <c r="N142" s="14">
        <v>2</v>
      </c>
      <c r="O142" s="14"/>
    </row>
    <row r="143" spans="1:15">
      <c r="A143" s="8"/>
      <c r="B143" s="14">
        <v>1510</v>
      </c>
      <c r="C143" s="11" t="s">
        <v>1811</v>
      </c>
      <c r="D143" s="11" t="s">
        <v>1812</v>
      </c>
      <c r="E143" s="11" t="s">
        <v>730</v>
      </c>
      <c r="F143" s="14">
        <v>0</v>
      </c>
      <c r="G143" s="14">
        <v>1</v>
      </c>
      <c r="H143" s="14" t="s">
        <v>1556</v>
      </c>
      <c r="I143" s="14">
        <v>2</v>
      </c>
      <c r="J143" s="14">
        <v>0</v>
      </c>
      <c r="K143" s="14">
        <v>0</v>
      </c>
      <c r="L143" s="14">
        <v>0</v>
      </c>
      <c r="M143" s="14">
        <v>11</v>
      </c>
      <c r="N143" s="14">
        <v>15</v>
      </c>
      <c r="O143" s="14"/>
    </row>
    <row r="144" spans="1:15">
      <c r="A144" s="8"/>
      <c r="B144" s="14">
        <v>1511</v>
      </c>
      <c r="C144" s="11" t="s">
        <v>1817</v>
      </c>
      <c r="D144" s="11" t="s">
        <v>388</v>
      </c>
      <c r="E144" s="11" t="s">
        <v>730</v>
      </c>
      <c r="F144" s="14">
        <v>2</v>
      </c>
      <c r="G144" s="14">
        <v>0</v>
      </c>
      <c r="H144" s="14"/>
      <c r="I144" s="14">
        <v>0</v>
      </c>
      <c r="J144" s="14">
        <v>0</v>
      </c>
      <c r="K144" s="14">
        <v>0</v>
      </c>
      <c r="L144" s="14">
        <v>0</v>
      </c>
      <c r="M144" s="14">
        <v>0</v>
      </c>
      <c r="N144" s="14">
        <v>10</v>
      </c>
      <c r="O144" s="14"/>
    </row>
    <row r="145" spans="1:15">
      <c r="A145" s="8"/>
      <c r="B145" s="14">
        <v>1512</v>
      </c>
      <c r="C145" s="11" t="s">
        <v>2148</v>
      </c>
      <c r="D145" s="11" t="s">
        <v>1605</v>
      </c>
      <c r="E145" s="11" t="s">
        <v>730</v>
      </c>
      <c r="F145" s="14">
        <v>6</v>
      </c>
      <c r="G145" s="14">
        <v>3</v>
      </c>
      <c r="H145" s="14" t="s">
        <v>1606</v>
      </c>
      <c r="I145" s="14">
        <v>1</v>
      </c>
      <c r="J145" s="14">
        <v>0</v>
      </c>
      <c r="K145" s="14">
        <v>0</v>
      </c>
      <c r="L145" s="14">
        <v>0</v>
      </c>
      <c r="M145" s="14">
        <v>15</v>
      </c>
      <c r="N145" s="14">
        <v>2</v>
      </c>
      <c r="O145" s="14"/>
    </row>
    <row r="146" spans="1:15">
      <c r="A146" s="8"/>
      <c r="B146" s="14">
        <v>1513</v>
      </c>
      <c r="C146" s="11" t="s">
        <v>2149</v>
      </c>
      <c r="D146" s="11" t="s">
        <v>2150</v>
      </c>
      <c r="E146" s="11" t="s">
        <v>730</v>
      </c>
      <c r="F146" s="14">
        <v>6</v>
      </c>
      <c r="G146" s="14">
        <v>0</v>
      </c>
      <c r="H146" s="14" t="s">
        <v>2151</v>
      </c>
      <c r="I146" s="14">
        <v>4</v>
      </c>
      <c r="J146" s="14">
        <v>0</v>
      </c>
      <c r="K146" s="14">
        <v>5</v>
      </c>
      <c r="L146" s="14">
        <v>0</v>
      </c>
      <c r="M146" s="14">
        <v>12</v>
      </c>
      <c r="N146" s="14">
        <v>25</v>
      </c>
      <c r="O146" s="14"/>
    </row>
    <row r="147" spans="1:15">
      <c r="A147" s="8"/>
      <c r="B147" s="14">
        <v>1514</v>
      </c>
      <c r="C147" s="11" t="s">
        <v>2152</v>
      </c>
      <c r="D147" s="11" t="s">
        <v>2153</v>
      </c>
      <c r="E147" s="11" t="s">
        <v>730</v>
      </c>
      <c r="F147" s="14">
        <v>6</v>
      </c>
      <c r="G147" s="14">
        <v>0</v>
      </c>
      <c r="H147" s="14" t="s">
        <v>1588</v>
      </c>
      <c r="I147" s="14">
        <v>1</v>
      </c>
      <c r="J147" s="14">
        <v>0</v>
      </c>
      <c r="K147" s="14">
        <v>0</v>
      </c>
      <c r="L147" s="14">
        <v>0</v>
      </c>
      <c r="M147" s="14">
        <v>12</v>
      </c>
      <c r="N147" s="14">
        <v>8</v>
      </c>
      <c r="O147" s="14"/>
    </row>
    <row r="148" spans="1:15">
      <c r="A148" s="8"/>
      <c r="B148" s="14">
        <v>1515</v>
      </c>
      <c r="C148" s="11" t="s">
        <v>2133</v>
      </c>
      <c r="D148" s="11" t="s">
        <v>1605</v>
      </c>
      <c r="E148" s="11" t="s">
        <v>730</v>
      </c>
      <c r="F148" s="14">
        <v>6</v>
      </c>
      <c r="G148" s="14">
        <v>3</v>
      </c>
      <c r="H148" s="14" t="s">
        <v>1606</v>
      </c>
      <c r="I148" s="14">
        <v>1</v>
      </c>
      <c r="J148" s="14">
        <v>0</v>
      </c>
      <c r="K148" s="14">
        <v>0</v>
      </c>
      <c r="L148" s="14">
        <v>0</v>
      </c>
      <c r="M148" s="14">
        <v>15</v>
      </c>
      <c r="N148" s="14">
        <v>2</v>
      </c>
      <c r="O148" s="14"/>
    </row>
    <row r="149" spans="1:15">
      <c r="A149" s="8"/>
      <c r="B149" s="14">
        <v>1516</v>
      </c>
      <c r="C149" s="11" t="s">
        <v>2214</v>
      </c>
      <c r="D149" s="11" t="s">
        <v>2215</v>
      </c>
      <c r="E149" s="11" t="s">
        <v>730</v>
      </c>
      <c r="F149" s="14">
        <v>6</v>
      </c>
      <c r="G149" s="14">
        <v>3</v>
      </c>
      <c r="H149" s="14"/>
      <c r="I149" s="14">
        <v>1</v>
      </c>
      <c r="J149" s="14">
        <v>0</v>
      </c>
      <c r="K149" s="14">
        <v>0</v>
      </c>
      <c r="L149" s="14">
        <v>0</v>
      </c>
      <c r="M149" s="14">
        <v>0</v>
      </c>
      <c r="N149" s="14">
        <v>1</v>
      </c>
      <c r="O149" s="14"/>
    </row>
    <row r="150" spans="1:15">
      <c r="A150" s="8"/>
      <c r="B150" s="14">
        <v>1517</v>
      </c>
      <c r="C150" s="11" t="s">
        <v>2319</v>
      </c>
      <c r="D150" s="11" t="s">
        <v>2215</v>
      </c>
      <c r="E150" s="11" t="s">
        <v>730</v>
      </c>
      <c r="F150" s="14">
        <v>6</v>
      </c>
      <c r="G150" s="14">
        <v>3</v>
      </c>
      <c r="H150" s="14"/>
      <c r="I150" s="14">
        <v>1</v>
      </c>
      <c r="J150" s="14">
        <v>0</v>
      </c>
      <c r="K150" s="14">
        <v>0</v>
      </c>
      <c r="L150" s="14">
        <v>0</v>
      </c>
      <c r="M150" s="14">
        <v>0</v>
      </c>
      <c r="N150" s="14">
        <v>1</v>
      </c>
      <c r="O150" s="14"/>
    </row>
    <row r="151" spans="1:15">
      <c r="A151" s="8"/>
      <c r="B151" s="14">
        <v>1518</v>
      </c>
      <c r="C151" s="11" t="s">
        <v>2380</v>
      </c>
      <c r="D151" s="11" t="s">
        <v>2381</v>
      </c>
      <c r="E151" s="11" t="s">
        <v>730</v>
      </c>
      <c r="F151" s="14">
        <v>6</v>
      </c>
      <c r="G151" s="14">
        <v>0</v>
      </c>
      <c r="H151" s="14"/>
      <c r="I151" s="14">
        <v>1</v>
      </c>
      <c r="J151" s="14">
        <v>0</v>
      </c>
      <c r="K151" s="14">
        <v>0</v>
      </c>
      <c r="L151" s="14">
        <v>0</v>
      </c>
      <c r="M151" s="14">
        <v>0</v>
      </c>
      <c r="N151" s="14">
        <v>2</v>
      </c>
      <c r="O151" s="14"/>
    </row>
  </sheetData>
  <phoneticPr fontId="1"/>
  <dataValidations count="1">
    <dataValidation type="list" allowBlank="1" showInputMessage="1" showErrorMessage="1" sqref="A7:A151"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2333</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2334</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2335</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2402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2403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2404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2405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2024-10-25T14:12:26Z</dcterms:modified>
</cp:coreProperties>
</file>