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7414935B-E704-4193-8961-5672CF8A9FF3}" xr6:coauthVersionLast="47" xr6:coauthVersionMax="47" xr10:uidLastSave="{00000000-0000-0000-0000-000000000000}"/>
  <bookViews>
    <workbookView xWindow="28680" yWindow="-120" windowWidth="29040" windowHeight="15840" firstSheet="4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skill_attack!$B$6:$V$311</definedName>
    <definedName name="_xlnm._FilterDatabase" localSheetId="9" hidden="1">skill_buff!$B$6:$P$291</definedName>
    <definedName name="_xlnm._FilterDatabase" localSheetId="7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9" i="59" l="1"/>
  <c r="F150" i="59"/>
  <c r="D143" i="58"/>
  <c r="D144" i="58"/>
  <c r="D142" i="58"/>
  <c r="O4" i="62"/>
  <c r="N4" i="62"/>
  <c r="M4" i="62"/>
  <c r="L4" i="62"/>
  <c r="K4" i="62"/>
  <c r="D9" i="62"/>
  <c r="D8" i="62"/>
  <c r="D7" i="62"/>
  <c r="B7" i="62" a="1"/>
  <c r="B7" i="62" s="1"/>
  <c r="B8" i="62" s="1"/>
  <c r="B9" i="62" s="1"/>
  <c r="B3" i="62" a="1"/>
  <c r="B3" i="62" s="1"/>
  <c r="B4" i="62" s="1"/>
  <c r="E7" i="62" s="1"/>
  <c r="T6" i="42"/>
  <c r="S6" i="42"/>
  <c r="R6" i="42"/>
  <c r="Q6" i="42"/>
  <c r="P6" i="42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63" i="59"/>
  <c r="F262" i="59"/>
  <c r="F145" i="59"/>
  <c r="F261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91" i="59"/>
  <c r="F143" i="59"/>
  <c r="F144" i="59"/>
  <c r="F142" i="59"/>
  <c r="F290" i="59"/>
  <c r="F141" i="59"/>
  <c r="D140" i="58"/>
  <c r="F140" i="59"/>
  <c r="F139" i="59"/>
  <c r="F192" i="59"/>
  <c r="F180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8" i="59"/>
  <c r="F287" i="59"/>
  <c r="F286" i="59"/>
  <c r="F285" i="59"/>
  <c r="F284" i="59"/>
  <c r="F283" i="59"/>
  <c r="F282" i="59"/>
  <c r="F281" i="59"/>
  <c r="F280" i="59"/>
  <c r="F273" i="59"/>
  <c r="F279" i="59"/>
  <c r="F278" i="59"/>
  <c r="F277" i="59"/>
  <c r="F276" i="59"/>
  <c r="F275" i="59"/>
  <c r="F274" i="59"/>
  <c r="F272" i="59"/>
  <c r="F136" i="59"/>
  <c r="F135" i="59"/>
  <c r="F271" i="59"/>
  <c r="F270" i="59"/>
  <c r="F225" i="59"/>
  <c r="F179" i="59"/>
  <c r="D310" i="58"/>
  <c r="D139" i="58"/>
  <c r="D311" i="58"/>
  <c r="D137" i="58"/>
  <c r="D136" i="58"/>
  <c r="D135" i="58"/>
  <c r="F269" i="59"/>
  <c r="F268" i="59"/>
  <c r="F267" i="59"/>
  <c r="F266" i="59"/>
  <c r="F265" i="59"/>
  <c r="F130" i="59"/>
  <c r="F131" i="59"/>
  <c r="F132" i="59"/>
  <c r="F264" i="59"/>
  <c r="F133" i="59"/>
  <c r="F134" i="59"/>
  <c r="F129" i="59"/>
  <c r="F235" i="59"/>
  <c r="A1" i="60"/>
  <c r="F247" i="59"/>
  <c r="F246" i="59"/>
  <c r="F245" i="59"/>
  <c r="F244" i="59"/>
  <c r="F243" i="59"/>
  <c r="F242" i="59"/>
  <c r="F241" i="59"/>
  <c r="F240" i="59"/>
  <c r="F239" i="59"/>
  <c r="F238" i="59"/>
  <c r="F237" i="59"/>
  <c r="F236" i="59"/>
  <c r="F234" i="59"/>
  <c r="F233" i="59"/>
  <c r="F232" i="59"/>
  <c r="F231" i="59"/>
  <c r="F230" i="59"/>
  <c r="F229" i="59"/>
  <c r="F228" i="59"/>
  <c r="F227" i="59"/>
  <c r="F226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1" i="59"/>
  <c r="F190" i="59"/>
  <c r="F189" i="59"/>
  <c r="F188" i="59"/>
  <c r="F187" i="59"/>
  <c r="F186" i="59"/>
  <c r="F185" i="59"/>
  <c r="F184" i="59"/>
  <c r="F183" i="59"/>
  <c r="F182" i="59"/>
  <c r="F181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9" i="58"/>
  <c r="D308" i="58"/>
  <c r="D307" i="58"/>
  <c r="D304" i="58"/>
  <c r="D305" i="58"/>
  <c r="D306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66" i="58"/>
  <c r="D165" i="58"/>
  <c r="D164" i="58"/>
  <c r="D163" i="58"/>
  <c r="D162" i="58"/>
  <c r="D161" i="58"/>
  <c r="D160" i="58"/>
  <c r="D159" i="58"/>
  <c r="D158" i="58"/>
  <c r="D157" i="58"/>
  <c r="D153" i="58"/>
  <c r="D152" i="58"/>
  <c r="D151" i="58"/>
  <c r="D150" i="58"/>
  <c r="D149" i="58"/>
  <c r="D148" i="58"/>
  <c r="D147" i="58"/>
  <c r="D146" i="58"/>
  <c r="D145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E8" i="62" l="1"/>
  <c r="E9" i="62"/>
  <c r="D62" i="58"/>
  <c r="A1" i="42"/>
  <c r="A1" i="39"/>
  <c r="A1" i="35"/>
  <c r="A1" i="7"/>
  <c r="B5" i="5" l="1"/>
  <c r="B6" i="5"/>
  <c r="B4" i="5"/>
  <c r="B3" i="5"/>
  <c r="B2" i="5"/>
  <c r="D155" i="58"/>
  <c r="D154" i="58"/>
  <c r="D156" i="58"/>
  <c r="D167" i="58"/>
  <c r="D169" i="58"/>
  <c r="D168" i="58"/>
  <c r="D170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<sst xmlns="http://schemas.openxmlformats.org/spreadsheetml/2006/main" count="3551" uniqueCount="2054">
  <si>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</si>
  <si>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</si>
  <si>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</si>
  <si>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</si>
  <si>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</si>
  <si>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</si>
  <si>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</si>
  <si>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</si>
  <si>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</si>
  <si>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</si>
  <si>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</si>
  <si>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</si>
  <si>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</si>
  <si>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</si>
  <si>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</si>
  <si>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</si>
  <si>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</si>
  <si>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</si>
  <si>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</si>
  <si>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</si>
  <si>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</si>
  <si>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</si>
  <si>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</si>
  <si>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</si>
  <si>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</si>
  <si>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</si>
  <si>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</si>
  <si>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</si>
  <si>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</si>
  <si>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</si>
  <si>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</si>
  <si>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</si>
  <si>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</si>
  <si>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</si>
  <si>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</si>
  <si>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</si>
  <si>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</si>
  <si>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</si>
  <si>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</si>
  <si>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</si>
  <si>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</si>
  <si>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</si>
  <si>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</si>
  <si>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</si>
  <si>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</si>
  <si>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</si>
  <si>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</si>
  <si>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</si>
  <si>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</si>
  <si>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</si>
  <si>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</si>
  <si>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</si>
  <si>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</si>
  <si>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</si>
  <si>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</si>
  <si>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</si>
  <si>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</si>
  <si>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</si>
  <si>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</si>
  <si>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</si>
  <si>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</si>
  <si>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</si>
  <si>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</si>
  <si>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</si>
  <si>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</si>
  <si>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</si>
  <si>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</si>
  <si>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</si>
  <si>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</si>
  <si>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</si>
  <si>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</si>
  <si>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</si>
  <si>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</si>
  <si>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</si>
  <si>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</si>
  <si>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</si>
  <si>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</si>
  <si>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</si>
  <si>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</si>
  <si>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</si>
  <si>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</si>
  <si>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</si>
  <si>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</si>
  <si>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</si>
  <si>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</si>
  <si>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</si>
  <si>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</si>
  <si>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</si>
  <si>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</si>
  <si>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</si>
  <si>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</si>
  <si>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</si>
  <si>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</si>
  <si>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</si>
  <si>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</si>
  <si>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</si>
  <si>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</si>
  <si>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</si>
  <si>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</si>
  <si>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</si>
  <si>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</si>
  <si>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</si>
  <si>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</si>
  <si>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</si>
  <si>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</si>
  <si>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</si>
  <si>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</si>
  <si>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</si>
  <si>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</si>
  <si>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</si>
  <si>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</si>
  <si>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</si>
  <si>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</si>
  <si>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</si>
  <si>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</si>
  <si>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</si>
  <si>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</si>
  <si>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</si>
  <si>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</si>
  <si>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</si>
  <si>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</si>
  <si>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</si>
  <si>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</si>
  <si>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</si>
  <si>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</si>
  <si>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</si>
  <si>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</si>
  <si>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</si>
  <si>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</si>
  <si>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</si>
  <si>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</si>
  <si>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</si>
  <si>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</si>
  <si>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</si>
  <si>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</si>
  <si>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</si>
  <si>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</si>
  <si>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</si>
  <si>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</si>
  <si>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</si>
  <si>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</si>
  <si>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</si>
  <si>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</si>
  <si>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</si>
  <si>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</si>
  <si>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</si>
  <si>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</si>
  <si>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</si>
  <si>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</si>
  <si>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</si>
  <si>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</si>
  <si>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</si>
  <si>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</si>
  <si>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</si>
  <si>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</si>
  <si>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</si>
  <si>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</si>
  <si>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</si>
  <si>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</si>
  <si>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</si>
  <si>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</si>
  <si>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</si>
  <si>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</si>
  <si>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</si>
  <si>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</si>
  <si>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</si>
  <si>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</si>
  <si>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</si>
  <si>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</si>
  <si>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</si>
  <si>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</si>
  <si>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</si>
  <si>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</si>
  <si>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</si>
  <si>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</si>
  <si>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</si>
  <si>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</si>
  <si>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</si>
  <si>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</si>
  <si>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</si>
  <si>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</si>
  <si>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</si>
  <si>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</si>
  <si>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</si>
  <si>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</si>
  <si>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</si>
  <si>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</si>
  <si>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</si>
  <si>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</si>
  <si>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</si>
  <si>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</si>
  <si>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</si>
  <si>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</si>
  <si>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</si>
  <si>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</si>
  <si>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</si>
  <si>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</si>
  <si>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</si>
  <si>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</si>
  <si>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</si>
  <si>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</si>
  <si>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</si>
  <si>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</si>
  <si>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</si>
  <si>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</si>
  <si>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</si>
  <si>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</si>
  <si>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</si>
  <si>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</si>
  <si>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</si>
  <si>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</si>
  <si>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</si>
  <si>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</si>
  <si>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</si>
  <si>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</si>
  <si>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</si>
  <si>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</si>
  <si>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</si>
  <si>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</si>
  <si>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</si>
  <si>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</si>
  <si>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</si>
  <si>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</si>
  <si>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</si>
  <si>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</si>
  <si>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</si>
  <si>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</si>
  <si>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</si>
  <si>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</si>
  <si>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</si>
  <si>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</si>
  <si>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</si>
  <si>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</si>
  <si>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</si>
  <si>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</si>
  <si>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</si>
  <si>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</si>
  <si>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</si>
  <si>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</si>
  <si>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</si>
  <si>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</si>
  <si>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</si>
  <si>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</si>
  <si>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</si>
  <si>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</si>
  <si>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</si>
  <si>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</si>
  <si>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</si>
  <si>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</si>
  <si>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</si>
  <si>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</si>
  <si>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</si>
  <si>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</si>
  <si>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</si>
  <si>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</si>
  <si>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</si>
  <si>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</si>
  <si>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</si>
  <si>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</si>
  <si>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</si>
  <si>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</si>
  <si>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</si>
  <si>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</si>
  <si>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</si>
  <si>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</si>
  <si>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</si>
  <si>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</si>
  <si>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</si>
  <si>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</si>
  <si>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</si>
  <si>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</si>
  <si>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</si>
  <si>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</si>
  <si>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</si>
  <si>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</si>
  <si>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</si>
  <si>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</si>
  <si>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</si>
  <si>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</si>
  <si>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</si>
  <si>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</si>
  <si>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</si>
  <si>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</si>
  <si>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</si>
  <si>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</si>
  <si>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</si>
  <si>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</si>
  <si>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</si>
  <si>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</si>
  <si>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</si>
  <si>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</si>
  <si>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</si>
  <si>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</si>
  <si>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</si>
  <si>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</si>
  <si>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</si>
  <si>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</si>
  <si>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</si>
  <si>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</si>
  <si>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</si>
  <si>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</si>
  <si>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</si>
  <si>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</si>
  <si>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</si>
  <si>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</si>
  <si>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</si>
  <si>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</si>
  <si>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</si>
  <si>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</si>
  <si>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</si>
  <si>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</si>
  <si>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</si>
  <si>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</si>
  <si>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</si>
  <si>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</si>
  <si>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</si>
  <si>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</si>
  <si>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</si>
  <si>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</si>
  <si>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</si>
  <si>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</si>
  <si>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</si>
  <si>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</si>
  <si>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</si>
  <si>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</si>
  <si>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</si>
  <si>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</si>
  <si>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</si>
  <si>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</si>
  <si>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</si>
  <si>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</si>
  <si>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</si>
  <si>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</si>
  <si>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</si>
  <si>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</si>
  <si>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</si>
  <si>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</si>
  <si>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</si>
  <si>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</si>
  <si>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</si>
  <si>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</si>
  <si>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</si>
  <si>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</si>
  <si>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</si>
  <si>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</si>
  <si>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</si>
  <si>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</si>
  <si>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</si>
  <si>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</si>
  <si>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</si>
  <si>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</si>
  <si>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</si>
  <si>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</si>
  <si>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</si>
  <si>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</si>
  <si>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</si>
  <si>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</si>
  <si>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</si>
  <si>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</si>
  <si>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</si>
  <si>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</si>
  <si>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</si>
  <si>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</si>
  <si>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</si>
  <si>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</si>
  <si>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</si>
  <si>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</si>
  <si>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</si>
  <si>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</si>
  <si>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</si>
  <si>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</si>
  <si>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</si>
  <si>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</si>
  <si>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</si>
  <si>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</si>
  <si>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</si>
  <si>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</si>
  <si>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</si>
  <si>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</si>
  <si>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</si>
  <si>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</si>
  <si>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</si>
  <si>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</si>
  <si>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</si>
  <si>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</si>
  <si>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</si>
  <si>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</si>
  <si>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</si>
  <si>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</si>
  <si>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</si>
  <si>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</si>
  <si>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</si>
  <si>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</si>
  <si>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</si>
  <si>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</si>
  <si>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</si>
  <si>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</si>
  <si>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</si>
  <si>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</si>
  <si>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</si>
  <si>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</si>
  <si>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</si>
  <si>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</si>
  <si>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</si>
  <si>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</si>
  <si>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</si>
  <si>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</si>
  <si>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</si>
  <si>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</si>
  <si>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</si>
  <si>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</si>
  <si>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</si>
  <si>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</si>
  <si>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</si>
  <si>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</si>
  <si>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</si>
  <si>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</si>
  <si>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</si>
  <si>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</si>
  <si>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</si>
  <si>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</si>
  <si>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</si>
  <si>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</si>
  <si>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</si>
  <si>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</si>
  <si>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</si>
  <si>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</si>
  <si>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</si>
  <si>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</si>
  <si>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</si>
  <si>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</si>
  <si>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</si>
  <si>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</si>
  <si>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</si>
  <si>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</si>
  <si>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</si>
  <si>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</si>
  <si>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</si>
  <si>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</si>
  <si>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</si>
  <si>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</si>
  <si>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</si>
  <si>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</si>
  <si>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</si>
  <si>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</si>
  <si>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</si>
  <si>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</si>
  <si>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</si>
  <si>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</si>
  <si>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</si>
  <si>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</si>
  <si>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</si>
  <si>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</si>
  <si>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</si>
  <si>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</si>
  <si>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</si>
  <si>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</si>
  <si>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</si>
  <si>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</si>
  <si>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</si>
  <si>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</si>
  <si>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</si>
  <si>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</si>
  <si>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</si>
  <si>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</si>
  <si>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</si>
  <si>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</si>
  <si>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</si>
  <si>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</si>
  <si>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</si>
  <si>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</si>
  <si>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</si>
  <si>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</si>
  <si>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</si>
  <si>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</si>
  <si>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</si>
  <si>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</si>
  <si>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</si>
  <si>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</si>
  <si>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</si>
  <si>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</si>
  <si>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</si>
  <si>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</si>
  <si>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</si>
  <si>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</si>
  <si>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</si>
  <si>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</si>
  <si>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</si>
  <si>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</si>
  <si>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</si>
  <si>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</si>
  <si>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</si>
  <si>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</si>
  <si>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</si>
  <si>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</si>
  <si>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</si>
  <si>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</si>
  <si>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</si>
  <si>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</si>
  <si>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</si>
  <si>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</si>
  <si>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</si>
  <si>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</si>
  <si>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</si>
  <si>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</si>
  <si>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</si>
  <si>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</si>
  <si>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</si>
  <si>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</si>
  <si>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</si>
  <si>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</si>
  <si>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</si>
  <si>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</si>
  <si>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</si>
  <si>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</si>
  <si>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</si>
  <si>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</si>
  <si>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</si>
  <si>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</si>
  <si>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</si>
  <si>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</si>
  <si>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</si>
  <si>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</si>
  <si>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</si>
  <si>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</si>
  <si>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</si>
  <si>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</si>
  <si>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</si>
  <si>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</si>
  <si>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</si>
  <si>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</si>
  <si>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</si>
  <si>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</si>
  <si>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</si>
  <si>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</si>
  <si>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</si>
  <si>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</si>
  <si>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</si>
  <si>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</si>
  <si>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</si>
  <si>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</si>
  <si>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</si>
  <si>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</si>
  <si>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</si>
  <si>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</si>
  <si>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</si>
  <si>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</si>
  <si>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</si>
  <si>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</si>
  <si>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</si>
  <si>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</si>
  <si>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</si>
  <si>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</si>
  <si>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</si>
  <si>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</si>
  <si>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</si>
  <si>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</si>
  <si>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</si>
  <si>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</si>
  <si>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</si>
  <si>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</si>
  <si>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</si>
  <si>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</si>
  <si>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</si>
  <si>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</si>
  <si>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</si>
  <si>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</si>
  <si>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</si>
  <si>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</si>
  <si>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</si>
  <si>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</si>
  <si>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</si>
  <si>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</si>
  <si>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</si>
  <si>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</si>
  <si>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</si>
  <si>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</si>
  <si>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</si>
  <si>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</si>
  <si>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</si>
  <si>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</si>
  <si>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</si>
  <si>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</si>
  <si>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</si>
  <si>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</si>
  <si>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</si>
  <si>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</si>
  <si>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</si>
  <si>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</si>
  <si>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</si>
  <si>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</si>
  <si>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</si>
  <si>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</si>
  <si>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</si>
  <si>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</si>
  <si>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</si>
  <si>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</si>
  <si>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</si>
  <si>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</si>
  <si>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</si>
  <si>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</si>
  <si>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</si>
  <si>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</si>
  <si>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</si>
  <si>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</si>
  <si>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</si>
  <si>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</si>
  <si>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</si>
  <si>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</si>
  <si>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</si>
  <si>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</si>
  <si>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</si>
  <si>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</si>
  <si>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</si>
  <si>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</si>
  <si>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</si>
  <si>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</si>
  <si>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</si>
  <si>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</si>
  <si>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</si>
  <si>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</si>
  <si>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</si>
  <si>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</si>
  <si>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</si>
  <si>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</si>
  <si>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</si>
  <si>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</si>
  <si>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</si>
  <si>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</si>
  <si>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</si>
  <si>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</si>
  <si>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</si>
  <si>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</si>
  <si>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</si>
  <si>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</si>
  <si>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</si>
  <si>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</si>
  <si>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</si>
  <si>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</si>
  <si>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</si>
  <si>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</si>
  <si>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</si>
  <si>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</si>
  <si>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</si>
  <si>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</si>
  <si>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</si>
  <si>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</si>
  <si>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</si>
  <si>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</si>
  <si>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</si>
  <si>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</si>
  <si>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</si>
  <si>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</si>
  <si>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</si>
  <si>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</si>
  <si>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</si>
  <si>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</si>
  <si>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</si>
  <si>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</si>
  <si>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</si>
  <si>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</si>
  <si>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</si>
  <si>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</si>
  <si>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</si>
  <si>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</si>
  <si>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</si>
  <si>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</si>
  <si>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</si>
  <si>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</si>
  <si>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</si>
  <si>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</si>
  <si>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</si>
  <si>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</si>
  <si>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</si>
  <si>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</si>
  <si>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</si>
  <si>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</si>
  <si>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</si>
  <si>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</si>
  <si>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</si>
  <si>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</si>
  <si>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</si>
  <si>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</si>
  <si>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</si>
  <si>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</si>
  <si>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</si>
  <si>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</si>
  <si>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</si>
  <si>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</si>
  <si>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</si>
  <si>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</si>
  <si>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</si>
  <si>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</si>
  <si>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</si>
  <si>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</si>
  <si>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</si>
  <si>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</si>
  <si>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</si>
  <si>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</si>
  <si>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</si>
  <si>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</si>
  <si>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</si>
  <si>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</si>
  <si>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</si>
  <si>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</si>
  <si>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</si>
  <si>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</si>
  <si>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</si>
  <si>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</si>
  <si>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</si>
  <si>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</si>
  <si>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</si>
  <si>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</si>
  <si>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</si>
  <si>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</si>
  <si>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</si>
  <si>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</si>
  <si>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</si>
  <si>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</si>
  <si>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</si>
  <si>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</si>
  <si>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</si>
  <si>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</si>
  <si>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</si>
  <si>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</si>
  <si>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</si>
  <si>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</si>
  <si>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</si>
  <si>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</si>
  <si>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</si>
  <si>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</si>
  <si>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</si>
  <si>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</si>
  <si>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</si>
  <si>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</si>
  <si>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</si>
  <si>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</si>
  <si>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</si>
  <si>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</si>
  <si>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</si>
  <si>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</si>
  <si>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</si>
  <si>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</si>
  <si>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</si>
  <si>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</si>
  <si>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</si>
  <si>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</si>
  <si>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</si>
  <si>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</si>
  <si>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</si>
  <si>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</si>
  <si>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</si>
  <si>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</si>
  <si>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</si>
  <si>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</si>
  <si>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</si>
  <si>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</si>
  <si>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</si>
  <si>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</si>
  <si>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</si>
  <si>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</si>
  <si>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</si>
  <si>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</si>
  <si>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</si>
  <si>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</si>
  <si>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</si>
  <si>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</si>
  <si>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</si>
  <si>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</si>
  <si>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</si>
  <si>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</si>
  <si>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</si>
  <si>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</si>
  <si>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</si>
  <si>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</si>
  <si>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</si>
  <si>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</si>
  <si>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</si>
  <si>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</si>
  <si>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</si>
  <si>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</si>
  <si>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</si>
  <si>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</si>
  <si>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</si>
  <si>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</si>
  <si>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</si>
  <si>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</si>
  <si>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</si>
  <si>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</si>
  <si>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</si>
  <si>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</si>
  <si>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</si>
  <si>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</si>
  <si>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</si>
  <si>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</si>
  <si>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</si>
  <si>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</si>
  <si>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</si>
  <si>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</si>
  <si>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</si>
  <si>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</si>
  <si>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</si>
  <si>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</si>
  <si>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</si>
  <si>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</si>
  <si>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</si>
  <si>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</si>
  <si>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</si>
  <si>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</si>
  <si>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</si>
  <si>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</si>
  <si>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</si>
  <si>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</si>
  <si>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</si>
  <si>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</si>
  <si>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</si>
  <si>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</si>
  <si>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</si>
  <si>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</si>
  <si>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</si>
  <si>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</si>
  <si>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</si>
  <si>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</si>
  <si>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</si>
  <si>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</si>
  <si>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</si>
  <si>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</si>
  <si>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</si>
  <si>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</si>
  <si>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</si>
  <si>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</si>
  <si>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</si>
  <si>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</si>
  <si>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</si>
  <si>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</si>
  <si>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</si>
  <si>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</si>
  <si>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</si>
  <si>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</si>
  <si>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</si>
  <si>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</si>
  <si>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</si>
  <si>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</si>
  <si>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</si>
  <si>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</si>
  <si>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</si>
  <si>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</si>
  <si>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</si>
  <si>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</si>
  <si>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</si>
  <si>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</si>
  <si>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</si>
  <si>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</si>
  <si>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</si>
  <si>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</si>
  <si>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</si>
  <si>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</si>
  <si>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</si>
  <si>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</si>
  <si>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</si>
  <si>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</si>
  <si>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</si>
  <si>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</si>
  <si>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</si>
  <si>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</si>
  <si>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</si>
  <si>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</si>
  <si>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</si>
  <si>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</si>
  <si>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</si>
  <si>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</si>
  <si>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</si>
  <si>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</si>
  <si>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</si>
  <si>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</si>
  <si>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</si>
  <si>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</si>
  <si>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</si>
  <si>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</si>
  <si>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</si>
  <si>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</si>
  <si>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</si>
  <si>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</si>
  <si>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</si>
  <si>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</si>
  <si>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</si>
  <si>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</si>
  <si>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</si>
  <si>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</si>
  <si>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</si>
  <si>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</si>
  <si>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</si>
  <si>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</si>
  <si>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</si>
  <si>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</si>
  <si>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</si>
  <si>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</si>
  <si>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</si>
  <si>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</si>
  <si>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</si>
  <si>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</si>
  <si>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</si>
  <si>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</si>
  <si>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</si>
  <si>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</si>
  <si>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</si>
  <si>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</si>
  <si>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</si>
  <si>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</si>
  <si>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</si>
  <si>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</si>
  <si>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</si>
  <si>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</si>
  <si>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</si>
  <si>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</si>
  <si>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</si>
  <si>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</si>
  <si>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</si>
  <si>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</si>
  <si>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</si>
  <si>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</si>
  <si>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</si>
  <si>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</si>
  <si>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</si>
  <si>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</si>
  <si>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</si>
  <si>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</si>
  <si>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</si>
  <si>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</si>
  <si>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</si>
  <si>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</si>
  <si>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</si>
  <si>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</si>
  <si>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</si>
  <si>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</si>
  <si>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</si>
  <si>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</si>
  <si>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</si>
  <si>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</si>
  <si>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</si>
  <si>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</si>
  <si>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</si>
  <si>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</si>
  <si>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</si>
  <si>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</si>
  <si>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</si>
  <si>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</si>
  <si>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</si>
  <si>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</si>
  <si>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</si>
  <si>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</si>
  <si>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</si>
  <si>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</si>
  <si>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</si>
  <si>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</si>
  <si>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</si>
  <si>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</si>
  <si>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</si>
  <si>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</si>
  <si>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</si>
  <si>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</si>
  <si>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</si>
  <si>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</si>
  <si>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</si>
  <si>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</si>
  <si>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</si>
  <si>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</si>
  <si>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</si>
  <si>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</si>
  <si>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</si>
  <si>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</si>
  <si>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</si>
  <si>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</si>
  <si>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</si>
  <si>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</si>
  <si>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</si>
  <si>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</si>
  <si>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</si>
  <si>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</si>
  <si>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</si>
  <si>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</si>
  <si>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</si>
  <si>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</si>
  <si>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</si>
  <si>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</si>
  <si>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</si>
  <si>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</si>
  <si>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</si>
  <si>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</si>
  <si>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</si>
  <si>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</si>
  <si>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</si>
  <si>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</si>
  <si>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</si>
  <si>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</si>
  <si>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</si>
  <si>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</si>
  <si>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</si>
  <si>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</si>
  <si>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</si>
  <si>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</si>
  <si>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</si>
  <si>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</si>
  <si>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</si>
  <si>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</si>
  <si>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</si>
  <si>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</si>
  <si>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</si>
  <si>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</si>
  <si>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</si>
  <si>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</si>
  <si>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</si>
  <si>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</si>
  <si>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</si>
  <si>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</si>
  <si>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</si>
  <si>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</si>
  <si>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</si>
  <si>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</si>
  <si>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</si>
  <si>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</si>
  <si>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</si>
  <si>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</si>
  <si>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</si>
  <si>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</si>
  <si>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</si>
  <si>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</si>
  <si>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</si>
  <si>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</si>
  <si>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</si>
  <si>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</si>
  <si>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</si>
  <si>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</si>
  <si>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</si>
  <si>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</si>
  <si>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</si>
  <si>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</si>
  <si>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</si>
  <si>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</si>
  <si>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</si>
  <si>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</si>
  <si>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</si>
  <si>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</si>
  <si>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</si>
  <si>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</si>
  <si>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</si>
  <si>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</si>
  <si>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</si>
  <si>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</si>
  <si>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</si>
  <si>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</si>
  <si>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</si>
  <si>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</si>
  <si>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</si>
  <si>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</si>
  <si>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</si>
  <si>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</si>
  <si>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</si>
  <si>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</si>
  <si>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</si>
  <si>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</si>
  <si>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</si>
  <si>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</si>
  <si>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</si>
  <si>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</si>
  <si>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</si>
  <si>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</si>
  <si>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</si>
  <si>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</si>
  <si>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</si>
  <si>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</si>
  <si>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</si>
  <si>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</si>
  <si>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</si>
  <si>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</si>
  <si>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</si>
  <si>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</si>
  <si>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</si>
  <si>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</si>
  <si>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</si>
  <si>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</si>
  <si>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</si>
  <si>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</si>
  <si>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</si>
  <si>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</si>
  <si>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</si>
  <si>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</si>
  <si>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</si>
  <si>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</si>
  <si>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</si>
  <si>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</si>
  <si>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</si>
  <si>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</si>
  <si>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</si>
  <si>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</si>
  <si>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</si>
  <si>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</si>
  <si>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</si>
  <si>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</si>
  <si>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</si>
  <si>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</si>
  <si>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</si>
  <si>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</si>
  <si>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</si>
  <si>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</si>
  <si>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</si>
  <si>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</si>
  <si>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</si>
  <si>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</si>
  <si>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</si>
  <si>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</si>
  <si>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</si>
  <si>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</si>
  <si>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</si>
  <si>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</si>
  <si>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</si>
  <si>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</si>
  <si>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</si>
  <si>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</si>
  <si>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</si>
  <si>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</si>
  <si>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</si>
  <si>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</si>
  <si>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</si>
  <si>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</si>
  <si>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</si>
  <si>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</si>
  <si>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</si>
  <si>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</si>
  <si>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</si>
  <si>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</si>
  <si>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</si>
  <si>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</si>
  <si>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</si>
  <si>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</si>
  <si>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</si>
  <si>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</si>
  <si>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</si>
  <si>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</si>
  <si>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</si>
  <si>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</si>
  <si>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</si>
  <si>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</si>
  <si>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</si>
  <si>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</si>
  <si>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</si>
  <si>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</si>
  <si>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</si>
  <si>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</si>
  <si>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</si>
  <si>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</si>
  <si>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</si>
  <si>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</si>
  <si>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</si>
  <si>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</si>
  <si>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</si>
  <si>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</si>
  <si>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</si>
  <si>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</si>
  <si>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</si>
  <si>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</si>
  <si>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</si>
  <si>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</si>
  <si>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</si>
  <si>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</si>
  <si>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</si>
  <si>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</si>
  <si>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</si>
  <si>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</si>
  <si>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</si>
  <si>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</si>
  <si>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</si>
  <si>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</si>
  <si>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</si>
  <si>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</si>
  <si>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</si>
  <si>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</si>
  <si>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</si>
  <si>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</si>
  <si>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</si>
  <si>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</si>
  <si>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</si>
  <si>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</si>
  <si>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</si>
  <si>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</si>
  <si>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</si>
  <si>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</si>
  <si>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</si>
  <si>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</si>
  <si>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</si>
  <si>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</si>
  <si>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</si>
  <si>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</si>
  <si>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</si>
  <si>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</si>
  <si>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</si>
  <si>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</si>
  <si>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</si>
  <si>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</si>
  <si>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</si>
  <si>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</si>
  <si>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</si>
  <si>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</si>
  <si>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</si>
  <si>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</si>
  <si>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</si>
  <si>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</si>
  <si>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</si>
  <si>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</si>
  <si>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</si>
  <si>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</si>
  <si>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</si>
  <si>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</si>
  <si>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</si>
  <si>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</si>
  <si>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</si>
  <si>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</si>
  <si>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</si>
  <si>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</si>
  <si>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</si>
  <si>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</si>
  <si>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</si>
  <si>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</si>
  <si>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</si>
  <si>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</si>
  <si>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</si>
  <si>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</si>
  <si>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</si>
  <si>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</si>
  <si>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</si>
  <si>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</si>
  <si>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</si>
  <si>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</si>
  <si>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</si>
  <si>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</si>
  <si>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</si>
  <si>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</si>
  <si>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</si>
  <si>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</si>
  <si>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</si>
  <si>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</si>
  <si>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</si>
  <si>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</si>
  <si>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</si>
  <si>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</si>
  <si>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</si>
  <si>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</si>
  <si>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</si>
  <si>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</si>
  <si>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</si>
  <si>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</si>
  <si>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</si>
  <si>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</si>
  <si>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</si>
  <si>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</si>
  <si>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</si>
  <si>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</si>
  <si>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</si>
  <si>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</si>
  <si>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</si>
  <si>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</si>
  <si>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</si>
  <si>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</si>
  <si>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</si>
  <si>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</si>
  <si>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</si>
  <si>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</si>
  <si>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</si>
  <si>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</si>
  <si>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</si>
  <si>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</si>
  <si>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</si>
  <si>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</si>
  <si>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</si>
  <si>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</si>
  <si>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</si>
  <si>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</si>
  <si>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</si>
  <si>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</si>
  <si>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</si>
  <si>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</si>
  <si>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</si>
  <si>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</si>
  <si>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</si>
  <si>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</si>
  <si>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</si>
  <si>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</si>
  <si>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</si>
  <si>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</si>
  <si>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</si>
  <si>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</si>
  <si>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</si>
  <si>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</si>
  <si>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</si>
  <si>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</si>
  <si>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</si>
  <si>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</si>
  <si>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</si>
  <si>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</si>
  <si>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</si>
  <si>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</si>
  <si>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</si>
  <si>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</si>
  <si>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</si>
  <si>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</si>
  <si>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</si>
  <si>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</si>
  <si>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</si>
  <si>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</si>
  <si>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</si>
  <si>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</si>
  <si>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</si>
  <si>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</si>
  <si>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</si>
  <si>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</si>
  <si>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</si>
  <si>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</si>
  <si>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</si>
  <si>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</si>
  <si>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</si>
  <si>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</si>
  <si>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</si>
  <si>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</si>
  <si>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</si>
  <si>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</si>
  <si>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</si>
  <si>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</si>
  <si>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</si>
  <si>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</si>
  <si>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</si>
  <si>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</si>
  <si>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</si>
  <si>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</si>
  <si>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</si>
  <si>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</si>
  <si>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</si>
  <si>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</si>
  <si>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</si>
  <si>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</si>
  <si>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</si>
  <si>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</si>
  <si>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</si>
  <si>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</si>
  <si>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</si>
  <si>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</si>
  <si>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</si>
  <si>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</si>
  <si>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</si>
  <si>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</si>
  <si>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</si>
  <si>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</si>
  <si>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</si>
  <si>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</si>
  <si>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</si>
  <si>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</si>
  <si>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</si>
  <si>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</si>
  <si>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</si>
  <si>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</si>
  <si>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</si>
  <si>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</si>
  <si>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</si>
  <si>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</si>
  <si>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</si>
  <si>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</si>
  <si>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</si>
  <si>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</si>
  <si>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</si>
  <si>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</si>
  <si>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</si>
  <si>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</si>
  <si>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</si>
  <si>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</si>
  <si>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</si>
  <si>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</si>
  <si>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</si>
  <si>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</si>
  <si>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</si>
  <si>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</si>
  <si>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</si>
  <si>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</si>
  <si>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</si>
  <si>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</si>
  <si>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</si>
  <si>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</si>
  <si>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</si>
  <si>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</si>
  <si>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</si>
  <si>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</si>
  <si>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</si>
  <si>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</si>
  <si>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</si>
  <si>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</si>
  <si>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</si>
  <si>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</si>
  <si>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</si>
  <si>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</si>
  <si>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</si>
  <si>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</si>
  <si>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</si>
  <si>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</si>
  <si>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</si>
  <si>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</si>
  <si>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</si>
  <si>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</si>
  <si>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</si>
  <si>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</si>
  <si>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</si>
  <si>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</si>
  <si>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</si>
  <si>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</si>
  <si>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</si>
  <si>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</si>
  <si>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</si>
  <si>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</si>
  <si>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</si>
  <si>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</si>
  <si>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</si>
  <si>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</si>
  <si>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</si>
  <si>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</si>
  <si>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</si>
  <si>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</si>
  <si>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</si>
  <si>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</si>
  <si>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</si>
  <si>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</si>
  <si>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</si>
  <si>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</si>
  <si>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</si>
  <si>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</si>
  <si>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</si>
  <si>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</si>
  <si>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</si>
  <si>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</si>
  <si>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</si>
  <si>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</si>
  <si>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</si>
  <si>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</si>
  <si>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</si>
  <si>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</si>
  <si>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</si>
  <si>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</si>
  <si>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</si>
  <si>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</si>
  <si>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</si>
  <si>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</si>
  <si>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</si>
  <si>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</si>
  <si>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</si>
  <si>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</si>
  <si>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</si>
  <si>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</si>
  <si>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</si>
  <si>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</si>
  <si>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</si>
  <si>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</si>
  <si>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</si>
  <si>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</si>
  <si>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</si>
  <si>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</si>
  <si>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</si>
  <si>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</si>
  <si>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</si>
  <si>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</si>
  <si>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</si>
  <si>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</si>
  <si>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</si>
  <si>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</si>
  <si>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</si>
  <si>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</si>
  <si>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</si>
  <si>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</si>
  <si>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</si>
  <si>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</si>
  <si>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</si>
  <si>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</si>
  <si>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</si>
  <si>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</si>
  <si>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</si>
  <si>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</si>
  <si>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</si>
  <si>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</si>
  <si>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</si>
  <si>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</si>
  <si>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</si>
  <si>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</si>
  <si>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</si>
  <si>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</si>
  <si>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</si>
  <si>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</si>
  <si>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</si>
  <si>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</si>
  <si>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</si>
  <si>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</si>
  <si>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</si>
  <si>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</si>
  <si>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</si>
  <si>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</si>
  <si>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</si>
  <si>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</si>
  <si>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</si>
  <si>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</si>
  <si>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</si>
  <si>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</si>
  <si>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</si>
  <si>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</si>
  <si>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</si>
  <si>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</si>
  <si>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</si>
  <si>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</si>
  <si>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</si>
  <si>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</si>
  <si>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</si>
  <si>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</si>
  <si>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</si>
  <si>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</si>
  <si>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</si>
  <si>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</si>
  <si>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</si>
  <si>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</si>
  <si>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</si>
  <si>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</si>
  <si>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</si>
  <si>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</si>
  <si>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</si>
  <si>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</si>
  <si>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</si>
  <si>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</si>
  <si>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</si>
  <si>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</si>
  <si>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</si>
  <si>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</si>
  <si>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</si>
  <si>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</si>
  <si>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</si>
  <si>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</si>
  <si>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</si>
  <si>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</si>
  <si>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</si>
  <si>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</si>
  <si>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</si>
  <si>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</si>
  <si>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</si>
  <si>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</si>
  <si>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</si>
  <si>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</si>
  <si>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</si>
  <si>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</si>
  <si>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</si>
  <si>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</si>
  <si>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</si>
  <si>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</si>
  <si>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</si>
  <si>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</si>
  <si>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</si>
  <si>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</si>
  <si>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</si>
  <si>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</si>
  <si>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</si>
  <si>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</si>
  <si>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</si>
  <si>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</si>
  <si>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</si>
  <si>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</si>
  <si>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</si>
  <si>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</si>
  <si>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</si>
  <si>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</si>
  <si>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</si>
  <si>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</si>
  <si>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</si>
  <si>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</si>
  <si>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</si>
  <si>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</si>
  <si>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</si>
  <si>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</si>
  <si>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</si>
  <si>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</si>
  <si>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</si>
  <si>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</si>
  <si>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</si>
  <si>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</si>
  <si>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</si>
  <si>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</si>
  <si>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</si>
  <si>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</si>
  <si>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</si>
  <si>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</si>
  <si>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</si>
  <si>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</si>
  <si>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</si>
  <si>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</si>
  <si>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</si>
  <si>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</si>
  <si>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</si>
  <si>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</si>
  <si>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</si>
  <si>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</si>
  <si>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</si>
  <si>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</si>
  <si>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</si>
  <si>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</si>
  <si>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</si>
  <si>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</si>
  <si>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</si>
  <si>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</si>
  <si>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</si>
  <si>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</si>
  <si>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</si>
  <si>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</si>
  <si>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</si>
  <si>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</si>
  <si>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</si>
  <si>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</si>
  <si>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</si>
  <si>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</si>
  <si>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</si>
  <si>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</si>
  <si>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</si>
  <si>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</si>
  <si>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</si>
  <si>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</si>
  <si>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</si>
  <si>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</si>
  <si>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</si>
  <si>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</si>
  <si>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</si>
  <si>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</si>
  <si>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</si>
  <si>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</si>
  <si>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</si>
  <si>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</si>
  <si>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</si>
  <si>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</si>
  <si>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</si>
  <si>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</si>
  <si>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</si>
  <si>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</si>
  <si>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</si>
  <si>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</si>
  <si>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</si>
  <si>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</si>
  <si>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</si>
  <si>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</si>
  <si>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</si>
  <si>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</si>
  <si>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</si>
  <si>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</si>
  <si>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</si>
  <si>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</si>
  <si>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</si>
  <si>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</si>
  <si>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</si>
  <si>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</si>
  <si>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</si>
  <si>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</si>
  <si>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</si>
  <si>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</si>
  <si>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</si>
  <si>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</si>
  <si>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</si>
  <si>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</si>
  <si>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</si>
  <si>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</si>
  <si>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</si>
  <si>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</si>
  <si>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</si>
  <si>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</si>
  <si>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</si>
  <si>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</si>
  <si>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</si>
  <si>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</si>
  <si>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</si>
  <si>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</si>
  <si>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</si>
  <si>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</si>
  <si>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</si>
  <si>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</si>
  <si>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</si>
  <si>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</si>
  <si>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</si>
  <si>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</si>
  <si>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</si>
  <si>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</si>
  <si>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</si>
  <si>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</si>
  <si>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</si>
  <si>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</si>
  <si>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</si>
  <si>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</si>
  <si>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</si>
  <si>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</si>
  <si>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</si>
  <si>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</si>
  <si>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</si>
  <si>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</si>
  <si>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</si>
  <si>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</si>
  <si>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</si>
  <si>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</si>
  <si>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</si>
  <si>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</si>
  <si>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</si>
  <si>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</si>
  <si>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</si>
  <si>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</si>
  <si>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</si>
  <si>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</si>
  <si>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</si>
  <si>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</si>
  <si>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</si>
  <si>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</si>
  <si>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</si>
  <si>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</si>
  <si>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</si>
  <si>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</si>
  <si>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</si>
  <si>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</si>
  <si>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</si>
  <si>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</si>
  <si>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</si>
  <si>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</si>
  <si>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</si>
  <si>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</si>
  <si>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</si>
  <si>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</si>
  <si>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</si>
  <si>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</si>
  <si>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</si>
  <si>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</si>
  <si>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</si>
  <si>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</si>
  <si>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</si>
  <si>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</si>
  <si>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</si>
  <si>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</si>
  <si>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</si>
  <si>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</si>
  <si>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</si>
  <si>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</si>
  <si>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</si>
  <si>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</si>
  <si>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</si>
  <si>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</si>
  <si>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</si>
  <si>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</si>
  <si>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</si>
  <si>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</si>
  <si>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</si>
  <si>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</si>
  <si>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</si>
  <si>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</si>
  <si>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</si>
  <si>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</si>
  <si>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</si>
  <si>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</si>
  <si>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</si>
  <si>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</si>
  <si>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</si>
  <si>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</si>
  <si>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</si>
  <si>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</si>
  <si>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</si>
  <si>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</si>
  <si>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</si>
  <si>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</si>
  <si>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</si>
  <si>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</si>
  <si>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</si>
  <si>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</si>
  <si>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</si>
  <si>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</si>
  <si>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</si>
  <si>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</si>
  <si>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</si>
  <si>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</si>
  <si>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</si>
  <si>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</si>
  <si>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</si>
  <si>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</si>
  <si>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</si>
  <si>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</si>
  <si>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</si>
  <si>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</si>
  <si>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</si>
  <si>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</si>
  <si>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</si>
  <si>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</si>
  <si>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</si>
  <si>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</si>
  <si>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</si>
  <si>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</si>
  <si>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</si>
  <si>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</si>
  <si>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</si>
  <si>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</si>
  <si>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</si>
  <si>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</si>
  <si>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</si>
  <si>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</si>
  <si>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</si>
  <si>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</si>
  <si>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</si>
  <si>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</si>
  <si>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</si>
  <si>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</si>
  <si>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</si>
  <si>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</si>
  <si>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</si>
  <si>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</si>
  <si>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</si>
  <si>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</si>
  <si>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</si>
  <si>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</si>
  <si>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</si>
  <si>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</si>
  <si>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</si>
  <si>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</si>
  <si>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</si>
  <si>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</si>
  <si>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</si>
  <si>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</si>
  <si>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</si>
  <si>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</si>
  <si>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</si>
  <si>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</si>
  <si>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</si>
  <si>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</si>
  <si>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</si>
  <si>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</si>
  <si>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</si>
  <si>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</si>
  <si>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</si>
  <si>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</si>
  <si>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</si>
  <si>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</si>
  <si>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</si>
  <si>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</si>
  <si>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</si>
  <si>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</si>
  <si>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</si>
  <si>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</si>
  <si>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</si>
  <si>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</si>
  <si>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</si>
  <si>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</si>
  <si>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</si>
  <si>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</si>
  <si>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</si>
  <si>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</si>
  <si>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</si>
  <si>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</si>
  <si>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</si>
  <si>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</si>
  <si>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</si>
  <si>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</si>
  <si>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</si>
  <si>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</si>
  <si>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</si>
  <si>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</si>
  <si>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</si>
  <si>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</si>
  <si>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</si>
  <si>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</si>
  <si>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</si>
  <si>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</si>
  <si>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</si>
  <si>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</si>
  <si>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</si>
  <si>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</si>
  <si>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</si>
  <si>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</si>
  <si>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</si>
  <si>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</si>
  <si>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</si>
  <si>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</si>
  <si>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</si>
  <si>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</si>
  <si>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</si>
  <si>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</si>
  <si>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</si>
  <si>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</si>
  <si>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</si>
  <si>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</si>
  <si>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(34F)ワイヤーレッドβ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</si>
  <si>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</si>
  <si>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</si>
  <si>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</si>
  <si>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</si>
  <si>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</si>
  <si>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</si>
  <si>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</si>
  <si>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</si>
  <si>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</si>
  <si>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</si>
  <si>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</si>
  <si>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</si>
  <si>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</si>
  <si>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</si>
  <si>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</si>
  <si>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</si>
  <si>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</si>
  <si>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</si>
  <si>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</si>
  <si>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</si>
  <si>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</si>
  <si>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</si>
  <si>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</si>
  <si>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</si>
  <si>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</si>
  <si>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</si>
  <si>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</si>
  <si>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</si>
  <si>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</si>
  <si>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</si>
  <si>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</si>
  <si>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</si>
  <si>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</si>
  <si>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</si>
  <si>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アニマスフィア(100)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</si>
  <si>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</si>
  <si>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</si>
  <si>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</si>
  <si>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</si>
  <si>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</si>
  <si>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</si>
  <si>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</si>
  <si>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</si>
  <si>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</si>
  <si>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</si>
  <si>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</si>
  <si>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</si>
  <si>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</si>
  <si>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</si>
  <si>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</si>
  <si>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</si>
  <si>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閃光</t>
    <rPh sb="0" eb="2">
      <t>センコウ</t>
    </rPh>
    <phoneticPr fontId="1"/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</si>
  <si>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</si>
  <si>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</si>
  <si>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</si>
  <si>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</si>
  <si>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</si>
  <si>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</si>
  <si>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</si>
  <si>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</si>
  <si>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</si>
  <si>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</si>
  <si>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</si>
  <si>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</si>
  <si>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</si>
  <si>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</si>
  <si>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</si>
  <si>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</si>
  <si>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</si>
  <si>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</si>
  <si>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</si>
  <si>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</si>
  <si>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</si>
  <si>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</si>
  <si>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</si>
  <si>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</si>
  <si>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</si>
  <si>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</si>
  <si>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</si>
  <si>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</si>
  <si>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</si>
  <si>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</si>
  <si>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</si>
  <si>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</si>
  <si>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</si>
  <si>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</si>
  <si>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</si>
  <si>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</si>
  <si>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</si>
  <si>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</si>
  <si>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</si>
  <si>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</si>
  <si>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</si>
  <si>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</si>
  <si>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</si>
  <si>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</si>
  <si>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</si>
  <si>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</si>
  <si>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</si>
  <si>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</si>
  <si>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</si>
  <si>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</si>
  <si>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</si>
  <si>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</si>
  <si>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</si>
  <si>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</si>
  <si>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</si>
  <si>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</si>
  <si>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</si>
  <si>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</si>
  <si>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</si>
  <si>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</si>
  <si>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</si>
  <si>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</si>
  <si>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</si>
  <si>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</si>
  <si>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</si>
  <si>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</si>
  <si>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</si>
  <si>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</si>
  <si>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</si>
  <si>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</si>
  <si>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</si>
  <si>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</si>
  <si>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</si>
  <si>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</si>
  <si>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</si>
  <si>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</si>
  <si>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</si>
  <si>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</si>
  <si>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</si>
  <si>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</si>
  <si>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</si>
  <si>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</si>
  <si>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</si>
  <si>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</si>
  <si>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</si>
  <si>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</si>
  <si>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</si>
  <si>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</si>
  <si>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</si>
  <si>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</si>
  <si>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</si>
  <si>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</si>
  <si>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</si>
  <si>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</si>
  <si>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</si>
  <si>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</si>
  <si>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</si>
  <si>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</si>
  <si>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</si>
  <si>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</si>
  <si>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</si>
  <si>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</si>
  <si>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</si>
  <si>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</si>
  <si>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YShirakawaSocial_R3_Thumbnail.webp</t>
    <phoneticPr fontId="1"/>
  </si>
  <si>
    <t>月が綺麗</t>
  </si>
  <si>
    <t>月が綺麗</t>
    <phoneticPr fontId="1"/>
  </si>
  <si>
    <t>夜醒</t>
  </si>
  <si>
    <t>蒼焔ノ迷宮1</t>
    <phoneticPr fontId="1"/>
  </si>
  <si>
    <t>蒼焔ノ迷宮2</t>
    <phoneticPr fontId="1"/>
  </si>
  <si>
    <t>優美なる剣舞</t>
  </si>
  <si>
    <t>優美なる剣舞</t>
    <phoneticPr fontId="1"/>
  </si>
  <si>
    <t>10,10,10,30,40</t>
    <phoneticPr fontId="1"/>
  </si>
  <si>
    <t>蒼焔ノ迷宮(BLAST)</t>
    <phoneticPr fontId="1"/>
  </si>
  <si>
    <t>蒼焔ノ迷宮(ATTACK)</t>
    <phoneticPr fontId="1"/>
  </si>
  <si>
    <t>public.skill_attack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</si>
</sst>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1691</v>
      </c>
      <c r="E1" s="9" t="s">
        <v>1641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2:T12"/>
  <sheetViews>
    <sheetView workbookViewId="0"/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2" spans="1:20"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14" cm="1">
        <f t="array" ref="B3">MAX(IF(character_style!B:B&lt;=1000, character_style!B:B))+1</f>
        <v>125</v>
      </c>
      <c r="C3" s="14" t="s">
        <v>117</v>
      </c>
      <c r="D3" s="14" t="s">
        <v>1978</v>
      </c>
      <c r="E3" s="22" t="s">
        <v>2044</v>
      </c>
      <c r="F3" s="22" t="s">
        <v>2042</v>
      </c>
      <c r="G3" s="14" t="s">
        <v>1924</v>
      </c>
      <c r="H3" s="14" t="s">
        <v>1940</v>
      </c>
      <c r="I3" s="14"/>
      <c r="J3" s="14" t="s">
        <v>1931</v>
      </c>
      <c r="K3" s="14" t="s">
        <v>368</v>
      </c>
      <c r="L3" s="14" t="s">
        <v>1937</v>
      </c>
      <c r="M3" s="14" t="s">
        <v>2048</v>
      </c>
      <c r="N3" s="14"/>
      <c r="O3" s="14"/>
    </row>
    <row r="4" spans="1:20">
      <c r="A4" t="s">
        <v>1945</v>
      </c>
      <c r="B4" s="14">
        <f>B3</f>
        <v>125</v>
      </c>
      <c r="C4" s="14">
        <f>INDEX(Data!C1:C51, MATCH(C3,Data!D1:D51, 0))</f>
        <v>43</v>
      </c>
      <c r="D4" s="14">
        <f>INDEX(Data!A16:A18, MATCH(D3,Data!B16:B18, 0))</f>
        <v>1</v>
      </c>
      <c r="E4" s="14" t="str">
        <f t="shared" ref="E4:F4" si="0">E3</f>
        <v>月が綺麗</v>
      </c>
      <c r="F4" s="14" t="str">
        <f t="shared" si="0"/>
        <v>YShirakawaSocial_R3_Thumbnail.webp</v>
      </c>
      <c r="G4" s="14">
        <f>INDEX(Data!G:G, MATCH(G3,Data!H1:H51, 0))</f>
        <v>1</v>
      </c>
      <c r="H4" s="14">
        <f>IFERROR(INDEX(Data!$A$9:$A$14, MATCH(H3, Data!$B$9:B14, 0)), "")</f>
        <v>2</v>
      </c>
      <c r="I4" s="14" t="str">
        <f>IFERROR(INDEX(Data!$A$9:$A$14, MATCH(I3, Data!$B$9:C14, 0)), "")</f>
        <v/>
      </c>
      <c r="J4" s="14">
        <f>INDEX(Data!I1:I6, MATCH(J3,Data!J1:J51, 0))</f>
        <v>1</v>
      </c>
      <c r="K4" s="14">
        <f>IFERROR(INDEX(ability!B:B,MATCH(K3,ability!C:C,0)),"""")</f>
        <v>402</v>
      </c>
      <c r="L4" s="14">
        <f>IFERROR(INDEX(ability!B:B, MATCH(L3,ability!C:C, 0)),"")</f>
        <v>1101</v>
      </c>
      <c r="M4" s="14">
        <f>IFERROR(INDEX(ability!B:B, MATCH(M3,ability!C:C, 0)),"")</f>
        <v>1512</v>
      </c>
      <c r="N4" s="14" t="str">
        <f>IFERROR(INDEX(ability!B:B, MATCH(N3,ability!C:C, 0)),"")</f>
        <v/>
      </c>
      <c r="O4" s="14" t="str">
        <f>IFERROR(INDEX(ability!B:B, MATCH(O3,ability!C:C, 0)),"")</f>
        <v/>
      </c>
    </row>
    <row r="6" spans="1:20">
      <c r="B6" s="9" t="s">
        <v>1470</v>
      </c>
      <c r="C6" s="9" t="s">
        <v>1471</v>
      </c>
      <c r="D6" s="9" t="s">
        <v>29</v>
      </c>
      <c r="E6" s="9" t="s">
        <v>42</v>
      </c>
      <c r="F6" s="9" t="s">
        <v>51</v>
      </c>
      <c r="G6" s="9" t="s">
        <v>53</v>
      </c>
      <c r="H6" s="9" t="s">
        <v>56</v>
      </c>
    </row>
    <row r="7" spans="1:20">
      <c r="A7" t="s">
        <v>1946</v>
      </c>
      <c r="B7" s="14" cm="1">
        <f t="array" ref="B7">MAX(IF(skill_list!B:B&lt;=1000, skill_list!B:B))+1</f>
        <v>495</v>
      </c>
      <c r="C7" s="23" t="s">
        <v>2046</v>
      </c>
      <c r="D7" s="14">
        <f>$C$4</f>
        <v>43</v>
      </c>
      <c r="E7" s="14">
        <f>$B$4</f>
        <v>125</v>
      </c>
      <c r="F7" s="14">
        <v>15</v>
      </c>
      <c r="G7" s="14">
        <v>150</v>
      </c>
      <c r="H7" s="14">
        <v>10</v>
      </c>
    </row>
    <row r="8" spans="1:20">
      <c r="A8" t="s">
        <v>1946</v>
      </c>
      <c r="B8" s="14">
        <f>+B7+1</f>
        <v>496</v>
      </c>
      <c r="C8" s="23" t="s">
        <v>2047</v>
      </c>
      <c r="D8" s="14">
        <f>$C$4</f>
        <v>43</v>
      </c>
      <c r="E8" s="14">
        <f>$B$4</f>
        <v>125</v>
      </c>
      <c r="F8" s="14">
        <v>15</v>
      </c>
      <c r="G8" s="14">
        <v>150</v>
      </c>
      <c r="H8" s="14">
        <v>10</v>
      </c>
    </row>
    <row r="9" spans="1:20">
      <c r="A9" t="s">
        <v>1946</v>
      </c>
      <c r="B9" s="14">
        <f>+B8+1</f>
        <v>497</v>
      </c>
      <c r="C9" s="23" t="s">
        <v>2045</v>
      </c>
      <c r="D9" s="14">
        <f>$C$4</f>
        <v>43</v>
      </c>
      <c r="E9" s="14">
        <f>$B$4</f>
        <v>125</v>
      </c>
      <c r="F9" s="14">
        <v>7</v>
      </c>
      <c r="G9" s="14">
        <v>0</v>
      </c>
      <c r="H9" s="14">
        <v>1</v>
      </c>
    </row>
    <row r="11" spans="1:20">
      <c r="B11" s="9" t="s">
        <v>40</v>
      </c>
      <c r="C11" s="9" t="s">
        <v>1470</v>
      </c>
      <c r="D11" s="9" t="s">
        <v>1691</v>
      </c>
      <c r="E11" s="9" t="s">
        <v>1641</v>
      </c>
      <c r="F11" s="9" t="s">
        <v>43</v>
      </c>
      <c r="G11" s="9" t="s">
        <v>44</v>
      </c>
      <c r="H11" s="9" t="s">
        <v>221</v>
      </c>
      <c r="I11" s="9" t="s">
        <v>45</v>
      </c>
      <c r="J11" s="9" t="s">
        <v>46</v>
      </c>
      <c r="K11" s="9" t="s">
        <v>48</v>
      </c>
      <c r="L11" s="9" t="s">
        <v>49</v>
      </c>
      <c r="M11" s="9" t="s">
        <v>50</v>
      </c>
      <c r="N11" s="9" t="s">
        <v>54</v>
      </c>
      <c r="O11" s="9" t="s">
        <v>55</v>
      </c>
      <c r="P11" s="9" t="s">
        <v>1346</v>
      </c>
      <c r="Q11" s="9" t="s">
        <v>1350</v>
      </c>
      <c r="R11" s="9" t="s">
        <v>223</v>
      </c>
      <c r="S11" s="9" t="s">
        <v>224</v>
      </c>
      <c r="T11" s="9" t="s">
        <v>279</v>
      </c>
    </row>
    <row r="12" spans="1:20">
      <c r="A12" t="s">
        <v>1947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26" sqref="C2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1799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B18" sqref="B18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395</v>
      </c>
      <c r="G1">
        <v>1</v>
      </c>
      <c r="H1" t="s">
        <v>1924</v>
      </c>
      <c r="I1">
        <v>1</v>
      </c>
      <c r="J1" t="s">
        <v>1931</v>
      </c>
      <c r="K1">
        <v>0</v>
      </c>
      <c r="L1" t="s">
        <v>1948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538</v>
      </c>
      <c r="G2">
        <v>2</v>
      </c>
      <c r="H2" t="s">
        <v>1925</v>
      </c>
      <c r="I2">
        <v>2</v>
      </c>
      <c r="J2" t="s">
        <v>1932</v>
      </c>
      <c r="K2">
        <v>1</v>
      </c>
      <c r="L2" t="s">
        <v>1949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539</v>
      </c>
      <c r="G3">
        <v>3</v>
      </c>
      <c r="H3" t="s">
        <v>1926</v>
      </c>
      <c r="I3">
        <v>3</v>
      </c>
      <c r="J3" t="s">
        <v>1933</v>
      </c>
      <c r="K3">
        <v>2</v>
      </c>
      <c r="L3" t="s">
        <v>1950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540</v>
      </c>
      <c r="G4">
        <v>4</v>
      </c>
      <c r="H4" t="s">
        <v>1927</v>
      </c>
      <c r="I4">
        <v>4</v>
      </c>
      <c r="J4" t="s">
        <v>1934</v>
      </c>
      <c r="K4">
        <v>3</v>
      </c>
      <c r="L4" t="s">
        <v>1951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541</v>
      </c>
      <c r="G5">
        <v>5</v>
      </c>
      <c r="H5" t="s">
        <v>1928</v>
      </c>
      <c r="I5">
        <v>5</v>
      </c>
      <c r="J5" t="s">
        <v>1935</v>
      </c>
      <c r="K5">
        <v>4</v>
      </c>
      <c r="L5" t="s">
        <v>1952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542</v>
      </c>
      <c r="G6">
        <v>6</v>
      </c>
      <c r="H6" t="s">
        <v>1929</v>
      </c>
      <c r="I6">
        <v>6</v>
      </c>
      <c r="J6" t="s">
        <v>1936</v>
      </c>
      <c r="K6">
        <v>5</v>
      </c>
      <c r="L6" t="s">
        <v>1953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543</v>
      </c>
      <c r="G7">
        <v>7</v>
      </c>
      <c r="H7" t="s">
        <v>1930</v>
      </c>
      <c r="K7">
        <v>6</v>
      </c>
      <c r="L7" t="s">
        <v>1954</v>
      </c>
    </row>
    <row r="8" spans="1:12">
      <c r="C8">
        <v>8</v>
      </c>
      <c r="D8" t="s">
        <v>82</v>
      </c>
      <c r="E8">
        <v>7</v>
      </c>
      <c r="F8" t="s">
        <v>544</v>
      </c>
      <c r="K8">
        <v>7</v>
      </c>
      <c r="L8" t="s">
        <v>1955</v>
      </c>
    </row>
    <row r="9" spans="1:12">
      <c r="A9">
        <v>0</v>
      </c>
      <c r="B9" t="s">
        <v>1938</v>
      </c>
      <c r="C9">
        <v>9</v>
      </c>
      <c r="D9" t="s">
        <v>83</v>
      </c>
      <c r="E9">
        <v>8</v>
      </c>
      <c r="F9" t="s">
        <v>545</v>
      </c>
      <c r="K9">
        <v>8</v>
      </c>
      <c r="L9" t="s">
        <v>1956</v>
      </c>
    </row>
    <row r="10" spans="1:12">
      <c r="A10">
        <v>1</v>
      </c>
      <c r="B10" t="s">
        <v>1939</v>
      </c>
      <c r="C10">
        <v>10</v>
      </c>
      <c r="D10" t="s">
        <v>84</v>
      </c>
      <c r="E10">
        <v>9</v>
      </c>
      <c r="F10" t="s">
        <v>546</v>
      </c>
      <c r="K10">
        <v>9</v>
      </c>
      <c r="L10" t="s">
        <v>1957</v>
      </c>
    </row>
    <row r="11" spans="1:12">
      <c r="A11">
        <v>2</v>
      </c>
      <c r="B11" t="s">
        <v>1940</v>
      </c>
      <c r="C11">
        <v>11</v>
      </c>
      <c r="D11" t="s">
        <v>85</v>
      </c>
      <c r="E11">
        <v>10</v>
      </c>
      <c r="F11" t="s">
        <v>551</v>
      </c>
      <c r="K11">
        <v>10</v>
      </c>
      <c r="L11" t="s">
        <v>1644</v>
      </c>
    </row>
    <row r="12" spans="1:12">
      <c r="A12">
        <v>3</v>
      </c>
      <c r="B12" t="s">
        <v>1941</v>
      </c>
      <c r="C12">
        <v>12</v>
      </c>
      <c r="D12" t="s">
        <v>86</v>
      </c>
      <c r="E12">
        <v>11</v>
      </c>
      <c r="F12" t="s">
        <v>547</v>
      </c>
      <c r="K12">
        <v>11</v>
      </c>
      <c r="L12" t="s">
        <v>1958</v>
      </c>
    </row>
    <row r="13" spans="1:12">
      <c r="A13">
        <v>4</v>
      </c>
      <c r="B13" t="s">
        <v>1942</v>
      </c>
      <c r="C13">
        <v>13</v>
      </c>
      <c r="D13" t="s">
        <v>87</v>
      </c>
      <c r="E13">
        <v>12</v>
      </c>
      <c r="F13" t="s">
        <v>549</v>
      </c>
      <c r="K13">
        <v>12</v>
      </c>
      <c r="L13" t="s">
        <v>1959</v>
      </c>
    </row>
    <row r="14" spans="1:12">
      <c r="A14">
        <v>5</v>
      </c>
      <c r="B14" t="s">
        <v>1943</v>
      </c>
      <c r="C14">
        <v>14</v>
      </c>
      <c r="D14" t="s">
        <v>88</v>
      </c>
      <c r="E14">
        <v>13</v>
      </c>
      <c r="K14">
        <v>13</v>
      </c>
      <c r="L14" t="s">
        <v>1960</v>
      </c>
    </row>
    <row r="15" spans="1:12">
      <c r="C15">
        <v>15</v>
      </c>
      <c r="D15" t="s">
        <v>89</v>
      </c>
      <c r="E15">
        <v>14</v>
      </c>
      <c r="F15" t="s">
        <v>552</v>
      </c>
      <c r="K15">
        <v>14</v>
      </c>
      <c r="L15" t="s">
        <v>1961</v>
      </c>
    </row>
    <row r="16" spans="1:12">
      <c r="A16">
        <v>1</v>
      </c>
      <c r="B16" t="s">
        <v>1979</v>
      </c>
      <c r="C16">
        <v>16</v>
      </c>
      <c r="D16" t="s">
        <v>90</v>
      </c>
      <c r="E16">
        <v>15</v>
      </c>
      <c r="F16" t="s">
        <v>553</v>
      </c>
      <c r="K16">
        <v>15</v>
      </c>
      <c r="L16" t="s">
        <v>1962</v>
      </c>
    </row>
    <row r="17" spans="1:12">
      <c r="A17">
        <v>2</v>
      </c>
      <c r="B17" t="s">
        <v>1944</v>
      </c>
      <c r="C17">
        <v>17</v>
      </c>
      <c r="D17" t="s">
        <v>91</v>
      </c>
      <c r="E17">
        <v>16</v>
      </c>
      <c r="F17" t="s">
        <v>554</v>
      </c>
      <c r="K17">
        <v>16</v>
      </c>
      <c r="L17" t="s">
        <v>1963</v>
      </c>
    </row>
    <row r="18" spans="1:12">
      <c r="A18">
        <v>3</v>
      </c>
      <c r="B18" t="s">
        <v>1980</v>
      </c>
      <c r="C18">
        <v>18</v>
      </c>
      <c r="D18" t="s">
        <v>92</v>
      </c>
      <c r="E18">
        <v>17</v>
      </c>
      <c r="F18" t="s">
        <v>396</v>
      </c>
      <c r="K18">
        <v>17</v>
      </c>
      <c r="L18" t="s">
        <v>1964</v>
      </c>
    </row>
    <row r="19" spans="1:12">
      <c r="C19">
        <v>19</v>
      </c>
      <c r="D19" t="s">
        <v>93</v>
      </c>
      <c r="E19">
        <v>18</v>
      </c>
      <c r="F19" t="s">
        <v>548</v>
      </c>
      <c r="K19">
        <v>18</v>
      </c>
      <c r="L19" t="s">
        <v>1965</v>
      </c>
    </row>
    <row r="20" spans="1:12">
      <c r="C20">
        <v>20</v>
      </c>
      <c r="D20" t="s">
        <v>94</v>
      </c>
      <c r="E20">
        <v>19</v>
      </c>
      <c r="F20" t="s">
        <v>550</v>
      </c>
      <c r="K20">
        <v>19</v>
      </c>
      <c r="L20" t="s">
        <v>1966</v>
      </c>
    </row>
    <row r="21" spans="1:12">
      <c r="C21">
        <v>21</v>
      </c>
      <c r="D21" t="s">
        <v>95</v>
      </c>
      <c r="E21">
        <v>20</v>
      </c>
      <c r="F21" t="s">
        <v>580</v>
      </c>
      <c r="K21">
        <v>20</v>
      </c>
      <c r="L21" t="s">
        <v>1967</v>
      </c>
    </row>
    <row r="22" spans="1:12">
      <c r="C22">
        <v>22</v>
      </c>
      <c r="D22" t="s">
        <v>96</v>
      </c>
      <c r="E22">
        <v>21</v>
      </c>
      <c r="F22" t="s">
        <v>612</v>
      </c>
      <c r="K22">
        <v>21</v>
      </c>
      <c r="L22" t="s">
        <v>1968</v>
      </c>
    </row>
    <row r="23" spans="1:12">
      <c r="C23">
        <v>23</v>
      </c>
      <c r="D23" t="s">
        <v>97</v>
      </c>
      <c r="E23">
        <v>22</v>
      </c>
      <c r="F23" t="s">
        <v>613</v>
      </c>
      <c r="K23">
        <v>22</v>
      </c>
      <c r="L23" t="s">
        <v>1969</v>
      </c>
    </row>
    <row r="24" spans="1:12">
      <c r="C24">
        <v>24</v>
      </c>
      <c r="D24" t="s">
        <v>98</v>
      </c>
      <c r="K24">
        <v>23</v>
      </c>
      <c r="L24" t="s">
        <v>1970</v>
      </c>
    </row>
    <row r="25" spans="1:12">
      <c r="C25">
        <v>25</v>
      </c>
      <c r="D25" t="s">
        <v>99</v>
      </c>
      <c r="K25">
        <v>24</v>
      </c>
      <c r="L25" t="s">
        <v>1971</v>
      </c>
    </row>
    <row r="26" spans="1:12">
      <c r="C26">
        <v>26</v>
      </c>
      <c r="D26" t="s">
        <v>100</v>
      </c>
      <c r="K26">
        <v>25</v>
      </c>
      <c r="L26" t="s">
        <v>1972</v>
      </c>
    </row>
    <row r="27" spans="1:12">
      <c r="C27">
        <v>27</v>
      </c>
      <c r="D27" t="s">
        <v>101</v>
      </c>
      <c r="K27">
        <v>26</v>
      </c>
      <c r="L27" t="s">
        <v>1973</v>
      </c>
    </row>
    <row r="28" spans="1:12">
      <c r="C28">
        <v>28</v>
      </c>
      <c r="D28" t="s">
        <v>102</v>
      </c>
      <c r="K28">
        <v>27</v>
      </c>
      <c r="L28" t="s">
        <v>1974</v>
      </c>
    </row>
    <row r="29" spans="1:12">
      <c r="C29">
        <v>29</v>
      </c>
      <c r="D29" t="s">
        <v>103</v>
      </c>
      <c r="K29">
        <v>28</v>
      </c>
      <c r="L29" t="s">
        <v>1975</v>
      </c>
    </row>
    <row r="30" spans="1:12">
      <c r="C30">
        <v>30</v>
      </c>
      <c r="D30" t="s">
        <v>104</v>
      </c>
      <c r="K30">
        <v>29</v>
      </c>
      <c r="L30" t="s">
        <v>1976</v>
      </c>
    </row>
    <row r="31" spans="1:12">
      <c r="C31">
        <v>31</v>
      </c>
      <c r="D31" t="s">
        <v>105</v>
      </c>
      <c r="K31">
        <v>30</v>
      </c>
      <c r="L31" t="s">
        <v>1977</v>
      </c>
    </row>
    <row r="32" spans="1:12">
      <c r="C32">
        <v>32</v>
      </c>
      <c r="D32" t="s">
        <v>106</v>
      </c>
      <c r="K32">
        <v>31</v>
      </c>
      <c r="L32" t="s">
        <v>1850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/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1756</v>
      </c>
      <c r="G2" s="9" t="s">
        <v>1828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605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605</v>
      </c>
      <c r="F8" s="14">
        <v>2</v>
      </c>
      <c r="G8" s="14">
        <v>3</v>
      </c>
      <c r="H8" t="s">
        <v>1887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605</v>
      </c>
      <c r="F9" s="14">
        <v>3</v>
      </c>
      <c r="G9" s="14">
        <v>2</v>
      </c>
      <c r="H9" t="s">
        <v>1889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4">
        <v>2</v>
      </c>
      <c r="G10" s="14">
        <v>1</v>
      </c>
      <c r="H10" t="s">
        <v>1888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4">
        <v>3</v>
      </c>
      <c r="G13" s="14">
        <v>3</v>
      </c>
      <c r="H13" t="s">
        <v>1886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4">
        <v>2</v>
      </c>
      <c r="G16" s="14">
        <v>3</v>
      </c>
      <c r="H16" t="s">
        <v>1887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4">
        <v>3</v>
      </c>
      <c r="G20" s="14">
        <v>3</v>
      </c>
      <c r="H20" t="s">
        <v>1886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4">
        <v>2</v>
      </c>
      <c r="G21" s="14">
        <v>1</v>
      </c>
      <c r="H21" t="s">
        <v>1888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4">
        <v>2</v>
      </c>
      <c r="G22" s="14">
        <v>1</v>
      </c>
      <c r="H22" t="s">
        <v>1888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4">
        <v>2</v>
      </c>
      <c r="G24" s="14">
        <v>3</v>
      </c>
      <c r="H24" t="s">
        <v>1887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4">
        <v>3</v>
      </c>
      <c r="G25" s="14">
        <v>4</v>
      </c>
      <c r="H25" t="s">
        <v>1886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4">
        <v>2</v>
      </c>
      <c r="G26" s="14">
        <v>2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4">
        <v>1</v>
      </c>
      <c r="G27" s="14">
        <v>1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4">
        <v>2</v>
      </c>
      <c r="G28" s="14">
        <v>3</v>
      </c>
      <c r="H28" t="s">
        <v>1887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4">
        <v>3</v>
      </c>
      <c r="G29" s="14">
        <v>1</v>
      </c>
      <c r="H29" t="s">
        <v>1889</v>
      </c>
    </row>
    <row r="30" spans="1:20">
      <c r="A30" s="8"/>
      <c r="B30" s="14">
        <v>24</v>
      </c>
      <c r="C30" s="11" t="s">
        <v>1829</v>
      </c>
      <c r="D30" s="11" t="s">
        <v>156</v>
      </c>
      <c r="E30" s="11" t="s">
        <v>586</v>
      </c>
      <c r="F30" s="14">
        <v>3</v>
      </c>
      <c r="G30" s="14">
        <v>4</v>
      </c>
      <c r="H30" t="s">
        <v>1889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4">
        <v>3</v>
      </c>
      <c r="G31" s="14">
        <v>3</v>
      </c>
      <c r="H31" t="s">
        <v>1886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4">
        <v>1</v>
      </c>
      <c r="G32" s="14">
        <v>1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4">
        <v>3</v>
      </c>
      <c r="G33" s="14">
        <v>4</v>
      </c>
      <c r="H33" t="s">
        <v>1889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4">
        <v>2</v>
      </c>
      <c r="G34" s="14">
        <v>3</v>
      </c>
      <c r="H34" t="s">
        <v>1888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4">
        <v>1</v>
      </c>
      <c r="G35" s="14">
        <v>2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4">
        <v>2</v>
      </c>
      <c r="G36" s="14">
        <v>2</v>
      </c>
      <c r="H36" t="s">
        <v>1887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4">
        <v>2</v>
      </c>
      <c r="G37" s="15">
        <v>3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4">
        <v>2</v>
      </c>
      <c r="G38" s="15">
        <v>4</v>
      </c>
      <c r="H38" t="s">
        <v>1887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4">
        <v>1</v>
      </c>
      <c r="G39" s="15">
        <v>2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4">
        <v>3</v>
      </c>
      <c r="G40" s="15">
        <v>1</v>
      </c>
      <c r="H40" t="s">
        <v>1886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4">
        <v>3</v>
      </c>
      <c r="G42" s="15">
        <v>3</v>
      </c>
      <c r="H42" t="s">
        <v>1889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4">
        <v>1</v>
      </c>
      <c r="G43" s="15">
        <v>1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4">
        <v>1</v>
      </c>
      <c r="G44" s="15">
        <v>3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4">
        <v>2</v>
      </c>
      <c r="G45" s="15">
        <v>4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4">
        <v>3</v>
      </c>
      <c r="G46" s="15">
        <v>3</v>
      </c>
      <c r="H46" t="s">
        <v>1886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4">
        <v>3</v>
      </c>
      <c r="G47" s="15">
        <v>4</v>
      </c>
      <c r="H47" t="s">
        <v>1889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4">
        <v>2</v>
      </c>
      <c r="G48" s="15">
        <v>2</v>
      </c>
      <c r="H48" t="s">
        <v>1887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4">
        <v>3</v>
      </c>
      <c r="G50" s="14">
        <v>4</v>
      </c>
      <c r="H50" t="s">
        <v>1889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4">
        <v>2</v>
      </c>
      <c r="G51" s="14">
        <v>1</v>
      </c>
      <c r="H51" t="s">
        <v>1888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4">
        <v>3</v>
      </c>
      <c r="G52" s="14">
        <v>3</v>
      </c>
      <c r="H52" t="s">
        <v>1886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4">
        <v>2</v>
      </c>
      <c r="G53" s="14">
        <v>2</v>
      </c>
      <c r="H53" t="s">
        <v>1888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4">
        <v>1</v>
      </c>
      <c r="G54" s="14">
        <v>3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4">
        <v>2</v>
      </c>
      <c r="G56" s="15">
        <v>1</v>
      </c>
      <c r="H56" t="s">
        <v>1888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4">
        <v>3</v>
      </c>
      <c r="G57" s="15">
        <v>3</v>
      </c>
      <c r="H57" t="s">
        <v>1886</v>
      </c>
    </row>
    <row r="58" spans="1:20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4">
        <v>3</v>
      </c>
      <c r="G58" s="15">
        <v>2</v>
      </c>
      <c r="H58" t="s">
        <v>1889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G18" sqref="G18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70"/>
  <sheetViews>
    <sheetView zoomScale="85" zoomScaleNormal="85" workbookViewId="0">
      <pane ySplit="6" topLeftCell="A7" activePane="bottomLeft" state="frozen"/>
      <selection activeCell="C1" sqref="C1"/>
      <selection pane="bottomLeft" activeCell="A7" sqref="A7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1694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837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753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1170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1757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505</v>
      </c>
      <c r="E32" s="15">
        <v>340</v>
      </c>
      <c r="F32" s="11" t="s">
        <v>772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506</v>
      </c>
      <c r="E33" s="15">
        <v>340</v>
      </c>
      <c r="F33" s="11" t="s">
        <v>773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507</v>
      </c>
      <c r="E34" s="15">
        <v>340</v>
      </c>
      <c r="F34" s="11" t="s">
        <v>774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508</v>
      </c>
      <c r="E35" s="15">
        <v>340</v>
      </c>
      <c r="F35" s="11" t="s">
        <v>775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509</v>
      </c>
      <c r="E36" s="15">
        <v>340</v>
      </c>
      <c r="F36" s="11" t="s">
        <v>776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510</v>
      </c>
      <c r="E37" s="15">
        <v>340</v>
      </c>
      <c r="F37" s="11" t="s">
        <v>777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511</v>
      </c>
      <c r="E38" s="15">
        <v>340</v>
      </c>
      <c r="F38" s="11" t="s">
        <v>773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512</v>
      </c>
      <c r="E39" s="15">
        <v>340</v>
      </c>
      <c r="F39" s="11" t="s">
        <v>778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513</v>
      </c>
      <c r="E40" s="15">
        <v>340</v>
      </c>
      <c r="F40" s="11" t="s">
        <v>779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516</v>
      </c>
      <c r="E41" s="15">
        <v>340</v>
      </c>
      <c r="F41" s="11" t="s">
        <v>770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515</v>
      </c>
      <c r="E42" s="15">
        <v>340</v>
      </c>
      <c r="F42" s="11" t="s">
        <v>780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514</v>
      </c>
      <c r="E43" s="15">
        <v>340</v>
      </c>
      <c r="F43" s="11" t="s">
        <v>772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567</v>
      </c>
      <c r="E44" s="15">
        <v>350</v>
      </c>
      <c r="F44" s="11" t="s">
        <v>781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568</v>
      </c>
      <c r="E45" s="15">
        <v>350</v>
      </c>
      <c r="F45" s="11" t="s">
        <v>782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569</v>
      </c>
      <c r="E46" s="15">
        <v>350</v>
      </c>
      <c r="F46" s="11" t="s">
        <v>783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570</v>
      </c>
      <c r="E47" s="15">
        <v>350</v>
      </c>
      <c r="F47" s="11" t="s">
        <v>784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571</v>
      </c>
      <c r="E48" s="15">
        <v>350</v>
      </c>
      <c r="F48" s="11" t="s">
        <v>785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616</v>
      </c>
      <c r="E49" s="15">
        <v>350</v>
      </c>
      <c r="F49" s="11" t="s">
        <v>776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617</v>
      </c>
      <c r="E50" s="15">
        <v>350</v>
      </c>
      <c r="F50" s="11" t="s">
        <v>786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618</v>
      </c>
      <c r="E51" s="15">
        <v>350</v>
      </c>
      <c r="F51" s="11" t="s">
        <v>787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619</v>
      </c>
      <c r="E52" s="15">
        <v>350</v>
      </c>
      <c r="F52" s="11" t="s">
        <v>788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620</v>
      </c>
      <c r="E53" s="15">
        <v>350</v>
      </c>
      <c r="F53" s="11" t="s">
        <v>789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816</v>
      </c>
      <c r="E54" s="15">
        <v>360</v>
      </c>
      <c r="F54" s="11" t="s">
        <v>821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817</v>
      </c>
      <c r="E55" s="15">
        <v>360</v>
      </c>
      <c r="F55" s="11" t="s">
        <v>822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818</v>
      </c>
      <c r="E56" s="15">
        <v>360</v>
      </c>
      <c r="F56" s="11" t="s">
        <v>823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819</v>
      </c>
      <c r="E57" s="15">
        <v>360</v>
      </c>
      <c r="F57" s="11" t="s">
        <v>824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820</v>
      </c>
      <c r="E58" s="15">
        <v>360</v>
      </c>
      <c r="F58" s="11" t="s">
        <v>798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853</v>
      </c>
      <c r="E59" s="15">
        <v>360</v>
      </c>
      <c r="F59" s="11" t="s">
        <v>790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854</v>
      </c>
      <c r="E60" s="15">
        <v>360</v>
      </c>
      <c r="F60" s="11" t="s">
        <v>858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855</v>
      </c>
      <c r="E61" s="15">
        <v>360</v>
      </c>
      <c r="F61" s="11" t="s">
        <v>858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856</v>
      </c>
      <c r="E62" s="15">
        <v>360</v>
      </c>
      <c r="F62" s="11" t="s">
        <v>781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857</v>
      </c>
      <c r="E63" s="15">
        <v>360</v>
      </c>
      <c r="F63" s="11" t="s">
        <v>765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886</v>
      </c>
      <c r="E64" s="15">
        <v>370</v>
      </c>
      <c r="F64" s="11" t="s">
        <v>891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887</v>
      </c>
      <c r="E65" s="15">
        <v>370</v>
      </c>
      <c r="F65" s="11" t="s">
        <v>892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888</v>
      </c>
      <c r="E66" s="15">
        <v>370</v>
      </c>
      <c r="F66" s="11" t="s">
        <v>893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889</v>
      </c>
      <c r="E67" s="15">
        <v>370</v>
      </c>
      <c r="F67" s="11" t="s">
        <v>784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890</v>
      </c>
      <c r="E68" s="15">
        <v>370</v>
      </c>
      <c r="F68" s="11" t="s">
        <v>894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1758</v>
      </c>
      <c r="E69" s="15">
        <v>370</v>
      </c>
      <c r="F69" s="11" t="s">
        <v>812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1759</v>
      </c>
      <c r="E70" s="15">
        <v>370</v>
      </c>
      <c r="F70" s="11" t="s">
        <v>1763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1760</v>
      </c>
      <c r="E71" s="15">
        <v>370</v>
      </c>
      <c r="F71" s="11" t="s">
        <v>1764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1761</v>
      </c>
      <c r="E72" s="15">
        <v>370</v>
      </c>
      <c r="F72" s="11" t="s">
        <v>1765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1762</v>
      </c>
      <c r="E73" s="15">
        <v>370</v>
      </c>
      <c r="F73" s="11" t="s">
        <v>1766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1857</v>
      </c>
      <c r="E74" s="15">
        <v>380</v>
      </c>
      <c r="F74" s="11" t="s">
        <v>790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1858</v>
      </c>
      <c r="E75" s="15">
        <v>380</v>
      </c>
      <c r="F75" s="11" t="s">
        <v>1866</v>
      </c>
      <c r="G75" s="15">
        <v>25000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250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1859</v>
      </c>
      <c r="E76" s="15">
        <v>380</v>
      </c>
      <c r="F76" s="11" t="s">
        <v>798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1860</v>
      </c>
      <c r="E77" s="15">
        <v>380</v>
      </c>
      <c r="F77" s="11" t="s">
        <v>770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1861</v>
      </c>
      <c r="E78" s="15">
        <v>380</v>
      </c>
      <c r="F78" s="11" t="s">
        <v>1864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1862</v>
      </c>
      <c r="E79" s="15">
        <v>380</v>
      </c>
      <c r="F79" s="11" t="s">
        <v>1865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505</v>
      </c>
      <c r="E80" s="15">
        <v>380</v>
      </c>
      <c r="F80" s="11" t="s">
        <v>790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506</v>
      </c>
      <c r="E81" s="15">
        <v>380</v>
      </c>
      <c r="F81" s="11" t="s">
        <v>791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507</v>
      </c>
      <c r="E82" s="15">
        <v>380</v>
      </c>
      <c r="F82" s="11" t="s">
        <v>792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508</v>
      </c>
      <c r="E83" s="15">
        <v>380</v>
      </c>
      <c r="F83" s="11" t="s">
        <v>793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509</v>
      </c>
      <c r="E84" s="15">
        <v>380</v>
      </c>
      <c r="F84" s="11" t="s">
        <v>791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510</v>
      </c>
      <c r="E85" s="15">
        <v>380</v>
      </c>
      <c r="F85" s="11" t="s">
        <v>794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511</v>
      </c>
      <c r="E86" s="15">
        <v>380</v>
      </c>
      <c r="F86" s="11" t="s">
        <v>780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512</v>
      </c>
      <c r="E87" s="15">
        <v>380</v>
      </c>
      <c r="F87" s="11" t="s">
        <v>795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513</v>
      </c>
      <c r="E88" s="15">
        <v>380</v>
      </c>
      <c r="F88" s="11" t="s">
        <v>796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516</v>
      </c>
      <c r="E89" s="15">
        <v>380</v>
      </c>
      <c r="F89" s="11" t="s">
        <v>797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515</v>
      </c>
      <c r="E90" s="15">
        <v>380</v>
      </c>
      <c r="F90" s="11" t="s">
        <v>798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514</v>
      </c>
      <c r="E91" s="15">
        <v>380</v>
      </c>
      <c r="F91" s="11" t="s">
        <v>770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567</v>
      </c>
      <c r="E92" s="15">
        <v>390</v>
      </c>
      <c r="F92" s="11" t="s">
        <v>763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568</v>
      </c>
      <c r="E93" s="15">
        <v>390</v>
      </c>
      <c r="F93" s="11" t="s">
        <v>799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569</v>
      </c>
      <c r="E94" s="15">
        <v>390</v>
      </c>
      <c r="F94" s="11" t="s">
        <v>800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570</v>
      </c>
      <c r="E95" s="15">
        <v>390</v>
      </c>
      <c r="F95" s="11" t="s">
        <v>796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571</v>
      </c>
      <c r="E96" s="15">
        <v>390</v>
      </c>
      <c r="F96" s="11" t="s">
        <v>801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616</v>
      </c>
      <c r="E97" s="15">
        <v>390</v>
      </c>
      <c r="F97" s="11" t="s">
        <v>802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617</v>
      </c>
      <c r="E98" s="15">
        <v>390</v>
      </c>
      <c r="F98" s="11" t="s">
        <v>803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618</v>
      </c>
      <c r="E99" s="15">
        <v>390</v>
      </c>
      <c r="F99" s="11" t="s">
        <v>804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619</v>
      </c>
      <c r="E100" s="15">
        <v>390</v>
      </c>
      <c r="F100" s="11" t="s">
        <v>805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620</v>
      </c>
      <c r="E101" s="15">
        <v>390</v>
      </c>
      <c r="F101" s="11" t="s">
        <v>806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816</v>
      </c>
      <c r="E102" s="15">
        <v>400</v>
      </c>
      <c r="F102" s="11" t="s">
        <v>813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817</v>
      </c>
      <c r="E103" s="15">
        <v>400</v>
      </c>
      <c r="F103" s="11" t="s">
        <v>791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818</v>
      </c>
      <c r="E104" s="15">
        <v>400</v>
      </c>
      <c r="F104" s="11" t="s">
        <v>825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819</v>
      </c>
      <c r="E105" s="15">
        <v>400</v>
      </c>
      <c r="F105" s="11" t="s">
        <v>787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820</v>
      </c>
      <c r="E106" s="15">
        <v>400</v>
      </c>
      <c r="F106" s="11" t="s">
        <v>826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853</v>
      </c>
      <c r="E107" s="15">
        <v>400</v>
      </c>
      <c r="F107" s="11" t="s">
        <v>767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854</v>
      </c>
      <c r="E108" s="15">
        <v>400</v>
      </c>
      <c r="F108" s="11" t="s">
        <v>859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855</v>
      </c>
      <c r="E109" s="15">
        <v>400</v>
      </c>
      <c r="F109" s="11" t="s">
        <v>798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856</v>
      </c>
      <c r="E110" s="15">
        <v>400</v>
      </c>
      <c r="F110" s="11" t="s">
        <v>859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857</v>
      </c>
      <c r="E111" s="15">
        <v>400</v>
      </c>
      <c r="F111" s="11" t="s">
        <v>860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886</v>
      </c>
      <c r="E112" s="15">
        <v>410</v>
      </c>
      <c r="F112" s="11" t="s">
        <v>859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887</v>
      </c>
      <c r="E113" s="15">
        <v>410</v>
      </c>
      <c r="F113" s="11" t="s">
        <v>895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888</v>
      </c>
      <c r="E114" s="15">
        <v>410</v>
      </c>
      <c r="F114" s="11" t="s">
        <v>896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889</v>
      </c>
      <c r="E115" s="15">
        <v>410</v>
      </c>
      <c r="F115" s="11" t="s">
        <v>799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890</v>
      </c>
      <c r="E116" s="15">
        <v>410</v>
      </c>
      <c r="F116" s="11" t="s">
        <v>813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1885</v>
      </c>
      <c r="E117" s="15">
        <v>410</v>
      </c>
      <c r="F117" s="11" t="s">
        <v>805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1759</v>
      </c>
      <c r="E118" s="15">
        <v>410</v>
      </c>
      <c r="F118" s="11" t="s">
        <v>1767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1760</v>
      </c>
      <c r="E119" s="15">
        <v>410</v>
      </c>
      <c r="F119" s="11" t="s">
        <v>1768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1761</v>
      </c>
      <c r="E120" s="15">
        <v>410</v>
      </c>
      <c r="F120" s="11" t="s">
        <v>1769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1762</v>
      </c>
      <c r="E121" s="15">
        <v>410</v>
      </c>
      <c r="F121" s="11" t="s">
        <v>1770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1857</v>
      </c>
      <c r="E122" s="15">
        <v>420</v>
      </c>
      <c r="F122" s="11" t="s">
        <v>1863</v>
      </c>
      <c r="G122" s="15">
        <v>500000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250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1858</v>
      </c>
      <c r="E123" s="15">
        <v>420</v>
      </c>
      <c r="F123" s="11" t="s">
        <v>1867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1859</v>
      </c>
      <c r="E124" s="15">
        <v>420</v>
      </c>
      <c r="F124" s="11" t="s">
        <v>1868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1860</v>
      </c>
      <c r="E125" s="15">
        <v>420</v>
      </c>
      <c r="F125" s="11" t="s">
        <v>1869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1861</v>
      </c>
      <c r="E126" s="15">
        <v>420</v>
      </c>
      <c r="F126" s="11" t="s">
        <v>1870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1862</v>
      </c>
      <c r="E127" s="15">
        <v>420</v>
      </c>
      <c r="F127" s="11" t="s">
        <v>1870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557</v>
      </c>
      <c r="E128" s="15">
        <v>280</v>
      </c>
      <c r="F128" s="11" t="s">
        <v>773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558</v>
      </c>
      <c r="E129" s="15">
        <v>300</v>
      </c>
      <c r="F129" s="11" t="s">
        <v>807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559</v>
      </c>
      <c r="E130" s="15">
        <v>310</v>
      </c>
      <c r="F130" s="11" t="s">
        <v>808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560</v>
      </c>
      <c r="E131" s="15">
        <v>320</v>
      </c>
      <c r="F131" s="11" t="s">
        <v>779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561</v>
      </c>
      <c r="E132" s="15">
        <v>330</v>
      </c>
      <c r="F132" s="11" t="s">
        <v>808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562</v>
      </c>
      <c r="E133" s="15">
        <v>340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563</v>
      </c>
      <c r="E134" s="15">
        <v>345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564</v>
      </c>
      <c r="E135" s="15">
        <v>350</v>
      </c>
      <c r="F135" s="11" t="s">
        <v>781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565</v>
      </c>
      <c r="E136" s="15">
        <v>360</v>
      </c>
      <c r="F136" s="11" t="s">
        <v>759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566</v>
      </c>
      <c r="E137" s="15">
        <v>360</v>
      </c>
      <c r="F137" s="11" t="s">
        <v>760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1632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1633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1693</v>
      </c>
      <c r="E140" s="15">
        <v>430</v>
      </c>
      <c r="F140" s="11" t="s">
        <v>1632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1692</v>
      </c>
      <c r="E141" s="15">
        <v>340</v>
      </c>
      <c r="F141" s="11" t="s">
        <v>1695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1764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1823</v>
      </c>
      <c r="E143" s="15">
        <v>340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1872</v>
      </c>
      <c r="E144" s="15">
        <v>340</v>
      </c>
      <c r="F144" s="11" t="s">
        <v>1873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582</v>
      </c>
      <c r="E145" s="15">
        <v>400</v>
      </c>
      <c r="F145" s="11" t="s">
        <v>809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583</v>
      </c>
      <c r="E146" s="15">
        <v>380</v>
      </c>
      <c r="F146" s="11" t="s">
        <v>810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584</v>
      </c>
      <c r="E147" s="15">
        <v>360</v>
      </c>
      <c r="F147" s="11" t="s">
        <v>811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585</v>
      </c>
      <c r="E148" s="15">
        <v>340</v>
      </c>
      <c r="F148" s="11" t="s">
        <v>812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883</v>
      </c>
      <c r="E149" s="15">
        <v>355</v>
      </c>
      <c r="F149" s="11" t="s">
        <v>900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885</v>
      </c>
      <c r="E150" s="15">
        <v>355</v>
      </c>
      <c r="F150" s="11" t="s">
        <v>899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882</v>
      </c>
      <c r="E151" s="15">
        <v>370</v>
      </c>
      <c r="F151" s="11" t="s">
        <v>898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884</v>
      </c>
      <c r="E152" s="15">
        <v>370</v>
      </c>
      <c r="F152" s="11" t="s">
        <v>897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721</v>
      </c>
      <c r="E153" s="15">
        <v>330</v>
      </c>
      <c r="F153" s="11" t="s">
        <v>813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720</v>
      </c>
      <c r="E154" s="15">
        <v>340</v>
      </c>
      <c r="F154" s="11" t="s">
        <v>790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1855</v>
      </c>
      <c r="E155" s="15">
        <v>355</v>
      </c>
      <c r="F155" s="11" t="s">
        <v>1871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1856</v>
      </c>
      <c r="E156" s="15">
        <v>370</v>
      </c>
      <c r="F156" s="11" t="s">
        <v>797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846</v>
      </c>
      <c r="E157" s="15">
        <v>290</v>
      </c>
      <c r="F157" s="11" t="s">
        <v>835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847</v>
      </c>
      <c r="E158" s="15">
        <v>360</v>
      </c>
      <c r="F158" s="11" t="s">
        <v>836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1655</v>
      </c>
      <c r="E159" s="15">
        <v>400</v>
      </c>
      <c r="F159" s="11" t="s">
        <v>1656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10</v>
      </c>
      <c r="C160" s="15">
        <v>1</v>
      </c>
      <c r="D160" s="11" t="s">
        <v>1920</v>
      </c>
      <c r="E160" s="15">
        <v>361</v>
      </c>
      <c r="F160" s="11">
        <v>66000</v>
      </c>
      <c r="G160" s="15">
        <v>35100</v>
      </c>
      <c r="H160" s="15">
        <v>5</v>
      </c>
      <c r="I160" s="15">
        <v>300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1</v>
      </c>
      <c r="D161" s="11" t="s">
        <v>875</v>
      </c>
      <c r="E161" s="15">
        <v>360</v>
      </c>
      <c r="F161" s="11" t="s">
        <v>876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2</v>
      </c>
      <c r="D162" s="11" t="s">
        <v>875</v>
      </c>
      <c r="E162" s="15">
        <v>360</v>
      </c>
      <c r="F162" s="11" t="s">
        <v>876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3</v>
      </c>
      <c r="D163" s="11" t="s">
        <v>875</v>
      </c>
      <c r="E163" s="15">
        <v>360</v>
      </c>
      <c r="F163" s="11" t="s">
        <v>876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4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5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6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7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8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9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99</v>
      </c>
      <c r="C170" s="15">
        <v>10</v>
      </c>
      <c r="D170" s="11" t="s">
        <v>875</v>
      </c>
      <c r="E170" s="15">
        <v>360</v>
      </c>
      <c r="F170" s="11" t="s">
        <v>876</v>
      </c>
      <c r="G170" s="15">
        <v>10000000</v>
      </c>
      <c r="H170" s="15">
        <v>8</v>
      </c>
      <c r="I170" s="15">
        <v>999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</sheetData>
  <phoneticPr fontId="1"/>
  <dataValidations count="1">
    <dataValidation type="list" allowBlank="1" showInputMessage="1" showErrorMessage="1" sqref="A7:A170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5"/>
  <sheetViews>
    <sheetView zoomScale="85" zoomScaleNormal="85" workbookViewId="0">
      <pane ySplit="6" topLeftCell="A481" activePane="bottomLeft" state="frozen"/>
      <selection pane="bottomLeft" activeCell="B498" sqref="B498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1984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1985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1986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1987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1988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1989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1990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1991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1992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1993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1986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1994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1995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1996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1997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1998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2000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1637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1637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1637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2001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2002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2003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2004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2005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2006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2007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1638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2008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2009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2010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2011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2012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2013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2014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2015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2016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2017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1638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2018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2019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2020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2021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2022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2023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2024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2025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1637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2026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2027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2028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2029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1923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1922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1640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2030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2031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2032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1771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1772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2033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2034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1773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1813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1814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1811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1812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1815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2035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1851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1853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1854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2036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1852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2052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2051</v>
      </c>
      <c r="D499" s="15">
        <v>43</v>
      </c>
      <c r="E499" s="15">
        <v>124</v>
      </c>
      <c r="F499" s="15">
        <v>15</v>
      </c>
      <c r="G499" s="15">
        <v>150</v>
      </c>
      <c r="H499" s="15">
        <v>10</v>
      </c>
      <c r="I499" s="15"/>
    </row>
    <row r="500" spans="1:9">
      <c r="A500" s="8"/>
      <c r="B500" s="15">
        <v>494</v>
      </c>
      <c r="C500" s="15" t="s">
        <v>2045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1001</v>
      </c>
      <c r="C501" s="15" t="s">
        <v>2037</v>
      </c>
      <c r="D501" s="15">
        <v>0</v>
      </c>
      <c r="E501" s="15">
        <v>0</v>
      </c>
      <c r="F501" s="15">
        <v>5</v>
      </c>
      <c r="G501" s="15">
        <v>450</v>
      </c>
      <c r="H501" s="15">
        <v>1</v>
      </c>
      <c r="I501" s="15"/>
    </row>
    <row r="502" spans="1:9">
      <c r="A502" s="8"/>
      <c r="B502" s="15">
        <v>1002</v>
      </c>
      <c r="C502" s="15" t="s">
        <v>1663</v>
      </c>
      <c r="D502" s="15">
        <v>0</v>
      </c>
      <c r="E502" s="15">
        <v>0</v>
      </c>
      <c r="F502" s="15">
        <v>11</v>
      </c>
      <c r="G502" s="15">
        <v>450</v>
      </c>
      <c r="H502" s="15">
        <v>1</v>
      </c>
      <c r="I502" s="15"/>
    </row>
    <row r="503" spans="1:9">
      <c r="A503" s="8"/>
      <c r="B503" s="15">
        <v>1003</v>
      </c>
      <c r="C503" s="15" t="s">
        <v>1658</v>
      </c>
      <c r="D503" s="15">
        <v>0</v>
      </c>
      <c r="E503" s="15">
        <v>0</v>
      </c>
      <c r="F503" s="15">
        <v>6</v>
      </c>
      <c r="G503" s="15">
        <v>0</v>
      </c>
      <c r="H503" s="15">
        <v>1</v>
      </c>
      <c r="I503" s="15"/>
    </row>
    <row r="504" spans="1:9">
      <c r="A504" s="8"/>
      <c r="B504" s="15">
        <v>1004</v>
      </c>
      <c r="C504" s="15" t="s">
        <v>1661</v>
      </c>
      <c r="D504" s="15">
        <v>0</v>
      </c>
      <c r="E504" s="15">
        <v>0</v>
      </c>
      <c r="F504" s="15">
        <v>3</v>
      </c>
      <c r="G504" s="15">
        <v>450</v>
      </c>
      <c r="H504" s="15">
        <v>1</v>
      </c>
      <c r="I504" s="15"/>
    </row>
    <row r="505" spans="1:9">
      <c r="A505" s="8"/>
      <c r="B505" s="15">
        <v>1005</v>
      </c>
      <c r="C505" s="15" t="s">
        <v>591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/>
    </row>
    <row r="506" spans="1:9">
      <c r="A506" s="8"/>
      <c r="B506" s="15">
        <v>1006</v>
      </c>
      <c r="C506" s="15" t="s">
        <v>531</v>
      </c>
      <c r="D506" s="15">
        <v>0</v>
      </c>
      <c r="E506" s="15">
        <v>0</v>
      </c>
      <c r="F506" s="15">
        <v>4</v>
      </c>
      <c r="G506" s="15">
        <v>450</v>
      </c>
      <c r="H506" s="15">
        <v>1</v>
      </c>
      <c r="I506" s="15"/>
    </row>
    <row r="507" spans="1:9">
      <c r="A507" s="8"/>
      <c r="B507" s="15">
        <v>1007</v>
      </c>
      <c r="C507" s="15" t="s">
        <v>1659</v>
      </c>
      <c r="D507" s="15">
        <v>0</v>
      </c>
      <c r="E507" s="15">
        <v>0</v>
      </c>
      <c r="F507" s="15">
        <v>1</v>
      </c>
      <c r="G507" s="15">
        <v>0</v>
      </c>
      <c r="H507" s="15">
        <v>1</v>
      </c>
      <c r="I507" s="15"/>
    </row>
    <row r="508" spans="1:9">
      <c r="A508" s="8"/>
      <c r="B508" s="15">
        <v>1008</v>
      </c>
      <c r="C508" s="15" t="s">
        <v>1662</v>
      </c>
      <c r="D508" s="15">
        <v>0</v>
      </c>
      <c r="E508" s="15">
        <v>0</v>
      </c>
      <c r="F508" s="15">
        <v>4</v>
      </c>
      <c r="G508" s="15">
        <v>450</v>
      </c>
      <c r="H508" s="15">
        <v>1</v>
      </c>
      <c r="I508" s="15"/>
    </row>
    <row r="509" spans="1:9">
      <c r="A509" s="8"/>
      <c r="B509" s="15">
        <v>1009</v>
      </c>
      <c r="C509" s="15" t="s">
        <v>587</v>
      </c>
      <c r="D509" s="15">
        <v>0</v>
      </c>
      <c r="E509" s="15">
        <v>0</v>
      </c>
      <c r="F509" s="15">
        <v>9</v>
      </c>
      <c r="G509" s="15">
        <v>200</v>
      </c>
      <c r="H509" s="15">
        <v>1</v>
      </c>
      <c r="I509" s="15"/>
    </row>
    <row r="510" spans="1:9">
      <c r="A510" s="8"/>
      <c r="B510" s="15">
        <v>1010</v>
      </c>
      <c r="C510" s="15" t="s">
        <v>1660</v>
      </c>
      <c r="D510" s="15">
        <v>0</v>
      </c>
      <c r="E510" s="15">
        <v>0</v>
      </c>
      <c r="F510" s="15">
        <v>6</v>
      </c>
      <c r="G510" s="15">
        <v>200</v>
      </c>
      <c r="H510" s="15">
        <v>1</v>
      </c>
      <c r="I510" s="15"/>
    </row>
    <row r="511" spans="1:9">
      <c r="A511" s="8"/>
      <c r="B511" s="15">
        <v>1011</v>
      </c>
      <c r="C511" s="15" t="s">
        <v>1664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/>
    </row>
    <row r="512" spans="1:9">
      <c r="A512" s="8"/>
      <c r="B512" s="15">
        <v>1012</v>
      </c>
      <c r="C512" s="15" t="s">
        <v>2038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/>
    </row>
    <row r="513" spans="1:9">
      <c r="A513" s="8"/>
      <c r="B513" s="15">
        <v>1013</v>
      </c>
      <c r="C513" s="15" t="s">
        <v>1665</v>
      </c>
      <c r="D513" s="15">
        <v>0</v>
      </c>
      <c r="E513" s="15">
        <v>0</v>
      </c>
      <c r="F513" s="15">
        <v>6</v>
      </c>
      <c r="G513" s="15">
        <v>0</v>
      </c>
      <c r="H513" s="15">
        <v>1</v>
      </c>
      <c r="I513" s="15"/>
    </row>
    <row r="514" spans="1:9">
      <c r="A514" s="8"/>
      <c r="B514" s="15">
        <v>1014</v>
      </c>
      <c r="C514" s="15" t="s">
        <v>2039</v>
      </c>
      <c r="D514" s="15">
        <v>0</v>
      </c>
      <c r="E514" s="15">
        <v>0</v>
      </c>
      <c r="F514" s="15">
        <v>6</v>
      </c>
      <c r="G514" s="15">
        <v>0</v>
      </c>
      <c r="H514" s="15">
        <v>1</v>
      </c>
      <c r="I514" s="15"/>
    </row>
    <row r="515" spans="1:9">
      <c r="A515" s="8"/>
      <c r="B515" s="15">
        <v>1015</v>
      </c>
      <c r="C515" s="15" t="s">
        <v>2040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</sheetData>
  <autoFilter ref="B6:J512" xr:uid="{3F84FBC2-D1A1-4918-8ACB-795AE24453E5}"/>
  <phoneticPr fontId="1"/>
  <dataValidations count="1">
    <dataValidation type="list" allowBlank="1" showInputMessage="1" showErrorMessage="1" sqref="A7:A515" xr:uid="{53CB1FEE-6708-4CAF-A747-9C5F671D87B2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1"/>
  <sheetViews>
    <sheetView zoomScale="85" zoomScaleNormal="85" workbookViewId="0">
      <pane ySplit="6" topLeftCell="A124" activePane="bottomLeft" state="frozen"/>
      <selection pane="bottomLeft" activeCell="B143" sqref="B143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2053</v>
      </c>
      <c r="B2" s="9" t="s">
        <v>40</v>
      </c>
      <c r="C2" s="9" t="s">
        <v>1470</v>
      </c>
      <c r="D2" s="9" t="s">
        <v>1691</v>
      </c>
      <c r="E2" s="9" t="s">
        <v>1641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2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1919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1897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1666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1906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1642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1916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1893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1899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1890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1644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1890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1913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1918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1893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1893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1917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1899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1890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1891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1898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1916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1900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1892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1915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1893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1904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1900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1893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1644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1893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1893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1644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1893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1891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1891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1643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1891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1900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1906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1914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1914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1912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1913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1913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1912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1642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1912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1893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1645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1893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1906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1893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1645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1893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1909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1911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1645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1911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1892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1644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1892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1910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1898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1909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1891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1646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1891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1892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1909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1908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1907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1647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1907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1906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1914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1645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1914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1892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1644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1892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1900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1905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1904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1646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1904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1891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1645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1891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1891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1647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1891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1900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1904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1899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1642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1903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1900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1902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1642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1902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1901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1898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1890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1900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1648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1648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1899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1892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1898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1897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1649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1897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1650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1651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1896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1653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1896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1652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1896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1654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1896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1895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1643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1895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1894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1893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1890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1890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1892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1891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1890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VLOOKUP(C142,skill_list!$B$7:$C$1026,2)</f>
        <v>蒼焔ノ迷宮(ATTACK)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2050</v>
      </c>
      <c r="R142" s="14"/>
      <c r="S142" s="14"/>
      <c r="T142" s="14"/>
    </row>
    <row r="143" spans="1:22">
      <c r="A143" s="8"/>
      <c r="B143" s="15">
        <v>139</v>
      </c>
      <c r="C143" s="15">
        <v>492</v>
      </c>
      <c r="D143" s="15" t="str">
        <f>VLOOKUP(C143,skill_list!$B$7:$C$1026,2)</f>
        <v>蒼焔ノ迷宮(ATTACK)</v>
      </c>
      <c r="E143" s="11" t="s">
        <v>1647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2050</v>
      </c>
      <c r="R143" s="14"/>
      <c r="S143" s="14"/>
      <c r="T143" s="14"/>
    </row>
    <row r="144" spans="1:22">
      <c r="A144" s="8"/>
      <c r="B144" s="15">
        <v>140</v>
      </c>
      <c r="C144" s="15">
        <v>493</v>
      </c>
      <c r="D144" s="15" t="str">
        <f>VLOOKUP(C144,skill_list!$B$7:$C$1026,2)</f>
        <v>蒼焔ノ迷宮(BLAST)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1898</v>
      </c>
      <c r="R144" s="14"/>
      <c r="S144" s="14"/>
      <c r="T144" s="14"/>
    </row>
    <row r="145" spans="1:20">
      <c r="A145" s="8"/>
      <c r="B145" s="15">
        <v>2001</v>
      </c>
      <c r="C145" s="15">
        <v>5</v>
      </c>
      <c r="D145" s="15" t="str">
        <f>VLOOKUP(C145,skill_list!$B$7:$C$1026,2)</f>
        <v>フルブレイカー</v>
      </c>
      <c r="E145" s="11"/>
      <c r="F145" s="15">
        <v>2</v>
      </c>
      <c r="G145" s="15">
        <v>1</v>
      </c>
      <c r="H145" s="15">
        <v>0</v>
      </c>
      <c r="I145" s="15">
        <v>0</v>
      </c>
      <c r="J145" s="15">
        <v>1350</v>
      </c>
      <c r="K145" s="15">
        <v>6750</v>
      </c>
      <c r="L145" s="15">
        <v>2</v>
      </c>
      <c r="M145" s="15">
        <v>2.5</v>
      </c>
      <c r="N145" s="15">
        <v>0</v>
      </c>
      <c r="O145" s="15">
        <v>30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2002</v>
      </c>
      <c r="C146" s="15">
        <v>243</v>
      </c>
      <c r="D146" s="15" t="str">
        <f>VLOOKUP(C146,skill_list!$B$7:$C$1026,2)</f>
        <v>銀蜂</v>
      </c>
      <c r="E146" s="11"/>
      <c r="F146" s="15">
        <v>1</v>
      </c>
      <c r="G146" s="15">
        <v>2</v>
      </c>
      <c r="H146" s="15">
        <v>0</v>
      </c>
      <c r="I146" s="15">
        <v>0</v>
      </c>
      <c r="J146" s="15">
        <v>1350</v>
      </c>
      <c r="K146" s="15">
        <v>6750</v>
      </c>
      <c r="L146" s="15">
        <v>3</v>
      </c>
      <c r="M146" s="15">
        <v>2.5</v>
      </c>
      <c r="N146" s="15">
        <v>30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2003</v>
      </c>
      <c r="C147" s="15">
        <v>369</v>
      </c>
      <c r="D147" s="15" t="str">
        <f>VLOOKUP(C147,skill_list!$B$7:$C$1026,2)</f>
        <v>プリズムアタック</v>
      </c>
      <c r="E147" s="11"/>
      <c r="F147" s="15">
        <v>0</v>
      </c>
      <c r="G147" s="15">
        <v>1</v>
      </c>
      <c r="H147" s="15">
        <v>2</v>
      </c>
      <c r="I147" s="15">
        <v>4</v>
      </c>
      <c r="J147" s="15">
        <v>1350</v>
      </c>
      <c r="K147" s="15">
        <v>6750</v>
      </c>
      <c r="L147" s="15">
        <v>4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2004</v>
      </c>
      <c r="C148" s="15">
        <v>200</v>
      </c>
      <c r="D148" s="15" t="str">
        <f>VLOOKUP(C148,skill_list!$B$7:$C$1026,2)</f>
        <v>キラーショット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1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2005</v>
      </c>
      <c r="C149" s="15">
        <v>57</v>
      </c>
      <c r="D149" s="15" t="str">
        <f>VLOOKUP(C149,skill_list!$B$7:$C$1026,2)</f>
        <v>レイジングクロー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5</v>
      </c>
      <c r="M149" s="15">
        <v>16.666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2006</v>
      </c>
      <c r="C150" s="15">
        <v>360</v>
      </c>
      <c r="D150" s="15" t="str">
        <f>VLOOKUP(C150,skill_list!$B$7:$C$1026,2)</f>
        <v>衝撃零度</v>
      </c>
      <c r="E150" s="11"/>
      <c r="F150" s="15">
        <v>0</v>
      </c>
      <c r="G150" s="15">
        <v>1</v>
      </c>
      <c r="H150" s="15">
        <v>2</v>
      </c>
      <c r="I150" s="15">
        <v>2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2007</v>
      </c>
      <c r="C151" s="15">
        <v>263</v>
      </c>
      <c r="D151" s="15" t="str">
        <f>VLOOKUP(C151,skill_list!$B$7:$C$1026,2)</f>
        <v>雷鳴</v>
      </c>
      <c r="E151" s="11"/>
      <c r="F151" s="15">
        <v>0</v>
      </c>
      <c r="G151" s="15">
        <v>1</v>
      </c>
      <c r="H151" s="15">
        <v>2</v>
      </c>
      <c r="I151" s="15">
        <v>3</v>
      </c>
      <c r="J151" s="15">
        <v>1350</v>
      </c>
      <c r="K151" s="15">
        <v>6750</v>
      </c>
      <c r="L151" s="15">
        <v>4</v>
      </c>
      <c r="M151" s="15">
        <v>10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2008</v>
      </c>
      <c r="C152" s="15">
        <v>237</v>
      </c>
      <c r="D152" s="15" t="str">
        <f>VLOOKUP(C152,skill_list!$B$7:$C$1026,2)</f>
        <v>滾る激情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2009</v>
      </c>
      <c r="C153" s="15">
        <v>280</v>
      </c>
      <c r="D153" s="15" t="str">
        <f>VLOOKUP(C153,skill_list!$B$7:$C$1026,2)</f>
        <v>パワークラッシュ</v>
      </c>
      <c r="E153" s="11"/>
      <c r="F153" s="15">
        <v>1</v>
      </c>
      <c r="G153" s="15">
        <v>2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30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2010</v>
      </c>
      <c r="C154" s="15">
        <v>391</v>
      </c>
      <c r="D154" s="15" t="str">
        <f>VLOOKUP(C154,skill_list!$B$7:$C$1026,2)</f>
        <v>露わな鋒</v>
      </c>
      <c r="E154" s="11"/>
      <c r="F154" s="15">
        <v>0</v>
      </c>
      <c r="G154" s="15">
        <v>1</v>
      </c>
      <c r="H154" s="15">
        <v>2</v>
      </c>
      <c r="I154" s="15">
        <v>0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2011</v>
      </c>
      <c r="C155" s="15">
        <v>393</v>
      </c>
      <c r="D155" s="15" t="str">
        <f>VLOOKUP(C155,skill_list!$B$7:$C$1026,2)</f>
        <v>生存の業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3</v>
      </c>
      <c r="M155" s="15">
        <v>2.5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2012</v>
      </c>
      <c r="C156" s="15">
        <v>382</v>
      </c>
      <c r="D156" s="15" t="str">
        <f>VLOOKUP(C156,skill_list!$B$7:$C$1026,2)</f>
        <v>エキゾーストノート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2013</v>
      </c>
      <c r="C157" s="15">
        <v>261</v>
      </c>
      <c r="D157" s="15" t="str">
        <f>VLOOKUP(C157,skill_list!$B$7:$C$1026,2)</f>
        <v>疾黒破弾</v>
      </c>
      <c r="E157" s="11"/>
      <c r="F157" s="15">
        <v>1</v>
      </c>
      <c r="G157" s="15">
        <v>2</v>
      </c>
      <c r="H157" s="15">
        <v>0</v>
      </c>
      <c r="I157" s="15">
        <v>5</v>
      </c>
      <c r="J157" s="15">
        <v>1350</v>
      </c>
      <c r="K157" s="15">
        <v>6750</v>
      </c>
      <c r="L157" s="15">
        <v>3</v>
      </c>
      <c r="M157" s="15">
        <v>2.5</v>
      </c>
      <c r="N157" s="15">
        <v>30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2014</v>
      </c>
      <c r="C158" s="15">
        <v>315</v>
      </c>
      <c r="D158" s="15" t="str">
        <f>VLOOKUP(C158,skill_list!$B$7:$C$1026,2)</f>
        <v>バーストファイア</v>
      </c>
      <c r="E158" s="11"/>
      <c r="F158" s="15">
        <v>0</v>
      </c>
      <c r="G158" s="15">
        <v>1</v>
      </c>
      <c r="H158" s="15">
        <v>2</v>
      </c>
      <c r="I158" s="15">
        <v>1</v>
      </c>
      <c r="J158" s="15">
        <v>1350</v>
      </c>
      <c r="K158" s="15">
        <v>6750</v>
      </c>
      <c r="L158" s="15">
        <v>1</v>
      </c>
      <c r="M158" s="15">
        <v>10</v>
      </c>
      <c r="N158" s="15">
        <v>0</v>
      </c>
      <c r="O158" s="15">
        <v>0</v>
      </c>
      <c r="P158" s="14">
        <v>1</v>
      </c>
      <c r="Q158" s="11" t="s">
        <v>735</v>
      </c>
      <c r="R158" s="15"/>
      <c r="S158" s="15"/>
      <c r="T158" s="15"/>
    </row>
    <row r="159" spans="1:20">
      <c r="A159" s="8"/>
      <c r="B159" s="15">
        <v>2015</v>
      </c>
      <c r="C159" s="15">
        <v>440</v>
      </c>
      <c r="D159" s="15" t="str">
        <f>VLOOKUP(C159,skill_list!$B$7:$C$1026,2)</f>
        <v>フロストソーン</v>
      </c>
      <c r="E159" s="11"/>
      <c r="F159" s="15">
        <v>2</v>
      </c>
      <c r="G159" s="15">
        <v>1</v>
      </c>
      <c r="H159" s="15">
        <v>0</v>
      </c>
      <c r="I159" s="15">
        <v>2</v>
      </c>
      <c r="J159" s="15">
        <v>1350</v>
      </c>
      <c r="K159" s="15">
        <v>6750</v>
      </c>
      <c r="L159" s="15">
        <v>1</v>
      </c>
      <c r="M159" s="15">
        <v>2.5</v>
      </c>
      <c r="N159" s="15">
        <v>0</v>
      </c>
      <c r="O159" s="15">
        <v>30</v>
      </c>
      <c r="P159" s="14">
        <v>1</v>
      </c>
      <c r="Q159" s="11" t="s">
        <v>735</v>
      </c>
      <c r="R159" s="15"/>
      <c r="S159" s="15"/>
      <c r="T159" s="15"/>
    </row>
    <row r="160" spans="1:20">
      <c r="A160" s="8"/>
      <c r="B160" s="15">
        <v>2016</v>
      </c>
      <c r="C160" s="15">
        <v>441</v>
      </c>
      <c r="D160" s="15" t="str">
        <f>VLOOKUP(C160,skill_list!$B$7:$C$1026,2)</f>
        <v>コールドバレット</v>
      </c>
      <c r="E160" s="11"/>
      <c r="F160" s="15">
        <v>0</v>
      </c>
      <c r="G160" s="15">
        <v>1</v>
      </c>
      <c r="H160" s="15">
        <v>2</v>
      </c>
      <c r="I160" s="15">
        <v>2</v>
      </c>
      <c r="J160" s="15">
        <v>1350</v>
      </c>
      <c r="K160" s="15">
        <v>6750</v>
      </c>
      <c r="L160" s="15">
        <v>1</v>
      </c>
      <c r="M160" s="15">
        <v>10</v>
      </c>
      <c r="N160" s="15">
        <v>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2017</v>
      </c>
      <c r="C161" s="15">
        <v>334</v>
      </c>
      <c r="D161" s="15" t="str">
        <f>VLOOKUP(C161,skill_list!$B$7:$C$1026,2)</f>
        <v>バラ撒き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1239</v>
      </c>
      <c r="K161" s="15">
        <v>6195</v>
      </c>
      <c r="L161" s="15">
        <v>3</v>
      </c>
      <c r="M161" s="15">
        <v>2.2000000000000002</v>
      </c>
      <c r="N161" s="15">
        <v>0</v>
      </c>
      <c r="O161" s="15">
        <v>0</v>
      </c>
      <c r="P161" s="14">
        <v>2</v>
      </c>
      <c r="Q161" s="11" t="s">
        <v>735</v>
      </c>
      <c r="R161" s="15"/>
      <c r="S161" s="15"/>
      <c r="T161" s="15"/>
    </row>
    <row r="162" spans="1:20">
      <c r="A162" s="8"/>
      <c r="B162" s="15">
        <v>2018</v>
      </c>
      <c r="C162" s="15">
        <v>137</v>
      </c>
      <c r="D162" s="15" t="str">
        <f>VLOOKUP(C162,skill_list!$B$7:$C$1026,2)</f>
        <v>サイクロンブレード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1239</v>
      </c>
      <c r="K162" s="15">
        <v>6195</v>
      </c>
      <c r="L162" s="15">
        <v>1</v>
      </c>
      <c r="M162" s="15">
        <v>2.2000000000000002</v>
      </c>
      <c r="N162" s="15">
        <v>0</v>
      </c>
      <c r="O162" s="15">
        <v>0</v>
      </c>
      <c r="P162" s="14">
        <v>2</v>
      </c>
      <c r="Q162" s="11" t="s">
        <v>735</v>
      </c>
      <c r="R162" s="15"/>
      <c r="S162" s="15"/>
      <c r="T162" s="15"/>
    </row>
    <row r="163" spans="1:20">
      <c r="A163" s="8"/>
      <c r="B163" s="15">
        <v>2019</v>
      </c>
      <c r="C163" s="15">
        <v>298</v>
      </c>
      <c r="D163" s="15" t="str">
        <f>VLOOKUP(C163,skill_list!$B$7:$C$1026,2)</f>
        <v>パニッシャー</v>
      </c>
      <c r="E163" s="11"/>
      <c r="F163" s="15">
        <v>1</v>
      </c>
      <c r="G163" s="15">
        <v>2</v>
      </c>
      <c r="H163" s="15">
        <v>0</v>
      </c>
      <c r="I163" s="15">
        <v>0</v>
      </c>
      <c r="J163" s="15">
        <v>1233</v>
      </c>
      <c r="K163" s="15">
        <v>6165</v>
      </c>
      <c r="L163" s="15">
        <v>4</v>
      </c>
      <c r="M163" s="15">
        <v>2.375</v>
      </c>
      <c r="N163" s="15">
        <v>30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2020</v>
      </c>
      <c r="C164" s="15">
        <v>385</v>
      </c>
      <c r="D164" s="15" t="str">
        <f>VLOOKUP(C164,skill_list!$B$7:$C$1026,2)</f>
        <v>乙女の輝き</v>
      </c>
      <c r="E164" s="11"/>
      <c r="F164" s="15">
        <v>2</v>
      </c>
      <c r="G164" s="15">
        <v>1</v>
      </c>
      <c r="H164" s="15">
        <v>0</v>
      </c>
      <c r="I164" s="15">
        <v>4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30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2021</v>
      </c>
      <c r="C165" s="15">
        <v>205</v>
      </c>
      <c r="D165" s="15" t="str">
        <f>VLOOKUP(C165,skill_list!$B$7:$C$1026,2)</f>
        <v>狂乱舞</v>
      </c>
      <c r="E165" s="11"/>
      <c r="F165" s="15">
        <v>0</v>
      </c>
      <c r="G165" s="15">
        <v>1</v>
      </c>
      <c r="H165" s="15">
        <v>2</v>
      </c>
      <c r="I165" s="15">
        <v>0</v>
      </c>
      <c r="J165" s="15">
        <v>1122</v>
      </c>
      <c r="K165" s="15">
        <v>5610</v>
      </c>
      <c r="L165" s="15">
        <v>4</v>
      </c>
      <c r="M165" s="15">
        <v>9</v>
      </c>
      <c r="N165" s="15">
        <v>0</v>
      </c>
      <c r="O165" s="15">
        <v>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2022</v>
      </c>
      <c r="C166" s="15">
        <v>219</v>
      </c>
      <c r="D166" s="15" t="str">
        <f>VLOOKUP(C166,skill_list!$B$7:$C$1026,2)</f>
        <v>夢十夜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4</v>
      </c>
      <c r="M166" s="15">
        <v>9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2023</v>
      </c>
      <c r="C167" s="15">
        <v>389</v>
      </c>
      <c r="D167" s="15" t="str">
        <f>VLOOKUP(C167,skill_list!$B$7:$C$1026,2)</f>
        <v>誘掖の途</v>
      </c>
      <c r="E167" s="11"/>
      <c r="F167" s="15">
        <v>0</v>
      </c>
      <c r="G167" s="15">
        <v>1</v>
      </c>
      <c r="H167" s="15">
        <v>2</v>
      </c>
      <c r="I167" s="15">
        <v>4</v>
      </c>
      <c r="J167" s="15">
        <v>1122</v>
      </c>
      <c r="K167" s="15">
        <v>5610</v>
      </c>
      <c r="L167" s="15">
        <v>4</v>
      </c>
      <c r="M167" s="15">
        <v>9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2024</v>
      </c>
      <c r="C168" s="15">
        <v>377</v>
      </c>
      <c r="D168" s="15" t="str">
        <f>VLOOKUP(C168,skill_list!$B$7:$C$1026,2)</f>
        <v>主君の努め</v>
      </c>
      <c r="E168" s="11"/>
      <c r="F168" s="15">
        <v>2</v>
      </c>
      <c r="G168" s="15">
        <v>1</v>
      </c>
      <c r="H168" s="15">
        <v>0</v>
      </c>
      <c r="I168" s="15">
        <v>0</v>
      </c>
      <c r="J168" s="15">
        <v>1122</v>
      </c>
      <c r="K168" s="15">
        <v>5610</v>
      </c>
      <c r="L168" s="15">
        <v>3</v>
      </c>
      <c r="M168" s="15">
        <v>2.25</v>
      </c>
      <c r="N168" s="15">
        <v>0</v>
      </c>
      <c r="O168" s="15">
        <v>30</v>
      </c>
      <c r="P168" s="14">
        <v>1</v>
      </c>
      <c r="Q168" s="11" t="s">
        <v>735</v>
      </c>
      <c r="R168" s="15"/>
      <c r="S168" s="15"/>
      <c r="T168" s="15"/>
    </row>
    <row r="169" spans="1:20">
      <c r="A169" s="8"/>
      <c r="B169" s="15">
        <v>2025</v>
      </c>
      <c r="C169" s="15">
        <v>354</v>
      </c>
      <c r="D169" s="15" t="str">
        <f>VLOOKUP(C169,skill_list!$B$7:$C$1026,2)</f>
        <v>狼狽プーリァ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1122</v>
      </c>
      <c r="K169" s="15">
        <v>5610</v>
      </c>
      <c r="L169" s="15">
        <v>3</v>
      </c>
      <c r="M169" s="15">
        <v>2.25</v>
      </c>
      <c r="N169" s="15">
        <v>0</v>
      </c>
      <c r="O169" s="15">
        <v>0</v>
      </c>
      <c r="P169" s="14">
        <v>1</v>
      </c>
      <c r="Q169" s="11" t="s">
        <v>735</v>
      </c>
      <c r="R169" s="15"/>
      <c r="S169" s="15"/>
      <c r="T169" s="15"/>
    </row>
    <row r="170" spans="1:20">
      <c r="A170" s="8"/>
      <c r="B170" s="15">
        <v>2026</v>
      </c>
      <c r="C170" s="15">
        <v>446</v>
      </c>
      <c r="D170" s="15" t="str">
        <f>VLOOKUP(C170,skill_list!$B$7:$C$1026,2)</f>
        <v>コールドクラッシュ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1122</v>
      </c>
      <c r="K170" s="15">
        <v>5610</v>
      </c>
      <c r="L170" s="15">
        <v>2</v>
      </c>
      <c r="M170" s="15">
        <v>2.25</v>
      </c>
      <c r="N170" s="15">
        <v>0</v>
      </c>
      <c r="O170" s="15">
        <v>0</v>
      </c>
      <c r="P170" s="14">
        <v>1</v>
      </c>
      <c r="Q170" s="11" t="s">
        <v>735</v>
      </c>
      <c r="R170" s="15"/>
      <c r="S170" s="15"/>
      <c r="T170" s="15"/>
    </row>
    <row r="171" spans="1:20">
      <c r="A171" s="8"/>
      <c r="B171" s="15">
        <v>2027</v>
      </c>
      <c r="C171" s="15">
        <v>305</v>
      </c>
      <c r="D171" s="15" t="str">
        <f>VLOOKUP(C171,skill_list!$B$7:$C$1026,2)</f>
        <v>スパイクサージ</v>
      </c>
      <c r="E171" s="11"/>
      <c r="F171" s="15">
        <v>1</v>
      </c>
      <c r="G171" s="15">
        <v>2</v>
      </c>
      <c r="H171" s="15">
        <v>0</v>
      </c>
      <c r="I171" s="15">
        <v>3</v>
      </c>
      <c r="J171" s="15">
        <v>1050</v>
      </c>
      <c r="K171" s="15">
        <v>5250</v>
      </c>
      <c r="L171" s="15">
        <v>3</v>
      </c>
      <c r="M171" s="15">
        <v>2</v>
      </c>
      <c r="N171" s="15">
        <v>30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2028</v>
      </c>
      <c r="C172" s="15">
        <v>447</v>
      </c>
      <c r="D172" s="15" t="str">
        <f>VLOOKUP(C172,skill_list!$B$7:$C$1026,2)</f>
        <v>仮面のワルツ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30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2029</v>
      </c>
      <c r="C173" s="15">
        <v>17</v>
      </c>
      <c r="D173" s="15" t="str">
        <f>VLOOKUP(C173,skill_list!$B$7:$C$1026,2)</f>
        <v>フルスイング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2030</v>
      </c>
      <c r="C174" s="15">
        <v>277</v>
      </c>
      <c r="D174" s="15" t="str">
        <f>VLOOKUP(C174,skill_list!$B$7:$C$1026,2)</f>
        <v>イノセンス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2031</v>
      </c>
      <c r="C175" s="15">
        <v>296</v>
      </c>
      <c r="D175" s="15" t="str">
        <f>VLOOKUP(C175,skill_list!$B$7:$C$1026,2)</f>
        <v>コールドウェイヴ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2032</v>
      </c>
      <c r="C176" s="15">
        <v>290</v>
      </c>
      <c r="D176" s="15" t="str">
        <f>VLOOKUP(C176,skill_list!$B$7:$C$1026,2)</f>
        <v>魔莢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2</v>
      </c>
      <c r="M176" s="15">
        <v>2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2033</v>
      </c>
      <c r="C177" s="15">
        <v>291</v>
      </c>
      <c r="D177" s="15" t="str">
        <f>VLOOKUP(C177,skill_list!$B$7:$C$1026,2)</f>
        <v>スターマイン</v>
      </c>
      <c r="E177" s="11"/>
      <c r="F177" s="15">
        <v>0</v>
      </c>
      <c r="G177" s="15">
        <v>1</v>
      </c>
      <c r="H177" s="15">
        <v>2</v>
      </c>
      <c r="I177" s="15">
        <v>4</v>
      </c>
      <c r="J177" s="15">
        <v>1050</v>
      </c>
      <c r="K177" s="15">
        <v>5250</v>
      </c>
      <c r="L177" s="15">
        <v>2</v>
      </c>
      <c r="M177" s="15">
        <v>2</v>
      </c>
      <c r="N177" s="15">
        <v>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2034</v>
      </c>
      <c r="C178" s="15">
        <v>197</v>
      </c>
      <c r="D178" s="15" t="str">
        <f>VLOOKUP(C178,skill_list!$B$7:$C$1026,2)</f>
        <v>烈</v>
      </c>
      <c r="E178" s="11"/>
      <c r="F178" s="15">
        <v>1</v>
      </c>
      <c r="G178" s="15">
        <v>2</v>
      </c>
      <c r="H178" s="15">
        <v>0</v>
      </c>
      <c r="I178" s="15">
        <v>0</v>
      </c>
      <c r="J178" s="15">
        <v>1050</v>
      </c>
      <c r="K178" s="15">
        <v>5250</v>
      </c>
      <c r="L178" s="15">
        <v>1</v>
      </c>
      <c r="M178" s="15">
        <v>2</v>
      </c>
      <c r="N178" s="15">
        <v>30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2035</v>
      </c>
      <c r="C179" s="15">
        <v>278</v>
      </c>
      <c r="D179" s="15" t="str">
        <f>VLOOKUP(C179,skill_list!$B$7:$C$1026,2)</f>
        <v>レヴォリューション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1050</v>
      </c>
      <c r="K179" s="15">
        <v>5250</v>
      </c>
      <c r="L179" s="15">
        <v>3</v>
      </c>
      <c r="M179" s="15">
        <v>8</v>
      </c>
      <c r="N179" s="15">
        <v>0</v>
      </c>
      <c r="O179" s="15">
        <v>0</v>
      </c>
      <c r="P179" s="14">
        <v>2</v>
      </c>
      <c r="Q179" s="11" t="s">
        <v>735</v>
      </c>
      <c r="R179" s="15"/>
      <c r="S179" s="15"/>
      <c r="T179" s="15"/>
    </row>
    <row r="180" spans="1:20">
      <c r="A180" s="8"/>
      <c r="B180" s="15">
        <v>2036</v>
      </c>
      <c r="C180" s="15">
        <v>214</v>
      </c>
      <c r="D180" s="15" t="str">
        <f>VLOOKUP(C180,skill_list!$B$7:$C$1026,2)</f>
        <v>瞬刃</v>
      </c>
      <c r="E180" s="11"/>
      <c r="F180" s="15">
        <v>1</v>
      </c>
      <c r="G180" s="15">
        <v>2</v>
      </c>
      <c r="H180" s="15">
        <v>0</v>
      </c>
      <c r="I180" s="15">
        <v>0</v>
      </c>
      <c r="J180" s="15">
        <v>1050</v>
      </c>
      <c r="K180" s="15">
        <v>5250</v>
      </c>
      <c r="L180" s="15">
        <v>3</v>
      </c>
      <c r="M180" s="15">
        <v>2</v>
      </c>
      <c r="N180" s="15">
        <v>30</v>
      </c>
      <c r="O180" s="15">
        <v>0</v>
      </c>
      <c r="P180" s="14">
        <v>2</v>
      </c>
      <c r="Q180" s="11" t="s">
        <v>735</v>
      </c>
      <c r="R180" s="15"/>
      <c r="S180" s="15"/>
      <c r="T180" s="15"/>
    </row>
    <row r="181" spans="1:20">
      <c r="A181" s="8"/>
      <c r="B181" s="15">
        <v>2037</v>
      </c>
      <c r="C181" s="15">
        <v>435</v>
      </c>
      <c r="D181" s="15" t="str">
        <f>VLOOKUP(C181,skill_list!$B$7:$C$1026,2)</f>
        <v>コールドストローク</v>
      </c>
      <c r="E181" s="11"/>
      <c r="F181" s="15">
        <v>0</v>
      </c>
      <c r="G181" s="15">
        <v>1</v>
      </c>
      <c r="H181" s="15">
        <v>2</v>
      </c>
      <c r="I181" s="15">
        <v>2</v>
      </c>
      <c r="J181" s="15">
        <v>1050</v>
      </c>
      <c r="K181" s="15">
        <v>5250</v>
      </c>
      <c r="L181" s="15">
        <v>3</v>
      </c>
      <c r="M181" s="15">
        <v>2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2038</v>
      </c>
      <c r="C182" s="15">
        <v>222</v>
      </c>
      <c r="D182" s="15" t="str">
        <f>VLOOKUP(C182,skill_list!$B$7:$C$1026,2)</f>
        <v>夜雨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1017</v>
      </c>
      <c r="K182" s="15">
        <v>5085</v>
      </c>
      <c r="L182" s="15">
        <v>1</v>
      </c>
      <c r="M182" s="15">
        <v>2.125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2039</v>
      </c>
      <c r="C183" s="15">
        <v>257</v>
      </c>
      <c r="D183" s="15" t="str">
        <f>VLOOKUP(C183,skill_list!$B$7:$C$1026,2)</f>
        <v>プリンシプルチャンダス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1017</v>
      </c>
      <c r="K183" s="15">
        <v>5085</v>
      </c>
      <c r="L183" s="15">
        <v>3</v>
      </c>
      <c r="M183" s="15">
        <v>2.125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2040</v>
      </c>
      <c r="C184" s="15">
        <v>467</v>
      </c>
      <c r="D184" s="15" t="str">
        <f>VLOOKUP(C184,skill_list!$B$7:$C$1026,2)</f>
        <v>螳螂之斧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962.25</v>
      </c>
      <c r="K184" s="15">
        <v>4811.25</v>
      </c>
      <c r="L184" s="15">
        <v>3</v>
      </c>
      <c r="M184" s="15">
        <v>1.9</v>
      </c>
      <c r="N184" s="15">
        <v>0</v>
      </c>
      <c r="O184" s="15">
        <v>0</v>
      </c>
      <c r="P184" s="14">
        <v>2</v>
      </c>
      <c r="Q184" s="11" t="s">
        <v>735</v>
      </c>
      <c r="R184" s="15"/>
      <c r="S184" s="15"/>
      <c r="T184" s="15"/>
    </row>
    <row r="185" spans="1:20">
      <c r="A185" s="8"/>
      <c r="B185" s="15">
        <v>2041</v>
      </c>
      <c r="C185" s="15">
        <v>215</v>
      </c>
      <c r="D185" s="15" t="str">
        <f>VLOOKUP(C185,skill_list!$B$7:$C$1026,2)</f>
        <v>ノーブルウェッジ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2</v>
      </c>
      <c r="M185" s="15">
        <v>8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2042</v>
      </c>
      <c r="C186" s="15">
        <v>16</v>
      </c>
      <c r="D186" s="15" t="str">
        <f>VLOOKUP(C186,skill_list!$B$7:$C$1026,2)</f>
        <v>ハードブレード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2</v>
      </c>
      <c r="M186" s="15">
        <v>2</v>
      </c>
      <c r="N186" s="15">
        <v>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2043</v>
      </c>
      <c r="C187" s="15">
        <v>388</v>
      </c>
      <c r="D187" s="15" t="str">
        <f>VLOOKUP(C187,skill_list!$B$7:$C$1026,2)</f>
        <v>残焔</v>
      </c>
      <c r="E187" s="11"/>
      <c r="F187" s="15">
        <v>0</v>
      </c>
      <c r="G187" s="15">
        <v>1</v>
      </c>
      <c r="H187" s="15">
        <v>2</v>
      </c>
      <c r="I187" s="15">
        <v>1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2044</v>
      </c>
      <c r="C188" s="15">
        <v>206</v>
      </c>
      <c r="D188" s="15" t="str">
        <f>VLOOKUP(C188,skill_list!$B$7:$C$1026,2)</f>
        <v>フレイムテンペスト</v>
      </c>
      <c r="E188" s="11"/>
      <c r="F188" s="15">
        <v>0</v>
      </c>
      <c r="G188" s="15">
        <v>1</v>
      </c>
      <c r="H188" s="15">
        <v>2</v>
      </c>
      <c r="I188" s="15">
        <v>1</v>
      </c>
      <c r="J188" s="15">
        <v>918</v>
      </c>
      <c r="K188" s="15">
        <v>4590</v>
      </c>
      <c r="L188" s="15">
        <v>4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2045</v>
      </c>
      <c r="C189" s="15">
        <v>251</v>
      </c>
      <c r="D189" s="15" t="str">
        <f>VLOOKUP(C189,skill_list!$B$7:$C$1026,2)</f>
        <v>ランブルシャーク</v>
      </c>
      <c r="E189" s="11"/>
      <c r="F189" s="15">
        <v>1</v>
      </c>
      <c r="G189" s="15">
        <v>2</v>
      </c>
      <c r="H189" s="15">
        <v>0</v>
      </c>
      <c r="I189" s="15">
        <v>0</v>
      </c>
      <c r="J189" s="15">
        <v>918</v>
      </c>
      <c r="K189" s="15">
        <v>4590</v>
      </c>
      <c r="L189" s="15">
        <v>4</v>
      </c>
      <c r="M189" s="15">
        <v>2</v>
      </c>
      <c r="N189" s="15">
        <v>30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2046</v>
      </c>
      <c r="C190" s="15">
        <v>62</v>
      </c>
      <c r="D190" s="15" t="str">
        <f>VLOOKUP(C190,skill_list!$B$7:$C$1026,2)</f>
        <v>キリングエッジ</v>
      </c>
      <c r="E190" s="11"/>
      <c r="F190" s="15">
        <v>1</v>
      </c>
      <c r="G190" s="15">
        <v>2</v>
      </c>
      <c r="H190" s="15">
        <v>0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30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2047</v>
      </c>
      <c r="C191" s="15">
        <v>65</v>
      </c>
      <c r="D191" s="15" t="str">
        <f>VLOOKUP(C191,skill_list!$B$7:$C$1026,2)</f>
        <v>ポラリスの輝き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2048</v>
      </c>
      <c r="C192" s="15">
        <v>234</v>
      </c>
      <c r="D192" s="15" t="str">
        <f>VLOOKUP(C192,skill_list!$B$7:$C$1026,2)</f>
        <v>一片氷心</v>
      </c>
      <c r="E192" s="11"/>
      <c r="F192" s="15">
        <v>0</v>
      </c>
      <c r="G192" s="15">
        <v>1</v>
      </c>
      <c r="H192" s="15">
        <v>2</v>
      </c>
      <c r="I192" s="15">
        <v>2</v>
      </c>
      <c r="J192" s="15">
        <v>918</v>
      </c>
      <c r="K192" s="15">
        <v>4590</v>
      </c>
      <c r="L192" s="15">
        <v>4</v>
      </c>
      <c r="M192" s="15">
        <v>8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2049</v>
      </c>
      <c r="C193" s="15">
        <v>190</v>
      </c>
      <c r="D193" s="15" t="str">
        <f>VLOOKUP(C193,skill_list!$B$7:$C$1026,2)</f>
        <v>ゲインカノン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3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2050</v>
      </c>
      <c r="C194" s="15">
        <v>98</v>
      </c>
      <c r="D194" s="15" t="str">
        <f>VLOOKUP(C194,skill_list!$B$7:$C$1026,2)</f>
        <v>ディミニッシュ・レイ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3</v>
      </c>
      <c r="M194" s="15">
        <v>2</v>
      </c>
      <c r="N194" s="15">
        <v>0</v>
      </c>
      <c r="O194" s="15">
        <v>0</v>
      </c>
      <c r="P194" s="14">
        <v>1</v>
      </c>
      <c r="Q194" s="11" t="s">
        <v>735</v>
      </c>
      <c r="R194" s="15"/>
      <c r="S194" s="15"/>
      <c r="T194" s="15"/>
    </row>
    <row r="195" spans="1:20">
      <c r="A195" s="8"/>
      <c r="B195" s="15">
        <v>2051</v>
      </c>
      <c r="C195" s="15">
        <v>208</v>
      </c>
      <c r="D195" s="15" t="str">
        <f>VLOOKUP(C195,skill_list!$B$7:$C$1026,2)</f>
        <v>極点の一手</v>
      </c>
      <c r="E195" s="11"/>
      <c r="F195" s="15">
        <v>0</v>
      </c>
      <c r="G195" s="15">
        <v>1</v>
      </c>
      <c r="H195" s="15">
        <v>2</v>
      </c>
      <c r="I195" s="15">
        <v>0</v>
      </c>
      <c r="J195" s="15">
        <v>918</v>
      </c>
      <c r="K195" s="15">
        <v>4590</v>
      </c>
      <c r="L195" s="15">
        <v>3</v>
      </c>
      <c r="M195" s="15">
        <v>2</v>
      </c>
      <c r="N195" s="15">
        <v>0</v>
      </c>
      <c r="O195" s="15">
        <v>0</v>
      </c>
      <c r="P195" s="14">
        <v>1</v>
      </c>
      <c r="Q195" s="11" t="s">
        <v>735</v>
      </c>
      <c r="R195" s="15"/>
      <c r="S195" s="15"/>
      <c r="T195" s="15"/>
    </row>
    <row r="196" spans="1:20">
      <c r="A196" s="8"/>
      <c r="B196" s="15">
        <v>2052</v>
      </c>
      <c r="C196" s="15">
        <v>253</v>
      </c>
      <c r="D196" s="15" t="str">
        <f>VLOOKUP(C196,skill_list!$B$7:$C$1026,2)</f>
        <v>ライトニングロア</v>
      </c>
      <c r="E196" s="11"/>
      <c r="F196" s="15">
        <v>0</v>
      </c>
      <c r="G196" s="15">
        <v>1</v>
      </c>
      <c r="H196" s="15">
        <v>2</v>
      </c>
      <c r="I196" s="15">
        <v>0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735</v>
      </c>
      <c r="R196" s="15"/>
      <c r="S196" s="15"/>
      <c r="T196" s="15"/>
    </row>
    <row r="197" spans="1:20">
      <c r="A197" s="8"/>
      <c r="B197" s="15">
        <v>2053</v>
      </c>
      <c r="C197" s="15">
        <v>195</v>
      </c>
      <c r="D197" s="15" t="str">
        <f>VLOOKUP(C197,skill_list!$B$7:$C$1026,2)</f>
        <v>ネイキッドイレイザー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879</v>
      </c>
      <c r="K197" s="15">
        <v>4395</v>
      </c>
      <c r="L197" s="15">
        <v>1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2054</v>
      </c>
      <c r="C198" s="15">
        <v>249</v>
      </c>
      <c r="D198" s="15" t="str">
        <f>VLOOKUP(C198,skill_list!$B$7:$C$1026,2)</f>
        <v>シルキーフレア</v>
      </c>
      <c r="E198" s="11"/>
      <c r="F198" s="15">
        <v>0</v>
      </c>
      <c r="G198" s="15">
        <v>1</v>
      </c>
      <c r="H198" s="15">
        <v>2</v>
      </c>
      <c r="I198" s="15">
        <v>1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2055</v>
      </c>
      <c r="C199" s="15">
        <v>375</v>
      </c>
      <c r="D199" s="15" t="str">
        <f>VLOOKUP(C199,skill_list!$B$7:$C$1026,2)</f>
        <v>キルキルヒカル</v>
      </c>
      <c r="E199" s="11"/>
      <c r="F199" s="15">
        <v>0</v>
      </c>
      <c r="G199" s="15">
        <v>1</v>
      </c>
      <c r="H199" s="15">
        <v>2</v>
      </c>
      <c r="I199" s="15">
        <v>4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2056</v>
      </c>
      <c r="C200" s="15">
        <v>423</v>
      </c>
      <c r="D200" s="15" t="str">
        <f>VLOOKUP(C200,skill_list!$B$7:$C$1026,2)</f>
        <v>アイドルスマイル</v>
      </c>
      <c r="E200" s="11"/>
      <c r="F200" s="15">
        <v>0</v>
      </c>
      <c r="G200" s="15">
        <v>1</v>
      </c>
      <c r="H200" s="15">
        <v>2</v>
      </c>
      <c r="I200" s="15">
        <v>1</v>
      </c>
      <c r="J200" s="15">
        <v>879</v>
      </c>
      <c r="K200" s="15">
        <v>4395</v>
      </c>
      <c r="L200" s="15">
        <v>3</v>
      </c>
      <c r="M200" s="15">
        <v>1.8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2057</v>
      </c>
      <c r="C201" s="15">
        <v>423</v>
      </c>
      <c r="D201" s="15" t="str">
        <f>VLOOKUP(C201,skill_list!$B$7:$C$1026,2)</f>
        <v>アイドルスマイル</v>
      </c>
      <c r="E201" s="11" t="s">
        <v>1645</v>
      </c>
      <c r="F201" s="15">
        <v>0</v>
      </c>
      <c r="G201" s="15">
        <v>1</v>
      </c>
      <c r="H201" s="15">
        <v>2</v>
      </c>
      <c r="I201" s="15">
        <v>1</v>
      </c>
      <c r="J201" s="15">
        <v>1050</v>
      </c>
      <c r="K201" s="15">
        <v>5250</v>
      </c>
      <c r="L201" s="15">
        <v>3</v>
      </c>
      <c r="M201" s="15">
        <v>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2058</v>
      </c>
      <c r="C202" s="15">
        <v>202</v>
      </c>
      <c r="D202" s="15" t="str">
        <f>VLOOKUP(C202,skill_list!$B$7:$C$1026,2)</f>
        <v>風斬りの刃</v>
      </c>
      <c r="E202" s="11"/>
      <c r="F202" s="15">
        <v>2</v>
      </c>
      <c r="G202" s="15">
        <v>1</v>
      </c>
      <c r="H202" s="15">
        <v>0</v>
      </c>
      <c r="I202" s="15">
        <v>0</v>
      </c>
      <c r="J202" s="15">
        <v>879</v>
      </c>
      <c r="K202" s="15">
        <v>4395</v>
      </c>
      <c r="L202" s="15">
        <v>3</v>
      </c>
      <c r="M202" s="15">
        <v>1.8</v>
      </c>
      <c r="N202" s="15">
        <v>0</v>
      </c>
      <c r="O202" s="15">
        <v>30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2059</v>
      </c>
      <c r="C203" s="15">
        <v>344</v>
      </c>
      <c r="D203" s="15" t="str">
        <f>VLOOKUP(C203,skill_list!$B$7:$C$1026,2)</f>
        <v>ヒロイックプラウド</v>
      </c>
      <c r="E203" s="11"/>
      <c r="F203" s="15">
        <v>0</v>
      </c>
      <c r="G203" s="15">
        <v>1</v>
      </c>
      <c r="H203" s="15">
        <v>2</v>
      </c>
      <c r="I203" s="15">
        <v>3</v>
      </c>
      <c r="J203" s="15">
        <v>879</v>
      </c>
      <c r="K203" s="15">
        <v>4395</v>
      </c>
      <c r="L203" s="15">
        <v>2</v>
      </c>
      <c r="M203" s="15">
        <v>7.2</v>
      </c>
      <c r="N203" s="15">
        <v>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2060</v>
      </c>
      <c r="C204" s="15">
        <v>71</v>
      </c>
      <c r="D204" s="15" t="str">
        <f>VLOOKUP(C204,skill_list!$B$7:$C$1026,2)</f>
        <v>ルーンバースト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2</v>
      </c>
      <c r="M204" s="15">
        <v>1.8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2061</v>
      </c>
      <c r="C205" s="15">
        <v>394</v>
      </c>
      <c r="D205" s="15" t="str">
        <f>VLOOKUP(C205,skill_list!$B$7:$C$1026,2)</f>
        <v>寝ても醒めても</v>
      </c>
      <c r="E205" s="11"/>
      <c r="F205" s="15">
        <v>0</v>
      </c>
      <c r="G205" s="15">
        <v>1</v>
      </c>
      <c r="H205" s="15">
        <v>2</v>
      </c>
      <c r="I205" s="15">
        <v>5</v>
      </c>
      <c r="J205" s="15">
        <v>879</v>
      </c>
      <c r="K205" s="15">
        <v>4395</v>
      </c>
      <c r="L205" s="15">
        <v>3</v>
      </c>
      <c r="M205" s="15">
        <v>7.2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2062</v>
      </c>
      <c r="C206" s="15">
        <v>356</v>
      </c>
      <c r="D206" s="15" t="str">
        <f>VLOOKUP(C206,skill_list!$B$7:$C$1026,2)</f>
        <v>別れの朝</v>
      </c>
      <c r="E206" s="11"/>
      <c r="F206" s="15">
        <v>1</v>
      </c>
      <c r="G206" s="15">
        <v>2</v>
      </c>
      <c r="H206" s="15">
        <v>0</v>
      </c>
      <c r="I206" s="15">
        <v>2</v>
      </c>
      <c r="J206" s="15">
        <v>879</v>
      </c>
      <c r="K206" s="15">
        <v>4395</v>
      </c>
      <c r="L206" s="15">
        <v>3</v>
      </c>
      <c r="M206" s="15">
        <v>1.8</v>
      </c>
      <c r="N206" s="15">
        <v>30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2063</v>
      </c>
      <c r="C207" s="15">
        <v>106</v>
      </c>
      <c r="D207" s="15" t="str">
        <f>VLOOKUP(C207,skill_list!$B$7:$C$1026,2)</f>
        <v>地獄変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735</v>
      </c>
      <c r="R207" s="15"/>
      <c r="S207" s="15"/>
      <c r="T207" s="15"/>
    </row>
    <row r="208" spans="1:20">
      <c r="A208" s="8"/>
      <c r="B208" s="15">
        <v>2064</v>
      </c>
      <c r="C208" s="15">
        <v>416</v>
      </c>
      <c r="D208" s="15" t="str">
        <f>VLOOKUP(C208,skill_list!$B$7:$C$1026,2)</f>
        <v>デバノデバン</v>
      </c>
      <c r="E208" s="11"/>
      <c r="F208" s="15">
        <v>0</v>
      </c>
      <c r="G208" s="15">
        <v>1</v>
      </c>
      <c r="H208" s="15">
        <v>2</v>
      </c>
      <c r="I208" s="15">
        <v>2</v>
      </c>
      <c r="J208" s="15">
        <v>879</v>
      </c>
      <c r="K208" s="15">
        <v>4395</v>
      </c>
      <c r="L208" s="15">
        <v>1</v>
      </c>
      <c r="M208" s="15">
        <v>1.8</v>
      </c>
      <c r="N208" s="15">
        <v>0</v>
      </c>
      <c r="O208" s="15">
        <v>0</v>
      </c>
      <c r="P208" s="14">
        <v>2</v>
      </c>
      <c r="Q208" s="11" t="s">
        <v>735</v>
      </c>
      <c r="R208" s="15"/>
      <c r="S208" s="15"/>
      <c r="T208" s="15"/>
    </row>
    <row r="209" spans="1:20">
      <c r="A209" s="8"/>
      <c r="B209" s="15">
        <v>2065</v>
      </c>
      <c r="C209" s="15">
        <v>228</v>
      </c>
      <c r="D209" s="15" t="str">
        <f>VLOOKUP(C209,skill_list!$B$7:$C$1026,2)</f>
        <v>喧嘩上等！！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879</v>
      </c>
      <c r="K209" s="15">
        <v>4395</v>
      </c>
      <c r="L209" s="15">
        <v>1</v>
      </c>
      <c r="M209" s="15">
        <v>1.8</v>
      </c>
      <c r="N209" s="15">
        <v>0</v>
      </c>
      <c r="O209" s="15">
        <v>0</v>
      </c>
      <c r="P209" s="14">
        <v>2</v>
      </c>
      <c r="Q209" s="11" t="s">
        <v>735</v>
      </c>
      <c r="R209" s="15"/>
      <c r="S209" s="15"/>
      <c r="T209" s="15"/>
    </row>
    <row r="210" spans="1:20">
      <c r="A210" s="8"/>
      <c r="B210" s="15">
        <v>2066</v>
      </c>
      <c r="C210" s="15">
        <v>11</v>
      </c>
      <c r="D210" s="15" t="str">
        <f>VLOOKUP(C210,skill_list!$B$7:$C$1026,2)</f>
        <v>ブレイクカノン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2067</v>
      </c>
      <c r="C211" s="15">
        <v>22</v>
      </c>
      <c r="D211" s="15" t="str">
        <f>VLOOKUP(C211,skill_list!$B$7:$C$1026,2)</f>
        <v>ブレスショット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1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2068</v>
      </c>
      <c r="C212" s="15">
        <v>45</v>
      </c>
      <c r="D212" s="15" t="str">
        <f>VLOOKUP(C212,skill_list!$B$7:$C$1026,2)</f>
        <v>残心撃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738</v>
      </c>
      <c r="K212" s="15">
        <v>3690</v>
      </c>
      <c r="L212" s="15">
        <v>4</v>
      </c>
      <c r="M212" s="15">
        <v>1.75</v>
      </c>
      <c r="N212" s="15">
        <v>0</v>
      </c>
      <c r="O212" s="15">
        <v>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2069</v>
      </c>
      <c r="C213" s="15">
        <v>258</v>
      </c>
      <c r="D213" s="15" t="str">
        <f>VLOOKUP(C213,skill_list!$B$7:$C$1026,2)</f>
        <v>リサイクル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738</v>
      </c>
      <c r="K213" s="15">
        <v>3690</v>
      </c>
      <c r="L213" s="15">
        <v>3</v>
      </c>
      <c r="M213" s="15">
        <v>1.75</v>
      </c>
      <c r="N213" s="15">
        <v>0</v>
      </c>
      <c r="O213" s="15">
        <v>0</v>
      </c>
      <c r="P213" s="14">
        <v>1</v>
      </c>
      <c r="Q213" s="11" t="s">
        <v>735</v>
      </c>
      <c r="R213" s="15"/>
      <c r="S213" s="15"/>
      <c r="T213" s="15"/>
    </row>
    <row r="214" spans="1:20">
      <c r="A214" s="8"/>
      <c r="B214" s="15">
        <v>2070</v>
      </c>
      <c r="C214" s="15">
        <v>204</v>
      </c>
      <c r="D214" s="15" t="str">
        <f>VLOOKUP(C214,skill_list!$B$7:$C$1026,2)</f>
        <v>ミストイングレイブ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738</v>
      </c>
      <c r="K214" s="15">
        <v>3690</v>
      </c>
      <c r="L214" s="15">
        <v>4</v>
      </c>
      <c r="M214" s="15">
        <v>1.75</v>
      </c>
      <c r="N214" s="15">
        <v>0</v>
      </c>
      <c r="O214" s="15">
        <v>0</v>
      </c>
      <c r="P214" s="14">
        <v>1</v>
      </c>
      <c r="Q214" s="11" t="s">
        <v>735</v>
      </c>
      <c r="R214" s="15"/>
      <c r="S214" s="15"/>
      <c r="T214" s="15"/>
    </row>
    <row r="215" spans="1:20">
      <c r="A215" s="8"/>
      <c r="B215" s="15">
        <v>2071</v>
      </c>
      <c r="C215" s="15">
        <v>194</v>
      </c>
      <c r="D215" s="15" t="str">
        <f>VLOOKUP(C215,skill_list!$B$7:$C$1026,2)</f>
        <v>渾身銃撃</v>
      </c>
      <c r="E215" s="11"/>
      <c r="F215" s="15">
        <v>2</v>
      </c>
      <c r="G215" s="15">
        <v>1</v>
      </c>
      <c r="H215" s="15">
        <v>0</v>
      </c>
      <c r="I215" s="15">
        <v>0</v>
      </c>
      <c r="J215" s="15">
        <v>738</v>
      </c>
      <c r="K215" s="15">
        <v>3690</v>
      </c>
      <c r="L215" s="15">
        <v>1</v>
      </c>
      <c r="M215" s="15">
        <v>1.75</v>
      </c>
      <c r="N215" s="15">
        <v>0</v>
      </c>
      <c r="O215" s="15">
        <v>30</v>
      </c>
      <c r="P215" s="14">
        <v>1</v>
      </c>
      <c r="Q215" s="11" t="s">
        <v>735</v>
      </c>
      <c r="R215" s="15"/>
      <c r="S215" s="15"/>
      <c r="T215" s="15"/>
    </row>
    <row r="216" spans="1:20">
      <c r="A216" s="8"/>
      <c r="B216" s="15">
        <v>2072</v>
      </c>
      <c r="C216" s="15">
        <v>3</v>
      </c>
      <c r="D216" s="15" t="str">
        <f>VLOOKUP(C216,skill_list!$B$7:$C$1026,2)</f>
        <v>スピニングスラッシュ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2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2073</v>
      </c>
      <c r="C217" s="15">
        <v>248</v>
      </c>
      <c r="D217" s="15" t="str">
        <f>VLOOKUP(C217,skill_list!$B$7:$C$1026,2)</f>
        <v>バーニングインパクト</v>
      </c>
      <c r="E217" s="11"/>
      <c r="F217" s="15">
        <v>1</v>
      </c>
      <c r="G217" s="15">
        <v>2</v>
      </c>
      <c r="H217" s="15">
        <v>0</v>
      </c>
      <c r="I217" s="15">
        <v>1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2074</v>
      </c>
      <c r="C218" s="15">
        <v>368</v>
      </c>
      <c r="D218" s="15" t="str">
        <f>VLOOKUP(C218,skill_list!$B$7:$C$1026,2)</f>
        <v>レッドオペレーション</v>
      </c>
      <c r="E218" s="11"/>
      <c r="F218" s="15">
        <v>2</v>
      </c>
      <c r="G218" s="15">
        <v>1</v>
      </c>
      <c r="H218" s="15">
        <v>0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30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2075</v>
      </c>
      <c r="C219" s="15">
        <v>229</v>
      </c>
      <c r="D219" s="15" t="str">
        <f>VLOOKUP(C219,skill_list!$B$7:$C$1026,2)</f>
        <v>フューリーインパルス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2076</v>
      </c>
      <c r="C220" s="15">
        <v>343</v>
      </c>
      <c r="D220" s="15" t="str">
        <f>VLOOKUP(C220,skill_list!$B$7:$C$1026,2)</f>
        <v>天の慈悲</v>
      </c>
      <c r="E220" s="11"/>
      <c r="F220" s="15">
        <v>1</v>
      </c>
      <c r="G220" s="15">
        <v>2</v>
      </c>
      <c r="H220" s="15">
        <v>0</v>
      </c>
      <c r="I220" s="15">
        <v>3</v>
      </c>
      <c r="J220" s="15">
        <v>726</v>
      </c>
      <c r="K220" s="15">
        <v>3630</v>
      </c>
      <c r="L220" s="15">
        <v>2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2077</v>
      </c>
      <c r="C221" s="15">
        <v>427</v>
      </c>
      <c r="D221" s="15" t="str">
        <f>VLOOKUP(C221,skill_list!$B$7:$C$1026,2)</f>
        <v>ファンタズム</v>
      </c>
      <c r="E221" s="11"/>
      <c r="F221" s="15">
        <v>0</v>
      </c>
      <c r="G221" s="15">
        <v>1</v>
      </c>
      <c r="H221" s="15">
        <v>2</v>
      </c>
      <c r="I221" s="15">
        <v>1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2078</v>
      </c>
      <c r="C222" s="15">
        <v>231</v>
      </c>
      <c r="D222" s="15" t="str">
        <f>VLOOKUP(C222,skill_list!$B$7:$C$1026,2)</f>
        <v>ミストスラッシュ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3</v>
      </c>
      <c r="M222" s="15">
        <v>1.6</v>
      </c>
      <c r="N222" s="15">
        <v>0</v>
      </c>
      <c r="O222" s="15">
        <v>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2079</v>
      </c>
      <c r="C223" s="15">
        <v>192</v>
      </c>
      <c r="D223" s="15" t="str">
        <f>VLOOKUP(C223,skill_list!$B$7:$C$1026,2)</f>
        <v>アイススラッシュ</v>
      </c>
      <c r="E223" s="11"/>
      <c r="F223" s="15">
        <v>1</v>
      </c>
      <c r="G223" s="15">
        <v>2</v>
      </c>
      <c r="H223" s="15">
        <v>0</v>
      </c>
      <c r="I223" s="15">
        <v>2</v>
      </c>
      <c r="J223" s="15">
        <v>726</v>
      </c>
      <c r="K223" s="15">
        <v>3630</v>
      </c>
      <c r="L223" s="15">
        <v>3</v>
      </c>
      <c r="M223" s="15">
        <v>1.6</v>
      </c>
      <c r="N223" s="15">
        <v>30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2080</v>
      </c>
      <c r="C224" s="15">
        <v>455</v>
      </c>
      <c r="D224" s="15" t="str">
        <f>VLOOKUP(C224,skill_list!$B$7:$C$1026,2)</f>
        <v>シャインテラー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2081</v>
      </c>
      <c r="C225" s="15">
        <v>77</v>
      </c>
      <c r="D225" s="15" t="str">
        <f>VLOOKUP(C225,skill_list!$B$7:$C$1026,2)</f>
        <v>ビスコッティ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2082</v>
      </c>
      <c r="C226" s="15">
        <v>212</v>
      </c>
      <c r="D226" s="15" t="str">
        <f>VLOOKUP(C226,skill_list!$B$7:$C$1026,2)</f>
        <v>粛正</v>
      </c>
      <c r="E226" s="11"/>
      <c r="F226" s="15">
        <v>0</v>
      </c>
      <c r="G226" s="15">
        <v>1</v>
      </c>
      <c r="H226" s="15">
        <v>2</v>
      </c>
      <c r="I226" s="15">
        <v>0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2083</v>
      </c>
      <c r="C227" s="15">
        <v>401</v>
      </c>
      <c r="D227" s="15" t="str">
        <f>VLOOKUP(C227,skill_list!$B$7:$C$1026,2)</f>
        <v>朧</v>
      </c>
      <c r="E227" s="11"/>
      <c r="F227" s="15">
        <v>0</v>
      </c>
      <c r="G227" s="15">
        <v>1</v>
      </c>
      <c r="H227" s="15">
        <v>2</v>
      </c>
      <c r="I227" s="15">
        <v>4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2084</v>
      </c>
      <c r="C228" s="15">
        <v>265</v>
      </c>
      <c r="D228" s="15" t="str">
        <f>VLOOKUP(C228,skill_list!$B$7:$C$1026,2)</f>
        <v>神妙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2085</v>
      </c>
      <c r="C229" s="15">
        <v>365</v>
      </c>
      <c r="D229" s="15" t="str">
        <f>VLOOKUP(C229,skill_list!$B$7:$C$1026,2)</f>
        <v>ファイトパッション</v>
      </c>
      <c r="E229" s="11"/>
      <c r="F229" s="15">
        <v>5</v>
      </c>
      <c r="G229" s="15">
        <v>0</v>
      </c>
      <c r="H229" s="15">
        <v>0</v>
      </c>
      <c r="I229" s="15">
        <v>5</v>
      </c>
      <c r="J229" s="15">
        <v>726</v>
      </c>
      <c r="K229" s="15">
        <v>3630</v>
      </c>
      <c r="L229" s="15">
        <v>2</v>
      </c>
      <c r="M229" s="15">
        <v>1.6</v>
      </c>
      <c r="N229" s="15">
        <v>0</v>
      </c>
      <c r="O229" s="15">
        <v>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2086</v>
      </c>
      <c r="C230" s="15">
        <v>348</v>
      </c>
      <c r="D230" s="15" t="str">
        <f>VLOOKUP(C230,skill_list!$B$7:$C$1026,2)</f>
        <v>儚き目覚め</v>
      </c>
      <c r="E230" s="11"/>
      <c r="F230" s="15">
        <v>5</v>
      </c>
      <c r="G230" s="15">
        <v>0</v>
      </c>
      <c r="H230" s="15">
        <v>0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2087</v>
      </c>
      <c r="C231" s="15">
        <v>210</v>
      </c>
      <c r="D231" s="15" t="str">
        <f>VLOOKUP(C231,skill_list!$B$7:$C$1026,2)</f>
        <v>スライスショット</v>
      </c>
      <c r="E231" s="11"/>
      <c r="F231" s="15">
        <v>2</v>
      </c>
      <c r="G231" s="15">
        <v>1</v>
      </c>
      <c r="H231" s="15">
        <v>0</v>
      </c>
      <c r="I231" s="15">
        <v>0</v>
      </c>
      <c r="J231" s="15">
        <v>726</v>
      </c>
      <c r="K231" s="15">
        <v>3630</v>
      </c>
      <c r="L231" s="15">
        <v>1</v>
      </c>
      <c r="M231" s="15">
        <v>1.6</v>
      </c>
      <c r="N231" s="15">
        <v>0</v>
      </c>
      <c r="O231" s="15">
        <v>30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2088</v>
      </c>
      <c r="C232" s="15">
        <v>414</v>
      </c>
      <c r="D232" s="15" t="str">
        <f>VLOOKUP(C232,skill_list!$B$7:$C$1026,2)</f>
        <v>アバランチ</v>
      </c>
      <c r="E232" s="11"/>
      <c r="F232" s="15">
        <v>2</v>
      </c>
      <c r="G232" s="15">
        <v>1</v>
      </c>
      <c r="H232" s="15">
        <v>0</v>
      </c>
      <c r="I232" s="15">
        <v>2</v>
      </c>
      <c r="J232" s="15">
        <v>726</v>
      </c>
      <c r="K232" s="15">
        <v>3630</v>
      </c>
      <c r="L232" s="15">
        <v>1</v>
      </c>
      <c r="M232" s="15">
        <v>1.6</v>
      </c>
      <c r="N232" s="15">
        <v>0</v>
      </c>
      <c r="O232" s="15">
        <v>30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2089</v>
      </c>
      <c r="C233" s="15">
        <v>349</v>
      </c>
      <c r="D233" s="15" t="str">
        <f>VLOOKUP(C233,skill_list!$B$7:$C$1026,2)</f>
        <v>大海原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1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2090</v>
      </c>
      <c r="C234" s="15">
        <v>330</v>
      </c>
      <c r="D234" s="15" t="str">
        <f>VLOOKUP(C234,skill_list!$B$7:$C$1026,2)</f>
        <v>負けるな、私</v>
      </c>
      <c r="E234" s="11"/>
      <c r="F234" s="15">
        <v>1</v>
      </c>
      <c r="G234" s="15">
        <v>2</v>
      </c>
      <c r="H234" s="15">
        <v>0</v>
      </c>
      <c r="I234" s="15">
        <v>1</v>
      </c>
      <c r="J234" s="15">
        <v>726</v>
      </c>
      <c r="K234" s="15">
        <v>3630</v>
      </c>
      <c r="L234" s="15">
        <v>3</v>
      </c>
      <c r="M234" s="15">
        <v>1.6</v>
      </c>
      <c r="N234" s="15">
        <v>30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2091</v>
      </c>
      <c r="C235" s="15">
        <v>133</v>
      </c>
      <c r="D235" s="15" t="str">
        <f>VLOOKUP(C235,skill_list!$B$7:$C$1026,2)</f>
        <v>桜華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2092</v>
      </c>
      <c r="C236" s="15">
        <v>241</v>
      </c>
      <c r="D236" s="15" t="str">
        <f>VLOOKUP(C236,skill_list!$B$7:$C$1026,2)</f>
        <v>怒裂昂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2093</v>
      </c>
      <c r="C237" s="15">
        <v>324</v>
      </c>
      <c r="D237" s="15" t="str">
        <f>VLOOKUP(C237,skill_list!$B$7:$C$1026,2)</f>
        <v>トランスペイン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2094</v>
      </c>
      <c r="C238" s="15">
        <v>259</v>
      </c>
      <c r="D238" s="15" t="str">
        <f>VLOOKUP(C238,skill_list!$B$7:$C$1026,2)</f>
        <v>不純なアリア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2095</v>
      </c>
      <c r="C239" s="15">
        <v>286</v>
      </c>
      <c r="D239" s="15" t="str">
        <f>VLOOKUP(C239,skill_list!$B$7:$C$1026,2)</f>
        <v>武血伽魔死</v>
      </c>
      <c r="E239" s="11"/>
      <c r="F239" s="15">
        <v>0</v>
      </c>
      <c r="G239" s="15">
        <v>1</v>
      </c>
      <c r="H239" s="15">
        <v>2</v>
      </c>
      <c r="I239" s="15">
        <v>5</v>
      </c>
      <c r="J239" s="15">
        <v>726</v>
      </c>
      <c r="K239" s="15">
        <v>3630</v>
      </c>
      <c r="L239" s="15">
        <v>1</v>
      </c>
      <c r="M239" s="15">
        <v>6.4</v>
      </c>
      <c r="N239" s="15">
        <v>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2096</v>
      </c>
      <c r="C240" s="15">
        <v>397</v>
      </c>
      <c r="D240" s="15" t="str">
        <f>VLOOKUP(C240,skill_list!$B$7:$C$1026,2)</f>
        <v>春雷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2097</v>
      </c>
      <c r="C241" s="15">
        <v>400</v>
      </c>
      <c r="D241" s="15" t="str">
        <f>VLOOKUP(C241,skill_list!$B$7:$C$1026,2)</f>
        <v>ジーナーカーナー</v>
      </c>
      <c r="E241" s="11"/>
      <c r="F241" s="15">
        <v>3</v>
      </c>
      <c r="G241" s="15">
        <v>0</v>
      </c>
      <c r="H241" s="15">
        <v>0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2098</v>
      </c>
      <c r="C242" s="15">
        <v>438</v>
      </c>
      <c r="D242" s="15" t="str">
        <f>VLOOKUP(C242,skill_list!$B$7:$C$1026,2)</f>
        <v>フローズンタイム</v>
      </c>
      <c r="E242" s="11"/>
      <c r="F242" s="15">
        <v>1</v>
      </c>
      <c r="G242" s="15">
        <v>2</v>
      </c>
      <c r="H242" s="15">
        <v>0</v>
      </c>
      <c r="I242" s="15">
        <v>2</v>
      </c>
      <c r="J242" s="15">
        <v>726</v>
      </c>
      <c r="K242" s="15">
        <v>3630</v>
      </c>
      <c r="L242" s="15">
        <v>2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2099</v>
      </c>
      <c r="C243" s="15">
        <v>319</v>
      </c>
      <c r="D243" s="15" t="str">
        <f>VLOOKUP(C243,skill_list!$B$7:$C$1026,2)</f>
        <v>ダウンビート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2100</v>
      </c>
      <c r="C244" s="15">
        <v>303</v>
      </c>
      <c r="D244" s="15" t="str">
        <f>VLOOKUP(C244,skill_list!$B$7:$C$1026,2)</f>
        <v>サンダーパルス</v>
      </c>
      <c r="E244" s="11"/>
      <c r="F244" s="15">
        <v>2</v>
      </c>
      <c r="G244" s="15">
        <v>1</v>
      </c>
      <c r="H244" s="15">
        <v>0</v>
      </c>
      <c r="I244" s="15">
        <v>3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2101</v>
      </c>
      <c r="C245" s="15">
        <v>27</v>
      </c>
      <c r="D245" s="15" t="str">
        <f>VLOOKUP(C245,skill_list!$B$7:$C$1026,2)</f>
        <v>ワイルドスロー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3</v>
      </c>
      <c r="M245" s="15">
        <v>5.6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2102</v>
      </c>
      <c r="C246" s="15">
        <v>33</v>
      </c>
      <c r="D246" s="15" t="str">
        <f>VLOOKUP(C246,skill_list!$B$7:$C$1026,2)</f>
        <v>闘気斬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2103</v>
      </c>
      <c r="C247" s="15">
        <v>76</v>
      </c>
      <c r="D247" s="15" t="str">
        <f>VLOOKUP(C247,skill_list!$B$7:$C$1026,2)</f>
        <v>プレッツェル</v>
      </c>
      <c r="E247" s="11"/>
      <c r="F247" s="15">
        <v>2</v>
      </c>
      <c r="G247" s="15">
        <v>1</v>
      </c>
      <c r="H247" s="15">
        <v>0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30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2104</v>
      </c>
      <c r="C248" s="15">
        <v>218</v>
      </c>
      <c r="D248" s="15" t="str">
        <f>VLOOKUP(C248,skill_list!$B$7:$C$1026,2)</f>
        <v>薙の矢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2</v>
      </c>
      <c r="M248" s="15">
        <v>1.4</v>
      </c>
      <c r="N248" s="15">
        <v>0</v>
      </c>
      <c r="O248" s="15">
        <v>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2105</v>
      </c>
      <c r="C249" s="15">
        <v>362</v>
      </c>
      <c r="D249" s="15" t="str">
        <f>VLOOKUP(C249,skill_list!$B$7:$C$1026,2)</f>
        <v>R.I.P.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3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2106</v>
      </c>
      <c r="C250" s="15">
        <v>239</v>
      </c>
      <c r="D250" s="15" t="str">
        <f>VLOOKUP(C250,skill_list!$B$7:$C$1026,2)</f>
        <v>キャンディ・バースト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2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2107</v>
      </c>
      <c r="C251" s="15">
        <v>283</v>
      </c>
      <c r="D251" s="15" t="str">
        <f>VLOOKUP(C251,skill_list!$B$7:$C$1026,2)</f>
        <v>シャドウインサイト</v>
      </c>
      <c r="E251" s="11"/>
      <c r="F251" s="15">
        <v>2</v>
      </c>
      <c r="G251" s="15">
        <v>1</v>
      </c>
      <c r="H251" s="15">
        <v>0</v>
      </c>
      <c r="I251" s="15">
        <v>5</v>
      </c>
      <c r="J251" s="15">
        <v>591</v>
      </c>
      <c r="K251" s="15">
        <v>2955</v>
      </c>
      <c r="L251" s="15">
        <v>3</v>
      </c>
      <c r="M251" s="15">
        <v>1.4</v>
      </c>
      <c r="N251" s="15">
        <v>0</v>
      </c>
      <c r="O251" s="15">
        <v>30</v>
      </c>
      <c r="P251" s="14">
        <v>2</v>
      </c>
      <c r="Q251" s="11" t="s">
        <v>735</v>
      </c>
      <c r="R251" s="15"/>
      <c r="S251" s="15"/>
      <c r="T251" s="15"/>
    </row>
    <row r="252" spans="1:20">
      <c r="A252" s="8"/>
      <c r="B252" s="15">
        <v>2108</v>
      </c>
      <c r="C252" s="15">
        <v>309</v>
      </c>
      <c r="D252" s="15" t="str">
        <f>VLOOKUP(C252,skill_list!$B$7:$C$1026,2)</f>
        <v>フォーチュンスラッシュ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0</v>
      </c>
      <c r="P252" s="14">
        <v>2</v>
      </c>
      <c r="Q252" s="11" t="s">
        <v>735</v>
      </c>
      <c r="R252" s="15"/>
      <c r="S252" s="15"/>
      <c r="T252" s="15"/>
    </row>
    <row r="253" spans="1:20">
      <c r="A253" s="8"/>
      <c r="B253" s="15">
        <v>2109</v>
      </c>
      <c r="C253" s="15">
        <v>445</v>
      </c>
      <c r="D253" s="15" t="str">
        <f>VLOOKUP(C253,skill_list!$B$7:$C$1026,2)</f>
        <v>ヴァンダリズム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1</v>
      </c>
      <c r="M253" s="15">
        <v>1.4</v>
      </c>
      <c r="N253" s="15">
        <v>0</v>
      </c>
      <c r="O253" s="15">
        <v>0</v>
      </c>
      <c r="P253" s="14">
        <v>2</v>
      </c>
      <c r="Q253" s="11" t="s">
        <v>735</v>
      </c>
      <c r="R253" s="15"/>
      <c r="S253" s="15"/>
      <c r="T253" s="15"/>
    </row>
    <row r="254" spans="1:20">
      <c r="A254" s="8"/>
      <c r="B254" s="15">
        <v>2110</v>
      </c>
      <c r="C254" s="15">
        <v>2</v>
      </c>
      <c r="D254" s="15" t="str">
        <f>VLOOKUP(C254,skill_list!$B$7:$C$1026,2)</f>
        <v>クロス斬り</v>
      </c>
      <c r="E254" s="11"/>
      <c r="F254" s="15">
        <v>1</v>
      </c>
      <c r="G254" s="15">
        <v>2</v>
      </c>
      <c r="H254" s="15">
        <v>0</v>
      </c>
      <c r="I254" s="15">
        <v>0</v>
      </c>
      <c r="J254" s="15">
        <v>582</v>
      </c>
      <c r="K254" s="15">
        <v>2910</v>
      </c>
      <c r="L254" s="15">
        <v>2</v>
      </c>
      <c r="M254" s="15">
        <v>1.5</v>
      </c>
      <c r="N254" s="15">
        <v>30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2111</v>
      </c>
      <c r="C255" s="15">
        <v>87</v>
      </c>
      <c r="D255" s="15" t="str">
        <f>VLOOKUP(C255,skill_list!$B$7:$C$1026,2)</f>
        <v>ブレイブソード</v>
      </c>
      <c r="E255" s="11"/>
      <c r="F255" s="15">
        <v>1</v>
      </c>
      <c r="G255" s="15">
        <v>2</v>
      </c>
      <c r="H255" s="15">
        <v>0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30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2112</v>
      </c>
      <c r="C256" s="15">
        <v>339</v>
      </c>
      <c r="D256" s="15" t="str">
        <f>VLOOKUP(C256,skill_list!$B$7:$C$1026,2)</f>
        <v>大切り盛り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6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2113</v>
      </c>
      <c r="C257" s="15">
        <v>328</v>
      </c>
      <c r="D257" s="15" t="str">
        <f>VLOOKUP(C257,skill_list!$B$7:$C$1026,2)</f>
        <v>先に逝くなよ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2114</v>
      </c>
      <c r="C258" s="15">
        <v>321</v>
      </c>
      <c r="D258" s="15" t="str">
        <f>VLOOKUP(C258,skill_list!$B$7:$C$1026,2)</f>
        <v>ファーストラヴ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2115</v>
      </c>
      <c r="C259" s="15">
        <v>428</v>
      </c>
      <c r="D259" s="15" t="str">
        <f>VLOOKUP(C259,skill_list!$B$7:$C$1026,2)</f>
        <v>グッナイ</v>
      </c>
      <c r="E259" s="11"/>
      <c r="F259" s="15">
        <v>5</v>
      </c>
      <c r="G259" s="15">
        <v>0</v>
      </c>
      <c r="H259" s="15">
        <v>0</v>
      </c>
      <c r="I259" s="15">
        <v>4</v>
      </c>
      <c r="J259" s="15">
        <v>582</v>
      </c>
      <c r="K259" s="15">
        <v>2910</v>
      </c>
      <c r="L259" s="15">
        <v>1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2116</v>
      </c>
      <c r="C260" s="15">
        <v>282</v>
      </c>
      <c r="D260" s="15" t="str">
        <f>VLOOKUP(C260,skill_list!$B$7:$C$1026,2)</f>
        <v>ヴィクタープラクティス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2117</v>
      </c>
      <c r="C261" s="15">
        <v>226</v>
      </c>
      <c r="D261" s="15" t="str">
        <f>VLOOKUP(C261,skill_list!$B$7:$C$1026,2)</f>
        <v>ハイセンス・ショット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582</v>
      </c>
      <c r="K261" s="15">
        <v>2910</v>
      </c>
      <c r="L261" s="15">
        <v>3</v>
      </c>
      <c r="M261" s="15">
        <v>1.5</v>
      </c>
      <c r="N261" s="15">
        <v>0</v>
      </c>
      <c r="O261" s="15">
        <v>0</v>
      </c>
      <c r="P261" s="14">
        <v>1</v>
      </c>
      <c r="Q261" s="11" t="s">
        <v>735</v>
      </c>
      <c r="R261" s="15"/>
      <c r="S261" s="15"/>
      <c r="T261" s="15"/>
    </row>
    <row r="262" spans="1:20">
      <c r="A262" s="8"/>
      <c r="B262" s="15">
        <v>2118</v>
      </c>
      <c r="C262" s="15">
        <v>163</v>
      </c>
      <c r="D262" s="15" t="str">
        <f>VLOOKUP(C262,skill_list!$B$7:$C$1026,2)</f>
        <v>残心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582</v>
      </c>
      <c r="K262" s="15">
        <v>2910</v>
      </c>
      <c r="L262" s="15">
        <v>4</v>
      </c>
      <c r="M262" s="15">
        <v>1.5</v>
      </c>
      <c r="N262" s="15">
        <v>0</v>
      </c>
      <c r="O262" s="15">
        <v>0</v>
      </c>
      <c r="P262" s="14">
        <v>1</v>
      </c>
      <c r="Q262" s="11" t="s">
        <v>735</v>
      </c>
      <c r="R262" s="15"/>
      <c r="S262" s="15"/>
      <c r="T262" s="15"/>
    </row>
    <row r="263" spans="1:20">
      <c r="A263" s="8"/>
      <c r="B263" s="15">
        <v>2119</v>
      </c>
      <c r="C263" s="15">
        <v>173</v>
      </c>
      <c r="D263" s="15" t="str">
        <f>VLOOKUP(C263,skill_list!$B$7:$C$1026,2)</f>
        <v>臥龍演舞斬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0</v>
      </c>
      <c r="O263" s="15">
        <v>0</v>
      </c>
      <c r="P263" s="14">
        <v>1</v>
      </c>
      <c r="Q263" s="11" t="s">
        <v>735</v>
      </c>
      <c r="R263" s="15"/>
      <c r="S263" s="15"/>
      <c r="T263" s="15"/>
    </row>
    <row r="264" spans="1:20">
      <c r="A264" s="8"/>
      <c r="B264" s="15">
        <v>2120</v>
      </c>
      <c r="C264" s="15">
        <v>56</v>
      </c>
      <c r="D264" s="15" t="str">
        <f>VLOOKUP(C264,skill_list!$B$7:$C$1026,2)</f>
        <v>スラッシュクロー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4.8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2121</v>
      </c>
      <c r="C265" s="15">
        <v>81</v>
      </c>
      <c r="D265" s="15" t="str">
        <f>VLOOKUP(C265,skill_list!$B$7:$C$1026,2)</f>
        <v>旋風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4.8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2122</v>
      </c>
      <c r="C266" s="15">
        <v>338</v>
      </c>
      <c r="D266" s="15" t="str">
        <f>VLOOKUP(C266,skill_list!$B$7:$C$1026,2)</f>
        <v>ブレイブソウル</v>
      </c>
      <c r="E266" s="11"/>
      <c r="F266" s="15">
        <v>1</v>
      </c>
      <c r="G266" s="15">
        <v>2</v>
      </c>
      <c r="H266" s="15">
        <v>0</v>
      </c>
      <c r="I266" s="15">
        <v>4</v>
      </c>
      <c r="J266" s="15">
        <v>474</v>
      </c>
      <c r="K266" s="15">
        <v>2370</v>
      </c>
      <c r="L266" s="15">
        <v>3</v>
      </c>
      <c r="M266" s="15">
        <v>1.2</v>
      </c>
      <c r="N266" s="15">
        <v>30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2123</v>
      </c>
      <c r="C267" s="15">
        <v>126</v>
      </c>
      <c r="D267" s="15" t="str">
        <f>VLOOKUP(C267,skill_list!$B$7:$C$1026,2)</f>
        <v>ラブカ・ブレード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1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2124</v>
      </c>
      <c r="C268" s="15">
        <v>143</v>
      </c>
      <c r="D268" s="15" t="str">
        <f>VLOOKUP(C268,skill_list!$B$7:$C$1026,2)</f>
        <v>トラブルメーカー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3</v>
      </c>
      <c r="M268" s="15">
        <v>1.2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2125</v>
      </c>
      <c r="C269" s="15">
        <v>150</v>
      </c>
      <c r="D269" s="15" t="str">
        <f>VLOOKUP(C269,skill_list!$B$7:$C$1026,2)</f>
        <v>華麗なる清掃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474</v>
      </c>
      <c r="K269" s="15">
        <v>2370</v>
      </c>
      <c r="L269" s="15">
        <v>2</v>
      </c>
      <c r="M269" s="15">
        <v>1.2</v>
      </c>
      <c r="N269" s="15">
        <v>0</v>
      </c>
      <c r="O269" s="15">
        <v>0</v>
      </c>
      <c r="P269" s="14">
        <v>2</v>
      </c>
      <c r="Q269" s="11" t="s">
        <v>735</v>
      </c>
      <c r="R269" s="15"/>
      <c r="S269" s="15"/>
      <c r="T269" s="15"/>
    </row>
    <row r="270" spans="1:20">
      <c r="A270" s="8"/>
      <c r="B270" s="15">
        <v>2126</v>
      </c>
      <c r="C270" s="15">
        <v>180</v>
      </c>
      <c r="D270" s="15" t="str">
        <f>VLOOKUP(C270,skill_list!$B$7:$C$1026,2)</f>
        <v>トータルサブトラクション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474</v>
      </c>
      <c r="K270" s="15">
        <v>2370</v>
      </c>
      <c r="L270" s="15">
        <v>3</v>
      </c>
      <c r="M270" s="15">
        <v>1.2</v>
      </c>
      <c r="N270" s="15">
        <v>0</v>
      </c>
      <c r="O270" s="15">
        <v>0</v>
      </c>
      <c r="P270" s="14">
        <v>2</v>
      </c>
      <c r="Q270" s="11" t="s">
        <v>735</v>
      </c>
      <c r="R270" s="15"/>
      <c r="S270" s="15"/>
      <c r="T270" s="15"/>
    </row>
    <row r="271" spans="1:20">
      <c r="A271" s="8"/>
      <c r="B271" s="15">
        <v>2127</v>
      </c>
      <c r="C271" s="15">
        <v>314</v>
      </c>
      <c r="D271" s="15" t="str">
        <f>VLOOKUP(C271,skill_list!$B$7:$C$1026,2)</f>
        <v>オンラッシュ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474</v>
      </c>
      <c r="K271" s="15">
        <v>2370</v>
      </c>
      <c r="L271" s="15">
        <v>2</v>
      </c>
      <c r="M271" s="15">
        <v>4.8</v>
      </c>
      <c r="N271" s="15">
        <v>0</v>
      </c>
      <c r="O271" s="15">
        <v>0</v>
      </c>
      <c r="P271" s="14">
        <v>2</v>
      </c>
      <c r="Q271" s="11" t="s">
        <v>735</v>
      </c>
      <c r="R271" s="15"/>
      <c r="S271" s="15"/>
      <c r="T271" s="15"/>
    </row>
    <row r="272" spans="1:20">
      <c r="A272" s="8"/>
      <c r="B272" s="15">
        <v>2128</v>
      </c>
      <c r="C272" s="15">
        <v>15</v>
      </c>
      <c r="D272" s="15" t="str">
        <f>VLOOKUP(C272,skill_list!$B$7:$C$1026,2)</f>
        <v>スタンブレード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450</v>
      </c>
      <c r="K272" s="15">
        <v>2250</v>
      </c>
      <c r="L272" s="15">
        <v>2</v>
      </c>
      <c r="M272" s="15">
        <v>1.25</v>
      </c>
      <c r="N272" s="15">
        <v>0</v>
      </c>
      <c r="O272" s="15">
        <v>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2129</v>
      </c>
      <c r="C273" s="15">
        <v>417</v>
      </c>
      <c r="D273" s="15" t="str">
        <f>VLOOKUP(C273,skill_list!$B$7:$C$1026,2)</f>
        <v>ナイトフォール</v>
      </c>
      <c r="E273" s="11"/>
      <c r="F273" s="15">
        <v>0</v>
      </c>
      <c r="G273" s="15">
        <v>1</v>
      </c>
      <c r="H273" s="15">
        <v>2</v>
      </c>
      <c r="I273" s="15">
        <v>5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2130</v>
      </c>
      <c r="C274" s="15">
        <v>26</v>
      </c>
      <c r="D274" s="15" t="str">
        <f>VLOOKUP(C274,skill_list!$B$7:$C$1026,2)</f>
        <v>乱舞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4</v>
      </c>
      <c r="M274" s="15">
        <v>5</v>
      </c>
      <c r="N274" s="15">
        <v>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2131</v>
      </c>
      <c r="C275" s="15">
        <v>44</v>
      </c>
      <c r="D275" s="15" t="str">
        <f>VLOOKUP(C275,skill_list!$B$7:$C$1026,2)</f>
        <v>残影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4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2132</v>
      </c>
      <c r="C276" s="15">
        <v>53</v>
      </c>
      <c r="D276" s="15" t="str">
        <f>VLOOKUP(C276,skill_list!$B$7:$C$1026,2)</f>
        <v>ミストサイス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2133</v>
      </c>
      <c r="C277" s="15">
        <v>61</v>
      </c>
      <c r="D277" s="15" t="str">
        <f>VLOOKUP(C277,skill_list!$B$7:$C$1026,2)</f>
        <v>キラーサイス</v>
      </c>
      <c r="E277" s="11"/>
      <c r="F277" s="15">
        <v>1</v>
      </c>
      <c r="G277" s="15">
        <v>2</v>
      </c>
      <c r="H277" s="15">
        <v>0</v>
      </c>
      <c r="I277" s="15">
        <v>0</v>
      </c>
      <c r="J277" s="15">
        <v>450</v>
      </c>
      <c r="K277" s="15">
        <v>2250</v>
      </c>
      <c r="L277" s="15">
        <v>4</v>
      </c>
      <c r="M277" s="15">
        <v>1.25</v>
      </c>
      <c r="N277" s="15">
        <v>30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2134</v>
      </c>
      <c r="C278" s="15">
        <v>75</v>
      </c>
      <c r="D278" s="15" t="str">
        <f>VLOOKUP(C278,skill_list!$B$7:$C$1026,2)</f>
        <v>クラッカー</v>
      </c>
      <c r="E278" s="11"/>
      <c r="F278" s="15">
        <v>2</v>
      </c>
      <c r="G278" s="15">
        <v>1</v>
      </c>
      <c r="H278" s="15">
        <v>0</v>
      </c>
      <c r="I278" s="15">
        <v>0</v>
      </c>
      <c r="J278" s="15">
        <v>450</v>
      </c>
      <c r="K278" s="15">
        <v>2250</v>
      </c>
      <c r="L278" s="15">
        <v>1</v>
      </c>
      <c r="M278" s="15">
        <v>1.25</v>
      </c>
      <c r="N278" s="15">
        <v>0</v>
      </c>
      <c r="O278" s="15">
        <v>30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2135</v>
      </c>
      <c r="C279" s="15">
        <v>91</v>
      </c>
      <c r="D279" s="15" t="str">
        <f>VLOOKUP(C279,skill_list!$B$7:$C$1026,2)</f>
        <v>断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2136</v>
      </c>
      <c r="C280" s="15">
        <v>94</v>
      </c>
      <c r="D280" s="15" t="str">
        <f>VLOOKUP(C280,skill_list!$B$7:$C$1026,2)</f>
        <v>呪怨の矢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1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2137</v>
      </c>
      <c r="C281" s="15">
        <v>105</v>
      </c>
      <c r="D281" s="15" t="str">
        <f>VLOOKUP(C281,skill_list!$B$7:$C$1026,2)</f>
        <v>斜陽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4</v>
      </c>
      <c r="M281" s="15">
        <v>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2138</v>
      </c>
      <c r="C282" s="15">
        <v>113</v>
      </c>
      <c r="D282" s="15" t="str">
        <f>VLOOKUP(C282,skill_list!$B$7:$C$1026,2)</f>
        <v>ヴィヴィットシュート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1</v>
      </c>
      <c r="M282" s="15">
        <v>1.25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2139</v>
      </c>
      <c r="C283" s="15">
        <v>120</v>
      </c>
      <c r="D283" s="15" t="str">
        <f>VLOOKUP(C283,skill_list!$B$7:$C$1026,2)</f>
        <v>リバースショット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450</v>
      </c>
      <c r="K283" s="15">
        <v>2250</v>
      </c>
      <c r="L283" s="15">
        <v>3</v>
      </c>
      <c r="M283" s="15">
        <v>1.25</v>
      </c>
      <c r="N283" s="15">
        <v>0</v>
      </c>
      <c r="O283" s="15">
        <v>0</v>
      </c>
      <c r="P283" s="14">
        <v>1</v>
      </c>
      <c r="Q283" s="11" t="s">
        <v>735</v>
      </c>
      <c r="R283" s="15"/>
      <c r="S283" s="15"/>
      <c r="T283" s="15"/>
    </row>
    <row r="284" spans="1:20">
      <c r="A284" s="8"/>
      <c r="B284" s="15">
        <v>2140</v>
      </c>
      <c r="C284" s="15">
        <v>272</v>
      </c>
      <c r="D284" s="15" t="str">
        <f>VLOOKUP(C284,skill_list!$B$7:$C$1026,2)</f>
        <v>ディープブロー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2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735</v>
      </c>
      <c r="R284" s="15"/>
      <c r="S284" s="15"/>
      <c r="T284" s="15"/>
    </row>
    <row r="285" spans="1:20">
      <c r="A285" s="8"/>
      <c r="B285" s="15">
        <v>2141</v>
      </c>
      <c r="C285" s="15">
        <v>166</v>
      </c>
      <c r="D285" s="15" t="str">
        <f>VLOOKUP(C285,skill_list!$B$7:$C$1026,2)</f>
        <v>一発入魂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450</v>
      </c>
      <c r="K285" s="15">
        <v>2250</v>
      </c>
      <c r="L285" s="15">
        <v>2</v>
      </c>
      <c r="M285" s="15">
        <v>4</v>
      </c>
      <c r="N285" s="15">
        <v>0</v>
      </c>
      <c r="O285" s="15">
        <v>0</v>
      </c>
      <c r="P285" s="14">
        <v>1</v>
      </c>
      <c r="Q285" s="11" t="s">
        <v>735</v>
      </c>
      <c r="R285" s="15"/>
      <c r="S285" s="15"/>
      <c r="T285" s="15"/>
    </row>
    <row r="286" spans="1:20">
      <c r="A286" s="8"/>
      <c r="B286" s="15">
        <v>2142</v>
      </c>
      <c r="C286" s="15">
        <v>41</v>
      </c>
      <c r="D286" s="15" t="str">
        <f>VLOOKUP(C286,skill_list!$B$7:$C$1026,2)</f>
        <v>キャノンボール</v>
      </c>
      <c r="E286" s="11"/>
      <c r="F286" s="15">
        <v>1</v>
      </c>
      <c r="G286" s="15">
        <v>2</v>
      </c>
      <c r="H286" s="15">
        <v>0</v>
      </c>
      <c r="I286" s="15">
        <v>0</v>
      </c>
      <c r="J286" s="15">
        <v>375</v>
      </c>
      <c r="K286" s="15">
        <v>1875</v>
      </c>
      <c r="L286" s="15">
        <v>2</v>
      </c>
      <c r="M286" s="15">
        <v>1</v>
      </c>
      <c r="N286" s="15">
        <v>30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2143</v>
      </c>
      <c r="C287" s="15">
        <v>102</v>
      </c>
      <c r="D287" s="15" t="str">
        <f>VLOOKUP(C287,skill_list!$B$7:$C$1026,2)</f>
        <v>朧月</v>
      </c>
      <c r="E287" s="11"/>
      <c r="F287" s="15">
        <v>2</v>
      </c>
      <c r="G287" s="15">
        <v>1</v>
      </c>
      <c r="H287" s="15">
        <v>0</v>
      </c>
      <c r="I287" s="15">
        <v>0</v>
      </c>
      <c r="J287" s="15">
        <v>375</v>
      </c>
      <c r="K287" s="15">
        <v>1875</v>
      </c>
      <c r="L287" s="15">
        <v>2</v>
      </c>
      <c r="M287" s="15">
        <v>1</v>
      </c>
      <c r="N287" s="15">
        <v>0</v>
      </c>
      <c r="O287" s="15">
        <v>30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2144</v>
      </c>
      <c r="C288" s="15">
        <v>109</v>
      </c>
      <c r="D288" s="15" t="str">
        <f>VLOOKUP(C288,skill_list!$B$7:$C$1026,2)</f>
        <v>ハネ殺し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2145</v>
      </c>
      <c r="C289" s="15">
        <v>116</v>
      </c>
      <c r="D289" s="15" t="str">
        <f>VLOOKUP(C289,skill_list!$B$7:$C$1026,2)</f>
        <v>レイジングシャウト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375</v>
      </c>
      <c r="K289" s="15">
        <v>1875</v>
      </c>
      <c r="L289" s="15">
        <v>3</v>
      </c>
      <c r="M289" s="15">
        <v>1</v>
      </c>
      <c r="N289" s="15">
        <v>0</v>
      </c>
      <c r="O289" s="15">
        <v>0</v>
      </c>
      <c r="P289" s="14">
        <v>2</v>
      </c>
      <c r="Q289" s="11" t="s">
        <v>735</v>
      </c>
      <c r="R289" s="15"/>
      <c r="S289" s="15"/>
      <c r="T289" s="15"/>
    </row>
    <row r="290" spans="1:20">
      <c r="A290" s="8"/>
      <c r="B290" s="15">
        <v>2146</v>
      </c>
      <c r="C290" s="15">
        <v>186</v>
      </c>
      <c r="D290" s="15" t="str">
        <f>VLOOKUP(C290,skill_list!$B$7:$C$1026,2)</f>
        <v>ディザスター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375</v>
      </c>
      <c r="K290" s="15">
        <v>1875</v>
      </c>
      <c r="L290" s="15">
        <v>3</v>
      </c>
      <c r="M290" s="15">
        <v>1</v>
      </c>
      <c r="N290" s="15">
        <v>0</v>
      </c>
      <c r="O290" s="15">
        <v>0</v>
      </c>
      <c r="P290" s="14">
        <v>2</v>
      </c>
      <c r="Q290" s="11" t="s">
        <v>735</v>
      </c>
      <c r="R290" s="15"/>
      <c r="S290" s="15"/>
      <c r="T290" s="15"/>
    </row>
    <row r="291" spans="1:20">
      <c r="A291" s="8"/>
      <c r="B291" s="15">
        <v>2147</v>
      </c>
      <c r="C291" s="15">
        <v>410</v>
      </c>
      <c r="D291" s="15" t="str">
        <f>VLOOKUP(C291,skill_list!$B$7:$C$1026,2)</f>
        <v>ザヴィーシマスチ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375</v>
      </c>
      <c r="K291" s="15">
        <v>1875</v>
      </c>
      <c r="L291" s="15">
        <v>3</v>
      </c>
      <c r="M291" s="15">
        <v>1</v>
      </c>
      <c r="N291" s="15">
        <v>0</v>
      </c>
      <c r="O291" s="15">
        <v>0</v>
      </c>
      <c r="P291" s="14">
        <v>2</v>
      </c>
      <c r="Q291" s="11" t="s">
        <v>735</v>
      </c>
      <c r="R291" s="15"/>
      <c r="S291" s="15"/>
      <c r="T291" s="15"/>
    </row>
    <row r="292" spans="1:20">
      <c r="A292" s="8"/>
      <c r="B292" s="15">
        <v>2148</v>
      </c>
      <c r="C292" s="15">
        <v>37</v>
      </c>
      <c r="D292" s="15" t="str">
        <f>VLOOKUP(C292,skill_list!$B$7:$C$1026,2)</f>
        <v>シールドレイ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3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2149</v>
      </c>
      <c r="C293" s="15">
        <v>275</v>
      </c>
      <c r="D293" s="15" t="str">
        <f>VLOOKUP(C293,skill_list!$B$7:$C$1026,2)</f>
        <v>カースサイス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4</v>
      </c>
      <c r="M293" s="15">
        <v>1</v>
      </c>
      <c r="N293" s="15">
        <v>0</v>
      </c>
      <c r="O293" s="15">
        <v>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2150</v>
      </c>
      <c r="C294" s="15">
        <v>70</v>
      </c>
      <c r="D294" s="15" t="str">
        <f>VLOOKUP(C294,skill_list!$B$7:$C$1026,2)</f>
        <v>ウィザードショット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2151</v>
      </c>
      <c r="C295" s="15">
        <v>380</v>
      </c>
      <c r="D295" s="15" t="str">
        <f>VLOOKUP(C295,skill_list!$B$7:$C$1026,2)</f>
        <v>天変の相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2152</v>
      </c>
      <c r="C296" s="15">
        <v>123</v>
      </c>
      <c r="D296" s="15" t="str">
        <f>VLOOKUP(C296,skill_list!$B$7:$C$1026,2)</f>
        <v>サービス・エース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342</v>
      </c>
      <c r="K296" s="15">
        <v>1710</v>
      </c>
      <c r="L296" s="15">
        <v>2</v>
      </c>
      <c r="M296" s="15">
        <v>1</v>
      </c>
      <c r="N296" s="15">
        <v>0</v>
      </c>
      <c r="O296" s="15">
        <v>30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2153</v>
      </c>
      <c r="C297" s="15">
        <v>132</v>
      </c>
      <c r="D297" s="15" t="str">
        <f>VLOOKUP(C297,skill_list!$B$7:$C$1026,2)</f>
        <v>砕華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342</v>
      </c>
      <c r="K297" s="15">
        <v>1710</v>
      </c>
      <c r="L297" s="15">
        <v>4</v>
      </c>
      <c r="M297" s="15">
        <v>4</v>
      </c>
      <c r="N297" s="15">
        <v>0</v>
      </c>
      <c r="O297" s="15">
        <v>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2154</v>
      </c>
      <c r="C298" s="15">
        <v>136</v>
      </c>
      <c r="D298" s="15" t="str">
        <f>VLOOKUP(C298,skill_list!$B$7:$C$1026,2)</f>
        <v>ダッシュブレード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342</v>
      </c>
      <c r="K298" s="15">
        <v>1710</v>
      </c>
      <c r="L298" s="15">
        <v>2</v>
      </c>
      <c r="M298" s="15">
        <v>1</v>
      </c>
      <c r="N298" s="15">
        <v>30</v>
      </c>
      <c r="O298" s="15">
        <v>0</v>
      </c>
      <c r="P298" s="14">
        <v>1</v>
      </c>
      <c r="Q298" s="11" t="s">
        <v>735</v>
      </c>
      <c r="R298" s="15"/>
      <c r="S298" s="15"/>
      <c r="T298" s="15"/>
    </row>
    <row r="299" spans="1:20">
      <c r="A299" s="8"/>
      <c r="B299" s="15">
        <v>2155</v>
      </c>
      <c r="C299" s="15">
        <v>160</v>
      </c>
      <c r="D299" s="15" t="str">
        <f>VLOOKUP(C299,skill_list!$B$7:$C$1026,2)</f>
        <v>ギャザー・バッシュ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342</v>
      </c>
      <c r="K299" s="15">
        <v>1710</v>
      </c>
      <c r="L299" s="15">
        <v>3</v>
      </c>
      <c r="M299" s="15">
        <v>1</v>
      </c>
      <c r="N299" s="15">
        <v>0</v>
      </c>
      <c r="O299" s="15">
        <v>0</v>
      </c>
      <c r="P299" s="14">
        <v>1</v>
      </c>
      <c r="Q299" s="11" t="s">
        <v>735</v>
      </c>
      <c r="R299" s="15"/>
      <c r="S299" s="15"/>
      <c r="T299" s="15"/>
    </row>
    <row r="300" spans="1:20">
      <c r="A300" s="8"/>
      <c r="B300" s="15">
        <v>2156</v>
      </c>
      <c r="C300" s="15">
        <v>176</v>
      </c>
      <c r="D300" s="15" t="str">
        <f>VLOOKUP(C300,skill_list!$B$7:$C$1026,2)</f>
        <v>エレメンタリー・バレット</v>
      </c>
      <c r="E300" s="11"/>
      <c r="F300" s="15">
        <v>2</v>
      </c>
      <c r="G300" s="15">
        <v>1</v>
      </c>
      <c r="H300" s="15">
        <v>0</v>
      </c>
      <c r="I300" s="15">
        <v>0</v>
      </c>
      <c r="J300" s="15">
        <v>342</v>
      </c>
      <c r="K300" s="15">
        <v>1710</v>
      </c>
      <c r="L300" s="15">
        <v>1</v>
      </c>
      <c r="M300" s="15">
        <v>1</v>
      </c>
      <c r="N300" s="15">
        <v>0</v>
      </c>
      <c r="O300" s="15">
        <v>30</v>
      </c>
      <c r="P300" s="14">
        <v>1</v>
      </c>
      <c r="Q300" s="11" t="s">
        <v>735</v>
      </c>
      <c r="R300" s="15"/>
      <c r="S300" s="15"/>
      <c r="T300" s="15"/>
    </row>
    <row r="301" spans="1:20">
      <c r="A301" s="8"/>
      <c r="B301" s="15">
        <v>2157</v>
      </c>
      <c r="C301" s="15">
        <v>10</v>
      </c>
      <c r="D301" s="15" t="str">
        <f>VLOOKUP(C301,skill_list!$B$7:$C$1026,2)</f>
        <v>ブレイクバースト</v>
      </c>
      <c r="E301" s="11"/>
      <c r="F301" s="15">
        <v>2</v>
      </c>
      <c r="G301" s="15">
        <v>1</v>
      </c>
      <c r="H301" s="15">
        <v>0</v>
      </c>
      <c r="I301" s="15">
        <v>0</v>
      </c>
      <c r="J301" s="15">
        <v>294</v>
      </c>
      <c r="K301" s="15">
        <v>1470</v>
      </c>
      <c r="L301" s="15">
        <v>3</v>
      </c>
      <c r="M301" s="15">
        <v>0.8</v>
      </c>
      <c r="N301" s="15">
        <v>0</v>
      </c>
      <c r="O301" s="15">
        <v>30</v>
      </c>
      <c r="P301" s="14">
        <v>2</v>
      </c>
      <c r="Q301" s="11" t="s">
        <v>735</v>
      </c>
      <c r="R301" s="15"/>
      <c r="S301" s="15"/>
      <c r="T301" s="15"/>
    </row>
    <row r="302" spans="1:20">
      <c r="A302" s="8"/>
      <c r="B302" s="15">
        <v>2158</v>
      </c>
      <c r="C302" s="15">
        <v>153</v>
      </c>
      <c r="D302" s="15" t="str">
        <f>VLOOKUP(C302,skill_list!$B$7:$C$1026,2)</f>
        <v>ラージ・カノン</v>
      </c>
      <c r="E302" s="11"/>
      <c r="F302" s="15">
        <v>2</v>
      </c>
      <c r="G302" s="15">
        <v>1</v>
      </c>
      <c r="H302" s="15">
        <v>0</v>
      </c>
      <c r="I302" s="15">
        <v>0</v>
      </c>
      <c r="J302" s="15">
        <v>294</v>
      </c>
      <c r="K302" s="15">
        <v>1470</v>
      </c>
      <c r="L302" s="15">
        <v>3</v>
      </c>
      <c r="M302" s="15">
        <v>0.8</v>
      </c>
      <c r="N302" s="15">
        <v>0</v>
      </c>
      <c r="O302" s="15">
        <v>30</v>
      </c>
      <c r="P302" s="14">
        <v>2</v>
      </c>
      <c r="Q302" s="11" t="s">
        <v>735</v>
      </c>
      <c r="R302" s="15"/>
      <c r="S302" s="15"/>
      <c r="T302" s="15"/>
    </row>
    <row r="303" spans="1:20">
      <c r="A303" s="8"/>
      <c r="B303" s="15">
        <v>2159</v>
      </c>
      <c r="C303" s="15">
        <v>169</v>
      </c>
      <c r="D303" s="15" t="str">
        <f>VLOOKUP(C303,skill_list!$B$7:$C$1026,2)</f>
        <v>ブラスト・スラッシュ</v>
      </c>
      <c r="E303" s="11"/>
      <c r="F303" s="15">
        <v>1</v>
      </c>
      <c r="G303" s="15">
        <v>2</v>
      </c>
      <c r="H303" s="15">
        <v>0</v>
      </c>
      <c r="I303" s="15">
        <v>0</v>
      </c>
      <c r="J303" s="15">
        <v>294</v>
      </c>
      <c r="K303" s="15">
        <v>1470</v>
      </c>
      <c r="L303" s="15">
        <v>3</v>
      </c>
      <c r="M303" s="15">
        <v>0.8</v>
      </c>
      <c r="N303" s="15">
        <v>30</v>
      </c>
      <c r="O303" s="15">
        <v>0</v>
      </c>
      <c r="P303" s="14">
        <v>2</v>
      </c>
      <c r="Q303" s="11" t="s">
        <v>735</v>
      </c>
      <c r="R303" s="15"/>
      <c r="S303" s="15"/>
      <c r="T303" s="15"/>
    </row>
    <row r="304" spans="1:20">
      <c r="A304" s="8"/>
      <c r="B304" s="15">
        <v>2160</v>
      </c>
      <c r="C304" s="15">
        <v>301</v>
      </c>
      <c r="D304" s="15" t="str">
        <f>VLOOKUP(C304,skill_list!$B$7:$C$1026,2)</f>
        <v>サクリファイス</v>
      </c>
      <c r="E304" s="11"/>
      <c r="F304" s="15">
        <v>0</v>
      </c>
      <c r="G304" s="15">
        <v>1</v>
      </c>
      <c r="H304" s="15">
        <v>2</v>
      </c>
      <c r="I304" s="15">
        <v>0</v>
      </c>
      <c r="J304" s="15">
        <v>657</v>
      </c>
      <c r="K304" s="15">
        <v>3285</v>
      </c>
      <c r="L304" s="15">
        <v>2</v>
      </c>
      <c r="M304" s="15">
        <v>1.625</v>
      </c>
      <c r="N304" s="15">
        <v>0</v>
      </c>
      <c r="O304" s="15">
        <v>0</v>
      </c>
      <c r="P304" s="14">
        <v>1</v>
      </c>
      <c r="Q304" s="11"/>
      <c r="R304" s="15"/>
      <c r="S304" s="15"/>
      <c r="T304" s="15">
        <v>1</v>
      </c>
    </row>
    <row r="305" spans="1:20">
      <c r="A305" s="8"/>
      <c r="B305" s="15">
        <v>2161</v>
      </c>
      <c r="C305" s="15">
        <v>246</v>
      </c>
      <c r="D305" s="15" t="str">
        <f>VLOOKUP(C305,skill_list!$B$7:$C$1026,2)</f>
        <v>シールドトルネード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474</v>
      </c>
      <c r="K305" s="15">
        <v>2370</v>
      </c>
      <c r="L305" s="15">
        <v>3</v>
      </c>
      <c r="M305" s="15">
        <v>1.2</v>
      </c>
      <c r="N305" s="15">
        <v>0</v>
      </c>
      <c r="O305" s="15">
        <v>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2162</v>
      </c>
      <c r="C306" s="15">
        <v>199</v>
      </c>
      <c r="D306" s="15" t="str">
        <f>VLOOKUP(C306,skill_list!$B$7:$C$1026,2)</f>
        <v>コーシュカ・アルマータ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3618</v>
      </c>
      <c r="K306" s="15">
        <v>18090</v>
      </c>
      <c r="L306" s="15">
        <v>3</v>
      </c>
      <c r="M306" s="15">
        <v>4.25</v>
      </c>
      <c r="N306" s="15">
        <v>0</v>
      </c>
      <c r="O306" s="15">
        <v>0</v>
      </c>
      <c r="P306" s="14">
        <v>1</v>
      </c>
      <c r="Q306" s="11"/>
      <c r="R306" s="15"/>
      <c r="S306" s="15"/>
      <c r="T306" s="15"/>
    </row>
    <row r="307" spans="1:20">
      <c r="A307" s="8"/>
      <c r="B307" s="15">
        <v>2163</v>
      </c>
      <c r="C307" s="15">
        <v>473</v>
      </c>
      <c r="D307" s="15" t="str">
        <f>VLOOKUP(C307,skill_list!$B$7:$C$1026,2)</f>
        <v>朝霜</v>
      </c>
      <c r="E307" s="11"/>
      <c r="F307" s="15">
        <v>0</v>
      </c>
      <c r="G307" s="15">
        <v>1</v>
      </c>
      <c r="H307" s="15">
        <v>2</v>
      </c>
      <c r="I307" s="15">
        <v>2</v>
      </c>
      <c r="J307" s="15">
        <v>1050</v>
      </c>
      <c r="K307" s="15">
        <v>5250</v>
      </c>
      <c r="L307" s="15">
        <v>2</v>
      </c>
      <c r="M307" s="15">
        <v>2</v>
      </c>
      <c r="N307" s="15">
        <v>0</v>
      </c>
      <c r="O307" s="15">
        <v>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2164</v>
      </c>
      <c r="C308" s="15">
        <v>480</v>
      </c>
      <c r="D308" s="15" t="str">
        <f>VLOOKUP(C308,skill_list!$B$7:$C$1026,2)</f>
        <v>スイーツチャージ！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513</v>
      </c>
      <c r="K308" s="15">
        <v>2565</v>
      </c>
      <c r="L308" s="15">
        <v>3</v>
      </c>
      <c r="M308" s="15">
        <v>1.375</v>
      </c>
      <c r="N308" s="15">
        <v>0</v>
      </c>
      <c r="O308" s="15">
        <v>0</v>
      </c>
      <c r="P308" s="14">
        <v>1</v>
      </c>
      <c r="Q308" s="11"/>
      <c r="R308" s="15"/>
      <c r="S308" s="15"/>
      <c r="T308" s="15"/>
    </row>
    <row r="309" spans="1:20">
      <c r="A309" s="8"/>
      <c r="B309" s="15">
        <v>2165</v>
      </c>
      <c r="C309" s="15">
        <v>476</v>
      </c>
      <c r="D309" s="15" t="str">
        <f>VLOOKUP(C309,skill_list!$B$7:$C$1026,2)</f>
        <v>ヌラルジャ</v>
      </c>
      <c r="E309" s="11"/>
      <c r="F309" s="15">
        <v>0</v>
      </c>
      <c r="G309" s="15">
        <v>1</v>
      </c>
      <c r="H309" s="15">
        <v>2</v>
      </c>
      <c r="I309" s="15">
        <v>5</v>
      </c>
      <c r="J309" s="15">
        <v>1556.25</v>
      </c>
      <c r="K309" s="15">
        <v>7781.25</v>
      </c>
      <c r="L309" s="15">
        <v>1</v>
      </c>
      <c r="M309" s="15">
        <v>2.5</v>
      </c>
      <c r="N309" s="15">
        <v>0</v>
      </c>
      <c r="O309" s="15">
        <v>0</v>
      </c>
      <c r="P309" s="14">
        <v>2</v>
      </c>
      <c r="Q309" s="11"/>
      <c r="R309" s="15"/>
      <c r="S309" s="15"/>
      <c r="T309" s="15"/>
    </row>
    <row r="310" spans="1:20">
      <c r="A310" s="8"/>
      <c r="B310" s="15">
        <v>2166</v>
      </c>
      <c r="C310" s="15">
        <v>485</v>
      </c>
      <c r="D310" s="15" t="str">
        <f>VLOOKUP(C310,skill_list!$B$7:$C$1026,2)</f>
        <v>渦中のヴァイオレット</v>
      </c>
      <c r="E310" s="11"/>
      <c r="F310" s="15">
        <v>2</v>
      </c>
      <c r="G310" s="15">
        <v>1</v>
      </c>
      <c r="H310" s="15">
        <v>0</v>
      </c>
      <c r="I310" s="15">
        <v>3</v>
      </c>
      <c r="J310" s="15">
        <v>962.25</v>
      </c>
      <c r="K310" s="15">
        <v>4811.25</v>
      </c>
      <c r="L310" s="15">
        <v>3</v>
      </c>
      <c r="M310" s="15">
        <v>1.9</v>
      </c>
      <c r="N310" s="15">
        <v>0</v>
      </c>
      <c r="O310" s="15">
        <v>30</v>
      </c>
      <c r="P310" s="14">
        <v>2</v>
      </c>
      <c r="Q310" s="11"/>
      <c r="R310" s="15"/>
      <c r="S310" s="15"/>
      <c r="T310" s="15"/>
    </row>
    <row r="311" spans="1:20">
      <c r="A311" s="8"/>
      <c r="B311" s="15">
        <v>2167</v>
      </c>
      <c r="C311" s="15">
        <v>484</v>
      </c>
      <c r="D311" s="15" t="str">
        <f>VLOOKUP(C311,skill_list!$B$7:$C$1026,2)</f>
        <v>パドマ・ナーチュナー</v>
      </c>
      <c r="E311" s="11"/>
      <c r="F311" s="15">
        <v>0</v>
      </c>
      <c r="G311" s="15">
        <v>1</v>
      </c>
      <c r="H311" s="15">
        <v>2</v>
      </c>
      <c r="I311" s="15">
        <v>0</v>
      </c>
      <c r="J311" s="15">
        <v>1142.25</v>
      </c>
      <c r="K311" s="15">
        <v>5711.25</v>
      </c>
      <c r="L311" s="15">
        <v>3</v>
      </c>
      <c r="M311" s="15">
        <v>2.1</v>
      </c>
      <c r="N311" s="15">
        <v>0</v>
      </c>
      <c r="O311" s="15">
        <v>0</v>
      </c>
      <c r="P311" s="14">
        <v>0</v>
      </c>
      <c r="Q311" s="11"/>
      <c r="R311" s="15"/>
      <c r="S311" s="15"/>
      <c r="T311" s="15"/>
    </row>
  </sheetData>
  <autoFilter ref="B6:V311" xr:uid="{03D05E3A-2E9E-4B06-A301-68A36CCCDE6A}"/>
  <phoneticPr fontId="1"/>
  <dataValidations count="1">
    <dataValidation type="list" allowBlank="1" showInputMessage="1" showErrorMessage="1" sqref="A7:A311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91"/>
  <sheetViews>
    <sheetView tabSelected="1" zoomScale="85" zoomScaleNormal="85" workbookViewId="0">
      <pane ySplit="6" topLeftCell="A262" activePane="bottomLeft" state="frozen"/>
      <selection pane="bottomLeft" activeCell="M274" sqref="M274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1794</v>
      </c>
      <c r="G2" s="9" t="s">
        <v>1641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1795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1666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1666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1667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1666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1777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1779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1778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1883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蒼焔ノ迷宮(ATTACK)</v>
      </c>
      <c r="G150" s="11"/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1000</v>
      </c>
      <c r="C151" s="15">
        <v>1005</v>
      </c>
      <c r="D151" s="15">
        <v>0</v>
      </c>
      <c r="E151" s="15">
        <v>0</v>
      </c>
      <c r="F151" s="14" t="str">
        <f>VLOOKUP(C151,skill_list!B:C,2)</f>
        <v>アタックライズ</v>
      </c>
      <c r="G151" s="11"/>
      <c r="H151" s="15">
        <v>50</v>
      </c>
      <c r="I151" s="15">
        <v>65</v>
      </c>
      <c r="J151" s="15">
        <v>450</v>
      </c>
      <c r="K151" s="15">
        <v>1</v>
      </c>
      <c r="L151" s="15">
        <v>7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1001</v>
      </c>
      <c r="C152" s="15">
        <v>21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1002</v>
      </c>
      <c r="C153" s="15">
        <v>48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1003</v>
      </c>
      <c r="C154" s="15">
        <v>84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1004</v>
      </c>
      <c r="C155" s="15">
        <v>112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1005</v>
      </c>
      <c r="C156" s="15">
        <v>140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1006</v>
      </c>
      <c r="C157" s="15">
        <v>156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1007</v>
      </c>
      <c r="C158" s="15">
        <v>172</v>
      </c>
      <c r="D158" s="15">
        <v>0</v>
      </c>
      <c r="E158" s="15">
        <v>0</v>
      </c>
      <c r="F158" s="14" t="str">
        <f>VLOOKUP(C158,skill_list!B:C,2)</f>
        <v>エンハンス</v>
      </c>
      <c r="G158" s="11"/>
      <c r="H158" s="15">
        <v>50</v>
      </c>
      <c r="I158" s="15">
        <v>65</v>
      </c>
      <c r="J158" s="15">
        <v>208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1008</v>
      </c>
      <c r="C159" s="15">
        <v>88</v>
      </c>
      <c r="D159" s="15">
        <v>0</v>
      </c>
      <c r="E159" s="15">
        <v>0</v>
      </c>
      <c r="F159" s="14" t="str">
        <f>VLOOKUP(C159,skill_list!B:C,2)</f>
        <v>導きの号令</v>
      </c>
      <c r="G159" s="11"/>
      <c r="H159" s="15">
        <v>50</v>
      </c>
      <c r="I159" s="15">
        <v>65</v>
      </c>
      <c r="J159" s="15">
        <v>224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1009</v>
      </c>
      <c r="C160" s="15">
        <v>221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1010</v>
      </c>
      <c r="C161" s="15">
        <v>240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1011</v>
      </c>
      <c r="C162" s="15">
        <v>284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1012</v>
      </c>
      <c r="C163" s="15">
        <v>336</v>
      </c>
      <c r="D163" s="15">
        <v>0</v>
      </c>
      <c r="E163" s="15">
        <v>0</v>
      </c>
      <c r="F163" s="14" t="str">
        <f>VLOOKUP(C163,skill_list!B:C,2)</f>
        <v>クールダウン</v>
      </c>
      <c r="G163" s="11"/>
      <c r="H163" s="15">
        <v>75</v>
      </c>
      <c r="I163" s="15">
        <v>90</v>
      </c>
      <c r="J163" s="15">
        <v>200</v>
      </c>
      <c r="K163" s="15">
        <v>10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1013</v>
      </c>
      <c r="C164" s="15">
        <v>49</v>
      </c>
      <c r="D164" s="15">
        <v>0</v>
      </c>
      <c r="E164" s="15">
        <v>0</v>
      </c>
      <c r="F164" s="14" t="str">
        <f>VLOOKUP(C164,skill_list!B:C,2)</f>
        <v>ドーピング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1014</v>
      </c>
      <c r="C165" s="15">
        <v>299</v>
      </c>
      <c r="D165" s="15">
        <v>0</v>
      </c>
      <c r="E165" s="15">
        <v>0</v>
      </c>
      <c r="F165" s="14" t="str">
        <f>VLOOKUP(C165,skill_list!B:C,2)</f>
        <v>臥龍天命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4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1015</v>
      </c>
      <c r="C166" s="15">
        <v>322</v>
      </c>
      <c r="D166" s="15">
        <v>0</v>
      </c>
      <c r="E166" s="15">
        <v>0</v>
      </c>
      <c r="F166" s="14" t="str">
        <f>VLOOKUP(C166,skill_list!B:C,2)</f>
        <v>決戦前夜</v>
      </c>
      <c r="G166" s="11"/>
      <c r="H166" s="15">
        <v>75</v>
      </c>
      <c r="I166" s="15">
        <v>90</v>
      </c>
      <c r="J166" s="15">
        <v>216</v>
      </c>
      <c r="K166" s="15">
        <v>10</v>
      </c>
      <c r="L166" s="15">
        <v>5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1016</v>
      </c>
      <c r="C167" s="15">
        <v>188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1017</v>
      </c>
      <c r="C168" s="15">
        <v>268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1018</v>
      </c>
      <c r="C169" s="15">
        <v>273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1019</v>
      </c>
      <c r="C170" s="15">
        <v>295</v>
      </c>
      <c r="D170" s="15">
        <v>0</v>
      </c>
      <c r="E170" s="15">
        <v>0</v>
      </c>
      <c r="F170" s="14" t="str">
        <f>VLOOKUP(C170,skill_list!B:C,2)</f>
        <v>フィルエンハンス</v>
      </c>
      <c r="G170" s="11"/>
      <c r="H170" s="15">
        <v>50</v>
      </c>
      <c r="I170" s="15">
        <v>65</v>
      </c>
      <c r="J170" s="15">
        <v>232</v>
      </c>
      <c r="K170" s="15">
        <v>10</v>
      </c>
      <c r="L170" s="15">
        <v>6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1020</v>
      </c>
      <c r="C171" s="15">
        <v>62</v>
      </c>
      <c r="D171" s="15">
        <v>0</v>
      </c>
      <c r="E171" s="15">
        <v>0</v>
      </c>
      <c r="F171" s="14" t="str">
        <f>VLOOKUP(C171,skill_list!B:C,2)</f>
        <v>キリングエッジ</v>
      </c>
      <c r="G171" s="11"/>
      <c r="H171" s="15">
        <v>35</v>
      </c>
      <c r="I171" s="15">
        <v>50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1021</v>
      </c>
      <c r="C172" s="15">
        <v>109</v>
      </c>
      <c r="D172" s="15">
        <v>0</v>
      </c>
      <c r="E172" s="15">
        <v>0</v>
      </c>
      <c r="F172" s="14" t="str">
        <f>VLOOKUP(C172,skill_list!B:C,2)</f>
        <v>ハネ殺し</v>
      </c>
      <c r="G172" s="11"/>
      <c r="H172" s="15">
        <v>35</v>
      </c>
      <c r="I172" s="15">
        <v>50</v>
      </c>
      <c r="J172" s="15">
        <v>120</v>
      </c>
      <c r="K172" s="15">
        <v>1</v>
      </c>
      <c r="L172" s="15">
        <v>7</v>
      </c>
      <c r="M172" s="15">
        <v>0</v>
      </c>
      <c r="N172" s="15">
        <v>1</v>
      </c>
      <c r="O172" s="15">
        <v>999</v>
      </c>
      <c r="P172" s="15"/>
    </row>
    <row r="173" spans="1:16">
      <c r="A173" s="8"/>
      <c r="B173" s="15">
        <v>1022</v>
      </c>
      <c r="C173" s="15">
        <v>288</v>
      </c>
      <c r="D173" s="15">
        <v>0</v>
      </c>
      <c r="E173" s="15">
        <v>0</v>
      </c>
      <c r="F173" s="14" t="str">
        <f>VLOOKUP(C173,skill_list!B:C,2)</f>
        <v>デディケイトギフト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3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1023</v>
      </c>
      <c r="C174" s="15">
        <v>217</v>
      </c>
      <c r="D174" s="15">
        <v>0</v>
      </c>
      <c r="E174" s="15">
        <v>0</v>
      </c>
      <c r="F174" s="14" t="str">
        <f>VLOOKUP(C174,skill_list!B:C,2)</f>
        <v>空</v>
      </c>
      <c r="G174" s="11"/>
      <c r="H174" s="15">
        <v>50</v>
      </c>
      <c r="I174" s="15">
        <v>65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1024</v>
      </c>
      <c r="C175" s="15">
        <v>267</v>
      </c>
      <c r="D175" s="15">
        <v>0</v>
      </c>
      <c r="E175" s="15">
        <v>0</v>
      </c>
      <c r="F175" s="14" t="str">
        <f>VLOOKUP(C175,skill_list!B:C,2)</f>
        <v>細雪</v>
      </c>
      <c r="G175" s="11"/>
      <c r="H175" s="15">
        <v>75</v>
      </c>
      <c r="I175" s="15">
        <v>90</v>
      </c>
      <c r="J175" s="15">
        <v>208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1025</v>
      </c>
      <c r="C176" s="15">
        <v>45</v>
      </c>
      <c r="D176" s="15">
        <v>0</v>
      </c>
      <c r="E176" s="15">
        <v>0</v>
      </c>
      <c r="F176" s="14" t="str">
        <f>VLOOKUP(C176,skill_list!B:C,2)</f>
        <v>残心撃</v>
      </c>
      <c r="G176" s="11"/>
      <c r="H176" s="15">
        <v>35</v>
      </c>
      <c r="I176" s="15">
        <v>50</v>
      </c>
      <c r="J176" s="15">
        <v>126</v>
      </c>
      <c r="K176" s="15">
        <v>1</v>
      </c>
      <c r="L176" s="15">
        <v>7</v>
      </c>
      <c r="M176" s="15">
        <v>0</v>
      </c>
      <c r="N176" s="15">
        <v>1</v>
      </c>
      <c r="O176" s="15">
        <v>999</v>
      </c>
      <c r="P176" s="15"/>
    </row>
    <row r="177" spans="1:16">
      <c r="A177" s="8"/>
      <c r="B177" s="15">
        <v>1026</v>
      </c>
      <c r="C177" s="15">
        <v>420</v>
      </c>
      <c r="D177" s="15">
        <v>0</v>
      </c>
      <c r="E177" s="15">
        <v>0</v>
      </c>
      <c r="F177" s="14" t="str">
        <f>VLOOKUP(C177,skill_list!B:C,2)</f>
        <v>デヴォーション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1027</v>
      </c>
      <c r="C178" s="15">
        <v>425</v>
      </c>
      <c r="D178" s="15">
        <v>0</v>
      </c>
      <c r="E178" s="15">
        <v>0</v>
      </c>
      <c r="F178" s="14" t="str">
        <f>VLOOKUP(C178,skill_list!B:C,2)</f>
        <v>セルフパッション</v>
      </c>
      <c r="G178" s="11"/>
      <c r="H178" s="15">
        <v>75</v>
      </c>
      <c r="I178" s="15">
        <v>90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1028</v>
      </c>
      <c r="C179" s="15">
        <v>482</v>
      </c>
      <c r="D179" s="15">
        <v>0</v>
      </c>
      <c r="E179" s="15">
        <v>0</v>
      </c>
      <c r="F179" s="14" t="str">
        <f>VLOOKUP(C179,skill_list!B:C,2)</f>
        <v>解けない謎はない</v>
      </c>
      <c r="G179" s="11"/>
      <c r="H179" s="15">
        <v>50</v>
      </c>
      <c r="I179" s="15">
        <v>65</v>
      </c>
      <c r="J179" s="15">
        <v>224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1029</v>
      </c>
      <c r="C180" s="15">
        <v>488</v>
      </c>
      <c r="D180" s="15">
        <v>0</v>
      </c>
      <c r="E180" s="15">
        <v>0</v>
      </c>
      <c r="F180" s="14" t="str">
        <f>VLOOKUP(C180,skill_list!B:C,2)</f>
        <v>クリャートヴァ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4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1101</v>
      </c>
      <c r="C181" s="15">
        <v>373</v>
      </c>
      <c r="D181" s="15">
        <v>1</v>
      </c>
      <c r="E181" s="15">
        <v>4</v>
      </c>
      <c r="F181" s="14" t="str">
        <f>VLOOKUP(C181,skill_list!B:C,2)</f>
        <v>ホーリーエンハンス</v>
      </c>
      <c r="G181" s="11"/>
      <c r="H181" s="15">
        <v>65</v>
      </c>
      <c r="I181" s="15">
        <v>80</v>
      </c>
      <c r="J181" s="15">
        <v>208</v>
      </c>
      <c r="K181" s="15">
        <v>10</v>
      </c>
      <c r="L181" s="15">
        <v>4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1102</v>
      </c>
      <c r="C182" s="15">
        <v>371</v>
      </c>
      <c r="D182" s="15">
        <v>1</v>
      </c>
      <c r="E182" s="15">
        <v>5</v>
      </c>
      <c r="F182" s="14" t="str">
        <f>VLOOKUP(C182,skill_list!B:C,2)</f>
        <v>赤面スティグマ</v>
      </c>
      <c r="G182" s="11"/>
      <c r="H182" s="15">
        <v>65</v>
      </c>
      <c r="I182" s="15">
        <v>80</v>
      </c>
      <c r="J182" s="15">
        <v>200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1103</v>
      </c>
      <c r="C183" s="15">
        <v>332</v>
      </c>
      <c r="D183" s="15">
        <v>1</v>
      </c>
      <c r="E183" s="15">
        <v>2</v>
      </c>
      <c r="F183" s="14" t="str">
        <f>VLOOKUP(C183,skill_list!B:C,2)</f>
        <v>淡雪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1104</v>
      </c>
      <c r="C184" s="15">
        <v>366</v>
      </c>
      <c r="D184" s="15">
        <v>1</v>
      </c>
      <c r="E184" s="15">
        <v>5</v>
      </c>
      <c r="F184" s="14" t="str">
        <f>VLOOKUP(C184,skill_list!B:C,2)</f>
        <v>被害妄想</v>
      </c>
      <c r="G184" s="11"/>
      <c r="H184" s="15">
        <v>65</v>
      </c>
      <c r="I184" s="15">
        <v>80</v>
      </c>
      <c r="J184" s="15">
        <v>192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1105</v>
      </c>
      <c r="C185" s="15">
        <v>253</v>
      </c>
      <c r="D185" s="15">
        <v>1</v>
      </c>
      <c r="E185" s="15">
        <v>3</v>
      </c>
      <c r="F185" s="14" t="str">
        <f>VLOOKUP(C185,skill_list!B:C,2)</f>
        <v>ライトニングロア</v>
      </c>
      <c r="G185" s="11"/>
      <c r="H185" s="15">
        <v>40</v>
      </c>
      <c r="I185" s="15">
        <v>55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1106</v>
      </c>
      <c r="C186" s="15">
        <v>219</v>
      </c>
      <c r="D186" s="15">
        <v>1</v>
      </c>
      <c r="E186" s="15">
        <v>4</v>
      </c>
      <c r="F186" s="14" t="str">
        <f>VLOOKUP(C186,skill_list!B:C,2)</f>
        <v>夢十夜</v>
      </c>
      <c r="G186" s="11"/>
      <c r="H186" s="15">
        <v>40</v>
      </c>
      <c r="I186" s="15">
        <v>55</v>
      </c>
      <c r="J186" s="15">
        <v>132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1107</v>
      </c>
      <c r="C187" s="15">
        <v>339</v>
      </c>
      <c r="D187" s="15">
        <v>1</v>
      </c>
      <c r="E187" s="15">
        <v>5</v>
      </c>
      <c r="F187" s="14" t="str">
        <f>VLOOKUP(C187,skill_list!B:C,2)</f>
        <v>大切り盛り</v>
      </c>
      <c r="G187" s="11"/>
      <c r="H187" s="15">
        <v>40</v>
      </c>
      <c r="I187" s="15">
        <v>55</v>
      </c>
      <c r="J187" s="15">
        <v>123</v>
      </c>
      <c r="K187" s="15">
        <v>1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1108</v>
      </c>
      <c r="C188" s="15">
        <v>404</v>
      </c>
      <c r="D188" s="15">
        <v>1</v>
      </c>
      <c r="E188" s="15">
        <v>3</v>
      </c>
      <c r="F188" s="14" t="str">
        <f>VLOOKUP(C188,skill_list!B:C,2)</f>
        <v>とある衝撃</v>
      </c>
      <c r="G188" s="11"/>
      <c r="H188" s="15">
        <v>65</v>
      </c>
      <c r="I188" s="15">
        <v>80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1109</v>
      </c>
      <c r="C189" s="15">
        <v>412</v>
      </c>
      <c r="D189" s="15">
        <v>1</v>
      </c>
      <c r="E189" s="15">
        <v>2</v>
      </c>
      <c r="F189" s="14" t="str">
        <f>VLOOKUP(C189,skill_list!B:C,2)</f>
        <v>北風のスバル</v>
      </c>
      <c r="G189" s="11"/>
      <c r="H189" s="15">
        <v>65</v>
      </c>
      <c r="I189" s="15">
        <v>80</v>
      </c>
      <c r="J189" s="15">
        <v>192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1110</v>
      </c>
      <c r="C190" s="15">
        <v>461</v>
      </c>
      <c r="D190" s="15">
        <v>1</v>
      </c>
      <c r="E190" s="15">
        <v>3</v>
      </c>
      <c r="F190" s="14" t="str">
        <f>VLOOKUP(C190,skill_list!B:C,2)</f>
        <v>ねこじゃらし</v>
      </c>
      <c r="G190" s="11"/>
      <c r="H190" s="15">
        <v>65</v>
      </c>
      <c r="I190" s="15">
        <v>80</v>
      </c>
      <c r="J190" s="15">
        <v>200</v>
      </c>
      <c r="K190" s="15">
        <v>10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1111</v>
      </c>
      <c r="C191" s="15">
        <v>465</v>
      </c>
      <c r="D191" s="15">
        <v>1</v>
      </c>
      <c r="E191" s="15">
        <v>5</v>
      </c>
      <c r="F191" s="14" t="str">
        <f>VLOOKUP(C191,skill_list!B:C,2)</f>
        <v>ピクシースマイル</v>
      </c>
      <c r="G191" s="11"/>
      <c r="H191" s="15">
        <v>65</v>
      </c>
      <c r="I191" s="15">
        <v>80</v>
      </c>
      <c r="J191" s="15">
        <v>208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1112</v>
      </c>
      <c r="C192" s="15">
        <v>488</v>
      </c>
      <c r="D192" s="15">
        <v>1</v>
      </c>
      <c r="E192" s="15">
        <v>5</v>
      </c>
      <c r="F192" s="14" t="str">
        <f>VLOOKUP(C192,skill_list!B:C,2)</f>
        <v>クリャートヴァ</v>
      </c>
      <c r="G192" s="11"/>
      <c r="H192" s="15">
        <v>65</v>
      </c>
      <c r="I192" s="15">
        <v>80</v>
      </c>
      <c r="J192" s="15">
        <v>232</v>
      </c>
      <c r="K192" s="15">
        <v>10</v>
      </c>
      <c r="L192" s="15">
        <v>4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1201</v>
      </c>
      <c r="C193" s="15">
        <v>310</v>
      </c>
      <c r="D193" s="15">
        <v>2</v>
      </c>
      <c r="E193" s="15">
        <v>0</v>
      </c>
      <c r="F193" s="14" t="str">
        <f>VLOOKUP(C193,skill_list!B:C,2)</f>
        <v>インサイト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1202</v>
      </c>
      <c r="C194" s="15">
        <v>451</v>
      </c>
      <c r="D194" s="15">
        <v>2</v>
      </c>
      <c r="E194" s="15">
        <v>0</v>
      </c>
      <c r="F194" s="14" t="str">
        <f>VLOOKUP(C194,skill_list!B:C,2)</f>
        <v>炯眼の構え</v>
      </c>
      <c r="G194" s="11"/>
      <c r="H194" s="15">
        <v>35</v>
      </c>
      <c r="I194" s="15">
        <v>50</v>
      </c>
      <c r="J194" s="15">
        <v>200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1300</v>
      </c>
      <c r="C195" s="15">
        <v>1009</v>
      </c>
      <c r="D195" s="15">
        <v>3</v>
      </c>
      <c r="E195" s="15">
        <v>0</v>
      </c>
      <c r="F195" s="14" t="str">
        <f>VLOOKUP(C195,skill_list!B:C,2)</f>
        <v>ソフニング</v>
      </c>
      <c r="G195" s="11"/>
      <c r="H195" s="15">
        <v>30</v>
      </c>
      <c r="I195" s="15">
        <v>45</v>
      </c>
      <c r="J195" s="15">
        <v>200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1301</v>
      </c>
      <c r="C196" s="15">
        <v>173</v>
      </c>
      <c r="D196" s="15">
        <v>3</v>
      </c>
      <c r="E196" s="15">
        <v>0</v>
      </c>
      <c r="F196" s="14" t="str">
        <f>VLOOKUP(C196,skill_list!B:C,2)</f>
        <v>臥龍演舞斬</v>
      </c>
      <c r="G196" s="11"/>
      <c r="H196" s="15">
        <v>30</v>
      </c>
      <c r="I196" s="15">
        <v>45</v>
      </c>
      <c r="J196" s="15">
        <v>123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1302</v>
      </c>
      <c r="C197" s="15">
        <v>16</v>
      </c>
      <c r="D197" s="15">
        <v>3</v>
      </c>
      <c r="E197" s="15">
        <v>0</v>
      </c>
      <c r="F197" s="14" t="str">
        <f>VLOOKUP(C197,skill_list!B:C,2)</f>
        <v>ハードブレード</v>
      </c>
      <c r="G197" s="11"/>
      <c r="H197" s="15">
        <v>30</v>
      </c>
      <c r="I197" s="15">
        <v>45</v>
      </c>
      <c r="J197" s="15">
        <v>129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1303</v>
      </c>
      <c r="C198" s="15">
        <v>70</v>
      </c>
      <c r="D198" s="15">
        <v>3</v>
      </c>
      <c r="E198" s="15">
        <v>0</v>
      </c>
      <c r="F198" s="14" t="str">
        <f>VLOOKUP(C198,skill_list!B:C,2)</f>
        <v>ウィザードショット</v>
      </c>
      <c r="G198" s="11"/>
      <c r="H198" s="15">
        <v>30</v>
      </c>
      <c r="I198" s="15">
        <v>45</v>
      </c>
      <c r="J198" s="15">
        <v>117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1304</v>
      </c>
      <c r="C199" s="15">
        <v>467</v>
      </c>
      <c r="D199" s="15">
        <v>3</v>
      </c>
      <c r="E199" s="15">
        <v>0</v>
      </c>
      <c r="F199" s="14" t="str">
        <f>VLOOKUP(C199,skill_list!B:C,2)</f>
        <v>螳螂之斧</v>
      </c>
      <c r="G199" s="11"/>
      <c r="H199" s="15">
        <v>20</v>
      </c>
      <c r="I199" s="15">
        <v>30</v>
      </c>
      <c r="J199" s="15">
        <v>134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1351</v>
      </c>
      <c r="C200" s="15">
        <v>116</v>
      </c>
      <c r="D200" s="15">
        <v>3</v>
      </c>
      <c r="E200" s="15">
        <v>0</v>
      </c>
      <c r="F200" s="14" t="str">
        <f>VLOOKUP(C200,skill_list!B:C,2)</f>
        <v>レイジングシャウト</v>
      </c>
      <c r="G200" s="11"/>
      <c r="H200" s="15">
        <v>20</v>
      </c>
      <c r="I200" s="15">
        <v>30</v>
      </c>
      <c r="J200" s="15">
        <v>120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1352</v>
      </c>
      <c r="C201" s="15">
        <v>126</v>
      </c>
      <c r="D201" s="15">
        <v>3</v>
      </c>
      <c r="E201" s="15">
        <v>0</v>
      </c>
      <c r="F201" s="14" t="str">
        <f>VLOOKUP(C201,skill_list!B:C,2)</f>
        <v>ラブカ・ブレード</v>
      </c>
      <c r="G201" s="11"/>
      <c r="H201" s="15">
        <v>20</v>
      </c>
      <c r="I201" s="15">
        <v>30</v>
      </c>
      <c r="J201" s="15">
        <v>123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1401</v>
      </c>
      <c r="C202" s="15">
        <v>204</v>
      </c>
      <c r="D202" s="15">
        <v>4</v>
      </c>
      <c r="E202" s="15">
        <v>3</v>
      </c>
      <c r="F202" s="14" t="str">
        <f>VLOOKUP(C202,skill_list!B:C,2)</f>
        <v>ミストイングレイブ</v>
      </c>
      <c r="G202" s="11"/>
      <c r="H202" s="15">
        <v>45</v>
      </c>
      <c r="I202" s="15">
        <v>60</v>
      </c>
      <c r="J202" s="15">
        <v>126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1402</v>
      </c>
      <c r="C203" s="15">
        <v>328</v>
      </c>
      <c r="D203" s="15">
        <v>4</v>
      </c>
      <c r="E203" s="15">
        <v>5</v>
      </c>
      <c r="F203" s="14" t="str">
        <f>VLOOKUP(C203,skill_list!B:C,2)</f>
        <v>先に逝くなよ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1403</v>
      </c>
      <c r="C204" s="15">
        <v>282</v>
      </c>
      <c r="D204" s="15">
        <v>4</v>
      </c>
      <c r="E204" s="15">
        <v>1</v>
      </c>
      <c r="F204" s="14" t="str">
        <f>VLOOKUP(C204,skill_list!B:C,2)</f>
        <v>ヴィクタープラクティス</v>
      </c>
      <c r="G204" s="11"/>
      <c r="H204" s="15">
        <v>45</v>
      </c>
      <c r="I204" s="15">
        <v>60</v>
      </c>
      <c r="J204" s="15">
        <v>123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1404</v>
      </c>
      <c r="C205" s="15">
        <v>222</v>
      </c>
      <c r="D205" s="15">
        <v>4</v>
      </c>
      <c r="E205" s="15">
        <v>4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1405</v>
      </c>
      <c r="C206" s="15">
        <v>222</v>
      </c>
      <c r="D206" s="15">
        <v>4</v>
      </c>
      <c r="E206" s="15">
        <v>5</v>
      </c>
      <c r="F206" s="14" t="str">
        <f>VLOOKUP(C206,skill_list!B:C,2)</f>
        <v>夜雨</v>
      </c>
      <c r="G206" s="11"/>
      <c r="H206" s="15">
        <v>45</v>
      </c>
      <c r="I206" s="15">
        <v>60</v>
      </c>
      <c r="J206" s="15">
        <v>131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1406</v>
      </c>
      <c r="C207" s="15">
        <v>446</v>
      </c>
      <c r="D207" s="15">
        <v>4</v>
      </c>
      <c r="E207" s="15">
        <v>2</v>
      </c>
      <c r="F207" s="14" t="str">
        <f>VLOOKUP(C207,skill_list!B:C,2)</f>
        <v>コールドクラッシュ</v>
      </c>
      <c r="G207" s="11"/>
      <c r="H207" s="15">
        <v>45</v>
      </c>
      <c r="I207" s="15">
        <v>60</v>
      </c>
      <c r="J207" s="15">
        <v>132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1451</v>
      </c>
      <c r="C208" s="15">
        <v>241</v>
      </c>
      <c r="D208" s="15">
        <v>4</v>
      </c>
      <c r="E208" s="15">
        <v>1</v>
      </c>
      <c r="F208" s="14" t="str">
        <f>VLOOKUP(C208,skill_list!B:C,2)</f>
        <v>怒裂昂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1452</v>
      </c>
      <c r="C209" s="15">
        <v>77</v>
      </c>
      <c r="D209" s="15">
        <v>4</v>
      </c>
      <c r="E209" s="15">
        <v>2</v>
      </c>
      <c r="F209" s="14" t="str">
        <f>VLOOKUP(C209,skill_list!B:C,2)</f>
        <v>ビスコッティ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1453</v>
      </c>
      <c r="C210" s="15">
        <v>410</v>
      </c>
      <c r="D210" s="15">
        <v>4</v>
      </c>
      <c r="E210" s="15">
        <v>3</v>
      </c>
      <c r="F210" s="14" t="str">
        <f>VLOOKUP(C210,skill_list!B:C,2)</f>
        <v>ザヴィーシマスチ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1454</v>
      </c>
      <c r="C211" s="15">
        <v>476</v>
      </c>
      <c r="D211" s="15">
        <v>4</v>
      </c>
      <c r="E211" s="15">
        <v>5</v>
      </c>
      <c r="F211" s="14" t="str">
        <f>VLOOKUP(C211,skill_list!B:C,2)</f>
        <v>ヌラルジャ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2</v>
      </c>
      <c r="M211" s="15">
        <v>0</v>
      </c>
      <c r="N211" s="15">
        <v>1</v>
      </c>
      <c r="O211" s="15">
        <v>999</v>
      </c>
      <c r="P211" s="15"/>
    </row>
    <row r="212" spans="1:16">
      <c r="A212" s="8"/>
      <c r="B212" s="15">
        <v>1501</v>
      </c>
      <c r="C212" s="15">
        <v>94</v>
      </c>
      <c r="D212" s="15">
        <v>5</v>
      </c>
      <c r="E212" s="15">
        <v>0</v>
      </c>
      <c r="F212" s="14" t="str">
        <f>VLOOKUP(C212,skill_list!B:C,2)</f>
        <v>呪怨の矢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1502</v>
      </c>
      <c r="C213" s="15">
        <v>272</v>
      </c>
      <c r="D213" s="15">
        <v>5</v>
      </c>
      <c r="E213" s="15">
        <v>0</v>
      </c>
      <c r="F213" s="14" t="str">
        <f>VLOOKUP(C213,skill_list!B:C,2)</f>
        <v>ディープブロー</v>
      </c>
      <c r="G213" s="11"/>
      <c r="H213" s="15">
        <v>35</v>
      </c>
      <c r="I213" s="15">
        <v>50</v>
      </c>
      <c r="J213" s="15">
        <v>120</v>
      </c>
      <c r="K213" s="15">
        <v>1</v>
      </c>
      <c r="L213" s="15">
        <v>1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1551</v>
      </c>
      <c r="C214" s="15">
        <v>195</v>
      </c>
      <c r="D214" s="15">
        <v>5</v>
      </c>
      <c r="E214" s="15">
        <v>0</v>
      </c>
      <c r="F214" s="14" t="str">
        <f>VLOOKUP(C214,skill_list!B:C,2)</f>
        <v>ネイキッドイレイザー</v>
      </c>
      <c r="G214" s="11"/>
      <c r="H214" s="15">
        <v>35</v>
      </c>
      <c r="I214" s="15">
        <v>50</v>
      </c>
      <c r="J214" s="15">
        <v>132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1552</v>
      </c>
      <c r="C215" s="15">
        <v>218</v>
      </c>
      <c r="D215" s="15">
        <v>5</v>
      </c>
      <c r="E215" s="15">
        <v>0</v>
      </c>
      <c r="F215" s="14" t="str">
        <f>VLOOKUP(C215,skill_list!B:C,2)</f>
        <v>薙の矢</v>
      </c>
      <c r="G215" s="11"/>
      <c r="H215" s="15">
        <v>35</v>
      </c>
      <c r="I215" s="15">
        <v>50</v>
      </c>
      <c r="J215" s="15">
        <v>126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1553</v>
      </c>
      <c r="C216" s="15">
        <v>349</v>
      </c>
      <c r="D216" s="15">
        <v>5</v>
      </c>
      <c r="E216" s="15">
        <v>0</v>
      </c>
      <c r="F216" s="14" t="str">
        <f>VLOOKUP(C216,skill_list!B:C,2)</f>
        <v>大海原</v>
      </c>
      <c r="G216" s="11"/>
      <c r="H216" s="15">
        <v>35</v>
      </c>
      <c r="I216" s="15">
        <v>50</v>
      </c>
      <c r="J216" s="15">
        <v>129</v>
      </c>
      <c r="K216" s="15">
        <v>1</v>
      </c>
      <c r="L216" s="15">
        <v>2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1600</v>
      </c>
      <c r="C217" s="15">
        <v>1001</v>
      </c>
      <c r="D217" s="15">
        <v>6</v>
      </c>
      <c r="E217" s="15">
        <v>0</v>
      </c>
      <c r="F217" s="14" t="str">
        <f>VLOOKUP(C217,skill_list!B:C,2)</f>
        <v>クリティカルシンキング</v>
      </c>
      <c r="G217" s="11"/>
      <c r="H217" s="15">
        <v>40</v>
      </c>
      <c r="I217" s="15">
        <v>70</v>
      </c>
      <c r="J217" s="15">
        <v>450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1601</v>
      </c>
      <c r="C218" s="15">
        <v>71</v>
      </c>
      <c r="D218" s="15">
        <v>6</v>
      </c>
      <c r="E218" s="15">
        <v>0</v>
      </c>
      <c r="F218" s="14" t="str">
        <f>VLOOKUP(C218,skill_list!B:C,2)</f>
        <v>ルーンバースト</v>
      </c>
      <c r="G218" s="11"/>
      <c r="H218" s="15">
        <v>35</v>
      </c>
      <c r="I218" s="15">
        <v>45</v>
      </c>
      <c r="J218" s="15">
        <v>132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1602</v>
      </c>
      <c r="C219" s="15">
        <v>255</v>
      </c>
      <c r="D219" s="15">
        <v>6</v>
      </c>
      <c r="E219" s="15">
        <v>0</v>
      </c>
      <c r="F219" s="14" t="str">
        <f>VLOOKUP(C219,skill_list!B:C,2)</f>
        <v>ホールドアップマインド</v>
      </c>
      <c r="G219" s="11"/>
      <c r="H219" s="15">
        <v>35</v>
      </c>
      <c r="I219" s="15">
        <v>45</v>
      </c>
      <c r="J219" s="15">
        <v>224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1603</v>
      </c>
      <c r="C220" s="15">
        <v>378</v>
      </c>
      <c r="D220" s="15">
        <v>6</v>
      </c>
      <c r="E220" s="15">
        <v>0</v>
      </c>
      <c r="F220" s="14" t="str">
        <f>VLOOKUP(C220,skill_list!B:C,2)</f>
        <v>冀望</v>
      </c>
      <c r="G220" s="11"/>
      <c r="H220" s="15">
        <v>40</v>
      </c>
      <c r="I220" s="15">
        <v>70</v>
      </c>
      <c r="J220" s="15">
        <v>216</v>
      </c>
      <c r="K220" s="15">
        <v>10</v>
      </c>
      <c r="L220" s="15">
        <v>7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1604</v>
      </c>
      <c r="C221" s="15">
        <v>462</v>
      </c>
      <c r="D221" s="15">
        <v>6</v>
      </c>
      <c r="E221" s="15">
        <v>0</v>
      </c>
      <c r="F221" s="14" t="str">
        <f>VLOOKUP(C221,skill_list!B:C,2)</f>
        <v>一途なスマイル</v>
      </c>
      <c r="G221" s="11"/>
      <c r="H221" s="15">
        <v>40</v>
      </c>
      <c r="I221" s="15">
        <v>70</v>
      </c>
      <c r="J221" s="15">
        <v>232</v>
      </c>
      <c r="K221" s="15">
        <v>10</v>
      </c>
      <c r="L221" s="15">
        <v>3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1605</v>
      </c>
      <c r="C222" s="15">
        <v>471</v>
      </c>
      <c r="D222" s="15">
        <v>6</v>
      </c>
      <c r="E222" s="15">
        <v>0</v>
      </c>
      <c r="F222" s="14" t="str">
        <f>VLOOKUP(C222,skill_list!B:C,2)</f>
        <v>おしおき</v>
      </c>
      <c r="G222" s="11"/>
      <c r="H222" s="15">
        <v>40</v>
      </c>
      <c r="I222" s="15">
        <v>70</v>
      </c>
      <c r="J222" s="15">
        <v>200</v>
      </c>
      <c r="K222" s="15">
        <v>10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1700</v>
      </c>
      <c r="C223" s="15">
        <v>1006</v>
      </c>
      <c r="D223" s="15">
        <v>7</v>
      </c>
      <c r="E223" s="15">
        <v>0</v>
      </c>
      <c r="F223" s="14" t="str">
        <f>VLOOKUP(C223,skill_list!B:C,2)</f>
        <v>コンセントレーション</v>
      </c>
      <c r="G223" s="11"/>
      <c r="H223" s="15">
        <v>10</v>
      </c>
      <c r="I223" s="15">
        <v>20</v>
      </c>
      <c r="J223" s="15">
        <v>450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1701</v>
      </c>
      <c r="C224" s="15">
        <v>462</v>
      </c>
      <c r="D224" s="15">
        <v>7</v>
      </c>
      <c r="E224" s="15">
        <v>0</v>
      </c>
      <c r="F224" s="14" t="str">
        <f>VLOOKUP(C224,skill_list!B:C,2)</f>
        <v>一途なスマイル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3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1702</v>
      </c>
      <c r="C225" s="15">
        <v>482</v>
      </c>
      <c r="D225" s="15">
        <v>7</v>
      </c>
      <c r="E225" s="15">
        <v>0</v>
      </c>
      <c r="F225" s="14" t="str">
        <f>VLOOKUP(C225,skill_list!B:C,2)</f>
        <v>解けない謎はない</v>
      </c>
      <c r="G225" s="11"/>
      <c r="H225" s="15">
        <v>30</v>
      </c>
      <c r="I225" s="15">
        <v>30</v>
      </c>
      <c r="J225" s="15">
        <v>0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2001</v>
      </c>
      <c r="C226" s="15">
        <v>378</v>
      </c>
      <c r="D226" s="15">
        <v>10</v>
      </c>
      <c r="E226" s="15">
        <v>0</v>
      </c>
      <c r="F226" s="14" t="str">
        <f>VLOOKUP(C226,skill_list!B:C,2)</f>
        <v>冀望</v>
      </c>
      <c r="G226" s="11"/>
      <c r="H226" s="15">
        <v>20</v>
      </c>
      <c r="I226" s="15">
        <v>30</v>
      </c>
      <c r="J226" s="15">
        <v>216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2002</v>
      </c>
      <c r="C227" s="15">
        <v>157</v>
      </c>
      <c r="D227" s="15">
        <v>10</v>
      </c>
      <c r="E227" s="15">
        <v>0</v>
      </c>
      <c r="F227" s="14" t="str">
        <f>VLOOKUP(C227,skill_list!B:C,2)</f>
        <v>聖域のカンタータ</v>
      </c>
      <c r="G227" s="11"/>
      <c r="H227" s="15">
        <v>20</v>
      </c>
      <c r="I227" s="15">
        <v>30</v>
      </c>
      <c r="J227" s="15">
        <v>216</v>
      </c>
      <c r="K227" s="15">
        <v>10</v>
      </c>
      <c r="L227" s="15">
        <v>6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2003</v>
      </c>
      <c r="C228" s="15">
        <v>346</v>
      </c>
      <c r="D228" s="15">
        <v>10</v>
      </c>
      <c r="E228" s="15">
        <v>0</v>
      </c>
      <c r="F228" s="14" t="str">
        <f>VLOOKUP(C228,skill_list!B:C,2)</f>
        <v>メイドの嗜み</v>
      </c>
      <c r="G228" s="11"/>
      <c r="H228" s="15">
        <v>20</v>
      </c>
      <c r="I228" s="15">
        <v>30</v>
      </c>
      <c r="J228" s="15">
        <v>200</v>
      </c>
      <c r="K228" s="15">
        <v>10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2004</v>
      </c>
      <c r="C229" s="15">
        <v>478</v>
      </c>
      <c r="D229" s="15">
        <v>10</v>
      </c>
      <c r="E229" s="15">
        <v>0</v>
      </c>
      <c r="F229" s="14" t="str">
        <f>VLOOKUP(C229,skill_list!B:C,2)</f>
        <v>春爛漫</v>
      </c>
      <c r="G229" s="11"/>
      <c r="H229" s="15">
        <v>20</v>
      </c>
      <c r="I229" s="15">
        <v>30</v>
      </c>
      <c r="J229" s="15">
        <v>216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2051</v>
      </c>
      <c r="C230" s="15">
        <v>226</v>
      </c>
      <c r="D230" s="15">
        <v>10</v>
      </c>
      <c r="E230" s="15">
        <v>0</v>
      </c>
      <c r="F230" s="14" t="str">
        <f>VLOOKUP(C230,skill_list!B:C,2)</f>
        <v>ハイセンス・ショット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2052</v>
      </c>
      <c r="C231" s="15">
        <v>163</v>
      </c>
      <c r="D231" s="15">
        <v>10</v>
      </c>
      <c r="E231" s="15">
        <v>0</v>
      </c>
      <c r="F231" s="14" t="str">
        <f>VLOOKUP(C231,skill_list!B:C,2)</f>
        <v>残心</v>
      </c>
      <c r="G231" s="11"/>
      <c r="H231" s="15">
        <v>20</v>
      </c>
      <c r="I231" s="15">
        <v>30</v>
      </c>
      <c r="J231" s="15">
        <v>123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2053</v>
      </c>
      <c r="C232" s="15">
        <v>228</v>
      </c>
      <c r="D232" s="15">
        <v>10</v>
      </c>
      <c r="E232" s="15">
        <v>0</v>
      </c>
      <c r="F232" s="14" t="str">
        <f>VLOOKUP(C232,skill_list!B:C,2)</f>
        <v>喧嘩上等！！</v>
      </c>
      <c r="G232" s="11"/>
      <c r="H232" s="15">
        <v>20</v>
      </c>
      <c r="I232" s="15">
        <v>30</v>
      </c>
      <c r="J232" s="15">
        <v>132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2201</v>
      </c>
      <c r="C233" s="15">
        <v>321</v>
      </c>
      <c r="D233" s="15">
        <v>12</v>
      </c>
      <c r="E233" s="15">
        <v>0</v>
      </c>
      <c r="F233" s="14" t="str">
        <f>VLOOKUP(C233,skill_list!B:C,2)</f>
        <v>ファーストラヴ</v>
      </c>
      <c r="G233" s="11"/>
      <c r="H233" s="15">
        <v>50</v>
      </c>
      <c r="I233" s="15">
        <v>50</v>
      </c>
      <c r="J233" s="15">
        <v>0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2300</v>
      </c>
      <c r="C234" s="15">
        <v>1003</v>
      </c>
      <c r="D234" s="15">
        <v>13</v>
      </c>
      <c r="E234" s="15">
        <v>0</v>
      </c>
      <c r="F234" s="14" t="str">
        <f>VLOOKUP(C234,skill_list!B:C,2)</f>
        <v>ドライブゲイン</v>
      </c>
      <c r="G234" s="11"/>
      <c r="H234" s="15">
        <v>15</v>
      </c>
      <c r="I234" s="15">
        <v>15</v>
      </c>
      <c r="J234" s="15">
        <v>0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2301</v>
      </c>
      <c r="C235" s="15">
        <v>123</v>
      </c>
      <c r="D235" s="15">
        <v>13</v>
      </c>
      <c r="E235" s="15">
        <v>0</v>
      </c>
      <c r="F235" s="14" t="str">
        <f>VLOOKUP(C235,skill_list!B:C,2)</f>
        <v>サービス・エース</v>
      </c>
      <c r="G235" s="11"/>
      <c r="H235" s="15">
        <v>10</v>
      </c>
      <c r="I235" s="15">
        <v>15</v>
      </c>
      <c r="J235" s="15">
        <v>117</v>
      </c>
      <c r="K235" s="15">
        <v>1</v>
      </c>
      <c r="L235" s="15">
        <v>0</v>
      </c>
      <c r="M235" s="15">
        <v>0</v>
      </c>
      <c r="N235" s="15">
        <v>0</v>
      </c>
      <c r="O235" s="15">
        <v>0</v>
      </c>
      <c r="P235" s="15"/>
    </row>
    <row r="236" spans="1:16">
      <c r="A236" s="8"/>
      <c r="B236" s="15">
        <v>2401</v>
      </c>
      <c r="C236" s="15">
        <v>293</v>
      </c>
      <c r="D236" s="15">
        <v>14</v>
      </c>
      <c r="E236" s="15">
        <v>0</v>
      </c>
      <c r="F236" s="14" t="str">
        <f>VLOOKUP(C236,skill_list!B:C,2)</f>
        <v>きらめきのエール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4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2501</v>
      </c>
      <c r="C237" s="15">
        <v>275</v>
      </c>
      <c r="D237" s="15">
        <v>15</v>
      </c>
      <c r="E237" s="15">
        <v>0</v>
      </c>
      <c r="F237" s="14" t="str">
        <f>VLOOKUP(C237,skill_list!B:C,2)</f>
        <v>カースサイス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2502</v>
      </c>
      <c r="C238" s="15">
        <v>380</v>
      </c>
      <c r="D238" s="15">
        <v>15</v>
      </c>
      <c r="E238" s="15">
        <v>0</v>
      </c>
      <c r="F238" s="14" t="str">
        <f>VLOOKUP(C238,skill_list!B:C,2)</f>
        <v>天変の相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1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2503</v>
      </c>
      <c r="C239" s="15">
        <v>265</v>
      </c>
      <c r="D239" s="15">
        <v>15</v>
      </c>
      <c r="E239" s="15">
        <v>0</v>
      </c>
      <c r="F239" s="14" t="str">
        <f>VLOOKUP(C239,skill_list!B:C,2)</f>
        <v>神妙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2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2504</v>
      </c>
      <c r="C240" s="15">
        <v>417</v>
      </c>
      <c r="D240" s="15">
        <v>15</v>
      </c>
      <c r="E240" s="15">
        <v>0</v>
      </c>
      <c r="F240" s="14" t="str">
        <f>VLOOKUP(C240,skill_list!B:C,2)</f>
        <v>ナイトフォール</v>
      </c>
      <c r="G240" s="11"/>
      <c r="H240" s="15">
        <v>0</v>
      </c>
      <c r="I240" s="15">
        <v>0</v>
      </c>
      <c r="J240" s="15">
        <v>0</v>
      </c>
      <c r="K240" s="15">
        <v>1</v>
      </c>
      <c r="L240" s="15">
        <v>1</v>
      </c>
      <c r="M240" s="15">
        <v>0</v>
      </c>
      <c r="N240" s="15">
        <v>2</v>
      </c>
      <c r="O240" s="15">
        <v>0</v>
      </c>
      <c r="P240" s="15"/>
    </row>
    <row r="241" spans="1:16">
      <c r="A241" s="8"/>
      <c r="B241" s="15">
        <v>2601</v>
      </c>
      <c r="C241" s="15">
        <v>331</v>
      </c>
      <c r="D241" s="15">
        <v>16</v>
      </c>
      <c r="E241" s="15">
        <v>0</v>
      </c>
      <c r="F241" s="14" t="str">
        <f>VLOOKUP(C241,skill_list!B:C,2)</f>
        <v>イチコロスマイル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2602</v>
      </c>
      <c r="C242" s="15">
        <v>384</v>
      </c>
      <c r="D242" s="15">
        <v>16</v>
      </c>
      <c r="E242" s="15">
        <v>0</v>
      </c>
      <c r="F242" s="14" t="str">
        <f>VLOOKUP(C242,skill_list!B:C,2)</f>
        <v>バックラッシュ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2603</v>
      </c>
      <c r="C243" s="15">
        <v>425</v>
      </c>
      <c r="D243" s="15">
        <v>16</v>
      </c>
      <c r="E243" s="15">
        <v>0</v>
      </c>
      <c r="F243" s="14" t="str">
        <f>VLOOKUP(C243,skill_list!B:C,2)</f>
        <v>セルフパッション</v>
      </c>
      <c r="G243" s="11"/>
      <c r="H243" s="15">
        <v>5</v>
      </c>
      <c r="I243" s="15">
        <v>5</v>
      </c>
      <c r="J243" s="15">
        <v>0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2701</v>
      </c>
      <c r="C244" s="15">
        <v>189</v>
      </c>
      <c r="D244" s="15">
        <v>17</v>
      </c>
      <c r="E244" s="15">
        <v>0</v>
      </c>
      <c r="F244" s="14" t="str">
        <f>VLOOKUP(C244,skill_list!B:C,2)</f>
        <v>心意活性</v>
      </c>
      <c r="G244" s="11"/>
      <c r="H244" s="15">
        <v>2</v>
      </c>
      <c r="I244" s="15">
        <v>3</v>
      </c>
      <c r="J244" s="15">
        <v>129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2702</v>
      </c>
      <c r="C245" s="15">
        <v>255</v>
      </c>
      <c r="D245" s="15">
        <v>17</v>
      </c>
      <c r="E245" s="15">
        <v>0</v>
      </c>
      <c r="F245" s="14" t="str">
        <f>VLOOKUP(C245,skill_list!B:C,2)</f>
        <v>ホールドアップマインド</v>
      </c>
      <c r="G245" s="11"/>
      <c r="H245" s="15">
        <v>2</v>
      </c>
      <c r="I245" s="15">
        <v>2</v>
      </c>
      <c r="J245" s="15">
        <v>0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2703</v>
      </c>
      <c r="C246" s="15">
        <v>236</v>
      </c>
      <c r="D246" s="15">
        <v>17</v>
      </c>
      <c r="E246" s="15">
        <v>0</v>
      </c>
      <c r="F246" s="14" t="str">
        <f>VLOOKUP(C246,skill_list!B:C,2)</f>
        <v>ブリリアント・グローリー</v>
      </c>
      <c r="G246" s="11"/>
      <c r="H246" s="15">
        <v>2</v>
      </c>
      <c r="I246" s="15">
        <v>3</v>
      </c>
      <c r="J246" s="15">
        <v>208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3300</v>
      </c>
      <c r="C247" s="15">
        <v>1007</v>
      </c>
      <c r="D247" s="15">
        <v>23</v>
      </c>
      <c r="E247" s="15">
        <v>0</v>
      </c>
      <c r="F247" s="14" t="str">
        <f>VLOOKUP(C247,skill_list!B:C,2)</f>
        <v>ポイントケア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3301</v>
      </c>
      <c r="C248" s="15">
        <v>22</v>
      </c>
      <c r="D248" s="15">
        <v>23</v>
      </c>
      <c r="E248" s="15">
        <v>0</v>
      </c>
      <c r="F248" s="14" t="str">
        <f>VLOOKUP(C248,skill_list!B:C,2)</f>
        <v>ブレスショット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3302</v>
      </c>
      <c r="C249" s="15">
        <v>33</v>
      </c>
      <c r="D249" s="15">
        <v>23</v>
      </c>
      <c r="E249" s="15">
        <v>0</v>
      </c>
      <c r="F249" s="14" t="str">
        <f>VLOOKUP(C249,skill_list!B:C,2)</f>
        <v>闘気斬</v>
      </c>
      <c r="G249" s="11"/>
      <c r="H249" s="15">
        <v>3</v>
      </c>
      <c r="I249" s="15">
        <v>3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3303</v>
      </c>
      <c r="C250" s="15">
        <v>113</v>
      </c>
      <c r="D250" s="15">
        <v>23</v>
      </c>
      <c r="E250" s="15">
        <v>0</v>
      </c>
      <c r="F250" s="14" t="str">
        <f>VLOOKUP(C250,skill_list!B:C,2)</f>
        <v>ヴィヴィットシュート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3304</v>
      </c>
      <c r="C251" s="15">
        <v>120</v>
      </c>
      <c r="D251" s="15">
        <v>23</v>
      </c>
      <c r="E251" s="15">
        <v>0</v>
      </c>
      <c r="F251" s="14" t="str">
        <f>VLOOKUP(C251,skill_list!B:C,2)</f>
        <v>リバースショット</v>
      </c>
      <c r="G251" s="11"/>
      <c r="H251" s="15">
        <v>2</v>
      </c>
      <c r="I251" s="15">
        <v>2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3305</v>
      </c>
      <c r="C252" s="15">
        <v>132</v>
      </c>
      <c r="D252" s="15">
        <v>23</v>
      </c>
      <c r="E252" s="15">
        <v>0</v>
      </c>
      <c r="F252" s="14" t="str">
        <f>VLOOKUP(C252,skill_list!B:C,2)</f>
        <v>砕華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3306</v>
      </c>
      <c r="C253" s="15">
        <v>190</v>
      </c>
      <c r="D253" s="15">
        <v>23</v>
      </c>
      <c r="E253" s="15">
        <v>0</v>
      </c>
      <c r="F253" s="14" t="str">
        <f>VLOOKUP(C253,skill_list!B:C,2)</f>
        <v>ゲインカノン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3307</v>
      </c>
      <c r="C254" s="15">
        <v>212</v>
      </c>
      <c r="D254" s="15">
        <v>23</v>
      </c>
      <c r="E254" s="15">
        <v>0</v>
      </c>
      <c r="F254" s="14" t="str">
        <f>VLOOKUP(C254,skill_list!B:C,2)</f>
        <v>粛正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3308</v>
      </c>
      <c r="C255" s="15">
        <v>239</v>
      </c>
      <c r="D255" s="15">
        <v>23</v>
      </c>
      <c r="E255" s="15">
        <v>0</v>
      </c>
      <c r="F255" s="14" t="str">
        <f>VLOOKUP(C255,skill_list!B:C,2)</f>
        <v>キャンディ・バースト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3309</v>
      </c>
      <c r="C256" s="15">
        <v>259</v>
      </c>
      <c r="D256" s="15">
        <v>23</v>
      </c>
      <c r="E256" s="15">
        <v>0</v>
      </c>
      <c r="F256" s="14" t="str">
        <f>VLOOKUP(C256,skill_list!B:C,2)</f>
        <v>不純なアリア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3310</v>
      </c>
      <c r="C257" s="15">
        <v>309</v>
      </c>
      <c r="D257" s="15">
        <v>23</v>
      </c>
      <c r="E257" s="15">
        <v>0</v>
      </c>
      <c r="F257" s="14" t="str">
        <f>VLOOKUP(C257,skill_list!B:C,2)</f>
        <v>フォーチュンスラッシュ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3311</v>
      </c>
      <c r="C258" s="15">
        <v>324</v>
      </c>
      <c r="D258" s="15">
        <v>23</v>
      </c>
      <c r="E258" s="15">
        <v>0</v>
      </c>
      <c r="F258" s="14" t="str">
        <f>VLOOKUP(C258,skill_list!B:C,2)</f>
        <v>トランスペイン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3312</v>
      </c>
      <c r="C259" s="15">
        <v>382</v>
      </c>
      <c r="D259" s="15">
        <v>23</v>
      </c>
      <c r="E259" s="15">
        <v>0</v>
      </c>
      <c r="F259" s="14" t="str">
        <f>VLOOKUP(C259,skill_list!B:C,2)</f>
        <v>エキゾーストノート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</row>
    <row r="260" spans="1:17">
      <c r="A260" s="8"/>
      <c r="B260" s="15">
        <v>3313</v>
      </c>
      <c r="C260" s="15">
        <v>397</v>
      </c>
      <c r="D260" s="15">
        <v>23</v>
      </c>
      <c r="E260" s="15">
        <v>0</v>
      </c>
      <c r="F260" s="14" t="str">
        <f>VLOOKUP(C260,skill_list!B:C,2)</f>
        <v>春雷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  <c r="Q260" s="15"/>
    </row>
    <row r="261" spans="1:17">
      <c r="A261" s="8"/>
      <c r="B261" s="15">
        <v>3314</v>
      </c>
      <c r="C261" s="15">
        <v>427</v>
      </c>
      <c r="D261" s="15">
        <v>23</v>
      </c>
      <c r="E261" s="15">
        <v>0</v>
      </c>
      <c r="F261" s="14" t="str">
        <f>VLOOKUP(C261,skill_list!B:C,2)</f>
        <v>ファンタズム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3315</v>
      </c>
      <c r="C262" s="15">
        <v>480</v>
      </c>
      <c r="D262" s="15">
        <v>23</v>
      </c>
      <c r="E262" s="15">
        <v>0</v>
      </c>
      <c r="F262" s="14" t="str">
        <f>VLOOKUP(C262,skill_list!B:C,2)</f>
        <v>スイーツチャージ！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</row>
    <row r="263" spans="1:17">
      <c r="A263" s="8"/>
      <c r="B263" s="15">
        <v>3316</v>
      </c>
      <c r="C263" s="15">
        <v>177</v>
      </c>
      <c r="D263" s="15">
        <v>23</v>
      </c>
      <c r="E263" s="15">
        <v>0</v>
      </c>
      <c r="F263" s="14" t="str">
        <f>VLOOKUP(C263,skill_list!B:C,2)</f>
        <v>エリミネイト・ポッシブル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3</v>
      </c>
      <c r="M263" s="15">
        <v>0</v>
      </c>
      <c r="N263" s="15">
        <v>1</v>
      </c>
      <c r="O263" s="15">
        <v>0</v>
      </c>
      <c r="P263" s="15"/>
    </row>
    <row r="264" spans="1:17">
      <c r="A264" s="8"/>
      <c r="B264" s="15">
        <v>3401</v>
      </c>
      <c r="C264" s="15">
        <v>137</v>
      </c>
      <c r="D264" s="15">
        <v>24</v>
      </c>
      <c r="E264" s="15">
        <v>0</v>
      </c>
      <c r="F264" s="14" t="str">
        <f>VLOOKUP(C264,skill_list!B:C,2)</f>
        <v>サイクロンブレード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999</v>
      </c>
      <c r="P264" s="15"/>
    </row>
    <row r="265" spans="1:17">
      <c r="A265" s="8"/>
      <c r="B265" s="15">
        <v>3402</v>
      </c>
      <c r="C265" s="15">
        <v>211</v>
      </c>
      <c r="D265" s="15">
        <v>24</v>
      </c>
      <c r="E265" s="15">
        <v>0</v>
      </c>
      <c r="F265" s="14" t="str">
        <f>VLOOKUP(C265,skill_list!B:C,2)</f>
        <v>我忘恍惚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1</v>
      </c>
      <c r="P265" s="15"/>
    </row>
    <row r="266" spans="1:17">
      <c r="A266" s="8"/>
      <c r="B266" s="15">
        <v>3403</v>
      </c>
      <c r="C266" s="15">
        <v>229</v>
      </c>
      <c r="D266" s="15">
        <v>24</v>
      </c>
      <c r="E266" s="15">
        <v>0</v>
      </c>
      <c r="F266" s="14" t="str">
        <f>VLOOKUP(C266,skill_list!B:C,2)</f>
        <v>フューリーインパルス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3404</v>
      </c>
      <c r="C267" s="15">
        <v>243</v>
      </c>
      <c r="D267" s="15">
        <v>24</v>
      </c>
      <c r="E267" s="15">
        <v>0</v>
      </c>
      <c r="F267" s="14" t="str">
        <f>VLOOKUP(C267,skill_list!B:C,2)</f>
        <v>銀蜂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999</v>
      </c>
      <c r="P267" s="15"/>
    </row>
    <row r="268" spans="1:17">
      <c r="A268" s="8"/>
      <c r="B268" s="15">
        <v>3405</v>
      </c>
      <c r="C268" s="15">
        <v>322</v>
      </c>
      <c r="D268" s="15">
        <v>24</v>
      </c>
      <c r="E268" s="15">
        <v>0</v>
      </c>
      <c r="F268" s="14" t="str">
        <f>VLOOKUP(C268,skill_list!B:C,2)</f>
        <v>決戦前夜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0</v>
      </c>
      <c r="P268" s="15"/>
    </row>
    <row r="269" spans="1:17">
      <c r="A269" s="8"/>
      <c r="B269" s="15">
        <v>3406</v>
      </c>
      <c r="C269" s="15">
        <v>473</v>
      </c>
      <c r="D269" s="15">
        <v>24</v>
      </c>
      <c r="E269" s="15">
        <v>0</v>
      </c>
      <c r="F269" s="14" t="str">
        <f>VLOOKUP(C269,skill_list!B:C,2)</f>
        <v>朝霜</v>
      </c>
      <c r="G269" s="11"/>
      <c r="H269" s="15">
        <v>0</v>
      </c>
      <c r="I269" s="15">
        <v>0</v>
      </c>
      <c r="J269" s="15">
        <v>0</v>
      </c>
      <c r="K269" s="15">
        <v>0</v>
      </c>
      <c r="L269" s="15">
        <v>7</v>
      </c>
      <c r="M269" s="15">
        <v>0</v>
      </c>
      <c r="N269" s="15">
        <v>2</v>
      </c>
      <c r="O269" s="15">
        <v>999</v>
      </c>
      <c r="P269" s="15"/>
    </row>
    <row r="270" spans="1:17">
      <c r="A270" s="8"/>
      <c r="B270" s="15">
        <v>3501</v>
      </c>
      <c r="C270" s="15">
        <v>38</v>
      </c>
      <c r="D270" s="15">
        <v>25</v>
      </c>
      <c r="E270" s="15">
        <v>0</v>
      </c>
      <c r="F270" s="14" t="str">
        <f>VLOOKUP(C270,skill_list!B:C,2)</f>
        <v>プロヴォーク</v>
      </c>
      <c r="G270" s="11"/>
      <c r="H270" s="15">
        <v>2</v>
      </c>
      <c r="I270" s="15">
        <v>3</v>
      </c>
      <c r="J270" s="15">
        <v>208</v>
      </c>
      <c r="K270" s="15">
        <v>0</v>
      </c>
      <c r="L270" s="15">
        <v>7</v>
      </c>
      <c r="M270" s="15">
        <v>0</v>
      </c>
      <c r="N270" s="15">
        <v>3</v>
      </c>
      <c r="O270" s="15">
        <v>0</v>
      </c>
      <c r="P270" s="15"/>
    </row>
    <row r="271" spans="1:17">
      <c r="A271" s="8"/>
      <c r="B271" s="15">
        <v>3502</v>
      </c>
      <c r="C271" s="15">
        <v>65</v>
      </c>
      <c r="D271" s="15">
        <v>25</v>
      </c>
      <c r="E271" s="15">
        <v>0</v>
      </c>
      <c r="F271" s="14" t="str">
        <f>VLOOKUP(C271,skill_list!B:C,2)</f>
        <v>ポラリスの輝き</v>
      </c>
      <c r="G271" s="11"/>
      <c r="H271" s="15">
        <v>2</v>
      </c>
      <c r="I271" s="15">
        <v>3</v>
      </c>
      <c r="J271" s="15">
        <v>129</v>
      </c>
      <c r="K271" s="15">
        <v>0</v>
      </c>
      <c r="L271" s="15">
        <v>7</v>
      </c>
      <c r="M271" s="15">
        <v>0</v>
      </c>
      <c r="N271" s="15">
        <v>3</v>
      </c>
      <c r="O271" s="15">
        <v>999</v>
      </c>
      <c r="P271" s="15"/>
    </row>
    <row r="272" spans="1:17">
      <c r="A272" s="8"/>
      <c r="B272" s="15">
        <v>3503</v>
      </c>
      <c r="C272" s="15">
        <v>129</v>
      </c>
      <c r="D272" s="15">
        <v>25</v>
      </c>
      <c r="E272" s="15">
        <v>0</v>
      </c>
      <c r="F272" s="14" t="str">
        <f>VLOOKUP(C272,skill_list!B:C,2)</f>
        <v>ライオンハート</v>
      </c>
      <c r="G272" s="11"/>
      <c r="H272" s="15">
        <v>2</v>
      </c>
      <c r="I272" s="15">
        <v>3</v>
      </c>
      <c r="J272" s="15">
        <v>184</v>
      </c>
      <c r="K272" s="15">
        <v>0</v>
      </c>
      <c r="L272" s="15">
        <v>7</v>
      </c>
      <c r="M272" s="15">
        <v>0</v>
      </c>
      <c r="N272" s="15">
        <v>3</v>
      </c>
      <c r="O272" s="15">
        <v>0</v>
      </c>
      <c r="P272" s="15"/>
    </row>
    <row r="273" spans="1:16">
      <c r="A273" s="8"/>
      <c r="B273" s="15">
        <v>3504</v>
      </c>
      <c r="C273" s="15">
        <v>160</v>
      </c>
      <c r="D273" s="15">
        <v>25</v>
      </c>
      <c r="E273" s="15">
        <v>0</v>
      </c>
      <c r="F273" s="14" t="str">
        <f>VLOOKUP(C273,skill_list!B:C,2)</f>
        <v>ギャザー・バッシュ</v>
      </c>
      <c r="G273" s="11"/>
      <c r="H273" s="15">
        <v>2</v>
      </c>
      <c r="I273" s="15">
        <v>3</v>
      </c>
      <c r="J273" s="15">
        <v>117</v>
      </c>
      <c r="K273" s="15">
        <v>0</v>
      </c>
      <c r="L273" s="15">
        <v>7</v>
      </c>
      <c r="M273" s="15">
        <v>0</v>
      </c>
      <c r="N273" s="15">
        <v>3</v>
      </c>
      <c r="O273" s="15">
        <v>999</v>
      </c>
      <c r="P273" s="15"/>
    </row>
    <row r="274" spans="1:16">
      <c r="A274" s="8"/>
      <c r="B274" s="15">
        <v>3505</v>
      </c>
      <c r="C274" s="15">
        <v>233</v>
      </c>
      <c r="D274" s="15">
        <v>25</v>
      </c>
      <c r="E274" s="15">
        <v>0</v>
      </c>
      <c r="F274" s="14" t="str">
        <f>VLOOKUP(C274,skill_list!B:C,2)</f>
        <v>プロヴォーク</v>
      </c>
      <c r="G274" s="11"/>
      <c r="H274" s="15">
        <v>2</v>
      </c>
      <c r="I274" s="15">
        <v>3</v>
      </c>
      <c r="J274" s="15">
        <v>208</v>
      </c>
      <c r="K274" s="15">
        <v>0</v>
      </c>
      <c r="L274" s="15">
        <v>7</v>
      </c>
      <c r="M274" s="15">
        <v>0</v>
      </c>
      <c r="N274" s="15">
        <v>3</v>
      </c>
      <c r="O274" s="15">
        <v>0</v>
      </c>
      <c r="P274" s="15"/>
    </row>
    <row r="275" spans="1:16">
      <c r="A275" s="8"/>
      <c r="B275" s="15">
        <v>3506</v>
      </c>
      <c r="C275" s="15">
        <v>257</v>
      </c>
      <c r="D275" s="15">
        <v>25</v>
      </c>
      <c r="E275" s="15">
        <v>0</v>
      </c>
      <c r="F275" s="14" t="str">
        <f>VLOOKUP(C275,skill_list!B:C,2)</f>
        <v>プリンシプルチャンダス</v>
      </c>
      <c r="G275" s="11"/>
      <c r="H275" s="15">
        <v>2</v>
      </c>
      <c r="I275" s="15">
        <v>3</v>
      </c>
      <c r="J275" s="15">
        <v>131</v>
      </c>
      <c r="K275" s="15">
        <v>0</v>
      </c>
      <c r="L275" s="15">
        <v>7</v>
      </c>
      <c r="M275" s="15">
        <v>0</v>
      </c>
      <c r="N275" s="15">
        <v>3</v>
      </c>
      <c r="O275" s="15">
        <v>999</v>
      </c>
      <c r="P275" s="15"/>
    </row>
    <row r="276" spans="1:16">
      <c r="A276" s="8"/>
      <c r="B276" s="15">
        <v>3507</v>
      </c>
      <c r="C276" s="15">
        <v>326</v>
      </c>
      <c r="D276" s="15">
        <v>25</v>
      </c>
      <c r="E276" s="15">
        <v>0</v>
      </c>
      <c r="F276" s="14" t="str">
        <f>VLOOKUP(C276,skill_list!B:C,2)</f>
        <v>籠の鳥</v>
      </c>
      <c r="G276" s="11"/>
      <c r="H276" s="15">
        <v>2</v>
      </c>
      <c r="I276" s="15">
        <v>3</v>
      </c>
      <c r="J276" s="15">
        <v>184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3508</v>
      </c>
      <c r="C277" s="15">
        <v>341</v>
      </c>
      <c r="D277" s="15">
        <v>25</v>
      </c>
      <c r="E277" s="15">
        <v>0</v>
      </c>
      <c r="F277" s="14" t="str">
        <f>VLOOKUP(C277,skill_list!B:C,2)</f>
        <v>ご注文を伺います</v>
      </c>
      <c r="G277" s="11"/>
      <c r="H277" s="15">
        <v>2</v>
      </c>
      <c r="I277" s="15">
        <v>3</v>
      </c>
      <c r="J277" s="15">
        <v>192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3509</v>
      </c>
      <c r="C278" s="15">
        <v>358</v>
      </c>
      <c r="D278" s="15">
        <v>25</v>
      </c>
      <c r="E278" s="15">
        <v>0</v>
      </c>
      <c r="F278" s="14" t="str">
        <f>VLOOKUP(C278,skill_list!B:C,2)</f>
        <v>決意の夜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3510</v>
      </c>
      <c r="C279" s="15">
        <v>434</v>
      </c>
      <c r="D279" s="15">
        <v>25</v>
      </c>
      <c r="E279" s="15">
        <v>0</v>
      </c>
      <c r="F279" s="14" t="str">
        <f>VLOOKUP(C279,skill_list!B:C,2)</f>
        <v>シンコペーション</v>
      </c>
      <c r="G279" s="11"/>
      <c r="H279" s="15">
        <v>2</v>
      </c>
      <c r="I279" s="15">
        <v>3</v>
      </c>
      <c r="J279" s="15">
        <v>184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3511</v>
      </c>
      <c r="C280" s="15">
        <v>461</v>
      </c>
      <c r="D280" s="15">
        <v>25</v>
      </c>
      <c r="E280" s="15">
        <v>0</v>
      </c>
      <c r="F280" s="14" t="str">
        <f>VLOOKUP(C280,skill_list!B:C,2)</f>
        <v>ねこじゃらし</v>
      </c>
      <c r="G280" s="11"/>
      <c r="H280" s="15">
        <v>2</v>
      </c>
      <c r="I280" s="15">
        <v>3</v>
      </c>
      <c r="J280" s="15">
        <v>200</v>
      </c>
      <c r="K280" s="15">
        <v>0</v>
      </c>
      <c r="L280" s="15">
        <v>7</v>
      </c>
      <c r="M280" s="15">
        <v>0</v>
      </c>
      <c r="N280" s="15">
        <v>3</v>
      </c>
      <c r="O280" s="15">
        <v>0</v>
      </c>
      <c r="P280" s="15"/>
    </row>
    <row r="281" spans="1:16">
      <c r="A281" s="8"/>
      <c r="B281" s="15">
        <v>3601</v>
      </c>
      <c r="C281" s="15">
        <v>88</v>
      </c>
      <c r="D281" s="15">
        <v>26</v>
      </c>
      <c r="E281" s="15">
        <v>0</v>
      </c>
      <c r="F281" s="14" t="str">
        <f>VLOOKUP(C281,skill_list!B:C,2)</f>
        <v>導きの号令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3602</v>
      </c>
      <c r="C282" s="15">
        <v>217</v>
      </c>
      <c r="D282" s="15">
        <v>26</v>
      </c>
      <c r="E282" s="15">
        <v>0</v>
      </c>
      <c r="F282" s="14" t="str">
        <f>VLOOKUP(C282,skill_list!B:C,2)</f>
        <v>空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3603</v>
      </c>
      <c r="C283" s="15">
        <v>267</v>
      </c>
      <c r="D283" s="15">
        <v>26</v>
      </c>
      <c r="E283" s="15">
        <v>0</v>
      </c>
      <c r="F283" s="14" t="str">
        <f>VLOOKUP(C283,skill_list!B:C,2)</f>
        <v>細雪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3604</v>
      </c>
      <c r="C284" s="15">
        <v>346</v>
      </c>
      <c r="D284" s="15">
        <v>26</v>
      </c>
      <c r="E284" s="15">
        <v>0</v>
      </c>
      <c r="F284" s="14" t="str">
        <f>VLOOKUP(C284,skill_list!B:C,2)</f>
        <v>メイドの嗜み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3605</v>
      </c>
      <c r="C285" s="15">
        <v>371</v>
      </c>
      <c r="D285" s="15">
        <v>26</v>
      </c>
      <c r="E285" s="15">
        <v>0</v>
      </c>
      <c r="F285" s="14" t="str">
        <f>VLOOKUP(C285,skill_list!B:C,2)</f>
        <v>赤面スティグマ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3606</v>
      </c>
      <c r="C286" s="15">
        <v>380</v>
      </c>
      <c r="D286" s="15">
        <v>26</v>
      </c>
      <c r="E286" s="15">
        <v>0</v>
      </c>
      <c r="F286" s="14" t="str">
        <f>VLOOKUP(C286,skill_list!B:C,2)</f>
        <v>天変の相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3607</v>
      </c>
      <c r="C287" s="15">
        <v>404</v>
      </c>
      <c r="D287" s="15">
        <v>26</v>
      </c>
      <c r="E287" s="15">
        <v>0</v>
      </c>
      <c r="F287" s="14" t="str">
        <f>VLOOKUP(C287,skill_list!B:C,2)</f>
        <v>とある衝撃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3608</v>
      </c>
      <c r="C288" s="15">
        <v>471</v>
      </c>
      <c r="D288" s="15">
        <v>26</v>
      </c>
      <c r="E288" s="15">
        <v>0</v>
      </c>
      <c r="F288" s="14" t="str">
        <f>VLOOKUP(C288,skill_list!B:C,2)</f>
        <v>おしおき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1</v>
      </c>
      <c r="O288" s="15">
        <v>0</v>
      </c>
      <c r="P288" s="15"/>
    </row>
    <row r="289" spans="1:16">
      <c r="A289" s="8"/>
      <c r="B289" s="15">
        <v>3609</v>
      </c>
      <c r="C289" s="15">
        <v>494</v>
      </c>
      <c r="D289" s="15">
        <v>26</v>
      </c>
      <c r="E289" s="15">
        <v>0</v>
      </c>
      <c r="F289" s="14" t="str">
        <f>VLOOKUP(C289,skill_list!B:C,2)</f>
        <v>夜醒</v>
      </c>
      <c r="G289" s="11"/>
      <c r="H289" s="15">
        <v>0</v>
      </c>
      <c r="I289" s="15">
        <v>0</v>
      </c>
      <c r="J289" s="15">
        <v>0</v>
      </c>
      <c r="K289" s="15">
        <v>0</v>
      </c>
      <c r="L289" s="15">
        <v>4</v>
      </c>
      <c r="M289" s="15">
        <v>0</v>
      </c>
      <c r="N289" s="15">
        <v>1</v>
      </c>
      <c r="O289" s="15">
        <v>0</v>
      </c>
      <c r="P289" s="15"/>
    </row>
    <row r="290" spans="1:16">
      <c r="A290" s="8"/>
      <c r="B290" s="15">
        <v>3701</v>
      </c>
      <c r="C290" s="15">
        <v>486</v>
      </c>
      <c r="D290" s="15">
        <v>27</v>
      </c>
      <c r="E290" s="15">
        <v>0</v>
      </c>
      <c r="F290" s="14" t="str">
        <f>VLOOKUP(C290,skill_list!B:C,2)</f>
        <v>聖女の守護</v>
      </c>
      <c r="G290" s="11"/>
      <c r="H290" s="15">
        <v>2</v>
      </c>
      <c r="I290" s="15">
        <v>3</v>
      </c>
      <c r="J290" s="15">
        <v>160</v>
      </c>
      <c r="K290" s="15">
        <v>1</v>
      </c>
      <c r="L290" s="15">
        <v>7</v>
      </c>
      <c r="M290" s="15">
        <v>0</v>
      </c>
      <c r="N290" s="15">
        <v>0</v>
      </c>
      <c r="O290" s="15">
        <v>0</v>
      </c>
      <c r="P290" s="15"/>
    </row>
    <row r="291" spans="1:16">
      <c r="A291" s="8"/>
      <c r="B291" s="15">
        <v>4001</v>
      </c>
      <c r="C291" s="15">
        <v>469</v>
      </c>
      <c r="D291" s="15">
        <v>30</v>
      </c>
      <c r="E291" s="15">
        <v>0</v>
      </c>
      <c r="F291" s="14" t="str">
        <f>VLOOKUP(C291,skill_list!B:C,2)</f>
        <v>ひらり落桜</v>
      </c>
      <c r="G291" s="11"/>
      <c r="H291" s="15">
        <v>0</v>
      </c>
      <c r="I291" s="15">
        <v>0</v>
      </c>
      <c r="J291" s="15">
        <v>0</v>
      </c>
      <c r="K291" s="15">
        <v>1</v>
      </c>
      <c r="L291" s="15">
        <v>7</v>
      </c>
      <c r="M291" s="15">
        <v>0</v>
      </c>
      <c r="N291" s="15">
        <v>0</v>
      </c>
      <c r="O291" s="15">
        <v>0</v>
      </c>
      <c r="P291" s="15"/>
    </row>
  </sheetData>
  <autoFilter ref="B6:P291" xr:uid="{401BDCFC-C7C7-426C-A276-7FBF75833C9C}"/>
  <phoneticPr fontId="1"/>
  <dataValidations count="1">
    <dataValidation type="list" allowBlank="1" showInputMessage="1" showErrorMessage="1" sqref="A7:A291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O16" sqref="O1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1669</v>
      </c>
    </row>
    <row r="8" spans="1:6">
      <c r="A8" s="8"/>
      <c r="B8" s="15">
        <v>1</v>
      </c>
      <c r="C8" s="15">
        <v>5</v>
      </c>
      <c r="D8" s="15">
        <v>0</v>
      </c>
      <c r="F8" t="s">
        <v>1670</v>
      </c>
    </row>
    <row r="9" spans="1:6">
      <c r="A9" s="8"/>
      <c r="B9" s="15">
        <v>2</v>
      </c>
      <c r="C9" s="15">
        <v>5</v>
      </c>
      <c r="D9" s="15">
        <v>0</v>
      </c>
      <c r="F9" t="s">
        <v>1671</v>
      </c>
    </row>
    <row r="10" spans="1:6">
      <c r="A10" s="8"/>
      <c r="B10" s="15">
        <v>3</v>
      </c>
      <c r="C10" s="15">
        <v>5</v>
      </c>
      <c r="D10" s="15">
        <v>6</v>
      </c>
      <c r="F10" t="s">
        <v>1672</v>
      </c>
    </row>
    <row r="11" spans="1:6">
      <c r="A11" s="8"/>
      <c r="B11" s="15">
        <v>4</v>
      </c>
      <c r="C11" s="15">
        <v>5</v>
      </c>
      <c r="D11" s="15">
        <v>6</v>
      </c>
      <c r="F11" t="s">
        <v>1673</v>
      </c>
    </row>
    <row r="12" spans="1:6">
      <c r="A12" s="8"/>
      <c r="B12" s="15">
        <v>5</v>
      </c>
      <c r="C12" s="15">
        <v>6</v>
      </c>
      <c r="D12" s="15">
        <v>5</v>
      </c>
      <c r="F12" t="s">
        <v>1674</v>
      </c>
    </row>
    <row r="13" spans="1:6">
      <c r="A13" s="8"/>
      <c r="B13" s="15">
        <v>6</v>
      </c>
      <c r="C13" s="15">
        <v>5</v>
      </c>
      <c r="D13" s="15">
        <v>0</v>
      </c>
      <c r="F13" t="s">
        <v>1675</v>
      </c>
    </row>
    <row r="14" spans="1:6">
      <c r="A14" s="8"/>
      <c r="B14" s="15">
        <v>7</v>
      </c>
      <c r="C14" s="15">
        <v>5</v>
      </c>
      <c r="D14" s="15">
        <v>0</v>
      </c>
      <c r="F14" t="s">
        <v>1676</v>
      </c>
    </row>
    <row r="15" spans="1:6">
      <c r="A15" s="8"/>
      <c r="B15" s="15">
        <v>8</v>
      </c>
      <c r="C15" s="15">
        <v>5</v>
      </c>
      <c r="D15" s="15">
        <v>0</v>
      </c>
      <c r="F15" t="s">
        <v>1677</v>
      </c>
    </row>
    <row r="16" spans="1:6">
      <c r="A16" s="8"/>
      <c r="B16" s="15">
        <v>9</v>
      </c>
      <c r="C16" s="15">
        <v>0</v>
      </c>
      <c r="D16" s="15">
        <v>0</v>
      </c>
      <c r="F16" t="s">
        <v>1678</v>
      </c>
    </row>
    <row r="17" spans="1:6">
      <c r="A17" s="8"/>
      <c r="B17" s="15">
        <v>10</v>
      </c>
      <c r="C17" s="15">
        <v>5</v>
      </c>
      <c r="D17" s="15">
        <v>0</v>
      </c>
      <c r="F17" t="s">
        <v>1679</v>
      </c>
    </row>
    <row r="18" spans="1:6">
      <c r="A18" s="8"/>
      <c r="B18" s="15">
        <v>11</v>
      </c>
      <c r="C18" s="15">
        <v>0</v>
      </c>
      <c r="D18" s="15">
        <v>0</v>
      </c>
      <c r="F18" t="s">
        <v>1680</v>
      </c>
    </row>
    <row r="19" spans="1:6">
      <c r="A19" s="8"/>
      <c r="B19" s="15">
        <v>12</v>
      </c>
      <c r="C19" s="15">
        <v>0</v>
      </c>
      <c r="D19" s="15">
        <v>0</v>
      </c>
      <c r="F19" t="s">
        <v>1681</v>
      </c>
    </row>
    <row r="20" spans="1:6">
      <c r="A20" s="8"/>
      <c r="B20" s="15">
        <v>13</v>
      </c>
      <c r="C20" s="15">
        <v>5</v>
      </c>
      <c r="D20" s="15">
        <v>0</v>
      </c>
      <c r="F20" t="s">
        <v>1792</v>
      </c>
    </row>
    <row r="21" spans="1:6">
      <c r="A21" s="8"/>
      <c r="B21" s="15">
        <v>14</v>
      </c>
      <c r="C21" s="15">
        <v>0</v>
      </c>
      <c r="D21" s="15">
        <v>0</v>
      </c>
      <c r="F21" t="s">
        <v>1682</v>
      </c>
    </row>
    <row r="22" spans="1:6">
      <c r="A22" s="8"/>
      <c r="B22" s="15">
        <v>15</v>
      </c>
      <c r="C22" s="15">
        <v>0</v>
      </c>
      <c r="D22" s="15">
        <v>0</v>
      </c>
      <c r="F22" t="s">
        <v>1683</v>
      </c>
    </row>
    <row r="23" spans="1:6">
      <c r="A23" s="8"/>
      <c r="B23" s="15">
        <v>16</v>
      </c>
      <c r="C23" s="15">
        <v>5</v>
      </c>
      <c r="D23" s="15">
        <v>0</v>
      </c>
      <c r="F23" t="s">
        <v>1684</v>
      </c>
    </row>
    <row r="24" spans="1:6">
      <c r="A24" s="8"/>
      <c r="B24" s="15">
        <v>17</v>
      </c>
      <c r="C24" s="15">
        <v>5</v>
      </c>
      <c r="D24" s="15">
        <v>0</v>
      </c>
      <c r="F24" t="s">
        <v>1685</v>
      </c>
    </row>
    <row r="25" spans="1:6">
      <c r="A25" s="8"/>
      <c r="B25" s="15">
        <v>18</v>
      </c>
      <c r="C25" s="15">
        <v>0</v>
      </c>
      <c r="D25" s="15">
        <v>0</v>
      </c>
      <c r="F25" t="s">
        <v>1686</v>
      </c>
    </row>
    <row r="26" spans="1:6">
      <c r="A26" s="8"/>
      <c r="B26" s="15">
        <v>19</v>
      </c>
      <c r="C26" s="15">
        <v>5</v>
      </c>
      <c r="D26" s="15">
        <v>6</v>
      </c>
      <c r="F26" t="s">
        <v>1687</v>
      </c>
    </row>
    <row r="27" spans="1:6">
      <c r="A27" s="8"/>
      <c r="B27" s="15">
        <v>20</v>
      </c>
      <c r="C27" s="15">
        <v>5</v>
      </c>
      <c r="D27" s="15">
        <v>6</v>
      </c>
      <c r="F27" t="s">
        <v>1688</v>
      </c>
    </row>
    <row r="28" spans="1:6">
      <c r="A28" s="8"/>
      <c r="B28" s="15">
        <v>21</v>
      </c>
      <c r="C28" s="15">
        <v>5</v>
      </c>
      <c r="D28" s="15">
        <v>6</v>
      </c>
      <c r="F28" t="s">
        <v>1689</v>
      </c>
    </row>
    <row r="29" spans="1:6">
      <c r="A29" s="8"/>
      <c r="B29" s="15">
        <v>22</v>
      </c>
      <c r="C29" s="15">
        <v>5</v>
      </c>
      <c r="D29" s="15">
        <v>6</v>
      </c>
      <c r="F29" t="s">
        <v>1690</v>
      </c>
    </row>
    <row r="30" spans="1:6">
      <c r="A30" s="8"/>
      <c r="B30" s="15">
        <v>23</v>
      </c>
      <c r="C30" s="15">
        <v>5</v>
      </c>
      <c r="D30" s="15">
        <v>6</v>
      </c>
      <c r="F30" t="s">
        <v>1793</v>
      </c>
    </row>
    <row r="31" spans="1:6">
      <c r="A31" s="8"/>
      <c r="B31" s="15">
        <v>24</v>
      </c>
      <c r="C31" s="15">
        <v>0</v>
      </c>
      <c r="D31" s="15">
        <v>0</v>
      </c>
      <c r="F31" t="s">
        <v>1810</v>
      </c>
    </row>
    <row r="32" spans="1:6">
      <c r="A32" s="8"/>
      <c r="B32" s="15">
        <v>25</v>
      </c>
      <c r="C32" s="15">
        <v>3</v>
      </c>
      <c r="D32" s="15">
        <v>4</v>
      </c>
      <c r="F32" t="s">
        <v>1826</v>
      </c>
    </row>
    <row r="33" spans="1:6">
      <c r="A33" s="8"/>
      <c r="B33" s="15">
        <v>26</v>
      </c>
      <c r="C33" s="15">
        <v>0</v>
      </c>
      <c r="D33" s="15">
        <v>0</v>
      </c>
      <c r="F33" t="s">
        <v>1827</v>
      </c>
    </row>
    <row r="34" spans="1:6">
      <c r="A34" s="8"/>
      <c r="B34" s="15">
        <v>27</v>
      </c>
      <c r="C34" s="15">
        <v>3</v>
      </c>
      <c r="D34" s="15">
        <v>4</v>
      </c>
      <c r="F34" t="s">
        <v>1878</v>
      </c>
    </row>
    <row r="35" spans="1:6">
      <c r="A35" s="8"/>
      <c r="B35" s="15">
        <v>28</v>
      </c>
      <c r="C35" s="15">
        <v>0</v>
      </c>
      <c r="D35" s="15">
        <v>0</v>
      </c>
      <c r="F35" t="s">
        <v>1879</v>
      </c>
    </row>
    <row r="36" spans="1:6">
      <c r="A36" s="8"/>
      <c r="B36" s="15">
        <v>29</v>
      </c>
      <c r="C36" s="15">
        <v>0</v>
      </c>
      <c r="D36" s="15">
        <v>0</v>
      </c>
      <c r="F36" t="s">
        <v>1880</v>
      </c>
    </row>
    <row r="37" spans="1:6">
      <c r="A37" s="8"/>
      <c r="B37" s="15">
        <v>30</v>
      </c>
      <c r="C37" s="15">
        <v>0</v>
      </c>
      <c r="D37" s="15">
        <v>0</v>
      </c>
      <c r="F37" t="s">
        <v>1881</v>
      </c>
    </row>
    <row r="38" spans="1:6">
      <c r="A38" s="8"/>
      <c r="B38" s="15">
        <v>31</v>
      </c>
      <c r="C38" s="15">
        <v>0</v>
      </c>
      <c r="D38" s="15">
        <v>0</v>
      </c>
      <c r="F38" t="s">
        <v>1882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8"/>
  <sheetViews>
    <sheetView zoomScale="85" zoomScaleNormal="85" workbookViewId="0">
      <pane ySplit="6" topLeftCell="A106" activePane="bottomLeft" state="frozen"/>
      <selection pane="bottomLeft" activeCell="B129" sqref="B12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  <col min="16" max="20" width="9.375" bestFit="1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VLOOKUP(VALUE(K6),ability!B:C,2,FALSE)</f>
        <v>#VALUE!</v>
      </c>
      <c r="Q6" t="e">
        <f>VLOOKUP(VALUE(L6),ability!B:C,2,FALSE)</f>
        <v>#VALUE!</v>
      </c>
      <c r="R6" t="e">
        <f>VLOOKUP(VALUE(M6),ability!B:C,2,FALSE)</f>
        <v>#VALUE!</v>
      </c>
      <c r="S6" t="e">
        <f>VLOOKUP(VALUE(N6),ability!B:C,2,FALSE)</f>
        <v>#VALUE!</v>
      </c>
      <c r="T6" t="e">
        <f>VLOOKUP(VALUE(O6),ability!B:C,2,FALSE)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</row>
    <row r="17" spans="1:15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</row>
    <row r="18" spans="1:15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</row>
    <row r="19" spans="1:15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</row>
    <row r="20" spans="1:15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</row>
    <row r="21" spans="1:15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</row>
    <row r="22" spans="1:15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</row>
    <row r="23" spans="1:15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</row>
    <row r="24" spans="1:15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</row>
    <row r="25" spans="1:15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</row>
    <row r="26" spans="1:15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</row>
    <row r="27" spans="1:15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</row>
    <row r="28" spans="1:15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</row>
    <row r="29" spans="1:15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</row>
    <row r="30" spans="1:15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</row>
    <row r="31" spans="1:15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</row>
    <row r="32" spans="1:15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</row>
    <row r="33" spans="1:15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</row>
    <row r="34" spans="1:15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</row>
    <row r="35" spans="1:15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</row>
    <row r="36" spans="1:15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</row>
    <row r="37" spans="1:15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</row>
    <row r="38" spans="1:15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</row>
    <row r="39" spans="1:15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</row>
    <row r="40" spans="1:15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</row>
    <row r="41" spans="1:15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</row>
    <row r="42" spans="1:15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</row>
    <row r="43" spans="1:15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</row>
    <row r="44" spans="1:15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</row>
    <row r="45" spans="1:15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</row>
    <row r="46" spans="1:15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</row>
    <row r="47" spans="1:15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</row>
    <row r="48" spans="1:15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</row>
    <row r="49" spans="1:15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</row>
    <row r="50" spans="1:15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</row>
    <row r="51" spans="1:15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</row>
    <row r="52" spans="1:15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</row>
    <row r="53" spans="1:15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</row>
    <row r="54" spans="1:15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</row>
    <row r="55" spans="1:15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</row>
    <row r="56" spans="1:15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</row>
    <row r="57" spans="1:15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</row>
    <row r="58" spans="1:15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</row>
    <row r="59" spans="1:15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</row>
    <row r="60" spans="1:15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</row>
    <row r="61" spans="1:15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</row>
    <row r="62" spans="1:15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</row>
    <row r="63" spans="1:15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</row>
    <row r="64" spans="1:15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</row>
    <row r="65" spans="1:15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</row>
    <row r="66" spans="1:15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</row>
    <row r="67" spans="1:15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</row>
    <row r="68" spans="1:15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</row>
    <row r="69" spans="1:15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</row>
    <row r="70" spans="1:15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</row>
    <row r="71" spans="1:15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</row>
    <row r="72" spans="1:15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</row>
    <row r="73" spans="1:15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</row>
    <row r="74" spans="1:15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</row>
    <row r="75" spans="1:15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</row>
    <row r="76" spans="1:15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</row>
    <row r="77" spans="1:15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</row>
    <row r="78" spans="1:15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</row>
    <row r="79" spans="1:15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</row>
    <row r="80" spans="1:15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</row>
    <row r="81" spans="1:15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</row>
    <row r="82" spans="1:15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</row>
    <row r="83" spans="1:15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</row>
    <row r="84" spans="1:15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</row>
    <row r="85" spans="1:15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</row>
    <row r="86" spans="1:15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</row>
    <row r="87" spans="1:15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</row>
    <row r="88" spans="1:15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</row>
    <row r="89" spans="1:15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</row>
    <row r="90" spans="1:15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</row>
    <row r="91" spans="1:15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</row>
    <row r="92" spans="1:15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</row>
    <row r="93" spans="1:15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</row>
    <row r="94" spans="1:15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</row>
    <row r="95" spans="1:15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</row>
    <row r="96" spans="1:15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</row>
    <row r="97" spans="1:15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</row>
    <row r="98" spans="1:15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</row>
    <row r="99" spans="1:15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</row>
    <row r="100" spans="1:15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</row>
    <row r="101" spans="1:15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</row>
    <row r="102" spans="1:15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</row>
    <row r="103" spans="1:15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</row>
    <row r="104" spans="1:15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</row>
    <row r="105" spans="1:15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</row>
    <row r="106" spans="1:15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</row>
    <row r="107" spans="1:15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</row>
    <row r="108" spans="1:15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</row>
    <row r="109" spans="1:15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</row>
    <row r="110" spans="1:15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</row>
    <row r="111" spans="1:15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</row>
    <row r="112" spans="1:15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</row>
    <row r="113" spans="1:15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</row>
    <row r="114" spans="1:15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</row>
    <row r="115" spans="1:15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</row>
    <row r="116" spans="1:15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</row>
    <row r="117" spans="1:15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</row>
    <row r="118" spans="1:15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</row>
    <row r="119" spans="1:15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</row>
    <row r="120" spans="1:15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</row>
    <row r="121" spans="1:15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</row>
    <row r="122" spans="1:15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</row>
    <row r="123" spans="1:15">
      <c r="A123" s="8"/>
      <c r="B123" s="15">
        <v>118</v>
      </c>
      <c r="C123" s="15">
        <v>24</v>
      </c>
      <c r="D123" s="15">
        <v>1</v>
      </c>
      <c r="E123" s="11" t="s">
        <v>1981</v>
      </c>
      <c r="F123" s="11" t="s">
        <v>1774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</row>
    <row r="124" spans="1:15">
      <c r="A124" s="8"/>
      <c r="B124" s="15">
        <v>119</v>
      </c>
      <c r="C124" s="15">
        <v>32</v>
      </c>
      <c r="D124" s="15">
        <v>1</v>
      </c>
      <c r="E124" s="11" t="s">
        <v>1982</v>
      </c>
      <c r="F124" s="11" t="s">
        <v>1775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</row>
    <row r="125" spans="1:15">
      <c r="A125" s="8"/>
      <c r="B125" s="15">
        <v>120</v>
      </c>
      <c r="C125" s="15">
        <v>39</v>
      </c>
      <c r="D125" s="15">
        <v>1</v>
      </c>
      <c r="E125" s="11" t="s">
        <v>1818</v>
      </c>
      <c r="F125" s="11" t="s">
        <v>1820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</row>
    <row r="126" spans="1:15">
      <c r="A126" s="8"/>
      <c r="B126" s="15">
        <v>121</v>
      </c>
      <c r="C126" s="15">
        <v>40</v>
      </c>
      <c r="D126" s="15">
        <v>1</v>
      </c>
      <c r="E126" s="11" t="s">
        <v>1819</v>
      </c>
      <c r="F126" s="11" t="s">
        <v>1821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</row>
    <row r="127" spans="1:15">
      <c r="A127" s="8"/>
      <c r="B127" s="15">
        <v>122</v>
      </c>
      <c r="C127" s="15">
        <v>14</v>
      </c>
      <c r="D127" s="15">
        <v>1</v>
      </c>
      <c r="E127" s="11" t="s">
        <v>1840</v>
      </c>
      <c r="F127" s="11" t="s">
        <v>1838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</row>
    <row r="128" spans="1:15">
      <c r="A128" s="8"/>
      <c r="B128" s="15">
        <v>123</v>
      </c>
      <c r="C128" s="15">
        <v>42</v>
      </c>
      <c r="D128" s="15">
        <v>1</v>
      </c>
      <c r="E128" s="11" t="s">
        <v>1839</v>
      </c>
      <c r="F128" s="11" t="s">
        <v>1837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</row>
    <row r="129" spans="1:15">
      <c r="A129" s="8"/>
      <c r="B129" s="15">
        <v>124</v>
      </c>
      <c r="C129" s="15">
        <v>43</v>
      </c>
      <c r="D129" s="15">
        <v>1</v>
      </c>
      <c r="E129" s="11" t="s">
        <v>2043</v>
      </c>
      <c r="F129" s="11" t="s">
        <v>2041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1101</v>
      </c>
      <c r="M129" s="15">
        <v>1512</v>
      </c>
      <c r="N129" s="15"/>
      <c r="O129" s="15"/>
    </row>
    <row r="130" spans="1:15">
      <c r="A130" s="8"/>
      <c r="B130" s="15">
        <v>5001</v>
      </c>
      <c r="C130" s="15">
        <v>1</v>
      </c>
      <c r="D130" s="15">
        <v>2</v>
      </c>
      <c r="E130" s="11" t="s">
        <v>996</v>
      </c>
      <c r="F130" s="11" t="s">
        <v>1067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1502</v>
      </c>
      <c r="N130" s="15"/>
      <c r="O130" s="15"/>
    </row>
    <row r="131" spans="1:15">
      <c r="A131" s="8"/>
      <c r="B131" s="15">
        <v>5002</v>
      </c>
      <c r="C131" s="15">
        <v>3</v>
      </c>
      <c r="D131" s="15">
        <v>2</v>
      </c>
      <c r="E131" s="11" t="s">
        <v>997</v>
      </c>
      <c r="F131" s="11" t="s">
        <v>1070</v>
      </c>
      <c r="G131" s="15">
        <v>6</v>
      </c>
      <c r="H131" s="15">
        <v>0</v>
      </c>
      <c r="I131" s="15"/>
      <c r="J131" s="15">
        <v>4</v>
      </c>
      <c r="K131" s="15"/>
      <c r="L131" s="15"/>
      <c r="M131" s="15">
        <v>212</v>
      </c>
      <c r="N131" s="15"/>
      <c r="O131" s="15"/>
    </row>
    <row r="132" spans="1:15">
      <c r="A132" s="8"/>
      <c r="B132" s="15">
        <v>5003</v>
      </c>
      <c r="C132" s="15">
        <v>6</v>
      </c>
      <c r="D132" s="15">
        <v>2</v>
      </c>
      <c r="E132" s="11" t="s">
        <v>998</v>
      </c>
      <c r="F132" s="11" t="s">
        <v>1074</v>
      </c>
      <c r="G132" s="15">
        <v>4</v>
      </c>
      <c r="H132" s="15">
        <v>0</v>
      </c>
      <c r="I132" s="15"/>
      <c r="J132" s="15">
        <v>2</v>
      </c>
      <c r="K132" s="15"/>
      <c r="L132" s="15"/>
      <c r="M132" s="15">
        <v>1109</v>
      </c>
      <c r="N132" s="15"/>
      <c r="O132" s="15"/>
    </row>
    <row r="133" spans="1:15">
      <c r="A133" s="8"/>
      <c r="B133" s="15">
        <v>5004</v>
      </c>
      <c r="C133" s="15">
        <v>7</v>
      </c>
      <c r="D133" s="15">
        <v>2</v>
      </c>
      <c r="E133" s="11" t="s">
        <v>999</v>
      </c>
      <c r="F133" s="11" t="s">
        <v>1076</v>
      </c>
      <c r="G133" s="15">
        <v>7</v>
      </c>
      <c r="H133" s="15">
        <v>0</v>
      </c>
      <c r="I133" s="15"/>
      <c r="J133" s="15">
        <v>6</v>
      </c>
      <c r="K133" s="15"/>
      <c r="L133" s="15"/>
      <c r="M133" s="15">
        <v>1502</v>
      </c>
      <c r="N133" s="15"/>
      <c r="O133" s="15"/>
    </row>
    <row r="134" spans="1:15">
      <c r="A134" s="8"/>
      <c r="B134" s="15">
        <v>5005</v>
      </c>
      <c r="C134" s="15">
        <v>9</v>
      </c>
      <c r="D134" s="15">
        <v>2</v>
      </c>
      <c r="E134" s="11" t="s">
        <v>1000</v>
      </c>
      <c r="F134" s="11" t="s">
        <v>1078</v>
      </c>
      <c r="G134" s="15">
        <v>2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</row>
    <row r="135" spans="1:15">
      <c r="A135" s="8"/>
      <c r="B135" s="15">
        <v>5006</v>
      </c>
      <c r="C135" s="15">
        <v>13</v>
      </c>
      <c r="D135" s="15">
        <v>2</v>
      </c>
      <c r="E135" s="11" t="s">
        <v>1001</v>
      </c>
      <c r="F135" s="11" t="s">
        <v>1083</v>
      </c>
      <c r="G135" s="15">
        <v>1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</row>
    <row r="136" spans="1:15">
      <c r="A136" s="8"/>
      <c r="B136" s="15">
        <v>5007</v>
      </c>
      <c r="C136" s="15">
        <v>16</v>
      </c>
      <c r="D136" s="15">
        <v>2</v>
      </c>
      <c r="E136" s="11" t="s">
        <v>1002</v>
      </c>
      <c r="F136" s="11" t="s">
        <v>1088</v>
      </c>
      <c r="G136" s="15">
        <v>2</v>
      </c>
      <c r="H136" s="15">
        <v>0</v>
      </c>
      <c r="I136" s="15"/>
      <c r="J136" s="15">
        <v>1</v>
      </c>
      <c r="K136" s="15"/>
      <c r="L136" s="15"/>
      <c r="M136" s="15">
        <v>1114</v>
      </c>
      <c r="N136" s="15"/>
      <c r="O136" s="15"/>
    </row>
    <row r="137" spans="1:15">
      <c r="A137" s="8"/>
      <c r="B137" s="15">
        <v>5008</v>
      </c>
      <c r="C137" s="15">
        <v>43</v>
      </c>
      <c r="D137" s="15">
        <v>2</v>
      </c>
      <c r="E137" s="11" t="s">
        <v>1003</v>
      </c>
      <c r="F137" s="11" t="s">
        <v>1091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220</v>
      </c>
      <c r="N137" s="15"/>
      <c r="O137" s="15"/>
    </row>
    <row r="138" spans="1:15">
      <c r="A138" s="8"/>
      <c r="B138" s="15">
        <v>5009</v>
      </c>
      <c r="C138" s="15">
        <v>48</v>
      </c>
      <c r="D138" s="15">
        <v>2</v>
      </c>
      <c r="E138" s="11" t="s">
        <v>1004</v>
      </c>
      <c r="F138" s="11" t="s">
        <v>1098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212</v>
      </c>
      <c r="N138" s="15"/>
      <c r="O138" s="15"/>
    </row>
    <row r="139" spans="1:15">
      <c r="A139" s="8"/>
      <c r="B139" s="15">
        <v>5010</v>
      </c>
      <c r="C139" s="15">
        <v>20</v>
      </c>
      <c r="D139" s="15">
        <v>2</v>
      </c>
      <c r="E139" s="11" t="s">
        <v>1005</v>
      </c>
      <c r="F139" s="11" t="s">
        <v>1101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1114</v>
      </c>
      <c r="N139" s="15"/>
      <c r="O139" s="15"/>
    </row>
    <row r="140" spans="1:15">
      <c r="A140" s="8"/>
      <c r="B140" s="15">
        <v>5011</v>
      </c>
      <c r="C140" s="15">
        <v>22</v>
      </c>
      <c r="D140" s="15">
        <v>2</v>
      </c>
      <c r="E140" s="11" t="s">
        <v>1006</v>
      </c>
      <c r="F140" s="11" t="s">
        <v>1104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</row>
    <row r="141" spans="1:15">
      <c r="A141" s="8"/>
      <c r="B141" s="15">
        <v>5012</v>
      </c>
      <c r="C141" s="15">
        <v>26</v>
      </c>
      <c r="D141" s="15">
        <v>2</v>
      </c>
      <c r="E141" s="11" t="s">
        <v>1007</v>
      </c>
      <c r="F141" s="11" t="s">
        <v>1110</v>
      </c>
      <c r="G141" s="15">
        <v>3</v>
      </c>
      <c r="H141" s="15">
        <v>0</v>
      </c>
      <c r="I141" s="15"/>
      <c r="J141" s="15">
        <v>1</v>
      </c>
      <c r="K141" s="15"/>
      <c r="L141" s="15"/>
      <c r="M141" s="15">
        <v>1109</v>
      </c>
      <c r="N141" s="15"/>
      <c r="O141" s="15"/>
    </row>
    <row r="142" spans="1:15">
      <c r="A142" s="8"/>
      <c r="B142" s="15">
        <v>5013</v>
      </c>
      <c r="C142" s="15">
        <v>27</v>
      </c>
      <c r="D142" s="15">
        <v>2</v>
      </c>
      <c r="E142" s="11" t="s">
        <v>1008</v>
      </c>
      <c r="F142" s="11" t="s">
        <v>1112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>
        <v>212</v>
      </c>
      <c r="N142" s="15"/>
      <c r="O142" s="15"/>
    </row>
    <row r="143" spans="1:15">
      <c r="A143" s="8"/>
      <c r="B143" s="15">
        <v>5014</v>
      </c>
      <c r="C143" s="15">
        <v>31</v>
      </c>
      <c r="D143" s="15">
        <v>2</v>
      </c>
      <c r="E143" s="11" t="s">
        <v>1009</v>
      </c>
      <c r="F143" s="11" t="s">
        <v>1117</v>
      </c>
      <c r="G143" s="15">
        <v>4</v>
      </c>
      <c r="H143" s="15">
        <v>0</v>
      </c>
      <c r="I143" s="15"/>
      <c r="J143" s="15">
        <v>2</v>
      </c>
      <c r="K143" s="15"/>
      <c r="L143" s="15"/>
      <c r="M143" s="15">
        <v>1115</v>
      </c>
      <c r="N143" s="15"/>
      <c r="O143" s="15"/>
    </row>
    <row r="144" spans="1:15">
      <c r="A144" s="8"/>
      <c r="B144" s="15">
        <v>5015</v>
      </c>
      <c r="C144" s="15">
        <v>33</v>
      </c>
      <c r="D144" s="15">
        <v>2</v>
      </c>
      <c r="E144" s="11" t="s">
        <v>1010</v>
      </c>
      <c r="F144" s="11" t="s">
        <v>1120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</row>
    <row r="145" spans="1:15">
      <c r="A145" s="8"/>
      <c r="B145" s="15">
        <v>5016</v>
      </c>
      <c r="C145" s="15">
        <v>38</v>
      </c>
      <c r="D145" s="15">
        <v>2</v>
      </c>
      <c r="E145" s="11" t="s">
        <v>1011</v>
      </c>
      <c r="F145" s="11" t="s">
        <v>1125</v>
      </c>
      <c r="G145" s="15">
        <v>5</v>
      </c>
      <c r="H145" s="15">
        <v>0</v>
      </c>
      <c r="I145" s="15"/>
      <c r="J145" s="15">
        <v>3</v>
      </c>
      <c r="K145" s="15"/>
      <c r="L145" s="15"/>
      <c r="M145" s="15">
        <v>1116</v>
      </c>
      <c r="N145" s="15"/>
      <c r="O145" s="15"/>
    </row>
    <row r="146" spans="1:15">
      <c r="A146" s="8"/>
      <c r="B146" s="15">
        <v>5017</v>
      </c>
      <c r="C146" s="15">
        <v>39</v>
      </c>
      <c r="D146" s="15">
        <v>2</v>
      </c>
      <c r="E146" s="11" t="s">
        <v>1012</v>
      </c>
      <c r="F146" s="11" t="s">
        <v>1126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10</v>
      </c>
      <c r="N146" s="15"/>
      <c r="O146" s="15"/>
    </row>
    <row r="147" spans="1:15">
      <c r="A147" s="8"/>
      <c r="B147" s="15">
        <v>5018</v>
      </c>
      <c r="C147" s="15">
        <v>4</v>
      </c>
      <c r="D147" s="15">
        <v>2</v>
      </c>
      <c r="E147" s="11" t="s">
        <v>1013</v>
      </c>
      <c r="F147" s="11" t="s">
        <v>1071</v>
      </c>
      <c r="G147" s="15">
        <v>5</v>
      </c>
      <c r="H147" s="15">
        <v>0</v>
      </c>
      <c r="I147" s="15"/>
      <c r="J147" s="15">
        <v>3</v>
      </c>
      <c r="K147" s="15"/>
      <c r="L147" s="15"/>
      <c r="M147" s="15">
        <v>1114</v>
      </c>
      <c r="N147" s="15"/>
      <c r="O147" s="15"/>
    </row>
    <row r="148" spans="1:15">
      <c r="A148" s="8"/>
      <c r="B148" s="15">
        <v>5019</v>
      </c>
      <c r="C148" s="15">
        <v>17</v>
      </c>
      <c r="D148" s="15">
        <v>2</v>
      </c>
      <c r="E148" s="11" t="s">
        <v>1014</v>
      </c>
      <c r="F148" s="11" t="s">
        <v>1089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>
        <v>212</v>
      </c>
      <c r="N148" s="15"/>
      <c r="O148" s="15">
        <v>242</v>
      </c>
    </row>
    <row r="149" spans="1:15">
      <c r="A149" s="8"/>
      <c r="B149" s="15">
        <v>5020</v>
      </c>
      <c r="C149" s="15">
        <v>47</v>
      </c>
      <c r="D149" s="15">
        <v>2</v>
      </c>
      <c r="E149" s="11" t="s">
        <v>1015</v>
      </c>
      <c r="F149" s="11" t="s">
        <v>1097</v>
      </c>
      <c r="G149" s="15">
        <v>2</v>
      </c>
      <c r="H149" s="15">
        <v>0</v>
      </c>
      <c r="I149" s="15"/>
      <c r="J149" s="15">
        <v>1</v>
      </c>
      <c r="K149" s="15"/>
      <c r="L149" s="15"/>
      <c r="M149" s="15">
        <v>301</v>
      </c>
      <c r="N149" s="15"/>
      <c r="O149" s="15"/>
    </row>
    <row r="150" spans="1:15">
      <c r="A150" s="8"/>
      <c r="B150" s="15">
        <v>5021</v>
      </c>
      <c r="C150" s="15">
        <v>42</v>
      </c>
      <c r="D150" s="15">
        <v>2</v>
      </c>
      <c r="E150" s="11" t="s">
        <v>1016</v>
      </c>
      <c r="F150" s="11" t="s">
        <v>1130</v>
      </c>
      <c r="G150" s="15">
        <v>6</v>
      </c>
      <c r="H150" s="15">
        <v>0</v>
      </c>
      <c r="I150" s="15"/>
      <c r="J150" s="15">
        <v>1</v>
      </c>
      <c r="K150" s="15"/>
      <c r="L150" s="15"/>
      <c r="M150" s="15">
        <v>1109</v>
      </c>
      <c r="N150" s="15"/>
      <c r="O150" s="15"/>
    </row>
    <row r="151" spans="1:15">
      <c r="A151" s="8"/>
      <c r="B151" s="15">
        <v>5022</v>
      </c>
      <c r="C151" s="15">
        <v>11</v>
      </c>
      <c r="D151" s="15">
        <v>2</v>
      </c>
      <c r="E151" s="11" t="s">
        <v>1017</v>
      </c>
      <c r="F151" s="11" t="s">
        <v>1081</v>
      </c>
      <c r="G151" s="15">
        <v>6</v>
      </c>
      <c r="H151" s="15">
        <v>0</v>
      </c>
      <c r="I151" s="15"/>
      <c r="J151" s="15">
        <v>4</v>
      </c>
      <c r="K151" s="15"/>
      <c r="L151" s="15"/>
      <c r="M151" s="15">
        <v>1502</v>
      </c>
      <c r="N151" s="15"/>
      <c r="O151" s="15">
        <v>243</v>
      </c>
    </row>
    <row r="152" spans="1:15">
      <c r="A152" s="8"/>
      <c r="B152" s="15">
        <v>5023</v>
      </c>
      <c r="C152" s="15">
        <v>5</v>
      </c>
      <c r="D152" s="15">
        <v>2</v>
      </c>
      <c r="E152" s="11" t="s">
        <v>1018</v>
      </c>
      <c r="F152" s="11" t="s">
        <v>1072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>
        <v>212</v>
      </c>
      <c r="N152" s="15"/>
      <c r="O152" s="15"/>
    </row>
    <row r="153" spans="1:15">
      <c r="A153" s="8"/>
      <c r="B153" s="15">
        <v>5024</v>
      </c>
      <c r="C153" s="15">
        <v>23</v>
      </c>
      <c r="D153" s="15">
        <v>2</v>
      </c>
      <c r="E153" s="11" t="s">
        <v>1019</v>
      </c>
      <c r="F153" s="11" t="s">
        <v>1106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>
        <v>245</v>
      </c>
    </row>
    <row r="154" spans="1:15">
      <c r="A154" s="8"/>
      <c r="B154" s="15">
        <v>5025</v>
      </c>
      <c r="C154" s="15">
        <v>30</v>
      </c>
      <c r="D154" s="15">
        <v>2</v>
      </c>
      <c r="E154" s="11" t="s">
        <v>1020</v>
      </c>
      <c r="F154" s="11" t="s">
        <v>1115</v>
      </c>
      <c r="G154" s="15">
        <v>4</v>
      </c>
      <c r="H154" s="15">
        <v>0</v>
      </c>
      <c r="I154" s="15"/>
      <c r="J154" s="15">
        <v>2</v>
      </c>
      <c r="K154" s="15"/>
      <c r="L154" s="15"/>
      <c r="M154" s="15">
        <v>1115</v>
      </c>
      <c r="N154" s="15"/>
      <c r="O154" s="15"/>
    </row>
    <row r="155" spans="1:15">
      <c r="A155" s="8"/>
      <c r="B155" s="15">
        <v>5026</v>
      </c>
      <c r="C155" s="15">
        <v>35</v>
      </c>
      <c r="D155" s="15">
        <v>2</v>
      </c>
      <c r="E155" s="11" t="s">
        <v>1021</v>
      </c>
      <c r="F155" s="11" t="s">
        <v>1122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220</v>
      </c>
      <c r="N155" s="15"/>
      <c r="O155" s="15"/>
    </row>
    <row r="156" spans="1:15">
      <c r="A156" s="8"/>
      <c r="B156" s="15">
        <v>5027</v>
      </c>
      <c r="C156" s="15">
        <v>44</v>
      </c>
      <c r="D156" s="15">
        <v>2</v>
      </c>
      <c r="E156" s="11" t="s">
        <v>1022</v>
      </c>
      <c r="F156" s="11" t="s">
        <v>1093</v>
      </c>
      <c r="G156" s="15">
        <v>1</v>
      </c>
      <c r="H156" s="15">
        <v>0</v>
      </c>
      <c r="I156" s="15"/>
      <c r="J156" s="15">
        <v>1</v>
      </c>
      <c r="K156" s="15"/>
      <c r="L156" s="15"/>
      <c r="M156" s="15">
        <v>1508</v>
      </c>
      <c r="N156" s="15"/>
      <c r="O156" s="15">
        <v>244</v>
      </c>
    </row>
    <row r="157" spans="1:15">
      <c r="A157" s="8"/>
      <c r="B157" s="15">
        <v>5028</v>
      </c>
      <c r="C157" s="15">
        <v>45</v>
      </c>
      <c r="D157" s="15">
        <v>2</v>
      </c>
      <c r="E157" s="11" t="s">
        <v>1023</v>
      </c>
      <c r="F157" s="11" t="s">
        <v>1094</v>
      </c>
      <c r="G157" s="15">
        <v>6</v>
      </c>
      <c r="H157" s="15">
        <v>0</v>
      </c>
      <c r="I157" s="15"/>
      <c r="J157" s="15">
        <v>4</v>
      </c>
      <c r="K157" s="15"/>
      <c r="L157" s="15"/>
      <c r="M157" s="15">
        <v>1507</v>
      </c>
      <c r="N157" s="15"/>
      <c r="O157" s="15"/>
    </row>
    <row r="158" spans="1:15">
      <c r="A158" s="8"/>
      <c r="B158" s="15">
        <v>5029</v>
      </c>
      <c r="C158" s="15">
        <v>2</v>
      </c>
      <c r="D158" s="15">
        <v>2</v>
      </c>
      <c r="E158" s="11" t="s">
        <v>1024</v>
      </c>
      <c r="F158" s="11" t="s">
        <v>1069</v>
      </c>
      <c r="G158" s="15">
        <v>2</v>
      </c>
      <c r="H158" s="15">
        <v>0</v>
      </c>
      <c r="I158" s="15"/>
      <c r="J158" s="15">
        <v>1</v>
      </c>
      <c r="K158" s="15"/>
      <c r="L158" s="15"/>
      <c r="M158" s="15">
        <v>9</v>
      </c>
      <c r="N158" s="15"/>
      <c r="O158" s="15"/>
    </row>
    <row r="159" spans="1:15">
      <c r="A159" s="8"/>
      <c r="B159" s="15">
        <v>5030</v>
      </c>
      <c r="C159" s="15">
        <v>36</v>
      </c>
      <c r="D159" s="15">
        <v>2</v>
      </c>
      <c r="E159" s="11" t="s">
        <v>1025</v>
      </c>
      <c r="F159" s="11" t="s">
        <v>1123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>
        <v>1113</v>
      </c>
      <c r="N159" s="15"/>
      <c r="O159" s="15">
        <v>248</v>
      </c>
    </row>
    <row r="160" spans="1:15">
      <c r="A160" s="8"/>
      <c r="B160" s="15">
        <v>5031</v>
      </c>
      <c r="C160" s="15">
        <v>14</v>
      </c>
      <c r="D160" s="15">
        <v>2</v>
      </c>
      <c r="E160" s="11" t="s">
        <v>1026</v>
      </c>
      <c r="F160" s="11" t="s">
        <v>1085</v>
      </c>
      <c r="G160" s="15">
        <v>7</v>
      </c>
      <c r="H160" s="15">
        <v>0</v>
      </c>
      <c r="I160" s="15"/>
      <c r="J160" s="15">
        <v>6</v>
      </c>
      <c r="K160" s="15"/>
      <c r="L160" s="15"/>
      <c r="M160" s="15">
        <v>1507</v>
      </c>
      <c r="N160" s="15"/>
      <c r="O160" s="15"/>
    </row>
    <row r="161" spans="1:15">
      <c r="A161" s="8"/>
      <c r="B161" s="15">
        <v>5032</v>
      </c>
      <c r="C161" s="15">
        <v>46</v>
      </c>
      <c r="D161" s="15">
        <v>2</v>
      </c>
      <c r="E161" s="11" t="s">
        <v>1027</v>
      </c>
      <c r="F161" s="11" t="s">
        <v>1095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1502</v>
      </c>
      <c r="N161" s="15"/>
      <c r="O161" s="15"/>
    </row>
    <row r="162" spans="1:15">
      <c r="A162" s="8"/>
      <c r="B162" s="15">
        <v>5033</v>
      </c>
      <c r="C162" s="15">
        <v>28</v>
      </c>
      <c r="D162" s="15">
        <v>2</v>
      </c>
      <c r="E162" s="11" t="s">
        <v>1028</v>
      </c>
      <c r="F162" s="11" t="s">
        <v>1113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1112</v>
      </c>
      <c r="N162" s="15"/>
      <c r="O162" s="15">
        <v>241</v>
      </c>
    </row>
    <row r="163" spans="1:15">
      <c r="A163" s="8"/>
      <c r="B163" s="15">
        <v>5034</v>
      </c>
      <c r="C163" s="15">
        <v>19</v>
      </c>
      <c r="D163" s="15">
        <v>2</v>
      </c>
      <c r="E163" s="11" t="s">
        <v>1029</v>
      </c>
      <c r="F163" s="11" t="s">
        <v>1100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>
        <v>1109</v>
      </c>
      <c r="N163" s="15"/>
      <c r="O163" s="15"/>
    </row>
    <row r="164" spans="1:15">
      <c r="A164" s="8"/>
      <c r="B164" s="15">
        <v>5035</v>
      </c>
      <c r="C164" s="15">
        <v>6</v>
      </c>
      <c r="D164" s="15">
        <v>2</v>
      </c>
      <c r="E164" s="11" t="s">
        <v>1030</v>
      </c>
      <c r="F164" s="11" t="s">
        <v>1075</v>
      </c>
      <c r="G164" s="15">
        <v>4</v>
      </c>
      <c r="H164" s="15">
        <v>0</v>
      </c>
      <c r="I164" s="15"/>
      <c r="J164" s="15">
        <v>2</v>
      </c>
      <c r="K164" s="15"/>
      <c r="L164" s="15"/>
      <c r="M164" s="15">
        <v>1115</v>
      </c>
      <c r="N164" s="15"/>
      <c r="O164" s="15"/>
    </row>
    <row r="165" spans="1:15">
      <c r="A165" s="8"/>
      <c r="B165" s="15">
        <v>5036</v>
      </c>
      <c r="C165" s="15">
        <v>1</v>
      </c>
      <c r="D165" s="15">
        <v>2</v>
      </c>
      <c r="E165" s="11" t="s">
        <v>1031</v>
      </c>
      <c r="F165" s="11" t="s">
        <v>1068</v>
      </c>
      <c r="G165" s="15">
        <v>1</v>
      </c>
      <c r="H165" s="15">
        <v>1</v>
      </c>
      <c r="I165" s="15"/>
      <c r="J165" s="15">
        <v>1</v>
      </c>
      <c r="K165" s="15"/>
      <c r="L165" s="15"/>
      <c r="M165" s="15">
        <v>1109</v>
      </c>
      <c r="N165" s="15"/>
      <c r="O165" s="15">
        <v>240</v>
      </c>
    </row>
    <row r="166" spans="1:15">
      <c r="A166" s="8"/>
      <c r="B166" s="15">
        <v>5037</v>
      </c>
      <c r="C166" s="15">
        <v>40</v>
      </c>
      <c r="D166" s="15">
        <v>2</v>
      </c>
      <c r="E166" s="11" t="s">
        <v>1032</v>
      </c>
      <c r="F166" s="11" t="s">
        <v>1127</v>
      </c>
      <c r="G166" s="15">
        <v>6</v>
      </c>
      <c r="H166" s="15">
        <v>0</v>
      </c>
      <c r="I166" s="15"/>
      <c r="J166" s="15">
        <v>6</v>
      </c>
      <c r="K166" s="15"/>
      <c r="L166" s="15"/>
      <c r="M166" s="15">
        <v>1502</v>
      </c>
      <c r="N166" s="15"/>
      <c r="O166" s="15">
        <v>253</v>
      </c>
    </row>
    <row r="167" spans="1:15">
      <c r="A167" s="8"/>
      <c r="B167" s="15">
        <v>5038</v>
      </c>
      <c r="C167" s="15">
        <v>10</v>
      </c>
      <c r="D167" s="15">
        <v>2</v>
      </c>
      <c r="E167" s="11" t="s">
        <v>1033</v>
      </c>
      <c r="F167" s="11" t="s">
        <v>1079</v>
      </c>
      <c r="G167" s="15">
        <v>5</v>
      </c>
      <c r="H167" s="15">
        <v>0</v>
      </c>
      <c r="I167" s="15"/>
      <c r="J167" s="15">
        <v>3</v>
      </c>
      <c r="K167" s="15"/>
      <c r="L167" s="15"/>
      <c r="M167" s="15">
        <v>1113</v>
      </c>
      <c r="N167" s="15"/>
      <c r="O167" s="15"/>
    </row>
    <row r="168" spans="1:15">
      <c r="A168" s="8"/>
      <c r="B168" s="15">
        <v>5039</v>
      </c>
      <c r="C168" s="15">
        <v>48</v>
      </c>
      <c r="D168" s="15">
        <v>2</v>
      </c>
      <c r="E168" s="11" t="s">
        <v>1034</v>
      </c>
      <c r="F168" s="11" t="s">
        <v>1099</v>
      </c>
      <c r="G168" s="15">
        <v>3</v>
      </c>
      <c r="H168" s="15">
        <v>0</v>
      </c>
      <c r="I168" s="15"/>
      <c r="J168" s="15">
        <v>1</v>
      </c>
      <c r="K168" s="15"/>
      <c r="L168" s="15"/>
      <c r="M168" s="15">
        <v>10</v>
      </c>
      <c r="N168" s="15"/>
      <c r="O168" s="15">
        <v>246</v>
      </c>
    </row>
    <row r="169" spans="1:15">
      <c r="A169" s="8"/>
      <c r="B169" s="15">
        <v>5040</v>
      </c>
      <c r="C169" s="15">
        <v>24</v>
      </c>
      <c r="D169" s="15">
        <v>2</v>
      </c>
      <c r="E169" s="11" t="s">
        <v>1035</v>
      </c>
      <c r="F169" s="11" t="s">
        <v>1107</v>
      </c>
      <c r="G169" s="15">
        <v>6</v>
      </c>
      <c r="H169" s="15">
        <v>0</v>
      </c>
      <c r="I169" s="15"/>
      <c r="J169" s="15">
        <v>4</v>
      </c>
      <c r="K169" s="15"/>
      <c r="L169" s="15"/>
      <c r="M169" s="15">
        <v>1109</v>
      </c>
      <c r="N169" s="15"/>
      <c r="O169" s="15"/>
    </row>
    <row r="170" spans="1:15">
      <c r="A170" s="8"/>
      <c r="B170" s="15">
        <v>5041</v>
      </c>
      <c r="C170" s="15">
        <v>12</v>
      </c>
      <c r="D170" s="15">
        <v>2</v>
      </c>
      <c r="E170" s="11" t="s">
        <v>1036</v>
      </c>
      <c r="F170" s="11" t="s">
        <v>1082</v>
      </c>
      <c r="G170" s="15">
        <v>3</v>
      </c>
      <c r="H170" s="15">
        <v>0</v>
      </c>
      <c r="I170" s="15"/>
      <c r="J170" s="15">
        <v>1</v>
      </c>
      <c r="K170" s="15"/>
      <c r="L170" s="15"/>
      <c r="M170" s="15">
        <v>301</v>
      </c>
      <c r="N170" s="15"/>
      <c r="O170" s="15">
        <v>252</v>
      </c>
    </row>
    <row r="171" spans="1:15">
      <c r="A171" s="8"/>
      <c r="B171" s="15">
        <v>5042</v>
      </c>
      <c r="C171" s="15">
        <v>29</v>
      </c>
      <c r="D171" s="15">
        <v>2</v>
      </c>
      <c r="E171" s="11" t="s">
        <v>1037</v>
      </c>
      <c r="F171" s="11" t="s">
        <v>1114</v>
      </c>
      <c r="G171" s="15">
        <v>6</v>
      </c>
      <c r="H171" s="15">
        <v>0</v>
      </c>
      <c r="I171" s="15"/>
      <c r="J171" s="15">
        <v>4</v>
      </c>
      <c r="K171" s="15"/>
      <c r="L171" s="15"/>
      <c r="M171" s="15">
        <v>212</v>
      </c>
      <c r="N171" s="15"/>
      <c r="O171" s="15"/>
    </row>
    <row r="172" spans="1:15">
      <c r="A172" s="8"/>
      <c r="B172" s="15">
        <v>5043</v>
      </c>
      <c r="C172" s="15">
        <v>32</v>
      </c>
      <c r="D172" s="15">
        <v>2</v>
      </c>
      <c r="E172" s="11" t="s">
        <v>1038</v>
      </c>
      <c r="F172" s="11" t="s">
        <v>1118</v>
      </c>
      <c r="G172" s="15">
        <v>2</v>
      </c>
      <c r="H172" s="15">
        <v>5</v>
      </c>
      <c r="I172" s="15"/>
      <c r="J172" s="15">
        <v>1</v>
      </c>
      <c r="K172" s="15"/>
      <c r="L172" s="15"/>
      <c r="M172" s="15">
        <v>9</v>
      </c>
      <c r="N172" s="15"/>
      <c r="O172" s="15">
        <v>255</v>
      </c>
    </row>
    <row r="173" spans="1:15">
      <c r="A173" s="8"/>
      <c r="B173" s="15">
        <v>5044</v>
      </c>
      <c r="C173" s="15">
        <v>15</v>
      </c>
      <c r="D173" s="15">
        <v>2</v>
      </c>
      <c r="E173" s="11" t="s">
        <v>1039</v>
      </c>
      <c r="F173" s="11" t="s">
        <v>1087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>
        <v>212</v>
      </c>
      <c r="N173" s="15"/>
      <c r="O173" s="15"/>
    </row>
    <row r="174" spans="1:15">
      <c r="A174" s="8"/>
      <c r="B174" s="15">
        <v>5045</v>
      </c>
      <c r="C174" s="15">
        <v>18</v>
      </c>
      <c r="D174" s="15">
        <v>2</v>
      </c>
      <c r="E174" s="11" t="s">
        <v>1040</v>
      </c>
      <c r="F174" s="11" t="s">
        <v>1090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>
        <v>1109</v>
      </c>
      <c r="N174" s="15"/>
      <c r="O174" s="15">
        <v>247</v>
      </c>
    </row>
    <row r="175" spans="1:15">
      <c r="A175" s="8"/>
      <c r="B175" s="15">
        <v>5046</v>
      </c>
      <c r="C175" s="15">
        <v>37</v>
      </c>
      <c r="D175" s="15">
        <v>2</v>
      </c>
      <c r="E175" s="11" t="s">
        <v>1041</v>
      </c>
      <c r="F175" s="11" t="s">
        <v>1124</v>
      </c>
      <c r="G175" s="15">
        <v>1</v>
      </c>
      <c r="H175" s="15">
        <v>0</v>
      </c>
      <c r="I175" s="15"/>
      <c r="J175" s="15">
        <v>1</v>
      </c>
      <c r="K175" s="15"/>
      <c r="L175" s="15"/>
      <c r="M175" s="15">
        <v>10</v>
      </c>
      <c r="N175" s="15"/>
      <c r="O175" s="15"/>
    </row>
    <row r="176" spans="1:15">
      <c r="A176" s="8"/>
      <c r="B176" s="15">
        <v>5047</v>
      </c>
      <c r="C176" s="15">
        <v>103</v>
      </c>
      <c r="D176" s="15">
        <v>2</v>
      </c>
      <c r="E176" s="11" t="s">
        <v>1042</v>
      </c>
      <c r="F176" s="11" t="s">
        <v>1131</v>
      </c>
      <c r="G176" s="15">
        <v>7</v>
      </c>
      <c r="H176" s="15">
        <v>0</v>
      </c>
      <c r="I176" s="15"/>
      <c r="J176" s="15">
        <v>2</v>
      </c>
      <c r="K176" s="15"/>
      <c r="L176" s="15"/>
      <c r="M176" s="15">
        <v>1114</v>
      </c>
      <c r="N176" s="15"/>
      <c r="O176" s="15">
        <v>213</v>
      </c>
    </row>
    <row r="177" spans="1:15">
      <c r="A177" s="8"/>
      <c r="B177" s="15">
        <v>5048</v>
      </c>
      <c r="C177" s="15">
        <v>26</v>
      </c>
      <c r="D177" s="15">
        <v>2</v>
      </c>
      <c r="E177" s="11" t="s">
        <v>1043</v>
      </c>
      <c r="F177" s="11" t="s">
        <v>1111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>
        <v>10</v>
      </c>
      <c r="N177" s="15"/>
      <c r="O177" s="15">
        <v>251</v>
      </c>
    </row>
    <row r="178" spans="1:15">
      <c r="A178" s="8"/>
      <c r="B178" s="15">
        <v>5049</v>
      </c>
      <c r="C178" s="15">
        <v>25</v>
      </c>
      <c r="D178" s="15">
        <v>2</v>
      </c>
      <c r="E178" s="11" t="s">
        <v>1044</v>
      </c>
      <c r="F178" s="11" t="s">
        <v>1109</v>
      </c>
      <c r="G178" s="15">
        <v>7</v>
      </c>
      <c r="H178" s="15">
        <v>1</v>
      </c>
      <c r="I178" s="15"/>
      <c r="J178" s="15">
        <v>6</v>
      </c>
      <c r="K178" s="15"/>
      <c r="L178" s="15"/>
      <c r="M178" s="15">
        <v>1502</v>
      </c>
      <c r="N178" s="15"/>
      <c r="O178" s="15"/>
    </row>
    <row r="179" spans="1:15">
      <c r="A179" s="8"/>
      <c r="B179" s="15">
        <v>5050</v>
      </c>
      <c r="C179" s="15">
        <v>13</v>
      </c>
      <c r="D179" s="15">
        <v>2</v>
      </c>
      <c r="E179" s="11" t="s">
        <v>1045</v>
      </c>
      <c r="F179" s="11" t="s">
        <v>1084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>
        <v>212</v>
      </c>
      <c r="N179" s="15"/>
      <c r="O179" s="15">
        <v>256</v>
      </c>
    </row>
    <row r="180" spans="1:15">
      <c r="A180" s="8"/>
      <c r="B180" s="15">
        <v>5051</v>
      </c>
      <c r="C180" s="15">
        <v>43</v>
      </c>
      <c r="D180" s="15">
        <v>2</v>
      </c>
      <c r="E180" s="11" t="s">
        <v>1046</v>
      </c>
      <c r="F180" s="11" t="s">
        <v>1092</v>
      </c>
      <c r="G180" s="15">
        <v>1</v>
      </c>
      <c r="H180" s="15">
        <v>4</v>
      </c>
      <c r="I180" s="15"/>
      <c r="J180" s="15">
        <v>1</v>
      </c>
      <c r="K180" s="15"/>
      <c r="L180" s="15"/>
      <c r="M180" s="15">
        <v>10</v>
      </c>
      <c r="N180" s="15"/>
      <c r="O180" s="15"/>
    </row>
    <row r="181" spans="1:15">
      <c r="A181" s="8"/>
      <c r="B181" s="15">
        <v>5052</v>
      </c>
      <c r="C181" s="15">
        <v>8</v>
      </c>
      <c r="D181" s="15">
        <v>2</v>
      </c>
      <c r="E181" s="11" t="s">
        <v>1047</v>
      </c>
      <c r="F181" s="11" t="s">
        <v>1077</v>
      </c>
      <c r="G181" s="15">
        <v>1</v>
      </c>
      <c r="H181" s="15">
        <v>3</v>
      </c>
      <c r="I181" s="15"/>
      <c r="J181" s="15">
        <v>1</v>
      </c>
      <c r="K181" s="15"/>
      <c r="L181" s="15"/>
      <c r="M181" s="15">
        <v>220</v>
      </c>
      <c r="N181" s="15"/>
      <c r="O181" s="15">
        <v>257</v>
      </c>
    </row>
    <row r="182" spans="1:15">
      <c r="A182" s="8"/>
      <c r="B182" s="15">
        <v>5053</v>
      </c>
      <c r="C182" s="15">
        <v>22</v>
      </c>
      <c r="D182" s="15">
        <v>2</v>
      </c>
      <c r="E182" s="11" t="s">
        <v>1048</v>
      </c>
      <c r="F182" s="11" t="s">
        <v>1105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1109</v>
      </c>
      <c r="N182" s="15"/>
      <c r="O182" s="15"/>
    </row>
    <row r="183" spans="1:15">
      <c r="A183" s="8"/>
      <c r="B183" s="15">
        <v>5054</v>
      </c>
      <c r="C183" s="15">
        <v>41</v>
      </c>
      <c r="D183" s="15">
        <v>2</v>
      </c>
      <c r="E183" s="11" t="s">
        <v>1049</v>
      </c>
      <c r="F183" s="11" t="s">
        <v>1129</v>
      </c>
      <c r="G183" s="15">
        <v>4</v>
      </c>
      <c r="H183" s="15">
        <v>0</v>
      </c>
      <c r="I183" s="15"/>
      <c r="J183" s="15">
        <v>2</v>
      </c>
      <c r="K183" s="15"/>
      <c r="L183" s="15"/>
      <c r="M183" s="15">
        <v>1115</v>
      </c>
      <c r="N183" s="15"/>
      <c r="O183" s="15">
        <v>258</v>
      </c>
    </row>
    <row r="184" spans="1:15">
      <c r="A184" s="8"/>
      <c r="B184" s="15">
        <v>5055</v>
      </c>
      <c r="C184" s="15">
        <v>21</v>
      </c>
      <c r="D184" s="15">
        <v>2</v>
      </c>
      <c r="E184" s="11" t="s">
        <v>1050</v>
      </c>
      <c r="F184" s="11" t="s">
        <v>1103</v>
      </c>
      <c r="G184" s="15">
        <v>6</v>
      </c>
      <c r="H184" s="15">
        <v>0</v>
      </c>
      <c r="I184" s="15"/>
      <c r="J184" s="15">
        <v>4</v>
      </c>
      <c r="K184" s="15"/>
      <c r="L184" s="15"/>
      <c r="M184" s="15">
        <v>9</v>
      </c>
      <c r="N184" s="15"/>
      <c r="O184" s="15">
        <v>266</v>
      </c>
    </row>
    <row r="185" spans="1:15">
      <c r="A185" s="8"/>
      <c r="B185" s="15">
        <v>5056</v>
      </c>
      <c r="C185" s="15">
        <v>20</v>
      </c>
      <c r="D185" s="15">
        <v>2</v>
      </c>
      <c r="E185" s="11" t="s">
        <v>1051</v>
      </c>
      <c r="F185" s="11" t="s">
        <v>1102</v>
      </c>
      <c r="G185" s="15">
        <v>5</v>
      </c>
      <c r="H185" s="15">
        <v>5</v>
      </c>
      <c r="I185" s="15"/>
      <c r="J185" s="15">
        <v>3</v>
      </c>
      <c r="K185" s="15"/>
      <c r="L185" s="15"/>
      <c r="M185" s="15">
        <v>1109</v>
      </c>
      <c r="N185" s="15"/>
      <c r="O185" s="15"/>
    </row>
    <row r="186" spans="1:15">
      <c r="A186" s="8"/>
      <c r="B186" s="15">
        <v>5057</v>
      </c>
      <c r="C186" s="15">
        <v>2</v>
      </c>
      <c r="D186" s="15">
        <v>2</v>
      </c>
      <c r="E186" s="11" t="s">
        <v>1052</v>
      </c>
      <c r="F186" s="11" t="s">
        <v>1334</v>
      </c>
      <c r="G186" s="15">
        <v>2</v>
      </c>
      <c r="H186" s="15">
        <v>1</v>
      </c>
      <c r="I186" s="15"/>
      <c r="J186" s="15">
        <v>1</v>
      </c>
      <c r="K186" s="15"/>
      <c r="L186" s="15"/>
      <c r="M186" s="15">
        <v>10</v>
      </c>
      <c r="N186" s="15"/>
      <c r="O186" s="15">
        <v>267</v>
      </c>
    </row>
    <row r="187" spans="1:15">
      <c r="A187" s="8"/>
      <c r="B187" s="15">
        <v>5058</v>
      </c>
      <c r="C187" s="15">
        <v>32</v>
      </c>
      <c r="D187" s="15">
        <v>2</v>
      </c>
      <c r="E187" s="11" t="s">
        <v>1053</v>
      </c>
      <c r="F187" s="11" t="s">
        <v>1119</v>
      </c>
      <c r="G187" s="15">
        <v>2</v>
      </c>
      <c r="H187" s="15">
        <v>0</v>
      </c>
      <c r="I187" s="15"/>
      <c r="J187" s="15">
        <v>1</v>
      </c>
      <c r="K187" s="15"/>
      <c r="L187" s="15"/>
      <c r="M187" s="15">
        <v>10</v>
      </c>
      <c r="N187" s="15"/>
      <c r="O187" s="15"/>
    </row>
    <row r="188" spans="1:15">
      <c r="A188" s="8"/>
      <c r="B188" s="15">
        <v>5059</v>
      </c>
      <c r="C188" s="15">
        <v>34</v>
      </c>
      <c r="D188" s="15">
        <v>2</v>
      </c>
      <c r="E188" s="11" t="s">
        <v>1054</v>
      </c>
      <c r="F188" s="11" t="s">
        <v>1121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>
        <v>268</v>
      </c>
    </row>
    <row r="189" spans="1:15">
      <c r="A189" s="8"/>
      <c r="B189" s="15">
        <v>5060</v>
      </c>
      <c r="C189" s="15">
        <v>5</v>
      </c>
      <c r="D189" s="15">
        <v>2</v>
      </c>
      <c r="E189" s="11" t="s">
        <v>1055</v>
      </c>
      <c r="F189" s="11" t="s">
        <v>1073</v>
      </c>
      <c r="G189" s="15">
        <v>3</v>
      </c>
      <c r="H189" s="15">
        <v>1</v>
      </c>
      <c r="I189" s="15"/>
      <c r="J189" s="15">
        <v>1</v>
      </c>
      <c r="K189" s="15"/>
      <c r="L189" s="15"/>
      <c r="M189" s="15">
        <v>239</v>
      </c>
      <c r="N189" s="15"/>
      <c r="O189" s="15"/>
    </row>
    <row r="190" spans="1:15">
      <c r="A190" s="8"/>
      <c r="B190" s="15">
        <v>5061</v>
      </c>
      <c r="C190" s="15">
        <v>30</v>
      </c>
      <c r="D190" s="15">
        <v>2</v>
      </c>
      <c r="E190" s="11" t="s">
        <v>1056</v>
      </c>
      <c r="F190" s="11" t="s">
        <v>1116</v>
      </c>
      <c r="G190" s="15">
        <v>4</v>
      </c>
      <c r="H190" s="15">
        <v>1</v>
      </c>
      <c r="I190" s="15"/>
      <c r="J190" s="15">
        <v>2</v>
      </c>
      <c r="K190" s="15"/>
      <c r="L190" s="15"/>
      <c r="M190" s="15">
        <v>1115</v>
      </c>
      <c r="N190" s="15"/>
      <c r="O190" s="15">
        <v>261</v>
      </c>
    </row>
    <row r="191" spans="1:15">
      <c r="A191" s="8"/>
      <c r="B191" s="15">
        <v>5062</v>
      </c>
      <c r="C191" s="15">
        <v>40</v>
      </c>
      <c r="D191" s="15">
        <v>2</v>
      </c>
      <c r="E191" s="11" t="s">
        <v>1057</v>
      </c>
      <c r="F191" s="11" t="s">
        <v>1128</v>
      </c>
      <c r="G191" s="15">
        <v>7</v>
      </c>
      <c r="H191" s="15">
        <v>0</v>
      </c>
      <c r="I191" s="15"/>
      <c r="J191" s="15">
        <v>6</v>
      </c>
      <c r="K191" s="15"/>
      <c r="L191" s="15"/>
      <c r="M191" s="15">
        <v>1502</v>
      </c>
      <c r="N191" s="15"/>
      <c r="O191" s="15"/>
    </row>
    <row r="192" spans="1:15">
      <c r="A192" s="8"/>
      <c r="B192" s="15">
        <v>5063</v>
      </c>
      <c r="C192" s="15">
        <v>46</v>
      </c>
      <c r="D192" s="15">
        <v>2</v>
      </c>
      <c r="E192" s="11" t="s">
        <v>1058</v>
      </c>
      <c r="F192" s="11" t="s">
        <v>1096</v>
      </c>
      <c r="G192" s="15">
        <v>4</v>
      </c>
      <c r="H192" s="15">
        <v>0</v>
      </c>
      <c r="I192" s="15"/>
      <c r="J192" s="15">
        <v>2</v>
      </c>
      <c r="K192" s="15"/>
      <c r="L192" s="15"/>
      <c r="M192" s="15">
        <v>1109</v>
      </c>
      <c r="N192" s="15"/>
      <c r="O192" s="15">
        <v>264</v>
      </c>
    </row>
    <row r="193" spans="1:15">
      <c r="A193" s="8"/>
      <c r="B193" s="15">
        <v>5064</v>
      </c>
      <c r="C193" s="15">
        <v>24</v>
      </c>
      <c r="D193" s="15">
        <v>2</v>
      </c>
      <c r="E193" s="11" t="s">
        <v>1059</v>
      </c>
      <c r="F193" s="11" t="s">
        <v>1108</v>
      </c>
      <c r="G193" s="15">
        <v>6</v>
      </c>
      <c r="H193" s="15">
        <v>0</v>
      </c>
      <c r="I193" s="15"/>
      <c r="J193" s="15">
        <v>1</v>
      </c>
      <c r="K193" s="15"/>
      <c r="L193" s="15"/>
      <c r="M193" s="15">
        <v>220</v>
      </c>
      <c r="N193" s="15"/>
      <c r="O193" s="15">
        <v>262</v>
      </c>
    </row>
    <row r="194" spans="1:15">
      <c r="A194" s="8"/>
      <c r="B194" s="15">
        <v>5065</v>
      </c>
      <c r="C194" s="15">
        <v>10</v>
      </c>
      <c r="D194" s="15">
        <v>2</v>
      </c>
      <c r="E194" s="11" t="s">
        <v>1060</v>
      </c>
      <c r="F194" s="11" t="s">
        <v>1080</v>
      </c>
      <c r="G194" s="15">
        <v>5</v>
      </c>
      <c r="H194" s="15">
        <v>1</v>
      </c>
      <c r="I194" s="15"/>
      <c r="J194" s="15">
        <v>1</v>
      </c>
      <c r="K194" s="15"/>
      <c r="L194" s="15"/>
      <c r="M194" s="15">
        <v>1112</v>
      </c>
      <c r="N194" s="15"/>
      <c r="O194" s="15">
        <v>271</v>
      </c>
    </row>
    <row r="195" spans="1:15">
      <c r="A195" s="8"/>
      <c r="B195" s="15">
        <v>5066</v>
      </c>
      <c r="C195" s="15">
        <v>104</v>
      </c>
      <c r="D195" s="15">
        <v>2</v>
      </c>
      <c r="E195" s="11" t="s">
        <v>1061</v>
      </c>
      <c r="F195" s="11" t="s">
        <v>830</v>
      </c>
      <c r="G195" s="15">
        <v>6</v>
      </c>
      <c r="H195" s="15">
        <v>2</v>
      </c>
      <c r="I195" s="15"/>
      <c r="J195" s="15">
        <v>4</v>
      </c>
      <c r="K195" s="15"/>
      <c r="L195" s="15"/>
      <c r="M195" s="15">
        <v>1109</v>
      </c>
      <c r="N195" s="15"/>
      <c r="O195" s="15">
        <v>216</v>
      </c>
    </row>
    <row r="196" spans="1:15">
      <c r="A196" s="8"/>
      <c r="B196" s="15">
        <v>5067</v>
      </c>
      <c r="C196" s="15">
        <v>14</v>
      </c>
      <c r="D196" s="15">
        <v>2</v>
      </c>
      <c r="E196" s="11" t="s">
        <v>1062</v>
      </c>
      <c r="F196" s="11" t="s">
        <v>1086</v>
      </c>
      <c r="G196" s="15">
        <v>7</v>
      </c>
      <c r="H196" s="15">
        <v>4</v>
      </c>
      <c r="I196" s="15"/>
      <c r="J196" s="15">
        <v>4</v>
      </c>
      <c r="K196" s="15"/>
      <c r="L196" s="15"/>
      <c r="M196" s="15">
        <v>1502</v>
      </c>
      <c r="N196" s="15"/>
      <c r="O196" s="15">
        <v>1114</v>
      </c>
    </row>
    <row r="197" spans="1:15">
      <c r="A197" s="8"/>
      <c r="B197" s="15">
        <v>5068</v>
      </c>
      <c r="C197" s="15">
        <v>9</v>
      </c>
      <c r="D197" s="15">
        <v>2</v>
      </c>
      <c r="E197" s="11" t="s">
        <v>1063</v>
      </c>
      <c r="F197" s="11" t="s">
        <v>1132</v>
      </c>
      <c r="G197" s="15">
        <v>2</v>
      </c>
      <c r="H197" s="15">
        <v>3</v>
      </c>
      <c r="I197" s="15"/>
      <c r="J197" s="15">
        <v>3</v>
      </c>
      <c r="K197" s="15"/>
      <c r="L197" s="15"/>
      <c r="M197" s="15">
        <v>220</v>
      </c>
      <c r="N197" s="15"/>
      <c r="O197" s="15"/>
    </row>
    <row r="198" spans="1:15">
      <c r="A198" s="8"/>
      <c r="B198" s="15">
        <v>5069</v>
      </c>
      <c r="C198" s="15">
        <v>47</v>
      </c>
      <c r="D198" s="15">
        <v>2</v>
      </c>
      <c r="E198" s="11" t="s">
        <v>1625</v>
      </c>
      <c r="F198" s="11" t="s">
        <v>1628</v>
      </c>
      <c r="G198" s="15">
        <v>2</v>
      </c>
      <c r="H198" s="15">
        <v>2</v>
      </c>
      <c r="I198" s="15"/>
      <c r="J198" s="15">
        <v>1</v>
      </c>
      <c r="K198" s="15"/>
      <c r="L198" s="15"/>
      <c r="M198" s="15">
        <v>242</v>
      </c>
      <c r="N198" s="15"/>
      <c r="O198" s="15">
        <v>216</v>
      </c>
    </row>
    <row r="199" spans="1:15">
      <c r="A199" s="8"/>
      <c r="B199" s="15">
        <v>5070</v>
      </c>
      <c r="C199" s="15">
        <v>25</v>
      </c>
      <c r="D199" s="15">
        <v>2</v>
      </c>
      <c r="E199" s="11" t="s">
        <v>1983</v>
      </c>
      <c r="F199" s="11" t="s">
        <v>1776</v>
      </c>
      <c r="G199" s="15">
        <v>1</v>
      </c>
      <c r="H199" s="15">
        <v>0</v>
      </c>
      <c r="I199" s="15"/>
      <c r="J199" s="15">
        <v>1</v>
      </c>
      <c r="K199" s="15"/>
      <c r="L199" s="15"/>
      <c r="M199" s="15">
        <v>10</v>
      </c>
      <c r="N199" s="15"/>
      <c r="O199" s="15"/>
    </row>
    <row r="200" spans="1:15">
      <c r="A200" s="8"/>
      <c r="B200" s="15">
        <v>5071</v>
      </c>
      <c r="C200" s="15">
        <v>37</v>
      </c>
      <c r="D200" s="15">
        <v>2</v>
      </c>
      <c r="E200" s="11" t="s">
        <v>1816</v>
      </c>
      <c r="F200" s="11" t="s">
        <v>1817</v>
      </c>
      <c r="G200" s="15">
        <v>2</v>
      </c>
      <c r="H200" s="15">
        <v>3</v>
      </c>
      <c r="I200" s="15"/>
      <c r="J200" s="15">
        <v>1</v>
      </c>
      <c r="K200" s="15"/>
      <c r="L200" s="15"/>
      <c r="M200" s="15">
        <v>238</v>
      </c>
      <c r="N200" s="15"/>
      <c r="O200" s="15">
        <v>1112</v>
      </c>
    </row>
    <row r="201" spans="1:15">
      <c r="A201" s="8"/>
      <c r="B201" s="15">
        <v>9001</v>
      </c>
      <c r="C201" s="15">
        <v>1</v>
      </c>
      <c r="D201" s="15">
        <v>3</v>
      </c>
      <c r="E201" s="11" t="s">
        <v>902</v>
      </c>
      <c r="F201" s="11" t="s">
        <v>992</v>
      </c>
      <c r="G201" s="15">
        <v>1</v>
      </c>
      <c r="H201" s="15">
        <v>0</v>
      </c>
      <c r="I201" s="15"/>
      <c r="J201" s="15"/>
      <c r="K201" s="15"/>
      <c r="L201" s="15"/>
      <c r="M201" s="15"/>
      <c r="N201" s="15">
        <v>9</v>
      </c>
      <c r="O201" s="15"/>
    </row>
    <row r="202" spans="1:15">
      <c r="A202" s="8"/>
      <c r="B202" s="15">
        <v>9002</v>
      </c>
      <c r="C202" s="15">
        <v>2</v>
      </c>
      <c r="D202" s="15">
        <v>3</v>
      </c>
      <c r="E202" s="11" t="s">
        <v>903</v>
      </c>
      <c r="F202" s="11" t="s">
        <v>991</v>
      </c>
      <c r="G202" s="15">
        <v>2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</row>
    <row r="203" spans="1:15">
      <c r="A203" s="8"/>
      <c r="B203" s="15">
        <v>9003</v>
      </c>
      <c r="C203" s="15">
        <v>3</v>
      </c>
      <c r="D203" s="15">
        <v>3</v>
      </c>
      <c r="E203" s="11" t="s">
        <v>904</v>
      </c>
      <c r="F203" s="11" t="s">
        <v>990</v>
      </c>
      <c r="G203" s="15">
        <v>6</v>
      </c>
      <c r="H203" s="15">
        <v>0</v>
      </c>
      <c r="I203" s="15"/>
      <c r="J203" s="15"/>
      <c r="K203" s="15"/>
      <c r="L203" s="15"/>
      <c r="M203" s="15"/>
      <c r="N203" s="15">
        <v>1007</v>
      </c>
      <c r="O203" s="15"/>
    </row>
    <row r="204" spans="1:15">
      <c r="A204" s="8"/>
      <c r="B204" s="15">
        <v>9004</v>
      </c>
      <c r="C204" s="15">
        <v>4</v>
      </c>
      <c r="D204" s="15">
        <v>3</v>
      </c>
      <c r="E204" s="11" t="s">
        <v>905</v>
      </c>
      <c r="F204" s="11" t="s">
        <v>989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1112</v>
      </c>
      <c r="O204" s="15"/>
    </row>
    <row r="205" spans="1:15">
      <c r="A205" s="8"/>
      <c r="B205" s="15">
        <v>9005</v>
      </c>
      <c r="C205" s="15">
        <v>5</v>
      </c>
      <c r="D205" s="15">
        <v>3</v>
      </c>
      <c r="E205" s="11" t="s">
        <v>906</v>
      </c>
      <c r="F205" s="11" t="s">
        <v>994</v>
      </c>
      <c r="G205" s="15">
        <v>3</v>
      </c>
      <c r="H205" s="15">
        <v>0</v>
      </c>
      <c r="I205" s="15"/>
      <c r="J205" s="15"/>
      <c r="K205" s="15"/>
      <c r="L205" s="15"/>
      <c r="M205" s="15"/>
      <c r="N205" s="15">
        <v>1007</v>
      </c>
      <c r="O205" s="15"/>
    </row>
    <row r="206" spans="1:15">
      <c r="A206" s="8"/>
      <c r="B206" s="15">
        <v>9006</v>
      </c>
      <c r="C206" s="15">
        <v>6</v>
      </c>
      <c r="D206" s="15">
        <v>3</v>
      </c>
      <c r="E206" s="11" t="s">
        <v>907</v>
      </c>
      <c r="F206" s="11" t="s">
        <v>988</v>
      </c>
      <c r="G206" s="15">
        <v>4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</row>
    <row r="207" spans="1:15">
      <c r="A207" s="8"/>
      <c r="B207" s="15">
        <v>9007</v>
      </c>
      <c r="C207" s="15">
        <v>7</v>
      </c>
      <c r="D207" s="15">
        <v>3</v>
      </c>
      <c r="E207" s="11" t="s">
        <v>908</v>
      </c>
      <c r="F207" s="11" t="s">
        <v>987</v>
      </c>
      <c r="G207" s="15">
        <v>7</v>
      </c>
      <c r="H207" s="15">
        <v>0</v>
      </c>
      <c r="I207" s="15"/>
      <c r="J207" s="15"/>
      <c r="K207" s="15"/>
      <c r="L207" s="15"/>
      <c r="M207" s="15"/>
      <c r="N207" s="15">
        <v>239</v>
      </c>
      <c r="O207" s="15"/>
    </row>
    <row r="208" spans="1:15">
      <c r="A208" s="8"/>
      <c r="B208" s="15">
        <v>9008</v>
      </c>
      <c r="C208" s="15">
        <v>8</v>
      </c>
      <c r="D208" s="15">
        <v>3</v>
      </c>
      <c r="E208" s="11" t="s">
        <v>909</v>
      </c>
      <c r="F208" s="11" t="s">
        <v>986</v>
      </c>
      <c r="G208" s="15">
        <v>1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</row>
    <row r="209" spans="1:15">
      <c r="A209" s="8"/>
      <c r="B209" s="15">
        <v>9009</v>
      </c>
      <c r="C209" s="15">
        <v>9</v>
      </c>
      <c r="D209" s="15">
        <v>3</v>
      </c>
      <c r="E209" s="11" t="s">
        <v>910</v>
      </c>
      <c r="F209" s="11" t="s">
        <v>1335</v>
      </c>
      <c r="G209" s="15">
        <v>2</v>
      </c>
      <c r="H209" s="15">
        <v>0</v>
      </c>
      <c r="I209" s="15"/>
      <c r="J209" s="15"/>
      <c r="K209" s="15"/>
      <c r="L209" s="15"/>
      <c r="M209" s="15"/>
      <c r="N209" s="15">
        <v>238</v>
      </c>
      <c r="O209" s="15"/>
    </row>
    <row r="210" spans="1:15">
      <c r="A210" s="8"/>
      <c r="B210" s="15">
        <v>9010</v>
      </c>
      <c r="C210" s="15">
        <v>10</v>
      </c>
      <c r="D210" s="15">
        <v>3</v>
      </c>
      <c r="E210" s="11" t="s">
        <v>911</v>
      </c>
      <c r="F210" s="11" t="s">
        <v>985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>
        <v>1006</v>
      </c>
      <c r="O210" s="15"/>
    </row>
    <row r="211" spans="1:15">
      <c r="A211" s="8"/>
      <c r="B211" s="15">
        <v>9011</v>
      </c>
      <c r="C211" s="15">
        <v>11</v>
      </c>
      <c r="D211" s="15">
        <v>3</v>
      </c>
      <c r="E211" s="11" t="s">
        <v>912</v>
      </c>
      <c r="F211" s="11" t="s">
        <v>984</v>
      </c>
      <c r="G211" s="15">
        <v>6</v>
      </c>
      <c r="H211" s="15">
        <v>0</v>
      </c>
      <c r="I211" s="15"/>
      <c r="J211" s="15"/>
      <c r="K211" s="15"/>
      <c r="L211" s="15"/>
      <c r="M211" s="15"/>
      <c r="N211" s="15">
        <v>1008</v>
      </c>
      <c r="O211" s="15"/>
    </row>
    <row r="212" spans="1:15">
      <c r="A212" s="8"/>
      <c r="B212" s="15">
        <v>9012</v>
      </c>
      <c r="C212" s="15">
        <v>12</v>
      </c>
      <c r="D212" s="15">
        <v>3</v>
      </c>
      <c r="E212" s="11" t="s">
        <v>913</v>
      </c>
      <c r="F212" s="11" t="s">
        <v>983</v>
      </c>
      <c r="G212" s="15">
        <v>3</v>
      </c>
      <c r="H212" s="15">
        <v>0</v>
      </c>
      <c r="I212" s="15"/>
      <c r="J212" s="15"/>
      <c r="K212" s="15"/>
      <c r="L212" s="15"/>
      <c r="M212" s="15"/>
      <c r="N212" s="15">
        <v>1507</v>
      </c>
      <c r="O212" s="15"/>
    </row>
    <row r="213" spans="1:15">
      <c r="A213" s="8"/>
      <c r="B213" s="15">
        <v>9013</v>
      </c>
      <c r="C213" s="15">
        <v>13</v>
      </c>
      <c r="D213" s="15">
        <v>3</v>
      </c>
      <c r="E213" s="11" t="s">
        <v>914</v>
      </c>
      <c r="F213" s="11" t="s">
        <v>982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9</v>
      </c>
      <c r="O213" s="15"/>
    </row>
    <row r="214" spans="1:15">
      <c r="A214" s="8"/>
      <c r="B214" s="15">
        <v>9014</v>
      </c>
      <c r="C214" s="15">
        <v>14</v>
      </c>
      <c r="D214" s="15">
        <v>3</v>
      </c>
      <c r="E214" s="11" t="s">
        <v>915</v>
      </c>
      <c r="F214" s="11" t="s">
        <v>981</v>
      </c>
      <c r="G214" s="15">
        <v>4</v>
      </c>
      <c r="H214" s="15">
        <v>0</v>
      </c>
      <c r="I214" s="15"/>
      <c r="J214" s="15"/>
      <c r="K214" s="15"/>
      <c r="L214" s="15"/>
      <c r="M214" s="15"/>
      <c r="N214" s="15">
        <v>239</v>
      </c>
      <c r="O214" s="15"/>
    </row>
    <row r="215" spans="1:15">
      <c r="A215" s="8"/>
      <c r="B215" s="15">
        <v>9015</v>
      </c>
      <c r="C215" s="15">
        <v>15</v>
      </c>
      <c r="D215" s="15">
        <v>3</v>
      </c>
      <c r="E215" s="11" t="s">
        <v>916</v>
      </c>
      <c r="F215" s="11" t="s">
        <v>980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8</v>
      </c>
      <c r="O215" s="15"/>
    </row>
    <row r="216" spans="1:15">
      <c r="A216" s="8"/>
      <c r="B216" s="15">
        <v>9016</v>
      </c>
      <c r="C216" s="15">
        <v>16</v>
      </c>
      <c r="D216" s="15">
        <v>3</v>
      </c>
      <c r="E216" s="11" t="s">
        <v>917</v>
      </c>
      <c r="F216" s="11" t="s">
        <v>979</v>
      </c>
      <c r="G216" s="15">
        <v>2</v>
      </c>
      <c r="H216" s="15">
        <v>0</v>
      </c>
      <c r="I216" s="15"/>
      <c r="J216" s="15"/>
      <c r="K216" s="15"/>
      <c r="L216" s="15"/>
      <c r="M216" s="15"/>
      <c r="N216" s="15">
        <v>1112</v>
      </c>
      <c r="O216" s="15"/>
    </row>
    <row r="217" spans="1:15">
      <c r="A217" s="8"/>
      <c r="B217" s="15">
        <v>9017</v>
      </c>
      <c r="C217" s="15">
        <v>17</v>
      </c>
      <c r="D217" s="15">
        <v>3</v>
      </c>
      <c r="E217" s="11" t="s">
        <v>918</v>
      </c>
      <c r="F217" s="11" t="s">
        <v>978</v>
      </c>
      <c r="G217" s="15">
        <v>3</v>
      </c>
      <c r="H217" s="15">
        <v>0</v>
      </c>
      <c r="I217" s="15"/>
      <c r="J217" s="15"/>
      <c r="K217" s="15"/>
      <c r="L217" s="15"/>
      <c r="M217" s="15"/>
      <c r="N217" s="15">
        <v>1507</v>
      </c>
      <c r="O217" s="15"/>
    </row>
    <row r="218" spans="1:15">
      <c r="A218" s="8"/>
      <c r="B218" s="15">
        <v>9018</v>
      </c>
      <c r="C218" s="15">
        <v>18</v>
      </c>
      <c r="D218" s="15">
        <v>3</v>
      </c>
      <c r="E218" s="11" t="s">
        <v>919</v>
      </c>
      <c r="F218" s="11" t="s">
        <v>977</v>
      </c>
      <c r="G218" s="15">
        <v>5</v>
      </c>
      <c r="H218" s="15">
        <v>0</v>
      </c>
      <c r="I218" s="15"/>
      <c r="J218" s="15"/>
      <c r="K218" s="15"/>
      <c r="L218" s="15"/>
      <c r="M218" s="15"/>
      <c r="N218" s="15">
        <v>1113</v>
      </c>
      <c r="O218" s="15"/>
    </row>
    <row r="219" spans="1:15">
      <c r="A219" s="8"/>
      <c r="B219" s="15">
        <v>9019</v>
      </c>
      <c r="C219" s="15">
        <v>19</v>
      </c>
      <c r="D219" s="15">
        <v>3</v>
      </c>
      <c r="E219" s="11" t="s">
        <v>920</v>
      </c>
      <c r="F219" s="11" t="s">
        <v>993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>
        <v>1507</v>
      </c>
      <c r="O219" s="15"/>
    </row>
    <row r="220" spans="1:15">
      <c r="A220" s="8"/>
      <c r="B220" s="15">
        <v>9020</v>
      </c>
      <c r="C220" s="15">
        <v>20</v>
      </c>
      <c r="D220" s="15">
        <v>3</v>
      </c>
      <c r="E220" s="11" t="s">
        <v>921</v>
      </c>
      <c r="F220" s="11" t="s">
        <v>971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</row>
    <row r="221" spans="1:15">
      <c r="A221" s="8"/>
      <c r="B221" s="15">
        <v>9021</v>
      </c>
      <c r="C221" s="15">
        <v>21</v>
      </c>
      <c r="D221" s="15">
        <v>3</v>
      </c>
      <c r="E221" s="11" t="s">
        <v>922</v>
      </c>
      <c r="F221" s="11" t="s">
        <v>970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238</v>
      </c>
      <c r="O221" s="15"/>
    </row>
    <row r="222" spans="1:15">
      <c r="A222" s="8"/>
      <c r="B222" s="15">
        <v>9022</v>
      </c>
      <c r="C222" s="15">
        <v>22</v>
      </c>
      <c r="D222" s="15">
        <v>3</v>
      </c>
      <c r="E222" s="11" t="s">
        <v>923</v>
      </c>
      <c r="F222" s="11" t="s">
        <v>969</v>
      </c>
      <c r="G222" s="15">
        <v>4</v>
      </c>
      <c r="H222" s="15">
        <v>0</v>
      </c>
      <c r="I222" s="15"/>
      <c r="J222" s="15"/>
      <c r="K222" s="15"/>
      <c r="L222" s="15"/>
      <c r="M222" s="15"/>
      <c r="N222" s="15">
        <v>1113</v>
      </c>
      <c r="O222" s="15"/>
    </row>
    <row r="223" spans="1:15">
      <c r="A223" s="8"/>
      <c r="B223" s="15">
        <v>9023</v>
      </c>
      <c r="C223" s="15">
        <v>23</v>
      </c>
      <c r="D223" s="15">
        <v>3</v>
      </c>
      <c r="E223" s="11" t="s">
        <v>924</v>
      </c>
      <c r="F223" s="11" t="s">
        <v>968</v>
      </c>
      <c r="G223" s="15">
        <v>2</v>
      </c>
      <c r="H223" s="15">
        <v>0</v>
      </c>
      <c r="I223" s="15"/>
      <c r="J223" s="15"/>
      <c r="K223" s="15"/>
      <c r="L223" s="15"/>
      <c r="M223" s="15"/>
      <c r="N223" s="15">
        <v>9</v>
      </c>
      <c r="O223" s="15"/>
    </row>
    <row r="224" spans="1:15">
      <c r="A224" s="8"/>
      <c r="B224" s="15">
        <v>9024</v>
      </c>
      <c r="C224" s="15">
        <v>24</v>
      </c>
      <c r="D224" s="15">
        <v>3</v>
      </c>
      <c r="E224" s="11" t="s">
        <v>925</v>
      </c>
      <c r="F224" s="11" t="s">
        <v>967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>
        <v>8</v>
      </c>
      <c r="O224" s="15"/>
    </row>
    <row r="225" spans="1:15">
      <c r="A225" s="8"/>
      <c r="B225" s="15">
        <v>9025</v>
      </c>
      <c r="C225" s="15">
        <v>25</v>
      </c>
      <c r="D225" s="15">
        <v>3</v>
      </c>
      <c r="E225" s="11" t="s">
        <v>926</v>
      </c>
      <c r="F225" s="11" t="s">
        <v>995</v>
      </c>
      <c r="G225" s="15">
        <v>7</v>
      </c>
      <c r="H225" s="15">
        <v>0</v>
      </c>
      <c r="I225" s="15"/>
      <c r="J225" s="15"/>
      <c r="K225" s="15"/>
      <c r="L225" s="15"/>
      <c r="M225" s="15"/>
      <c r="N225" s="15">
        <v>1008</v>
      </c>
      <c r="O225" s="15"/>
    </row>
    <row r="226" spans="1:15">
      <c r="A226" s="8"/>
      <c r="B226" s="15">
        <v>9026</v>
      </c>
      <c r="C226" s="15">
        <v>26</v>
      </c>
      <c r="D226" s="15">
        <v>3</v>
      </c>
      <c r="E226" s="11" t="s">
        <v>927</v>
      </c>
      <c r="F226" s="11" t="s">
        <v>966</v>
      </c>
      <c r="G226" s="15">
        <v>3</v>
      </c>
      <c r="H226" s="15">
        <v>0</v>
      </c>
      <c r="I226" s="15"/>
      <c r="J226" s="15"/>
      <c r="K226" s="15"/>
      <c r="L226" s="15"/>
      <c r="M226" s="15"/>
      <c r="N226" s="15">
        <v>1007</v>
      </c>
      <c r="O226" s="15"/>
    </row>
    <row r="227" spans="1:15">
      <c r="A227" s="8"/>
      <c r="B227" s="15">
        <v>9027</v>
      </c>
      <c r="C227" s="15">
        <v>27</v>
      </c>
      <c r="D227" s="15">
        <v>3</v>
      </c>
      <c r="E227" s="11" t="s">
        <v>928</v>
      </c>
      <c r="F227" s="11" t="s">
        <v>965</v>
      </c>
      <c r="G227" s="15">
        <v>1</v>
      </c>
      <c r="H227" s="15">
        <v>0</v>
      </c>
      <c r="I227" s="15"/>
      <c r="J227" s="15"/>
      <c r="K227" s="15"/>
      <c r="L227" s="15"/>
      <c r="M227" s="15"/>
      <c r="N227" s="15">
        <v>1006</v>
      </c>
      <c r="O227" s="15"/>
    </row>
    <row r="228" spans="1:15">
      <c r="A228" s="8"/>
      <c r="B228" s="15">
        <v>9028</v>
      </c>
      <c r="C228" s="15">
        <v>28</v>
      </c>
      <c r="D228" s="15">
        <v>3</v>
      </c>
      <c r="E228" s="11" t="s">
        <v>929</v>
      </c>
      <c r="F228" s="11" t="s">
        <v>964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>
        <v>1007</v>
      </c>
      <c r="O228" s="15"/>
    </row>
    <row r="229" spans="1:15">
      <c r="A229" s="8"/>
      <c r="B229" s="15">
        <v>9029</v>
      </c>
      <c r="C229" s="15">
        <v>29</v>
      </c>
      <c r="D229" s="15">
        <v>3</v>
      </c>
      <c r="E229" s="11" t="s">
        <v>930</v>
      </c>
      <c r="F229" s="11" t="s">
        <v>963</v>
      </c>
      <c r="G229" s="15">
        <v>6</v>
      </c>
      <c r="H229" s="15">
        <v>0</v>
      </c>
      <c r="I229" s="15"/>
      <c r="J229" s="15"/>
      <c r="K229" s="15"/>
      <c r="L229" s="15"/>
      <c r="M229" s="15"/>
      <c r="N229" s="15">
        <v>8</v>
      </c>
      <c r="O229" s="15"/>
    </row>
    <row r="230" spans="1:15">
      <c r="A230" s="8"/>
      <c r="B230" s="15">
        <v>9030</v>
      </c>
      <c r="C230" s="15">
        <v>30</v>
      </c>
      <c r="D230" s="15">
        <v>3</v>
      </c>
      <c r="E230" s="11" t="s">
        <v>931</v>
      </c>
      <c r="F230" s="11" t="s">
        <v>962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1113</v>
      </c>
      <c r="O230" s="15"/>
    </row>
    <row r="231" spans="1:15">
      <c r="A231" s="8"/>
      <c r="B231" s="15">
        <v>9031</v>
      </c>
      <c r="C231" s="15">
        <v>31</v>
      </c>
      <c r="D231" s="15">
        <v>3</v>
      </c>
      <c r="E231" s="11" t="s">
        <v>932</v>
      </c>
      <c r="F231" s="11" t="s">
        <v>961</v>
      </c>
      <c r="G231" s="15">
        <v>4</v>
      </c>
      <c r="H231" s="15">
        <v>0</v>
      </c>
      <c r="I231" s="15"/>
      <c r="J231" s="15"/>
      <c r="K231" s="15"/>
      <c r="L231" s="15"/>
      <c r="M231" s="15"/>
      <c r="N231" s="15">
        <v>1112</v>
      </c>
      <c r="O231" s="15"/>
    </row>
    <row r="232" spans="1:15">
      <c r="A232" s="8"/>
      <c r="B232" s="15">
        <v>9032</v>
      </c>
      <c r="C232" s="15">
        <v>32</v>
      </c>
      <c r="D232" s="15">
        <v>3</v>
      </c>
      <c r="E232" s="11" t="s">
        <v>933</v>
      </c>
      <c r="F232" s="11" t="s">
        <v>960</v>
      </c>
      <c r="G232" s="15">
        <v>2</v>
      </c>
      <c r="H232" s="15">
        <v>0</v>
      </c>
      <c r="I232" s="15"/>
      <c r="J232" s="15"/>
      <c r="K232" s="15"/>
      <c r="L232" s="15"/>
      <c r="M232" s="15"/>
      <c r="N232" s="15">
        <v>239</v>
      </c>
      <c r="O232" s="15"/>
    </row>
    <row r="233" spans="1:15">
      <c r="A233" s="8"/>
      <c r="B233" s="15">
        <v>9033</v>
      </c>
      <c r="C233" s="15">
        <v>33</v>
      </c>
      <c r="D233" s="15">
        <v>3</v>
      </c>
      <c r="E233" s="11" t="s">
        <v>934</v>
      </c>
      <c r="F233" s="11" t="s">
        <v>959</v>
      </c>
      <c r="G233" s="15">
        <v>5</v>
      </c>
      <c r="H233" s="15">
        <v>0</v>
      </c>
      <c r="I233" s="15"/>
      <c r="J233" s="15"/>
      <c r="K233" s="15"/>
      <c r="L233" s="15"/>
      <c r="M233" s="15"/>
      <c r="N233" s="15">
        <v>1007</v>
      </c>
      <c r="O233" s="15"/>
    </row>
    <row r="234" spans="1:15">
      <c r="A234" s="8"/>
      <c r="B234" s="15">
        <v>9034</v>
      </c>
      <c r="C234" s="15">
        <v>34</v>
      </c>
      <c r="D234" s="15">
        <v>3</v>
      </c>
      <c r="E234" s="11" t="s">
        <v>935</v>
      </c>
      <c r="F234" s="11" t="s">
        <v>958</v>
      </c>
      <c r="G234" s="15">
        <v>7</v>
      </c>
      <c r="H234" s="15">
        <v>0</v>
      </c>
      <c r="I234" s="15"/>
      <c r="J234" s="15"/>
      <c r="K234" s="15"/>
      <c r="L234" s="15"/>
      <c r="M234" s="15"/>
      <c r="N234" s="15">
        <v>8</v>
      </c>
      <c r="O234" s="15"/>
    </row>
    <row r="235" spans="1:15">
      <c r="A235" s="8"/>
      <c r="B235" s="15">
        <v>9035</v>
      </c>
      <c r="C235" s="15">
        <v>35</v>
      </c>
      <c r="D235" s="15">
        <v>3</v>
      </c>
      <c r="E235" s="11" t="s">
        <v>936</v>
      </c>
      <c r="F235" s="11" t="s">
        <v>957</v>
      </c>
      <c r="G235" s="15">
        <v>1</v>
      </c>
      <c r="H235" s="15">
        <v>0</v>
      </c>
      <c r="I235" s="15"/>
      <c r="J235" s="15"/>
      <c r="K235" s="15"/>
      <c r="L235" s="15"/>
      <c r="M235" s="15"/>
      <c r="N235" s="15">
        <v>238</v>
      </c>
      <c r="O235" s="15"/>
    </row>
    <row r="236" spans="1:15">
      <c r="A236" s="8"/>
      <c r="B236" s="15">
        <v>9036</v>
      </c>
      <c r="C236" s="15">
        <v>36</v>
      </c>
      <c r="D236" s="15">
        <v>3</v>
      </c>
      <c r="E236" s="11" t="s">
        <v>937</v>
      </c>
      <c r="F236" s="11" t="s">
        <v>956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>
        <v>8</v>
      </c>
      <c r="O236" s="15"/>
    </row>
    <row r="237" spans="1:15">
      <c r="A237" s="8"/>
      <c r="B237" s="15">
        <v>9037</v>
      </c>
      <c r="C237" s="15">
        <v>37</v>
      </c>
      <c r="D237" s="15">
        <v>3</v>
      </c>
      <c r="E237" s="11" t="s">
        <v>938</v>
      </c>
      <c r="F237" s="11" t="s">
        <v>955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238</v>
      </c>
      <c r="O237" s="15"/>
    </row>
    <row r="238" spans="1:15">
      <c r="A238" s="8"/>
      <c r="B238" s="15">
        <v>9038</v>
      </c>
      <c r="C238" s="15">
        <v>38</v>
      </c>
      <c r="D238" s="15">
        <v>3</v>
      </c>
      <c r="E238" s="11" t="s">
        <v>939</v>
      </c>
      <c r="F238" s="11" t="s">
        <v>954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>
        <v>1112</v>
      </c>
      <c r="O238" s="15"/>
    </row>
    <row r="239" spans="1:15">
      <c r="A239" s="8"/>
      <c r="B239" s="15">
        <v>9039</v>
      </c>
      <c r="C239" s="15">
        <v>39</v>
      </c>
      <c r="D239" s="15">
        <v>3</v>
      </c>
      <c r="E239" s="11" t="s">
        <v>940</v>
      </c>
      <c r="F239" s="11" t="s">
        <v>953</v>
      </c>
      <c r="G239" s="15">
        <v>2</v>
      </c>
      <c r="H239" s="15">
        <v>0</v>
      </c>
      <c r="I239" s="15"/>
      <c r="J239" s="15"/>
      <c r="K239" s="15"/>
      <c r="L239" s="15"/>
      <c r="M239" s="15"/>
      <c r="N239" s="15">
        <v>9</v>
      </c>
      <c r="O239" s="15"/>
    </row>
    <row r="240" spans="1:15">
      <c r="A240" s="8"/>
      <c r="B240" s="15">
        <v>9040</v>
      </c>
      <c r="C240" s="15">
        <v>40</v>
      </c>
      <c r="D240" s="15">
        <v>3</v>
      </c>
      <c r="E240" s="11" t="s">
        <v>941</v>
      </c>
      <c r="F240" s="11" t="s">
        <v>952</v>
      </c>
      <c r="G240" s="15">
        <v>6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</row>
    <row r="241" spans="1:15">
      <c r="A241" s="8"/>
      <c r="B241" s="15">
        <v>9041</v>
      </c>
      <c r="C241" s="15">
        <v>41</v>
      </c>
      <c r="D241" s="15">
        <v>3</v>
      </c>
      <c r="E241" s="11" t="s">
        <v>942</v>
      </c>
      <c r="F241" s="11" t="s">
        <v>951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</row>
    <row r="242" spans="1:15">
      <c r="A242" s="8"/>
      <c r="B242" s="15">
        <v>9042</v>
      </c>
      <c r="C242" s="15">
        <v>42</v>
      </c>
      <c r="D242" s="15">
        <v>3</v>
      </c>
      <c r="E242" s="11" t="s">
        <v>943</v>
      </c>
      <c r="F242" s="11" t="s">
        <v>950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238</v>
      </c>
      <c r="O242" s="15"/>
    </row>
    <row r="243" spans="1:15">
      <c r="A243" s="8"/>
      <c r="B243" s="15">
        <v>9043</v>
      </c>
      <c r="C243" s="15">
        <v>43</v>
      </c>
      <c r="D243" s="15">
        <v>3</v>
      </c>
      <c r="E243" s="11" t="s">
        <v>944</v>
      </c>
      <c r="F243" s="11" t="s">
        <v>976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1507</v>
      </c>
      <c r="O243" s="15"/>
    </row>
    <row r="244" spans="1:15">
      <c r="A244" s="8"/>
      <c r="B244" s="15">
        <v>9044</v>
      </c>
      <c r="C244" s="15">
        <v>44</v>
      </c>
      <c r="D244" s="15">
        <v>3</v>
      </c>
      <c r="E244" s="11" t="s">
        <v>945</v>
      </c>
      <c r="F244" s="11" t="s">
        <v>975</v>
      </c>
      <c r="G244" s="15">
        <v>1</v>
      </c>
      <c r="H244" s="15">
        <v>0</v>
      </c>
      <c r="I244" s="15"/>
      <c r="J244" s="15"/>
      <c r="K244" s="15"/>
      <c r="L244" s="15"/>
      <c r="M244" s="15"/>
      <c r="N244" s="15">
        <v>1508</v>
      </c>
      <c r="O244" s="15"/>
    </row>
    <row r="245" spans="1:15">
      <c r="A245" s="8"/>
      <c r="B245" s="15">
        <v>9045</v>
      </c>
      <c r="C245" s="15">
        <v>45</v>
      </c>
      <c r="D245" s="15">
        <v>3</v>
      </c>
      <c r="E245" s="11" t="s">
        <v>946</v>
      </c>
      <c r="F245" s="11" t="s">
        <v>974</v>
      </c>
      <c r="G245" s="15">
        <v>6</v>
      </c>
      <c r="H245" s="15">
        <v>0</v>
      </c>
      <c r="I245" s="15"/>
      <c r="J245" s="15"/>
      <c r="K245" s="15"/>
      <c r="L245" s="15"/>
      <c r="M245" s="15"/>
      <c r="N245" s="15">
        <v>1006</v>
      </c>
      <c r="O245" s="15"/>
    </row>
    <row r="246" spans="1:15">
      <c r="A246" s="8"/>
      <c r="B246" s="15">
        <v>9046</v>
      </c>
      <c r="C246" s="15">
        <v>46</v>
      </c>
      <c r="D246" s="15">
        <v>3</v>
      </c>
      <c r="E246" s="11" t="s">
        <v>947</v>
      </c>
      <c r="F246" s="11" t="s">
        <v>973</v>
      </c>
      <c r="G246" s="15">
        <v>4</v>
      </c>
      <c r="H246" s="15">
        <v>0</v>
      </c>
      <c r="I246" s="15"/>
      <c r="J246" s="15"/>
      <c r="K246" s="15"/>
      <c r="L246" s="15"/>
      <c r="M246" s="15"/>
      <c r="N246" s="15">
        <v>1008</v>
      </c>
      <c r="O246" s="15"/>
    </row>
    <row r="247" spans="1:15">
      <c r="A247" s="8"/>
      <c r="B247" s="15">
        <v>9047</v>
      </c>
      <c r="C247" s="15">
        <v>47</v>
      </c>
      <c r="D247" s="15">
        <v>3</v>
      </c>
      <c r="E247" s="11" t="s">
        <v>948</v>
      </c>
      <c r="F247" s="11" t="s">
        <v>972</v>
      </c>
      <c r="G247" s="15">
        <v>2</v>
      </c>
      <c r="H247" s="15">
        <v>0</v>
      </c>
      <c r="I247" s="15"/>
      <c r="J247" s="15"/>
      <c r="K247" s="15"/>
      <c r="L247" s="15"/>
      <c r="M247" s="15"/>
      <c r="N247" s="15">
        <v>8</v>
      </c>
      <c r="O247" s="15"/>
    </row>
    <row r="248" spans="1:15">
      <c r="A248" s="8"/>
      <c r="B248" s="15">
        <v>9048</v>
      </c>
      <c r="C248" s="15">
        <v>48</v>
      </c>
      <c r="D248" s="15">
        <v>3</v>
      </c>
      <c r="E248" s="11" t="s">
        <v>949</v>
      </c>
      <c r="F248" s="11" t="s">
        <v>1336</v>
      </c>
      <c r="G248" s="15">
        <v>3</v>
      </c>
      <c r="H248" s="15">
        <v>0</v>
      </c>
      <c r="I248" s="15"/>
      <c r="J248" s="15"/>
      <c r="K248" s="15"/>
      <c r="L248" s="15"/>
      <c r="M248" s="15"/>
      <c r="N248" s="15">
        <v>1112</v>
      </c>
      <c r="O248" s="15"/>
    </row>
  </sheetData>
  <autoFilter ref="B6:O247" xr:uid="{1D81EA63-93B1-42B0-BD29-C2813AD27F8A}"/>
  <phoneticPr fontId="1"/>
  <dataValidations count="1">
    <dataValidation type="list" allowBlank="1" showInputMessage="1" showErrorMessage="1" sqref="A7:A248" xr:uid="{5FC53733-16B4-4607-8A57-0510529DB80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7"/>
  <sheetViews>
    <sheetView zoomScale="85" zoomScaleNormal="85" workbookViewId="0">
      <pane ySplit="6" topLeftCell="A112" activePane="bottomLeft" state="frozen"/>
      <selection pane="bottomLeft" activeCell="B138" sqref="B138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1830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1842</v>
      </c>
      <c r="D76" s="11" t="s">
        <v>1845</v>
      </c>
      <c r="E76" s="11" t="s">
        <v>1846</v>
      </c>
      <c r="F76" s="15">
        <v>1</v>
      </c>
      <c r="G76" s="15">
        <v>1</v>
      </c>
      <c r="H76" s="15" t="s">
        <v>1843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1844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1647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1780</v>
      </c>
      <c r="D91" s="11" t="s">
        <v>1781</v>
      </c>
      <c r="E91" s="11" t="s">
        <v>1781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1782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1783</v>
      </c>
      <c r="D93" s="11" t="s">
        <v>1784</v>
      </c>
      <c r="E93" s="11" t="s">
        <v>1785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1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1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1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1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1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1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1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1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1831</v>
      </c>
      <c r="D114" s="11" t="s">
        <v>1239</v>
      </c>
      <c r="E114" s="11" t="s">
        <v>735</v>
      </c>
      <c r="F114" s="15">
        <v>1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1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1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1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1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1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1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1786</v>
      </c>
      <c r="D121" s="11" t="s">
        <v>1787</v>
      </c>
      <c r="E121" s="11" t="s">
        <v>735</v>
      </c>
      <c r="F121" s="15">
        <v>1</v>
      </c>
      <c r="G121" s="15">
        <v>3</v>
      </c>
      <c r="H121" s="15" t="s">
        <v>1788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1789</v>
      </c>
      <c r="D122" s="11" t="s">
        <v>1790</v>
      </c>
      <c r="E122" s="11" t="s">
        <v>735</v>
      </c>
      <c r="F122" s="15">
        <v>1</v>
      </c>
      <c r="G122" s="15">
        <v>3</v>
      </c>
      <c r="H122" s="15" t="s">
        <v>1791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20" t="s">
        <v>1884</v>
      </c>
      <c r="D124" s="11" t="s">
        <v>1848</v>
      </c>
      <c r="E124" s="11"/>
      <c r="F124" s="15">
        <v>1</v>
      </c>
      <c r="G124" s="15">
        <v>1</v>
      </c>
      <c r="H124" s="15" t="s">
        <v>1850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1847</v>
      </c>
      <c r="D125" s="11" t="s">
        <v>1849</v>
      </c>
      <c r="E125" s="11"/>
      <c r="F125" s="15">
        <v>2</v>
      </c>
      <c r="G125" s="15">
        <v>3</v>
      </c>
      <c r="H125" s="15" t="s">
        <v>1850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1836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1822</v>
      </c>
      <c r="D134" s="11" t="s">
        <v>1832</v>
      </c>
      <c r="E134" s="11" t="s">
        <v>735</v>
      </c>
      <c r="F134" s="15">
        <v>6</v>
      </c>
      <c r="G134" s="15">
        <v>0</v>
      </c>
      <c r="H134" s="15" t="s">
        <v>1833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1834</v>
      </c>
      <c r="D135" s="11" t="s">
        <v>1835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1841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  <row r="137" spans="1:14">
      <c r="A137" s="8"/>
      <c r="B137" s="15">
        <v>1512</v>
      </c>
      <c r="C137" s="20" t="s">
        <v>2049</v>
      </c>
      <c r="D137" s="11" t="s">
        <v>1613</v>
      </c>
      <c r="E137" s="11" t="s">
        <v>735</v>
      </c>
      <c r="F137" s="15">
        <v>6</v>
      </c>
      <c r="G137" s="15">
        <v>3</v>
      </c>
      <c r="H137" s="15" t="s">
        <v>1614</v>
      </c>
      <c r="I137" s="15">
        <v>1</v>
      </c>
      <c r="J137" s="15">
        <v>0</v>
      </c>
      <c r="K137" s="15">
        <v>0</v>
      </c>
      <c r="L137" s="15">
        <v>15</v>
      </c>
      <c r="M137" s="15">
        <v>2</v>
      </c>
      <c r="N137" s="15"/>
    </row>
  </sheetData>
  <autoFilter ref="B6:N136" xr:uid="{33D0B11C-9859-45D7-8BC1-573E4E831828}"/>
  <phoneticPr fontId="1"/>
  <dataValidations count="1">
    <dataValidation type="list" allowBlank="1" showInputMessage="1" showErrorMessage="1" sqref="A7:A131 A132:A137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7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1697</v>
      </c>
      <c r="F7" s="11" t="s">
        <v>1697</v>
      </c>
      <c r="G7" s="11" t="s">
        <v>1698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1874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1699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1700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1701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1702</v>
      </c>
      <c r="G14" s="11" t="s">
        <v>1703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1702</v>
      </c>
      <c r="G15" s="11" t="s">
        <v>1704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1702</v>
      </c>
      <c r="G16" s="11" t="s">
        <v>1705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1702</v>
      </c>
      <c r="F17" s="11" t="s">
        <v>1706</v>
      </c>
      <c r="G17" s="11" t="s">
        <v>1707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1702</v>
      </c>
      <c r="F18" s="11" t="s">
        <v>1706</v>
      </c>
      <c r="G18" s="11" t="s">
        <v>1708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1702</v>
      </c>
      <c r="F19" s="11" t="s">
        <v>1706</v>
      </c>
      <c r="G19" s="11" t="s">
        <v>1705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1706</v>
      </c>
      <c r="F20" s="11" t="s">
        <v>1709</v>
      </c>
      <c r="G20" s="11" t="s">
        <v>1710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1706</v>
      </c>
      <c r="F21" s="11" t="s">
        <v>1709</v>
      </c>
      <c r="G21" s="11" t="s">
        <v>1711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1706</v>
      </c>
      <c r="F22" s="11" t="s">
        <v>1709</v>
      </c>
      <c r="G22" s="11" t="s">
        <v>1705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1709</v>
      </c>
      <c r="F23" s="11" t="s">
        <v>1712</v>
      </c>
      <c r="G23" s="11" t="s">
        <v>1707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1709</v>
      </c>
      <c r="F24" s="11" t="s">
        <v>1712</v>
      </c>
      <c r="G24" s="11" t="s">
        <v>1713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1709</v>
      </c>
      <c r="F25" s="11" t="s">
        <v>1712</v>
      </c>
      <c r="G25" s="11" t="s">
        <v>1701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1712</v>
      </c>
      <c r="F26" s="11" t="s">
        <v>1714</v>
      </c>
      <c r="G26" s="11" t="s">
        <v>1715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1712</v>
      </c>
      <c r="F27" s="11" t="s">
        <v>1714</v>
      </c>
      <c r="G27" s="11" t="s">
        <v>1716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1712</v>
      </c>
      <c r="F28" s="11" t="s">
        <v>1714</v>
      </c>
      <c r="G28" s="11" t="s">
        <v>1717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1714</v>
      </c>
      <c r="F29" s="11" t="s">
        <v>1718</v>
      </c>
      <c r="G29" s="11" t="s">
        <v>1719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1714</v>
      </c>
      <c r="F30" s="11" t="s">
        <v>1718</v>
      </c>
      <c r="G30" s="11" t="s">
        <v>1700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1714</v>
      </c>
      <c r="F31" s="11" t="s">
        <v>1718</v>
      </c>
      <c r="G31" s="11" t="s">
        <v>1705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1718</v>
      </c>
      <c r="F32" s="11" t="s">
        <v>1720</v>
      </c>
      <c r="G32" s="11" t="s">
        <v>1721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1718</v>
      </c>
      <c r="F33" s="11" t="s">
        <v>1720</v>
      </c>
      <c r="G33" s="11" t="s">
        <v>1715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1718</v>
      </c>
      <c r="F34" s="11" t="s">
        <v>1720</v>
      </c>
      <c r="G34" s="11" t="s">
        <v>1722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1720</v>
      </c>
      <c r="F35" s="11" t="s">
        <v>1723</v>
      </c>
      <c r="G35" s="11" t="s">
        <v>1724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1720</v>
      </c>
      <c r="F36" s="11" t="s">
        <v>1723</v>
      </c>
      <c r="G36" s="11" t="s">
        <v>1725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1720</v>
      </c>
      <c r="F37" s="11" t="s">
        <v>1723</v>
      </c>
      <c r="G37" s="11" t="s">
        <v>1726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1723</v>
      </c>
      <c r="F38" s="11" t="s">
        <v>1727</v>
      </c>
      <c r="G38" s="11" t="s">
        <v>1728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1723</v>
      </c>
      <c r="F39" s="11" t="s">
        <v>1727</v>
      </c>
      <c r="G39" s="11" t="s">
        <v>1725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1723</v>
      </c>
      <c r="F40" s="11" t="s">
        <v>1727</v>
      </c>
      <c r="G40" s="11" t="s">
        <v>1729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1727</v>
      </c>
      <c r="F41" s="11" t="s">
        <v>1730</v>
      </c>
      <c r="G41" s="11" t="s">
        <v>1731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1727</v>
      </c>
      <c r="F42" s="11" t="s">
        <v>1730</v>
      </c>
      <c r="G42" s="11" t="s">
        <v>1721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1727</v>
      </c>
      <c r="F43" s="11" t="s">
        <v>1730</v>
      </c>
      <c r="G43" s="11" t="s">
        <v>1729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1730</v>
      </c>
      <c r="F44" s="11" t="s">
        <v>1732</v>
      </c>
      <c r="G44" s="11" t="s">
        <v>1733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1730</v>
      </c>
      <c r="F45" s="11" t="s">
        <v>1732</v>
      </c>
      <c r="G45" s="11" t="s">
        <v>1715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1730</v>
      </c>
      <c r="F46" s="11" t="s">
        <v>1732</v>
      </c>
      <c r="G46" s="11" t="s">
        <v>1734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1732</v>
      </c>
      <c r="F47" s="11" t="s">
        <v>1735</v>
      </c>
      <c r="G47" s="11" t="s">
        <v>1736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1732</v>
      </c>
      <c r="F48" s="11" t="s">
        <v>1735</v>
      </c>
      <c r="G48" s="11" t="s">
        <v>1715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1732</v>
      </c>
      <c r="F49" s="11" t="s">
        <v>1735</v>
      </c>
      <c r="G49" s="11" t="s">
        <v>1722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1735</v>
      </c>
      <c r="F50" s="11" t="s">
        <v>1737</v>
      </c>
      <c r="G50" s="11" t="s">
        <v>1724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1735</v>
      </c>
      <c r="F51" s="11" t="s">
        <v>1737</v>
      </c>
      <c r="G51" s="11" t="s">
        <v>1738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1735</v>
      </c>
      <c r="F52" s="11" t="s">
        <v>1737</v>
      </c>
      <c r="G52" s="11" t="s">
        <v>1739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1737</v>
      </c>
      <c r="F53" s="11" t="s">
        <v>1740</v>
      </c>
      <c r="G53" s="11" t="s">
        <v>1741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1737</v>
      </c>
      <c r="F54" s="11" t="s">
        <v>1740</v>
      </c>
      <c r="G54" s="11" t="s">
        <v>1721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1737</v>
      </c>
      <c r="F55" s="11" t="s">
        <v>1740</v>
      </c>
      <c r="G55" s="11" t="s">
        <v>1696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1740</v>
      </c>
      <c r="F56" s="11" t="s">
        <v>1742</v>
      </c>
      <c r="G56" s="11" t="s">
        <v>1743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1740</v>
      </c>
      <c r="F57" s="11" t="s">
        <v>1742</v>
      </c>
      <c r="G57" s="11" t="s">
        <v>1715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1740</v>
      </c>
      <c r="F58" s="11" t="s">
        <v>1742</v>
      </c>
      <c r="G58" s="11" t="s">
        <v>1744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1745</v>
      </c>
      <c r="F59" s="11" t="s">
        <v>1745</v>
      </c>
      <c r="G59" s="11" t="s">
        <v>1746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1745</v>
      </c>
      <c r="F60" s="11" t="s">
        <v>1745</v>
      </c>
      <c r="G60" s="11" t="s">
        <v>1716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1745</v>
      </c>
      <c r="F61" s="11" t="s">
        <v>1745</v>
      </c>
      <c r="G61" s="11" t="s">
        <v>1747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1745</v>
      </c>
      <c r="F62" s="11" t="s">
        <v>1745</v>
      </c>
      <c r="G62" s="11" t="s">
        <v>1748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1745</v>
      </c>
      <c r="F63" s="11" t="s">
        <v>1745</v>
      </c>
      <c r="G63" s="11" t="s">
        <v>1721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1745</v>
      </c>
      <c r="F64" s="11" t="s">
        <v>1745</v>
      </c>
      <c r="G64" s="11" t="s">
        <v>1749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1745</v>
      </c>
      <c r="F65" s="11" t="s">
        <v>1745</v>
      </c>
      <c r="G65" s="11" t="s">
        <v>1750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1745</v>
      </c>
      <c r="F66" s="11" t="s">
        <v>1745</v>
      </c>
      <c r="G66" s="11" t="s">
        <v>1751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1745</v>
      </c>
      <c r="F67" s="11" t="s">
        <v>1745</v>
      </c>
      <c r="G67" s="11" t="s">
        <v>1752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1745</v>
      </c>
      <c r="F68" s="11" t="s">
        <v>1745</v>
      </c>
      <c r="G68" s="11" t="s">
        <v>1715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1745</v>
      </c>
      <c r="F69" s="11" t="s">
        <v>1745</v>
      </c>
      <c r="G69" s="11" t="s">
        <v>1716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1745</v>
      </c>
      <c r="F70" s="11" t="s">
        <v>1745</v>
      </c>
      <c r="G70" s="11" t="s">
        <v>1753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1745</v>
      </c>
      <c r="F71" s="11" t="s">
        <v>1745</v>
      </c>
      <c r="G71" s="11" t="s">
        <v>1754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1745</v>
      </c>
      <c r="F72" s="11" t="s">
        <v>1745</v>
      </c>
      <c r="G72" s="11" t="s">
        <v>1721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1745</v>
      </c>
      <c r="F73" s="11" t="s">
        <v>1745</v>
      </c>
      <c r="G73" s="11" t="s">
        <v>1749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1745</v>
      </c>
      <c r="F74" s="11" t="s">
        <v>1745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1745</v>
      </c>
      <c r="F75" s="11" t="s">
        <v>1745</v>
      </c>
      <c r="G75" s="11" t="s">
        <v>1721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1745</v>
      </c>
      <c r="F76" s="11" t="s">
        <v>1745</v>
      </c>
      <c r="G76" s="11" t="s">
        <v>1717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1745</v>
      </c>
      <c r="F77" s="11" t="s">
        <v>1745</v>
      </c>
      <c r="G77" s="11" t="s">
        <v>1696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1745</v>
      </c>
      <c r="F78" s="11" t="s">
        <v>1745</v>
      </c>
      <c r="G78" s="11" t="s">
        <v>1719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1745</v>
      </c>
      <c r="F79" s="11" t="s">
        <v>1745</v>
      </c>
      <c r="G79" s="11" t="s">
        <v>1755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1745</v>
      </c>
      <c r="F80" s="11" t="s">
        <v>1796</v>
      </c>
      <c r="G80" s="11" t="s">
        <v>1797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1745</v>
      </c>
      <c r="F81" s="11" t="s">
        <v>1745</v>
      </c>
      <c r="G81" s="11" t="s">
        <v>1809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1745</v>
      </c>
      <c r="F82" s="11" t="s">
        <v>1745</v>
      </c>
      <c r="G82" s="11" t="s">
        <v>1716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1745</v>
      </c>
      <c r="F83" s="11" t="s">
        <v>1745</v>
      </c>
      <c r="G83" s="11" t="s">
        <v>1798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1745</v>
      </c>
      <c r="F84" s="11" t="s">
        <v>1745</v>
      </c>
      <c r="G84" s="11" t="s">
        <v>1875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1745</v>
      </c>
      <c r="F85" s="11" t="s">
        <v>1745</v>
      </c>
      <c r="G85" s="11" t="s">
        <v>1824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1745</v>
      </c>
      <c r="F86" s="11" t="s">
        <v>1745</v>
      </c>
      <c r="G86" s="11" t="s">
        <v>1747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1745</v>
      </c>
      <c r="F87" s="11" t="s">
        <v>1745</v>
      </c>
      <c r="G87" s="11" t="s">
        <v>1715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1745</v>
      </c>
      <c r="F88" s="11" t="s">
        <v>1745</v>
      </c>
      <c r="G88" s="11" t="s">
        <v>1716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1745</v>
      </c>
      <c r="F89" s="11" t="s">
        <v>1745</v>
      </c>
      <c r="G89" s="11" t="s">
        <v>1825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1745</v>
      </c>
      <c r="F90" s="11" t="s">
        <v>1745</v>
      </c>
      <c r="G90" s="11" t="s">
        <v>1876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1745</v>
      </c>
      <c r="F91" s="11" t="s">
        <v>1745</v>
      </c>
      <c r="G91" s="11" t="s">
        <v>1797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1745</v>
      </c>
      <c r="F92" s="11" t="s">
        <v>1745</v>
      </c>
      <c r="G92" s="11" t="s">
        <v>1713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1745</v>
      </c>
      <c r="F93" s="11" t="s">
        <v>1745</v>
      </c>
      <c r="G93" s="11" t="s">
        <v>1749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1745</v>
      </c>
      <c r="F94" s="11" t="s">
        <v>1745</v>
      </c>
      <c r="G94" s="11" t="s">
        <v>1721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1745</v>
      </c>
      <c r="F95" s="11" t="s">
        <v>1745</v>
      </c>
      <c r="G95" s="11" t="s">
        <v>1875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1745</v>
      </c>
      <c r="F96" s="11" t="s">
        <v>1745</v>
      </c>
      <c r="G96" s="11" t="s">
        <v>1877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1808</v>
      </c>
      <c r="B2" s="9" t="s">
        <v>719</v>
      </c>
      <c r="C2" s="9" t="s">
        <v>1800</v>
      </c>
      <c r="D2" s="9" t="s">
        <v>1801</v>
      </c>
      <c r="E2" s="9" t="s">
        <v>1803</v>
      </c>
      <c r="F2" s="9" t="s">
        <v>1805</v>
      </c>
      <c r="G2" s="9" t="s">
        <v>1806</v>
      </c>
      <c r="H2" s="9" t="s">
        <v>1807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1802</v>
      </c>
      <c r="E4" s="9" t="s">
        <v>1804</v>
      </c>
      <c r="F4" s="9" t="s">
        <v>1804</v>
      </c>
      <c r="G4" s="9" t="s">
        <v>1804</v>
      </c>
      <c r="H4" s="9" t="s">
        <v>1804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2024-06-27T11:48:41Z</dcterms:modified>
</cp:coreProperties>
</file>