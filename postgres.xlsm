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A5D779B-BF30-4500-8A2C-F1B84790C2CF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ability!$B$6:$N$132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1" l="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<sst xmlns="http://schemas.openxmlformats.org/spreadsheetml/2006/main" count="3592" uniqueCount="1908">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</sst>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0" fontId="2" fillId="0" borderId="1" xfId="0" applyNumberFormat="1" applyFont="1" applyBorder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  <c r="G2" s="9" t="s">
        <v>1905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8" t="s">
        <v>133</v>
      </c>
      <c r="G7" s="14">
        <v>2</v>
      </c>
      <c r="U7" s="20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8" t="s">
        <v>187</v>
      </c>
      <c r="G8" s="14">
        <v>3</v>
      </c>
      <c r="P8" s="19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8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8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8" t="s">
        <v>133</v>
      </c>
      <c r="G11" s="14">
        <v>3</v>
      </c>
      <c r="U11" s="20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8" t="s">
        <v>133</v>
      </c>
      <c r="G12" s="14">
        <v>3</v>
      </c>
      <c r="P12" s="19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8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8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8" t="s">
        <v>133</v>
      </c>
      <c r="G15" s="14">
        <v>3</v>
      </c>
      <c r="U15" s="20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8" t="s">
        <v>187</v>
      </c>
      <c r="G16" s="14">
        <v>3</v>
      </c>
      <c r="P16" s="19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8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8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8" t="s">
        <v>133</v>
      </c>
      <c r="G19" s="14">
        <v>3</v>
      </c>
      <c r="U19" s="20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8" t="s">
        <v>188</v>
      </c>
      <c r="G20" s="14">
        <v>1</v>
      </c>
      <c r="P20" s="19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8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8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8" t="s">
        <v>133</v>
      </c>
      <c r="G23" s="14">
        <v>3</v>
      </c>
      <c r="U23" s="20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8" t="s">
        <v>187</v>
      </c>
      <c r="G24" s="14">
        <v>3</v>
      </c>
      <c r="P24" s="19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8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8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8" t="s">
        <v>133</v>
      </c>
      <c r="G27" s="14">
        <v>3</v>
      </c>
      <c r="U27" s="20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8" t="s">
        <v>187</v>
      </c>
      <c r="G28" s="14">
        <v>3</v>
      </c>
      <c r="P28" s="19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8" t="s">
        <v>188</v>
      </c>
      <c r="G29" s="14">
        <v>1</v>
      </c>
    </row>
    <row r="30" spans="1:21">
      <c r="A30" s="8"/>
      <c r="B30" s="14">
        <v>24</v>
      </c>
      <c r="C30" s="11" t="s">
        <v>1907</v>
      </c>
      <c r="D30" s="11" t="s">
        <v>156</v>
      </c>
      <c r="E30" s="11" t="s">
        <v>588</v>
      </c>
      <c r="F30" s="18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8" t="s">
        <v>188</v>
      </c>
      <c r="G31" s="14">
        <v>1</v>
      </c>
      <c r="U31" s="20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8" t="s">
        <v>133</v>
      </c>
      <c r="G32" s="14">
        <v>3</v>
      </c>
      <c r="P32" s="19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8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8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8" t="s">
        <v>133</v>
      </c>
      <c r="G35" s="14">
        <v>3</v>
      </c>
      <c r="U35" s="20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8" t="s">
        <v>187</v>
      </c>
      <c r="G36" s="14">
        <v>3</v>
      </c>
      <c r="P36" s="19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8" t="s">
        <v>187</v>
      </c>
      <c r="G37" s="18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8" t="s">
        <v>187</v>
      </c>
      <c r="G38" s="18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8" t="s">
        <v>133</v>
      </c>
      <c r="G39" s="18">
        <v>3</v>
      </c>
      <c r="U39" s="20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8" t="s">
        <v>188</v>
      </c>
      <c r="G40" s="18">
        <v>1</v>
      </c>
      <c r="P40" s="19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8" t="s">
        <v>133</v>
      </c>
      <c r="G41" s="18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8" t="s">
        <v>188</v>
      </c>
      <c r="G42" s="18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8" t="s">
        <v>133</v>
      </c>
      <c r="G43" s="18">
        <v>3</v>
      </c>
      <c r="U43" s="20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8" t="s">
        <v>133</v>
      </c>
      <c r="G44" s="18">
        <v>3</v>
      </c>
      <c r="P44" s="19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8" t="s">
        <v>187</v>
      </c>
      <c r="G45" s="18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8" t="s">
        <v>188</v>
      </c>
      <c r="G46" s="18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8" t="s">
        <v>188</v>
      </c>
      <c r="G47" s="18">
        <v>1</v>
      </c>
      <c r="U47" s="20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8" t="s">
        <v>187</v>
      </c>
      <c r="G48" s="18">
        <v>3</v>
      </c>
      <c r="P48" s="19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8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8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8" t="s">
        <v>187</v>
      </c>
      <c r="G51" s="14">
        <v>3</v>
      </c>
      <c r="U51" s="20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8" t="s">
        <v>188</v>
      </c>
      <c r="G52" s="14">
        <v>1</v>
      </c>
      <c r="P52" s="19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8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8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8" t="s">
        <v>133</v>
      </c>
      <c r="G55" s="18">
        <v>2</v>
      </c>
      <c r="U55" s="20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8" t="s">
        <v>187</v>
      </c>
      <c r="G56" s="18">
        <v>3</v>
      </c>
      <c r="P56" s="19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8" t="s">
        <v>188</v>
      </c>
      <c r="G57" s="18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8" t="s">
        <v>188</v>
      </c>
      <c r="G58" s="18">
        <v>3</v>
      </c>
    </row>
    <row r="59" spans="1:21">
      <c r="U59" s="20"/>
    </row>
    <row r="60" spans="1:21">
      <c r="P60" s="19"/>
    </row>
    <row r="63" spans="1:21">
      <c r="U63" s="20"/>
    </row>
    <row r="64" spans="1:21">
      <c r="P64" s="19"/>
    </row>
    <row r="67" spans="16:21">
      <c r="U67" s="20"/>
    </row>
    <row r="68" spans="16:21">
      <c r="P68" s="19"/>
    </row>
    <row r="71" spans="16:21">
      <c r="U71" s="20"/>
    </row>
    <row r="72" spans="16:21">
      <c r="P72" s="19"/>
    </row>
    <row r="75" spans="16:21">
      <c r="U75" s="20"/>
    </row>
    <row r="76" spans="16:21">
      <c r="P76" s="19"/>
    </row>
    <row r="79" spans="16:21">
      <c r="U79" s="20"/>
    </row>
    <row r="80" spans="16:21">
      <c r="P80" s="19"/>
    </row>
    <row r="83" spans="16:21">
      <c r="U83" s="20"/>
    </row>
    <row r="84" spans="16:21">
      <c r="P84" s="19"/>
    </row>
    <row r="87" spans="16:21">
      <c r="U87" s="20"/>
    </row>
    <row r="88" spans="16:21">
      <c r="P88" s="19"/>
    </row>
    <row r="91" spans="16:21">
      <c r="U91" s="20"/>
    </row>
    <row r="92" spans="16:21">
      <c r="P92" s="19"/>
    </row>
    <row r="95" spans="16:21">
      <c r="U95" s="20"/>
    </row>
    <row r="96" spans="16:21">
      <c r="P96" s="19"/>
    </row>
    <row r="99" spans="16:21">
      <c r="U99" s="20"/>
    </row>
    <row r="100" spans="16:21">
      <c r="P100" s="19"/>
    </row>
    <row r="103" spans="16:21">
      <c r="U103" s="20"/>
    </row>
    <row r="104" spans="16:21">
      <c r="P104" s="19"/>
    </row>
    <row r="107" spans="16:21">
      <c r="U107" s="20"/>
    </row>
    <row r="108" spans="16:21">
      <c r="P108" s="19"/>
    </row>
    <row r="111" spans="16:21">
      <c r="U111" s="20"/>
    </row>
    <row r="112" spans="16:21">
      <c r="P112" s="19"/>
    </row>
    <row r="115" spans="16:21">
      <c r="U115" s="20"/>
    </row>
    <row r="116" spans="16:21">
      <c r="P116" s="19"/>
    </row>
    <row r="119" spans="16:21">
      <c r="U119" s="20"/>
    </row>
    <row r="120" spans="16:21">
      <c r="P120" s="19"/>
    </row>
    <row r="123" spans="16:21">
      <c r="U123" s="20"/>
    </row>
    <row r="124" spans="16:21">
      <c r="P124" s="19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8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8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8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8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8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8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8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8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8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8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8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8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8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8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8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8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8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8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8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8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8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8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8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8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8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8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8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8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8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8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8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8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8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8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8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8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8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8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8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8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8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8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8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8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8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8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8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8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8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8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8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8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tabSelected="1"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1686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1440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1686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1450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1367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1686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1432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1701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1427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1702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1425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1703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1370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1446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1704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1414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1401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1353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1422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1860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1651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1377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1403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1705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1361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1437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1706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1707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1421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1412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1358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1708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1398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1376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1649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1709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1710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1373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1389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1375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1650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1365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1402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1430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1420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1711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1712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1424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1405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1399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1713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875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1415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1443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874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1714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1715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869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870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1717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1387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1716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1718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1431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1749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1368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1369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871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1686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1441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1379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1719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872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1684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873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1418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1720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867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1721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868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1354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886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885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906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1636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1173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1174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1722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1634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1635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1723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1820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1838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1839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1821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1840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1882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1883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1880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1881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1884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1640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1678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1673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1676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1674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1677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1675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1679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1681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1680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1682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1683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1906</v>
      </c>
      <c r="D3" s="14"/>
      <c r="E3" s="14"/>
      <c r="F3" s="14">
        <v>0</v>
      </c>
      <c r="G3" s="14">
        <v>1</v>
      </c>
      <c r="H3" s="14">
        <v>2</v>
      </c>
      <c r="I3" s="21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1906</v>
      </c>
      <c r="D4" s="14"/>
      <c r="E4" s="14"/>
      <c r="F4" s="14">
        <v>0</v>
      </c>
      <c r="G4" s="14">
        <v>1</v>
      </c>
      <c r="H4" s="14">
        <v>2</v>
      </c>
      <c r="I4" s="21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1906</v>
      </c>
      <c r="D5" s="14"/>
      <c r="E5" s="14"/>
      <c r="F5" s="14">
        <v>0</v>
      </c>
      <c r="G5" s="14">
        <v>1</v>
      </c>
      <c r="H5" s="14">
        <v>2</v>
      </c>
      <c r="I5" s="21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1906</v>
      </c>
      <c r="D6" s="14"/>
      <c r="E6" s="14"/>
      <c r="F6" s="14">
        <v>0</v>
      </c>
      <c r="G6" s="14">
        <v>1</v>
      </c>
      <c r="H6" s="14">
        <v>2</v>
      </c>
      <c r="I6" s="21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1906</v>
      </c>
      <c r="D7" s="14"/>
      <c r="E7" s="14"/>
      <c r="F7" s="14">
        <v>0</v>
      </c>
      <c r="G7" s="14">
        <v>1</v>
      </c>
      <c r="H7" s="14">
        <v>2</v>
      </c>
      <c r="I7" s="21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1906</v>
      </c>
      <c r="D8" s="14"/>
      <c r="E8" s="14"/>
      <c r="F8" s="14">
        <v>0</v>
      </c>
      <c r="G8" s="14">
        <v>1</v>
      </c>
      <c r="H8" s="14">
        <v>2</v>
      </c>
      <c r="I8" s="21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1906</v>
      </c>
      <c r="D9" s="14"/>
      <c r="E9" s="14"/>
      <c r="F9" s="14">
        <v>0</v>
      </c>
      <c r="G9" s="14">
        <v>1</v>
      </c>
      <c r="H9" s="14">
        <v>2</v>
      </c>
      <c r="I9" s="21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1906</v>
      </c>
      <c r="D10" s="14"/>
      <c r="E10" s="14"/>
      <c r="F10" s="14">
        <v>0</v>
      </c>
      <c r="G10" s="14">
        <v>1</v>
      </c>
      <c r="H10" s="14">
        <v>2</v>
      </c>
      <c r="I10" s="21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1906</v>
      </c>
      <c r="D11" s="14"/>
      <c r="E11" s="14"/>
      <c r="F11" s="14">
        <v>0</v>
      </c>
      <c r="G11" s="14">
        <v>1</v>
      </c>
      <c r="H11" s="14">
        <v>2</v>
      </c>
      <c r="I11" s="21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1906</v>
      </c>
      <c r="D12" s="14"/>
      <c r="E12" s="14"/>
      <c r="F12" s="14">
        <v>0</v>
      </c>
      <c r="G12" s="14">
        <v>1</v>
      </c>
      <c r="H12" s="14">
        <v>2</v>
      </c>
      <c r="I12" s="21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1906</v>
      </c>
      <c r="D13" s="14"/>
      <c r="E13" s="14"/>
      <c r="F13" s="14">
        <v>0</v>
      </c>
      <c r="G13" s="14">
        <v>1</v>
      </c>
      <c r="H13" s="14">
        <v>2</v>
      </c>
      <c r="I13" s="21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1906</v>
      </c>
      <c r="D14" s="14"/>
      <c r="E14" s="14"/>
      <c r="F14" s="14">
        <v>0</v>
      </c>
      <c r="G14" s="14">
        <v>1</v>
      </c>
      <c r="H14" s="14">
        <v>2</v>
      </c>
      <c r="I14" s="21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1906</v>
      </c>
      <c r="D15" s="14"/>
      <c r="E15" s="14"/>
      <c r="F15" s="14">
        <v>0</v>
      </c>
      <c r="G15" s="14">
        <v>1</v>
      </c>
      <c r="H15" s="14">
        <v>2</v>
      </c>
      <c r="I15" s="21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1906</v>
      </c>
      <c r="D16" s="14"/>
      <c r="E16" s="14"/>
      <c r="F16" s="14">
        <v>0</v>
      </c>
      <c r="G16" s="14">
        <v>1</v>
      </c>
      <c r="H16" s="14">
        <v>2</v>
      </c>
      <c r="I16" s="21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1906</v>
      </c>
      <c r="D17" s="14"/>
      <c r="E17" s="14"/>
      <c r="F17" s="14">
        <v>0</v>
      </c>
      <c r="G17" s="14">
        <v>1</v>
      </c>
      <c r="H17" s="14">
        <v>2</v>
      </c>
      <c r="I17" s="21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1906</v>
      </c>
      <c r="D18" s="14"/>
      <c r="E18" s="14"/>
      <c r="F18" s="14">
        <v>0</v>
      </c>
      <c r="G18" s="14">
        <v>1</v>
      </c>
      <c r="H18" s="14">
        <v>2</v>
      </c>
      <c r="I18" s="21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1906</v>
      </c>
      <c r="D19" s="14"/>
      <c r="E19" s="14"/>
      <c r="F19" s="14">
        <v>0</v>
      </c>
      <c r="G19" s="14">
        <v>1</v>
      </c>
      <c r="H19" s="14">
        <v>2</v>
      </c>
      <c r="I19" s="21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1906</v>
      </c>
      <c r="D20" s="14"/>
      <c r="E20" s="14"/>
      <c r="F20" s="14">
        <v>0</v>
      </c>
      <c r="G20" s="14">
        <v>1</v>
      </c>
      <c r="H20" s="14">
        <v>2</v>
      </c>
      <c r="I20" s="21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42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VLOOKUP(C10,skill_list!$B$7:$C$1020,2)</f>
        <v>御稲荷神話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VLOOKUP(C11,skill_list!$B$7:$C$1020,2)</f>
        <v>御稲荷神話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VLOOKUP(C61,skill_list!$B$7:$C$1020,2)</f>
        <v>フォーチュンスラッシュ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VLOOKUP(C62,skill_list!$B$7:$C$1020,2)</f>
        <v>通常攻撃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VLOOKUP(C63,skill_list!$B$7:$C$1020,2)</f>
        <v>ファーストラヴ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VLOOKUP(C64,skill_list!$B$7:$C$1020,2)</f>
        <v>夢見る幻想覚醒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VLOOKUP(C65,skill_list!$B$7:$C$1020,2)</f>
        <v>夢見る幻想覚醒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VLOOKUP(C66,skill_list!$B$7:$C$1020,2)</f>
        <v>姫君の寵愛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VLOOKUP(C67,skill_list!$B$7:$C$1020,2)</f>
        <v>姫君の寵愛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VLOOKUP(C68,skill_list!$B$7:$C$1020,2)</f>
        <v>イチコロスマイル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VLOOKUP(C69,skill_list!$B$7:$C$1020,2)</f>
        <v>バラ撒き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VLOOKUP(C70,skill_list!$B$7:$C$1020,2)</f>
        <v>バラ撒き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VLOOKUP(C71,skill_list!$B$7:$C$1020,2)</f>
        <v>クールダウン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VLOOKUP(C72,skill_list!$B$7:$C$1020,2)</f>
        <v>大切り盛り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VLOOKUP(C73,skill_list!$B$7:$C$1020,2)</f>
        <v>大切り盛り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VLOOKUP(C74,skill_list!$B$7:$C$1020,2)</f>
        <v>ご注文を伺います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VLOOKUP(C75,skill_list!$B$7:$C$1020,2)</f>
        <v>ご注文を伺います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VLOOKUP(C76,skill_list!$B$7:$C$1020,2)</f>
        <v>ヒロイックプラウド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VLOOKUP(C77,skill_list!$B$7:$C$1020,2)</f>
        <v>メイドの嗜み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VLOOKUP(C78,skill_list!$B$7:$C$1020,2)</f>
        <v>大海原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VLOOKUP(C79,skill_list!$B$7:$C$1020,2)</f>
        <v>高輝の燦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VLOOKUP(C80,skill_list!$B$7:$C$1020,2)</f>
        <v>高輝の燦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VLOOKUP(C81,skill_list!$B$7:$C$1020,2)</f>
        <v>フィルリカバー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VLOOKUP(C82,skill_list!$B$7:$C$1020,2)</f>
        <v>君に咲くグラナータ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VLOOKUP(C83,skill_list!$B$7:$C$1020,2)</f>
        <v>にゃんこ大魔法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VLOOKUP(C84,skill_list!$B$7:$C$1020,2)</f>
        <v>被害妄想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VLOOKUP(C85,skill_list!$B$7:$C$1020,2)</f>
        <v>被害妄想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VLOOKUP(C86,skill_list!$B$7:$C$1020,2)</f>
        <v>レッドオペレーション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VLOOKUP(C87,skill_list!$B$7:$C$1020,2)</f>
        <v>カレイド・レインシャワー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VLOOKUP(C88,skill_list!$B$7:$C$1020,2)</f>
        <v>カレイド・レインシャワー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VLOOKUP(C89,skill_list!$B$7:$C$1020,2)</f>
        <v>ホーリーエンハンス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VLOOKUP(C90,skill_list!$B$7:$C$1020,2)</f>
        <v>ホーリーエンハンス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VLOOKUP(C91,skill_list!$B$7:$C$1020,2)</f>
        <v>キルキルヒカル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VLOOKUP(C92,skill_list!$B$7:$C$1020,2)</f>
        <v>天変の相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VLOOKUP(C93,skill_list!$B$7:$C$1020,2)</f>
        <v>バックラッシュ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VLOOKUP(C94,skill_list!$B$7:$C$1020,2)</f>
        <v>バックラッシュ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VLOOKUP(C95,skill_list!$B$7:$C$1020,2)</f>
        <v>誘掖の途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VLOOKUP(C96,skill_list!$B$7:$C$1020,2)</f>
        <v>誘掖の途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VLOOKUP(C97,skill_list!$B$7:$C$1020,2)</f>
        <v>純愛アンビシャス+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VLOOKUP(C98,skill_list!$B$7:$C$1020,2)</f>
        <v>純愛アンビシャス+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VLOOKUP(C99,skill_list!$B$7:$C$1020,2)</f>
        <v>三日月宗近+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VLOOKUP(C100,skill_list!$B$7:$C$1020,2)</f>
        <v>爽籟に舞う仁慈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VLOOKUP(C101,skill_list!$B$7:$C$1020,2)</f>
        <v>生存の業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VLOOKUP(C102,skill_list!$B$7:$C$1020,2)</f>
        <v>ジーナーカーナー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VLOOKUP(C103,skill_list!$B$7:$C$1020,2)</f>
        <v>ジーナーカーナー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VLOOKUP(C104,skill_list!$B$7:$C$1020,2)</f>
        <v>朧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VLOOKUP(C105,skill_list!$B$7:$C$1020,2)</f>
        <v>フィルリカバー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VLOOKUP(C106,skill_list!$B$7:$C$1020,2)</f>
        <v>夢視るデザイア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VLOOKUP(C107,skill_list!$B$7:$C$1020,2)</f>
        <v>イノセントワイルド+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VLOOKUP(C108,skill_list!$B$7:$C$1020,2)</f>
        <v>イノセントワイルド+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VLOOKUP(C109,skill_list!$B$7:$C$1020,2)</f>
        <v>救済のレクイエム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VLOOKUP(C110,skill_list!$B$7:$C$1020,2)</f>
        <v>フローズン・ワルツ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VLOOKUP(C111,skill_list!$B$7:$C$1020,2)</f>
        <v>デバノデバン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VLOOKUP(C112,skill_list!$B$7:$C$1020,2)</f>
        <v>北風のスバル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VLOOKUP(C113,skill_list!$B$7:$C$1020,2)</f>
        <v>デヴォーション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VLOOKUP(C114,skill_list!$B$7:$C$1020,2)</f>
        <v>狂騒のヨスガ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VLOOKUP(C115,skill_list!$B$7:$C$1020,2)</f>
        <v>狂騒のヨスガ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VLOOKUP(C116,skill_list!$B$7:$C$1020,2)</f>
        <v>ファンタズム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VLOOKUP(C117,skill_list!$B$7:$C$1020,2)</f>
        <v>ファンタズム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VLOOKUP(C118,skill_list!$B$7:$C$1020,2)</f>
        <v>フェイント・ルミナスコスモス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VLOOKUP(C119,skill_list!$B$7:$C$1020,2)</f>
        <v>スパークル・トライエッジ+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VLOOKUP(C120,skill_list!$B$7:$C$1020,2)</f>
        <v>フロストソーン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VLOOKUP(C121,skill_list!$B$7:$C$1020,2)</f>
        <v>トゥルー・アイシクル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VLOOKUP(C122,skill_list!$B$7:$C$1020,2)</f>
        <v>ヴァンダリズム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VLOOKUP(C123,skill_list!$B$7:$C$1020,2)</f>
        <v>ヴァンダリズム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VLOOKUP(C124,skill_list!$B$7:$C$1020,2)</f>
        <v>コールドクラッシュ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VLOOKUP(C125,skill_list!$B$7:$C$1020,2)</f>
        <v>コールドクラッシュ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VLOOKUP(C126,skill_list!$B$7:$C$1020,2)</f>
        <v>追撃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VLOOKUP(C127,skill_list!$B$7:$C$1020,2)</f>
        <v>追撃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VLOOKUP(C128,skill_list!$B$7:$C$1020,2)</f>
        <v>追撃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VLOOKUP(C129,skill_list!$B$7:$C$1020,2)</f>
        <v>追撃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VLOOKUP(C130,skill_list!$B$7:$C$1020,2)</f>
        <v>炯眼の構え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VLOOKUP(C131,skill_list!$B$7:$C$1020,2)</f>
        <v>炯眼の構え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VLOOKUP(C132,skill_list!$B$7:$C$1020,2)</f>
        <v>黒曜のオーバーロード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VLOOKUP(C133,skill_list!$B$7:$C$1020,2)</f>
        <v>一途なスマイル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VLOOKUP(C134,skill_list!$B$7:$C$1020,2)</f>
        <v>クレール・ド・リュンヌ+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VLOOKUP(C135,skill_list!$B$7:$C$1020,2)</f>
        <v>螳螂之斧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VLOOKUP(C136,skill_list!$B$7:$C$1020,2)</f>
        <v>螳螂之斧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VLOOKUP(C137,skill_list!$B$7:$C$1020,2)</f>
        <v>ひらり落桜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VLOOKUP(C138,skill_list!$B$7:$C$1020,2)</f>
        <v>おしおき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VLOOKUP(C139,skill_list!$B$7:$C$1020,2)</f>
        <v>朝霜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VLOOKUP(C142,skill_list!$B$7:$C$1020,2)</f>
        <v>癒やされスマイル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VLOOKUP(C145,skill_list!$B$7:$C$1020,2)</f>
        <v>狼狽プーリァ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VLOOKUP(C149,skill_list!$B$7:$C$1020,2)</f>
        <v>乙女の輝き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VLOOKUP(C150,skill_list!$B$7:$C$1020,2)</f>
        <v>流星+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VLOOKUP(C151,skill_list!$B$7:$C$1020,2)</f>
        <v>破壊のシニシズム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VLOOKUP(C153,skill_list!$B$7:$C$1020,2)</f>
        <v>エンジェルズ・レイ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VLOOKUP(C154,skill_list!$B$7:$C$1020,2)</f>
        <v>シンコペーション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VLOOKUP(C155,skill_list!$B$7:$C$1020,2)</f>
        <v>コールドストローク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VLOOKUP(C156,skill_list!$B$7:$C$1020,2)</f>
        <v>先に逝くなよ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VLOOKUP(C159,skill_list!$B$7:$C$1020,2)</f>
        <v>唯雅粛正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VLOOKUP(C162,skill_list!$B$7:$C$1020,2)</f>
        <v>ハイビーム・イルミネーション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VLOOKUP(C163,skill_list!$B$7:$C$1020,2)</f>
        <v>赤面スティグマ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VLOOKUP(C164,skill_list!$B$7:$C$1020,2)</f>
        <v>儚き目覚め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VLOOKUP(C165,skill_list!$B$7:$C$1020,2)</f>
        <v>フローズンタイム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VLOOKUP(C167,skill_list!$B$7:$C$1020,2)</f>
        <v>バーチカルフォース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VLOOKUP(C176,skill_list!$B$7:$C$1020,2)</f>
        <v>ポッピング・バブル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VLOOKUP(C179,skill_list!$B$7:$C$1020,2)</f>
        <v>三色団子乱れ撃ち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VLOOKUP(C182,skill_list!$B$7:$C$1020,2)</f>
        <v>エキゾーストノート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VLOOKUP(C194,skill_list!$B$7:$C$1020,2)</f>
        <v>プリズムアタック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VLOOKUP(C195,skill_list!$B$7:$C$1020,2)</f>
        <v>ナイトフォール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VLOOKUP(C196,skill_list!$B$7:$C$1020,2)</f>
        <v>ナイトフォール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VLOOKUP(C198,skill_list!$B$7:$C$1020,2)</f>
        <v>ブレイブソウル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VLOOKUP(C200,skill_list!$B$7:$C$1020,2)</f>
        <v>残焔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VLOOKUP(C201,skill_list!$B$7:$C$1020,2)</f>
        <v>海のギャング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VLOOKUP(C203,skill_list!$B$7:$C$1020,2)</f>
        <v>ザヴィーシマスチ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VLOOKUP(C213,skill_list!$B$7:$C$1020,2)</f>
        <v>R.I.P.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VLOOKUP(C215,skill_list!$B$7:$C$1020,2)</f>
        <v>神楽浄火・閃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VLOOKUP(C216,skill_list!$B$7:$C$1020,2)</f>
        <v>オープン・ザ・ロード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VLOOKUP(C219,skill_list!$B$7:$C$1020,2)</f>
        <v>仮面のワルツ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VLOOKUP(C222,skill_list!$B$7:$C$1020,2)</f>
        <v>神崎流忍術・散華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VLOOKUP(C224,skill_list!$B$7:$C$1020,2)</f>
        <v>とどけ！ 誓いのしるし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VLOOKUP(C225,skill_list!$B$7:$C$1020,2)</f>
        <v>青春色のシュプール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VLOOKUP(C227,skill_list!$B$7:$C$1020,2)</f>
        <v>フェリチータ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VLOOKUP(C228,skill_list!$B$7:$C$1020,2)</f>
        <v>天の慈悲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VLOOKUP(C229,skill_list!$B$7:$C$1020,2)</f>
        <v>トランスペイン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VLOOKUP(C232,skill_list!$B$7:$C$1020,2)</f>
        <v>追撃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VLOOKUP(C235,skill_list!$B$7:$C$1020,2)</f>
        <v>露わな鋒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VLOOKUP(C236,skill_list!$B$7:$C$1020,2)</f>
        <v>寝ても醒めても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VLOOKUP(C237,skill_list!$B$7:$C$1020,2)</f>
        <v>スパークル・トライショット+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VLOOKUP(C238,skill_list!$B$7:$C$1020,2)</f>
        <v>追撃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VLOOKUP(C244,skill_list!$B$7:$C$1020,2)</f>
        <v>別れの朝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VLOOKUP(C247,skill_list!$B$7:$C$1020,2)</f>
        <v>通常攻撃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VLOOKUP(C248,skill_list!$B$7:$C$1020,2)</f>
        <v>ヘヴンズビート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VLOOKUP(C251,skill_list!$B$7:$C$1020,2)</f>
        <v>神崎流忍術・氷塵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VLOOKUP(C252,skill_list!$B$7:$C$1020,2)</f>
        <v>決戦前夜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VLOOKUP(C253,skill_list!$B$7:$C$1020,2)</f>
        <v>バーストファイア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VLOOKUP(C254,skill_list!$B$7:$C$1020,2)</f>
        <v>必滅！ヴェインキック+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VLOOKUP(C261,skill_list!$B$7:$C$1020,2)</f>
        <v>淡雪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VLOOKUP(C266,skill_list!$B$7:$C$1020,2)</f>
        <v>インサイト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VLOOKUP(C268,skill_list!$B$7:$C$1020,2)</f>
        <v>純潔のパツィルーイ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VLOOKUP(C286,skill_list!$B$7:$C$1020,2)</f>
        <v>とある衝撃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VLOOKUP(C290,skill_list!$B$7:$C$1020,2)</f>
        <v>レディ・イン・ミラージュ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VLOOKUP(C302,skill_list!$B$7:$C$1020,2)</f>
        <v>ピクシースマイル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VLOOKUP(C303,skill_list!$B$7:$C$1020,2)</f>
        <v>ロリータフルバースト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VLOOKUP(C304,skill_list!$B$7:$C$1020,2)</f>
        <v>春の宵の塵に同じ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VLOOKUP(C305,skill_list!$B$7:$C$1020,2)</f>
        <v>豪快！パイレーツキャノン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VLOOKUP(C306,skill_list!$B$7:$C$1020,2)</f>
        <v>ヌラルジャ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zoomScale="85" zoomScaleNormal="85" workbookViewId="0">
      <pane ySplit="6" topLeftCell="A109" activePane="bottomLeft" state="frozen"/>
      <selection pane="bottomLeft" activeCell="F123" sqref="F123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フォーチュンスラッシュ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通常攻撃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通常攻撃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通常攻撃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ダウンビート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夢見る幻想覚醒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夢見る幻想覚醒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破滅でおやすみ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破滅でおやすみ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破滅でおやすみ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破滅でおやすみ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イチコロスマイル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イチコロスマイル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メイドの嗜み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大海原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大海原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高輝の燦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フィルリカバー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君に咲くグラナータ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にゃんこ大魔法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被害妄想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被害妄想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レッドオペレーション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レッドオペレーション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レッドオペレーション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カレイド・レインシャワー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カレイド・レインシャワー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ホーリーエンハンス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キルキルヒカル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キルキルヒカル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天変の相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バックラッシュ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バックラッシュ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光輝の夜明け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光輝の夜明け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誘掖の途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誘掖の途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ほてるししむら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ほてるししむら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爽籟に舞う仁慈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生存の業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ジーナーカーナー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ジーナーカーナー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夢視るデザイア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夢視るデザイア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イノセントワイルド+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デバノデバン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北風のスバル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北風のスバル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哀のスノードロップ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哀のスノードロップ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哀のスノードロップ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デヴォーション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アイドルスマイル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アイドルスマイル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アイドルスマイル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狂騒のヨスガ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狂騒のヨスガ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ファンタズム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ファンタズム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フロストソーン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トゥルー・アイシクル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ヴァンダリズム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ヴァンダリズム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コールドクラッシュ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コールドクラッシュ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追撃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追撃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御稲荷神話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夢の際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夢の際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黒曜のオーバーロード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奇跡の療術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ー◯◯◯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ー◯◯◯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メメント・モリ+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一途なスマイル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一途なスマイル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クレール・ド・リュンヌ+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クレール・ド・リュンヌ+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ひらり落桜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ひらり落桜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ひらり落桜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ひらり落桜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今宵、快楽ナイトメア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おしおき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螳螂之斧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シャインテラー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ヒロイックプラウド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奇跡の療術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コールドバレット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救済のレクイエム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御稲荷神話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デヴォーション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401</v>
      </c>
      <c r="D136" s="15">
        <v>25</v>
      </c>
      <c r="E136" s="15">
        <v>0</v>
      </c>
      <c r="F136" s="14" t="str">
        <f>VLOOKUP(C136,skill_list!B:C,2)</f>
        <v>朧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449</v>
      </c>
      <c r="D137" s="15">
        <v>26</v>
      </c>
      <c r="E137" s="15">
        <v>0</v>
      </c>
      <c r="F137" s="14" t="str">
        <f>VLOOKUP(C137,skill_list!B:C,2)</f>
        <v>夢の際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330</v>
      </c>
      <c r="D150" s="15">
        <v>0</v>
      </c>
      <c r="E150" s="15">
        <v>0</v>
      </c>
      <c r="F150" s="14" t="str">
        <f>VLOOKUP(C150,skill_list!B:C,2)</f>
        <v>負けるな、私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316</v>
      </c>
      <c r="D153" s="15">
        <v>0</v>
      </c>
      <c r="E153" s="15">
        <v>0</v>
      </c>
      <c r="F153" s="14" t="str">
        <f>VLOOKUP(C153,skill_list!B:C,2)</f>
        <v>カタストロフィー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414</v>
      </c>
      <c r="D164" s="15">
        <v>0</v>
      </c>
      <c r="E164" s="15">
        <v>0</v>
      </c>
      <c r="F164" s="14" t="str">
        <f>VLOOKUP(C164,skill_list!B:C,2)</f>
        <v>アバランチ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419</v>
      </c>
      <c r="D165" s="15">
        <v>0</v>
      </c>
      <c r="E165" s="15">
        <v>0</v>
      </c>
      <c r="F165" s="14" t="str">
        <f>VLOOKUP(C165,skill_list!B:C,2)</f>
        <v>リミット・インパクト+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474</v>
      </c>
      <c r="D166" s="15">
        <v>0</v>
      </c>
      <c r="E166" s="15">
        <v>0</v>
      </c>
      <c r="F166" s="14" t="str">
        <f>VLOOKUP(C166,skill_list!B:C,2)</f>
        <v>エレガンス・シェル+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367</v>
      </c>
      <c r="D167" s="15">
        <v>1</v>
      </c>
      <c r="E167" s="15">
        <v>4</v>
      </c>
      <c r="F167" s="14" t="str">
        <f>VLOOKUP(C167,skill_list!B:C,2)</f>
        <v>漆黒トランスサーブ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365</v>
      </c>
      <c r="D168" s="15">
        <v>1</v>
      </c>
      <c r="E168" s="15">
        <v>5</v>
      </c>
      <c r="F168" s="14" t="str">
        <f>VLOOKUP(C168,skill_list!B:C,2)</f>
        <v>ファイトパッション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326</v>
      </c>
      <c r="D169" s="15">
        <v>1</v>
      </c>
      <c r="E169" s="15">
        <v>2</v>
      </c>
      <c r="F169" s="14" t="str">
        <f>VLOOKUP(C169,skill_list!B:C,2)</f>
        <v>籠の鳥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360</v>
      </c>
      <c r="D170" s="15">
        <v>1</v>
      </c>
      <c r="E170" s="15">
        <v>5</v>
      </c>
      <c r="F170" s="14" t="str">
        <f>VLOOKUP(C170,skill_list!B:C,2)</f>
        <v>衝撃零度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333</v>
      </c>
      <c r="D173" s="15">
        <v>1</v>
      </c>
      <c r="E173" s="15">
        <v>5</v>
      </c>
      <c r="F173" s="14" t="str">
        <f>VLOOKUP(C173,skill_list!B:C,2)</f>
        <v>神崎流忍術・氷塵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398</v>
      </c>
      <c r="D174" s="15">
        <v>1</v>
      </c>
      <c r="E174" s="15">
        <v>3</v>
      </c>
      <c r="F174" s="14" t="str">
        <f>VLOOKUP(C174,skill_list!B:C,2)</f>
        <v>霓裳羽衣ノ舞・霹靂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406</v>
      </c>
      <c r="D175" s="15">
        <v>1</v>
      </c>
      <c r="E175" s="15">
        <v>2</v>
      </c>
      <c r="F175" s="14" t="str">
        <f>VLOOKUP(C175,skill_list!B:C,2)</f>
        <v>石塔の手筋+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453</v>
      </c>
      <c r="D176" s="15">
        <v>1</v>
      </c>
      <c r="E176" s="15">
        <v>3</v>
      </c>
      <c r="F176" s="14" t="str">
        <f>VLOOKUP(C176,skill_list!B:C,2)</f>
        <v>星火燎原+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457</v>
      </c>
      <c r="D177" s="15">
        <v>1</v>
      </c>
      <c r="E177" s="15">
        <v>5</v>
      </c>
      <c r="F177" s="14" t="str">
        <f>VLOOKUP(C177,skill_list!B:C,2)</f>
        <v>ウィッチ・オブ・カーマイン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308</v>
      </c>
      <c r="D178" s="15">
        <v>2</v>
      </c>
      <c r="E178" s="15">
        <v>0</v>
      </c>
      <c r="F178" s="14" t="str">
        <f>VLOOKUP(C178,skill_list!B:C,2)</f>
        <v>追撃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443</v>
      </c>
      <c r="D179" s="15">
        <v>2</v>
      </c>
      <c r="E179" s="15">
        <v>0</v>
      </c>
      <c r="F179" s="14" t="str">
        <f>VLOOKUP(C179,skill_list!B:C,2)</f>
        <v>通常攻撃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459</v>
      </c>
      <c r="D184" s="15">
        <v>3</v>
      </c>
      <c r="E184" s="15">
        <v>0</v>
      </c>
      <c r="F184" s="14" t="str">
        <f>VLOOKUP(C184,skill_list!B:C,2)</f>
        <v>三色団子乱れ撃ち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322</v>
      </c>
      <c r="D188" s="15">
        <v>4</v>
      </c>
      <c r="E188" s="15">
        <v>5</v>
      </c>
      <c r="F188" s="14" t="str">
        <f>VLOOKUP(C188,skill_list!B:C,2)</f>
        <v>決戦前夜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438</v>
      </c>
      <c r="D192" s="15">
        <v>4</v>
      </c>
      <c r="E192" s="15">
        <v>2</v>
      </c>
      <c r="F192" s="14" t="str">
        <f>VLOOKUP(C192,skill_list!B:C,2)</f>
        <v>フローズンタイム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404</v>
      </c>
      <c r="D195" s="15">
        <v>4</v>
      </c>
      <c r="E195" s="15">
        <v>3</v>
      </c>
      <c r="F195" s="14" t="str">
        <f>VLOOKUP(C195,skill_list!B:C,2)</f>
        <v>とある衝撃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468</v>
      </c>
      <c r="D196" s="15">
        <v>4</v>
      </c>
      <c r="E196" s="15">
        <v>5</v>
      </c>
      <c r="F196" s="14" t="str">
        <f>VLOOKUP(C196,skill_list!B:C,2)</f>
        <v>春の宵の塵に同じ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343</v>
      </c>
      <c r="D201" s="15">
        <v>5</v>
      </c>
      <c r="E201" s="15">
        <v>0</v>
      </c>
      <c r="F201" s="14" t="str">
        <f>VLOOKUP(C201,skill_list!B:C,2)</f>
        <v>天の慈悲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372</v>
      </c>
      <c r="D205" s="15">
        <v>6</v>
      </c>
      <c r="E205" s="15">
        <v>0</v>
      </c>
      <c r="F205" s="14" t="str">
        <f>VLOOKUP(C205,skill_list!B:C,2)</f>
        <v>シーサイドベルセルク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454</v>
      </c>
      <c r="D206" s="15">
        <v>6</v>
      </c>
      <c r="E206" s="15">
        <v>0</v>
      </c>
      <c r="F206" s="14" t="str">
        <f>VLOOKUP(C206,skill_list!B:C,2)</f>
        <v>絶対零度+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463</v>
      </c>
      <c r="D207" s="15">
        <v>6</v>
      </c>
      <c r="E207" s="15">
        <v>0</v>
      </c>
      <c r="F207" s="14" t="str">
        <f>VLOOKUP(C207,skill_list!B:C,2)</f>
        <v>スペシャルオーダー！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454</v>
      </c>
      <c r="D209" s="15">
        <v>7</v>
      </c>
      <c r="E209" s="15">
        <v>0</v>
      </c>
      <c r="F209" s="14" t="str">
        <f>VLOOKUP(C209,skill_list!B:C,2)</f>
        <v>絶対零度+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474</v>
      </c>
      <c r="D210" s="15">
        <v>7</v>
      </c>
      <c r="E210" s="15">
        <v>0</v>
      </c>
      <c r="F210" s="14" t="str">
        <f>VLOOKUP(C210,skill_list!B:C,2)</f>
        <v>エレガンス・シェル+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372</v>
      </c>
      <c r="D211" s="15">
        <v>10</v>
      </c>
      <c r="E211" s="15">
        <v>0</v>
      </c>
      <c r="F211" s="14" t="str">
        <f>VLOOKUP(C211,skill_list!B:C,2)</f>
        <v>シーサイドベルセルク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340</v>
      </c>
      <c r="D213" s="15">
        <v>10</v>
      </c>
      <c r="E213" s="15">
        <v>0</v>
      </c>
      <c r="F213" s="14" t="str">
        <f>VLOOKUP(C213,skill_list!B:C,2)</f>
        <v>最凶のおもてなし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470</v>
      </c>
      <c r="D214" s="15">
        <v>10</v>
      </c>
      <c r="E214" s="15">
        <v>0</v>
      </c>
      <c r="F214" s="14" t="str">
        <f>VLOOKUP(C214,skill_list!B:C,2)</f>
        <v>氷華、千射万箭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315</v>
      </c>
      <c r="D218" s="15">
        <v>12</v>
      </c>
      <c r="E218" s="15">
        <v>0</v>
      </c>
      <c r="F218" s="14" t="str">
        <f>VLOOKUP(C218,skill_list!B:C,2)</f>
        <v>バーストファイア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374</v>
      </c>
      <c r="D223" s="15">
        <v>15</v>
      </c>
      <c r="E223" s="15">
        <v>0</v>
      </c>
      <c r="F223" s="14" t="str">
        <f>VLOOKUP(C223,skill_list!B:C,2)</f>
        <v>レディ・イン・ミラージュ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411</v>
      </c>
      <c r="D225" s="15">
        <v>15</v>
      </c>
      <c r="E225" s="15">
        <v>0</v>
      </c>
      <c r="F225" s="14" t="str">
        <f>VLOOKUP(C225,skill_list!B:C,2)</f>
        <v>純潔のパツィルーイ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325</v>
      </c>
      <c r="D226" s="15">
        <v>16</v>
      </c>
      <c r="E226" s="15">
        <v>0</v>
      </c>
      <c r="F226" s="14" t="str">
        <f>VLOOKUP(C226,skill_list!B:C,2)</f>
        <v>快感・スプリント！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378</v>
      </c>
      <c r="D227" s="15">
        <v>16</v>
      </c>
      <c r="E227" s="15">
        <v>0</v>
      </c>
      <c r="F227" s="14" t="str">
        <f>VLOOKUP(C227,skill_list!B:C,2)</f>
        <v>冀望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419</v>
      </c>
      <c r="D228" s="15">
        <v>16</v>
      </c>
      <c r="E228" s="15">
        <v>0</v>
      </c>
      <c r="F228" s="14" t="str">
        <f>VLOOKUP(C228,skill_list!B:C,2)</f>
        <v>リミット・インパクト+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316</v>
      </c>
      <c r="D237" s="15">
        <v>24</v>
      </c>
      <c r="E237" s="15">
        <v>0</v>
      </c>
      <c r="F237" s="14" t="str">
        <f>VLOOKUP(C237,skill_list!B:C,2)</f>
        <v>カタストロフィー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465</v>
      </c>
      <c r="D238" s="15">
        <v>24</v>
      </c>
      <c r="E238" s="15">
        <v>0</v>
      </c>
      <c r="F238" s="14" t="str">
        <f>VLOOKUP(C238,skill_list!B:C,2)</f>
        <v>ピクシースマイル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320</v>
      </c>
      <c r="D245" s="15">
        <v>25</v>
      </c>
      <c r="E245" s="15">
        <v>0</v>
      </c>
      <c r="F245" s="14" t="str">
        <f>VLOOKUP(C245,skill_list!B:C,2)</f>
        <v>ブレイクミュート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335</v>
      </c>
      <c r="D246" s="15">
        <v>25</v>
      </c>
      <c r="E246" s="15">
        <v>0</v>
      </c>
      <c r="F246" s="14" t="str">
        <f>VLOOKUP(C246,skill_list!B:C,2)</f>
        <v>ルーイン・イリュージョン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352</v>
      </c>
      <c r="D247" s="15">
        <v>25</v>
      </c>
      <c r="E247" s="15">
        <v>0</v>
      </c>
      <c r="F247" s="14" t="str">
        <f>VLOOKUP(C247,skill_list!B:C,2)</f>
        <v>狂気乱舞のカーリー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428</v>
      </c>
      <c r="D248" s="15">
        <v>25</v>
      </c>
      <c r="E248" s="15">
        <v>0</v>
      </c>
      <c r="F248" s="14" t="str">
        <f>VLOOKUP(C248,skill_list!B:C,2)</f>
        <v>グッナイ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453</v>
      </c>
      <c r="D249" s="15">
        <v>25</v>
      </c>
      <c r="E249" s="15">
        <v>0</v>
      </c>
      <c r="F249" s="14" t="str">
        <f>VLOOKUP(C249,skill_list!B:C,2)</f>
        <v>星火燎原+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340</v>
      </c>
      <c r="D253" s="15">
        <v>26</v>
      </c>
      <c r="E253" s="15">
        <v>0</v>
      </c>
      <c r="F253" s="14" t="str">
        <f>VLOOKUP(C253,skill_list!B:C,2)</f>
        <v>最凶のおもてなし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365</v>
      </c>
      <c r="D254" s="15">
        <v>26</v>
      </c>
      <c r="E254" s="15">
        <v>0</v>
      </c>
      <c r="F254" s="14" t="str">
        <f>VLOOKUP(C254,skill_list!B:C,2)</f>
        <v>ファイトパッション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374</v>
      </c>
      <c r="D255" s="15">
        <v>26</v>
      </c>
      <c r="E255" s="15">
        <v>0</v>
      </c>
      <c r="F255" s="14" t="str">
        <f>VLOOKUP(C255,skill_list!B:C,2)</f>
        <v>レディ・イン・ミラージュ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398</v>
      </c>
      <c r="D256" s="15">
        <v>26</v>
      </c>
      <c r="E256" s="15">
        <v>0</v>
      </c>
      <c r="F256" s="14" t="str">
        <f>VLOOKUP(C256,skill_list!B:C,2)</f>
        <v>霓裳羽衣ノ舞・霹靂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463</v>
      </c>
      <c r="D257" s="15">
        <v>26</v>
      </c>
      <c r="E257" s="15">
        <v>0</v>
      </c>
      <c r="F257" s="14" t="str">
        <f>VLOOKUP(C257,skill_list!B:C,2)</f>
        <v>スペシャルオーダー！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F34" sqref="F34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  <row r="32" spans="1:6">
      <c r="A32" s="8"/>
      <c r="B32" s="15">
        <v>25</v>
      </c>
      <c r="C32" s="15">
        <v>3</v>
      </c>
      <c r="D32" s="15">
        <v>4</v>
      </c>
      <c r="F32" t="s">
        <v>1903</v>
      </c>
    </row>
    <row r="33" spans="1:6">
      <c r="A33" s="8"/>
      <c r="B33" s="15">
        <v>26</v>
      </c>
      <c r="C33" s="15">
        <v>0</v>
      </c>
      <c r="D33" s="15">
        <v>0</v>
      </c>
      <c r="F33" t="s">
        <v>1904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0" sqref="G9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1901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2024-06-09T17:41:56Z</dcterms:modified>
</cp:coreProperties>
</file>