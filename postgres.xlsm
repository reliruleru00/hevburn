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B6AE6BA4-D576-4CDF-AC3F-CCAB9E61ED37}" xr6:coauthVersionLast="47" xr6:coauthVersionMax="47" xr10:uidLastSave="{00000000-0000-0000-0000-000000000000}"/>
  <bookViews>
    <workbookView xWindow="28680" yWindow="-120" windowWidth="29040" windowHeight="15840" firstSheet="3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skill_buff!$B$6:$Q$310</definedName>
    <definedName name="_xlnm._FilterDatabase" localSheetId="7" hidden="1">skill_list!$B$6:$J$519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1" i="59" l="1"/>
  <c r="F246" i="59"/>
  <c r="F209" i="59"/>
  <c r="F165" i="59"/>
  <c r="F164" i="59"/>
  <c r="F282" i="59"/>
  <c r="F227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8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81" i="59"/>
  <c r="F280" i="59"/>
  <c r="F145" i="59"/>
  <c r="F279" i="59"/>
  <c r="F278" i="59"/>
  <c r="F277" i="59"/>
  <c r="F276" i="59"/>
  <c r="F275" i="59"/>
  <c r="F274" i="59"/>
  <c r="F273" i="59"/>
  <c r="F272" i="59"/>
  <c r="F271" i="59"/>
  <c r="F270" i="59"/>
  <c r="F269" i="59"/>
  <c r="F268" i="59"/>
  <c r="F267" i="59"/>
  <c r="F266" i="59"/>
  <c r="F310" i="59"/>
  <c r="F143" i="59"/>
  <c r="F144" i="59"/>
  <c r="F142" i="59"/>
  <c r="F309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7" i="59"/>
  <c r="F306" i="59"/>
  <c r="F305" i="59"/>
  <c r="F304" i="59"/>
  <c r="F303" i="59"/>
  <c r="F302" i="59"/>
  <c r="F301" i="59"/>
  <c r="F300" i="59"/>
  <c r="F299" i="59"/>
  <c r="F292" i="59"/>
  <c r="F298" i="59"/>
  <c r="F297" i="59"/>
  <c r="F296" i="59"/>
  <c r="F295" i="59"/>
  <c r="F294" i="59"/>
  <c r="F293" i="59"/>
  <c r="F291" i="59"/>
  <c r="F136" i="59"/>
  <c r="F135" i="59"/>
  <c r="F290" i="59"/>
  <c r="F289" i="59"/>
  <c r="F241" i="59"/>
  <c r="F193" i="59"/>
  <c r="D318" i="58"/>
  <c r="D139" i="58"/>
  <c r="D319" i="58"/>
  <c r="D137" i="58"/>
  <c r="D136" i="58"/>
  <c r="D135" i="58"/>
  <c r="F288" i="59"/>
  <c r="F287" i="59"/>
  <c r="F286" i="59"/>
  <c r="F285" i="59"/>
  <c r="F284" i="59"/>
  <c r="F130" i="59"/>
  <c r="F131" i="59"/>
  <c r="F132" i="59"/>
  <c r="F283" i="59"/>
  <c r="F133" i="59"/>
  <c r="F134" i="59"/>
  <c r="F129" i="59"/>
  <c r="F252" i="59"/>
  <c r="A1" i="60"/>
  <c r="F265" i="59"/>
  <c r="F264" i="59"/>
  <c r="F263" i="59"/>
  <c r="F262" i="59"/>
  <c r="F260" i="59"/>
  <c r="F259" i="59"/>
  <c r="F258" i="59"/>
  <c r="F257" i="59"/>
  <c r="F256" i="59"/>
  <c r="F255" i="59"/>
  <c r="F254" i="59"/>
  <c r="F253" i="59"/>
  <c r="F251" i="59"/>
  <c r="F250" i="59"/>
  <c r="F249" i="59"/>
  <c r="F248" i="59"/>
  <c r="F247" i="59"/>
  <c r="F245" i="59"/>
  <c r="F244" i="59"/>
  <c r="F243" i="59"/>
  <c r="F242" i="59"/>
  <c r="F240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6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<sst xmlns="http://schemas.openxmlformats.org/spreadsheetml/2006/main" count="3763" uniqueCount="2171">
  <si>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</si>
  <si>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</si>
  <si>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</si>
  <si>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</si>
  <si>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</si>
  <si>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</si>
  <si>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</si>
  <si>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</si>
  <si>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</si>
  <si>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</si>
  <si>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</si>
  <si>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</si>
  <si>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</si>
  <si>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</si>
  <si>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</si>
  <si>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</si>
  <si>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</si>
  <si>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</si>
  <si>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</si>
  <si>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</si>
  <si>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</si>
  <si>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</si>
  <si>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</si>
  <si>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</si>
  <si>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</si>
  <si>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</si>
  <si>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</si>
  <si>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</si>
  <si>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</si>
  <si>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</si>
  <si>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</si>
  <si>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</si>
  <si>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</si>
  <si>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</si>
  <si>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</si>
  <si>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</si>
  <si>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</si>
  <si>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</si>
  <si>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</si>
  <si>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</si>
  <si>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</si>
  <si>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</si>
  <si>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</si>
  <si>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</si>
  <si>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</si>
  <si>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</si>
  <si>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</si>
  <si>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</si>
  <si>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</si>
  <si>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</si>
  <si>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</si>
  <si>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</si>
  <si>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</si>
  <si>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</si>
  <si>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</si>
  <si>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</si>
  <si>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</si>
  <si>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</si>
  <si>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</si>
  <si>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</si>
  <si>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</si>
  <si>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</si>
  <si>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</si>
  <si>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</si>
  <si>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</si>
  <si>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</si>
  <si>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</si>
  <si>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</si>
  <si>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</si>
  <si>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</si>
  <si>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</si>
  <si>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</si>
  <si>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</si>
  <si>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</si>
  <si>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</si>
  <si>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</si>
  <si>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</si>
  <si>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</si>
  <si>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</si>
  <si>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</si>
  <si>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</si>
  <si>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</si>
  <si>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</si>
  <si>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</si>
  <si>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</si>
  <si>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</si>
  <si>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</si>
  <si>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</si>
  <si>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</si>
  <si>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</si>
  <si>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</si>
  <si>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</si>
  <si>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</si>
  <si>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</si>
  <si>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</si>
  <si>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</si>
  <si>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</si>
  <si>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</si>
  <si>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</si>
  <si>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</si>
  <si>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</si>
  <si>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</si>
  <si>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</si>
  <si>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</si>
  <si>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</si>
  <si>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</si>
  <si>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</si>
  <si>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</si>
  <si>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</si>
  <si>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</si>
  <si>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</si>
  <si>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</si>
  <si>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</si>
  <si>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</si>
  <si>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</si>
  <si>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</si>
  <si>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</si>
  <si>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</si>
  <si>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</si>
  <si>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</si>
  <si>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</si>
  <si>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</si>
  <si>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</si>
  <si>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</si>
  <si>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</si>
  <si>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</si>
  <si>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</si>
  <si>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</si>
  <si>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</si>
  <si>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</si>
  <si>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</si>
  <si>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</si>
  <si>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</si>
  <si>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</si>
  <si>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</si>
  <si>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</si>
  <si>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</si>
  <si>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</si>
  <si>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</si>
  <si>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</si>
  <si>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</si>
  <si>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</si>
  <si>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</si>
  <si>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</si>
  <si>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</si>
  <si>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</si>
  <si>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</si>
  <si>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</si>
  <si>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</si>
  <si>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</si>
  <si>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</si>
  <si>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</si>
  <si>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</si>
  <si>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</si>
  <si>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</si>
  <si>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</si>
  <si>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</si>
  <si>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</si>
  <si>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</si>
  <si>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</si>
  <si>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</si>
  <si>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</si>
  <si>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</si>
  <si>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</si>
  <si>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</si>
  <si>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</si>
  <si>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</si>
  <si>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</si>
  <si>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</si>
  <si>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</si>
  <si>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</si>
  <si>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</si>
  <si>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</si>
  <si>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</si>
  <si>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</si>
  <si>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</si>
  <si>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</si>
  <si>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</si>
  <si>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</si>
  <si>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</si>
  <si>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</si>
  <si>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</si>
  <si>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</si>
  <si>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</si>
  <si>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</si>
  <si>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</si>
  <si>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</si>
  <si>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</si>
  <si>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</si>
  <si>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</si>
  <si>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</si>
  <si>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</si>
  <si>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</si>
  <si>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</si>
  <si>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</si>
  <si>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</si>
  <si>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</si>
  <si>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</si>
  <si>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</si>
  <si>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</si>
  <si>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</si>
  <si>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</si>
  <si>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</si>
  <si>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</si>
  <si>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</si>
  <si>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</si>
  <si>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</si>
  <si>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</si>
  <si>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</si>
  <si>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</si>
  <si>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</si>
  <si>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</si>
  <si>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</si>
  <si>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</si>
  <si>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</si>
  <si>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</si>
  <si>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</si>
  <si>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</si>
  <si>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</si>
  <si>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</si>
  <si>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</si>
  <si>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</si>
  <si>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</si>
  <si>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</si>
  <si>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</si>
  <si>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</si>
  <si>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</si>
  <si>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</si>
  <si>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</si>
  <si>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</si>
  <si>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</si>
  <si>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</si>
  <si>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</si>
  <si>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</si>
  <si>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</si>
  <si>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</si>
  <si>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</si>
  <si>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</si>
  <si>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</si>
  <si>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</si>
  <si>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</si>
  <si>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</si>
  <si>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</si>
  <si>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</si>
  <si>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</si>
  <si>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</si>
  <si>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</si>
  <si>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</si>
  <si>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</si>
  <si>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</si>
  <si>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</si>
  <si>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</si>
  <si>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</si>
  <si>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</si>
  <si>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</si>
  <si>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</si>
  <si>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</si>
  <si>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</si>
  <si>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</si>
  <si>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</si>
  <si>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</si>
  <si>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</si>
  <si>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</si>
  <si>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</si>
  <si>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</si>
  <si>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</si>
  <si>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</si>
  <si>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</si>
  <si>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</si>
  <si>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</si>
  <si>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</si>
  <si>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</si>
  <si>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</si>
  <si>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</si>
  <si>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</si>
  <si>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</si>
  <si>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</si>
  <si>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</si>
  <si>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</si>
  <si>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</si>
  <si>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</si>
  <si>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</si>
  <si>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</si>
  <si>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</si>
  <si>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</si>
  <si>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</si>
  <si>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</si>
  <si>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</si>
  <si>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</si>
  <si>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</si>
  <si>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</si>
  <si>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</si>
  <si>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</si>
  <si>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</si>
  <si>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</si>
  <si>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</si>
  <si>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</si>
  <si>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</si>
  <si>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</si>
  <si>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</si>
  <si>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</si>
  <si>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</si>
  <si>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</si>
  <si>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</si>
  <si>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</si>
  <si>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</si>
  <si>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</si>
  <si>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</si>
  <si>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</si>
  <si>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</si>
  <si>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</si>
  <si>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</si>
  <si>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</si>
  <si>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</si>
  <si>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</si>
  <si>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</si>
  <si>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</si>
  <si>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</si>
  <si>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</si>
  <si>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</si>
  <si>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</si>
  <si>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</si>
  <si>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</si>
  <si>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</si>
  <si>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</si>
  <si>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</si>
  <si>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</si>
  <si>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</si>
  <si>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</si>
  <si>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</si>
  <si>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</si>
  <si>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</si>
  <si>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</si>
  <si>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</si>
  <si>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</si>
  <si>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</si>
  <si>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</si>
  <si>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</si>
  <si>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</si>
  <si>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</si>
  <si>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</si>
  <si>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</si>
  <si>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</si>
  <si>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</si>
  <si>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</si>
  <si>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</si>
  <si>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</si>
  <si>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</si>
  <si>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</si>
  <si>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</si>
  <si>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</si>
  <si>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</si>
  <si>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</si>
  <si>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</si>
  <si>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</si>
  <si>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</si>
  <si>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</si>
  <si>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</si>
  <si>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</si>
  <si>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</si>
  <si>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</si>
  <si>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</si>
  <si>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</si>
  <si>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</si>
  <si>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</si>
  <si>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</si>
  <si>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</si>
  <si>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</si>
  <si>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</si>
  <si>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</si>
  <si>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</si>
  <si>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</si>
  <si>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</si>
  <si>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</si>
  <si>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</si>
  <si>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</si>
  <si>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</si>
  <si>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</si>
  <si>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</si>
  <si>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</si>
  <si>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</si>
  <si>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</si>
  <si>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</si>
  <si>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</si>
  <si>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</si>
  <si>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</si>
  <si>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</si>
  <si>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</si>
  <si>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</si>
  <si>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</si>
  <si>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</si>
  <si>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</si>
  <si>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</si>
  <si>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</si>
  <si>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</si>
  <si>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</si>
  <si>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</si>
  <si>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</si>
  <si>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</si>
  <si>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</si>
  <si>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</si>
  <si>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</si>
  <si>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</si>
  <si>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</si>
  <si>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</si>
  <si>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</si>
  <si>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</si>
  <si>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</si>
  <si>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</si>
  <si>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</si>
  <si>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</si>
  <si>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</si>
  <si>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</si>
  <si>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</si>
  <si>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</si>
  <si>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</si>
  <si>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</si>
  <si>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</si>
  <si>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</si>
  <si>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</si>
  <si>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</si>
  <si>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</si>
  <si>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</si>
  <si>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</si>
  <si>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</si>
  <si>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</si>
  <si>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</si>
  <si>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</si>
  <si>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</si>
  <si>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</si>
  <si>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</si>
  <si>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</si>
  <si>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</si>
  <si>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</si>
  <si>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</si>
  <si>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</si>
  <si>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</si>
  <si>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</si>
  <si>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</si>
  <si>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</si>
  <si>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</si>
  <si>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</si>
  <si>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</si>
  <si>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</si>
  <si>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</si>
  <si>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</si>
  <si>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</si>
  <si>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</si>
  <si>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</si>
  <si>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</si>
  <si>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</si>
  <si>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</si>
  <si>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</si>
  <si>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</si>
  <si>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</si>
  <si>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</si>
  <si>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</si>
  <si>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</si>
  <si>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</si>
  <si>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</si>
  <si>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</si>
  <si>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</si>
  <si>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</si>
  <si>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</si>
  <si>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</si>
  <si>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</si>
  <si>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</si>
  <si>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</si>
  <si>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</si>
  <si>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</si>
  <si>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</si>
  <si>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</si>
  <si>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</si>
  <si>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</si>
  <si>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</si>
  <si>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</si>
  <si>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</si>
  <si>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</si>
  <si>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</si>
  <si>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</si>
  <si>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</si>
  <si>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</si>
  <si>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</si>
  <si>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</si>
  <si>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</si>
  <si>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</si>
  <si>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</si>
  <si>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</si>
  <si>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</si>
  <si>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</si>
  <si>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</si>
  <si>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</si>
  <si>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</si>
  <si>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</si>
  <si>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</si>
  <si>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</si>
  <si>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</si>
  <si>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</si>
  <si>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</si>
  <si>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</si>
  <si>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</si>
  <si>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</si>
  <si>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</si>
  <si>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</si>
  <si>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</si>
  <si>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</si>
  <si>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</si>
  <si>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</si>
  <si>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</si>
  <si>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</si>
  <si>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</si>
  <si>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</si>
  <si>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</si>
  <si>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</si>
  <si>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</si>
  <si>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</si>
  <si>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</si>
  <si>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</si>
  <si>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</si>
  <si>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</si>
  <si>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</si>
  <si>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</si>
  <si>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</si>
  <si>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</si>
  <si>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</si>
  <si>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</si>
  <si>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</si>
  <si>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</si>
  <si>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</si>
  <si>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</si>
  <si>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</si>
  <si>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</si>
  <si>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</si>
  <si>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</si>
  <si>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</si>
  <si>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</si>
  <si>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</si>
  <si>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</si>
  <si>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</si>
  <si>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</si>
  <si>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</si>
  <si>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</si>
  <si>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</si>
  <si>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</si>
  <si>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</si>
  <si>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</si>
  <si>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</si>
  <si>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</si>
  <si>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</si>
  <si>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</si>
  <si>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</si>
  <si>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</si>
  <si>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</si>
  <si>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</si>
  <si>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</si>
  <si>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</si>
  <si>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</si>
  <si>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</si>
  <si>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</si>
  <si>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</si>
  <si>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</si>
  <si>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</si>
  <si>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</si>
  <si>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</si>
  <si>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</si>
  <si>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</si>
  <si>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</si>
  <si>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</si>
  <si>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</si>
  <si>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</si>
  <si>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</si>
  <si>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</si>
  <si>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</si>
  <si>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</si>
  <si>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</si>
  <si>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</si>
  <si>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</si>
  <si>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</si>
  <si>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</si>
  <si>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</si>
  <si>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</si>
  <si>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</si>
  <si>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</si>
  <si>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</si>
  <si>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</si>
  <si>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</si>
  <si>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</si>
  <si>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</si>
  <si>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</si>
  <si>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</si>
  <si>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</si>
  <si>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</si>
  <si>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</si>
  <si>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</si>
  <si>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</si>
  <si>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</si>
  <si>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</si>
  <si>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</si>
  <si>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</si>
  <si>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</si>
  <si>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</si>
  <si>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</si>
  <si>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</si>
  <si>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</si>
  <si>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</si>
  <si>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</si>
  <si>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</si>
  <si>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</si>
  <si>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</si>
  <si>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</si>
  <si>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</si>
  <si>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</si>
  <si>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</si>
  <si>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</si>
  <si>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</si>
  <si>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</si>
  <si>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</si>
  <si>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</si>
  <si>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</si>
  <si>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</si>
  <si>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</si>
  <si>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</si>
  <si>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</si>
  <si>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</si>
  <si>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</si>
  <si>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</si>
  <si>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</si>
  <si>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</si>
  <si>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</si>
  <si>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</si>
  <si>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</si>
  <si>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</si>
  <si>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</si>
  <si>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</si>
  <si>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</si>
  <si>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</si>
  <si>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</si>
  <si>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</si>
  <si>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</si>
  <si>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</si>
  <si>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</si>
  <si>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</si>
  <si>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</si>
  <si>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</si>
  <si>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</si>
  <si>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</si>
  <si>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</si>
  <si>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</si>
  <si>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</si>
  <si>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</si>
  <si>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</si>
  <si>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</si>
  <si>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</si>
  <si>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</si>
  <si>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</si>
  <si>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</si>
  <si>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</si>
  <si>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</si>
  <si>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</si>
  <si>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</si>
  <si>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</si>
  <si>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</si>
  <si>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</si>
  <si>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</si>
  <si>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</si>
  <si>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</si>
  <si>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</si>
  <si>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</si>
  <si>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</si>
  <si>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</si>
  <si>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</si>
  <si>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</si>
  <si>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</si>
  <si>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</si>
  <si>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</si>
  <si>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</si>
  <si>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</si>
  <si>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</si>
  <si>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</si>
  <si>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</si>
  <si>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</si>
  <si>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</si>
  <si>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</si>
  <si>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</si>
  <si>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</si>
  <si>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</si>
  <si>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</si>
  <si>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</si>
  <si>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</si>
  <si>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</si>
  <si>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</si>
  <si>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</si>
  <si>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</si>
  <si>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</si>
  <si>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</si>
  <si>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</si>
  <si>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</si>
  <si>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</si>
  <si>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</si>
  <si>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</si>
  <si>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</si>
  <si>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</si>
  <si>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</si>
  <si>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</si>
  <si>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</si>
  <si>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</si>
  <si>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</si>
  <si>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</si>
  <si>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</si>
  <si>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</si>
  <si>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</si>
  <si>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</si>
  <si>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</si>
  <si>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</si>
  <si>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</si>
  <si>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</si>
  <si>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</si>
  <si>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</si>
  <si>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</si>
  <si>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</si>
  <si>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</si>
  <si>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</si>
  <si>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</si>
  <si>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</si>
  <si>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</si>
  <si>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</si>
  <si>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</si>
  <si>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</si>
  <si>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</si>
  <si>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</si>
  <si>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</si>
  <si>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</si>
  <si>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</si>
  <si>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</si>
  <si>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</si>
  <si>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</si>
  <si>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</si>
  <si>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</si>
  <si>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</si>
  <si>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</si>
  <si>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</si>
  <si>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</si>
  <si>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</si>
  <si>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</si>
  <si>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</si>
  <si>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</si>
  <si>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</si>
  <si>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</si>
  <si>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</si>
  <si>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</si>
  <si>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</si>
  <si>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</si>
  <si>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</si>
  <si>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</si>
  <si>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</si>
  <si>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</si>
  <si>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</si>
  <si>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</si>
  <si>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</si>
  <si>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</si>
  <si>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</si>
  <si>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</si>
  <si>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</si>
  <si>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</si>
  <si>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</si>
  <si>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</si>
  <si>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</si>
  <si>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</si>
  <si>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</si>
  <si>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</si>
  <si>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</si>
  <si>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</si>
  <si>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</si>
  <si>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</si>
  <si>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</si>
  <si>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</si>
  <si>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</si>
  <si>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</si>
  <si>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</si>
  <si>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</si>
  <si>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</si>
  <si>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</si>
  <si>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</si>
  <si>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</si>
  <si>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</si>
  <si>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</si>
  <si>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</si>
  <si>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</si>
  <si>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</si>
  <si>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</si>
  <si>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</si>
  <si>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</si>
  <si>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</si>
  <si>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</si>
  <si>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</si>
  <si>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</si>
  <si>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</si>
  <si>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</si>
  <si>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</si>
  <si>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</si>
  <si>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</si>
  <si>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</si>
  <si>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</si>
  <si>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</si>
  <si>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</si>
  <si>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</si>
  <si>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</si>
  <si>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</si>
  <si>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</si>
  <si>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</si>
  <si>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</si>
  <si>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</si>
  <si>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</si>
  <si>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</si>
  <si>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</si>
  <si>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</si>
  <si>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</si>
  <si>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</si>
  <si>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</si>
  <si>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</si>
  <si>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</si>
  <si>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</si>
  <si>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</si>
  <si>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</si>
  <si>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</si>
  <si>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</si>
  <si>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</si>
  <si>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</si>
  <si>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</si>
  <si>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</si>
  <si>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</si>
  <si>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</si>
  <si>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</si>
  <si>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</si>
  <si>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</si>
  <si>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</si>
  <si>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</si>
  <si>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</si>
  <si>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</si>
  <si>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</si>
  <si>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</si>
  <si>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</si>
  <si>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</si>
  <si>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</si>
  <si>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</si>
  <si>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</si>
  <si>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</si>
  <si>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</si>
  <si>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</si>
  <si>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</si>
  <si>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</si>
  <si>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</si>
  <si>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</si>
  <si>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</si>
  <si>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</si>
  <si>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</si>
  <si>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</si>
  <si>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</si>
  <si>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</si>
  <si>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</si>
  <si>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</si>
  <si>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</si>
  <si>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</si>
  <si>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</si>
  <si>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</si>
  <si>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</si>
  <si>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</si>
  <si>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</si>
  <si>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</si>
  <si>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</si>
  <si>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</si>
  <si>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</si>
  <si>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</si>
  <si>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</si>
  <si>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</si>
  <si>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</si>
  <si>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</si>
  <si>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</si>
  <si>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</si>
  <si>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</si>
  <si>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</si>
  <si>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</si>
  <si>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</si>
  <si>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</si>
  <si>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</si>
  <si>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</si>
  <si>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</si>
  <si>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</si>
  <si>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</si>
  <si>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</si>
  <si>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</si>
  <si>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</si>
  <si>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</si>
  <si>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</si>
  <si>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</si>
  <si>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</si>
  <si>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</si>
  <si>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</si>
  <si>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</si>
  <si>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</si>
  <si>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</si>
  <si>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</si>
  <si>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</si>
  <si>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</si>
  <si>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</si>
  <si>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</si>
  <si>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</si>
  <si>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</si>
  <si>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</si>
  <si>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</si>
  <si>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</si>
  <si>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</si>
  <si>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</si>
  <si>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</si>
  <si>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</si>
  <si>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</si>
  <si>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</si>
  <si>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</si>
  <si>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</si>
  <si>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</si>
  <si>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</si>
  <si>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</si>
  <si>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</si>
  <si>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</si>
  <si>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</si>
  <si>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</si>
  <si>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</si>
  <si>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</si>
  <si>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</si>
  <si>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</si>
  <si>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</si>
  <si>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</si>
  <si>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</si>
  <si>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</si>
  <si>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</si>
  <si>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</si>
  <si>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</si>
  <si>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</si>
  <si>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</si>
  <si>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</si>
  <si>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</si>
  <si>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</si>
  <si>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</si>
  <si>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</si>
  <si>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</si>
  <si>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</si>
  <si>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</si>
  <si>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</si>
  <si>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</si>
  <si>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</si>
  <si>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</si>
  <si>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</si>
  <si>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</si>
  <si>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</si>
  <si>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</si>
  <si>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</si>
  <si>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</si>
  <si>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</si>
  <si>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</si>
  <si>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</si>
  <si>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</si>
  <si>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</si>
  <si>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</si>
  <si>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</si>
  <si>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</si>
  <si>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</si>
  <si>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</si>
  <si>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</si>
  <si>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</si>
  <si>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</si>
  <si>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</si>
  <si>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</si>
  <si>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</si>
  <si>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</si>
  <si>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</si>
  <si>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</si>
  <si>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</si>
  <si>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</si>
  <si>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</si>
  <si>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</si>
  <si>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</si>
  <si>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</si>
  <si>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</si>
  <si>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</si>
  <si>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</si>
  <si>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</si>
  <si>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</si>
  <si>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</si>
  <si>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</si>
  <si>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</si>
  <si>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</si>
  <si>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</si>
  <si>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</si>
  <si>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</si>
  <si>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</si>
  <si>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</si>
  <si>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</si>
  <si>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</si>
  <si>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</si>
  <si>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</si>
  <si>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</si>
  <si>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</si>
  <si>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</si>
  <si>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</si>
  <si>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</si>
  <si>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</si>
  <si>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</si>
  <si>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</si>
  <si>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</si>
  <si>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</si>
  <si>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</si>
  <si>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</si>
  <si>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</si>
  <si>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</si>
  <si>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</si>
  <si>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</si>
  <si>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</si>
  <si>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</si>
  <si>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</si>
  <si>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</si>
  <si>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</si>
  <si>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</si>
  <si>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</si>
  <si>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</si>
  <si>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</si>
  <si>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</si>
  <si>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</si>
  <si>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</si>
  <si>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</si>
  <si>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</si>
  <si>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</si>
  <si>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</si>
  <si>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</si>
  <si>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</si>
  <si>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</si>
  <si>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</si>
  <si>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</si>
  <si>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</si>
  <si>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</si>
  <si>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</si>
  <si>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</si>
  <si>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</si>
  <si>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</si>
  <si>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</si>
  <si>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</si>
  <si>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</si>
  <si>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</si>
  <si>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</si>
  <si>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</si>
  <si>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</si>
  <si>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</si>
  <si>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</si>
  <si>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</si>
  <si>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</si>
  <si>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</si>
  <si>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</si>
  <si>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</si>
  <si>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</si>
  <si>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</si>
  <si>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</si>
  <si>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</si>
  <si>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</si>
  <si>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</si>
  <si>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</si>
  <si>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</si>
  <si>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</si>
  <si>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</si>
  <si>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</si>
  <si>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</si>
  <si>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</si>
  <si>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</si>
  <si>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</si>
  <si>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</si>
  <si>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</si>
  <si>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</si>
  <si>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</si>
  <si>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</si>
  <si>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</si>
  <si>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</si>
  <si>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</si>
  <si>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</si>
  <si>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</si>
  <si>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</si>
  <si>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</si>
  <si>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</si>
  <si>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</si>
  <si>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</si>
  <si>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</si>
  <si>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</si>
  <si>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</si>
  <si>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</si>
  <si>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</si>
  <si>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</si>
  <si>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</si>
  <si>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</si>
  <si>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</si>
  <si>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</si>
  <si>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</si>
  <si>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</si>
  <si>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</si>
  <si>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</si>
  <si>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</si>
  <si>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</si>
  <si>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</si>
  <si>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</si>
  <si>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</si>
  <si>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</si>
  <si>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</si>
  <si>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</si>
  <si>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</si>
  <si>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</si>
  <si>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</si>
  <si>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</si>
  <si>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</si>
  <si>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</si>
  <si>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</si>
  <si>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</si>
  <si>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</si>
  <si>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</si>
  <si>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</si>
  <si>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</si>
  <si>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</si>
  <si>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</si>
  <si>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</si>
  <si>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</si>
  <si>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</si>
  <si>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</si>
  <si>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</si>
  <si>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</si>
  <si>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</si>
  <si>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</si>
  <si>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</si>
  <si>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</si>
  <si>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</si>
  <si>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</si>
  <si>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</si>
  <si>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</si>
  <si>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</si>
  <si>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</si>
  <si>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</si>
  <si>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</si>
  <si>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</si>
  <si>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</si>
  <si>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</si>
  <si>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</si>
  <si>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</si>
  <si>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</si>
  <si>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</si>
  <si>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</si>
  <si>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</si>
  <si>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</si>
  <si>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</si>
  <si>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</si>
  <si>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</si>
  <si>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</si>
  <si>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</si>
  <si>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</si>
  <si>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</si>
  <si>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</si>
  <si>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</si>
  <si>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</si>
  <si>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</si>
  <si>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</si>
  <si>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</si>
  <si>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</si>
  <si>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</si>
  <si>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</si>
  <si>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</si>
  <si>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</si>
  <si>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</si>
  <si>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</si>
  <si>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</si>
  <si>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</si>
  <si>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</si>
  <si>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</si>
  <si>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</si>
  <si>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</si>
  <si>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</si>
  <si>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</si>
  <si>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</si>
  <si>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</si>
  <si>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</si>
  <si>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</si>
  <si>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</si>
  <si>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</si>
  <si>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</si>
  <si>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</si>
  <si>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</si>
  <si>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</si>
  <si>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</si>
  <si>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</si>
  <si>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</si>
  <si>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</si>
  <si>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</si>
  <si>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</si>
  <si>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</si>
  <si>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</si>
  <si>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</si>
  <si>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</si>
  <si>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</si>
  <si>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</si>
  <si>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</si>
  <si>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</si>
  <si>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</si>
  <si>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</si>
  <si>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</si>
  <si>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</si>
  <si>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</si>
  <si>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</si>
  <si>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</si>
  <si>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</si>
  <si>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</si>
  <si>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</si>
  <si>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</si>
  <si>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</si>
  <si>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</si>
  <si>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</si>
  <si>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</si>
  <si>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</si>
  <si>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</si>
  <si>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</si>
  <si>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</si>
  <si>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</si>
  <si>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</si>
  <si>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</si>
  <si>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</si>
  <si>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</si>
  <si>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</si>
  <si>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</si>
  <si>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</si>
  <si>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</si>
  <si>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</si>
  <si>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</si>
  <si>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</si>
  <si>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</si>
  <si>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</si>
  <si>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</si>
  <si>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</si>
  <si>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</si>
  <si>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</si>
  <si>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</si>
  <si>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</si>
  <si>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</si>
  <si>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</si>
  <si>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</si>
  <si>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</si>
  <si>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</si>
  <si>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</si>
  <si>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</si>
  <si>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</si>
  <si>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</si>
  <si>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</si>
  <si>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</si>
  <si>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</si>
  <si>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</si>
  <si>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</si>
  <si>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</si>
  <si>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</si>
  <si>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</si>
  <si>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</si>
  <si>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</si>
  <si>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</si>
  <si>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</si>
  <si>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</si>
  <si>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</si>
  <si>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</si>
  <si>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</si>
  <si>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</si>
  <si>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</si>
  <si>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</si>
  <si>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</si>
  <si>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</si>
  <si>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</si>
  <si>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</si>
  <si>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</si>
  <si>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</si>
  <si>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</si>
  <si>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</si>
  <si>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</si>
  <si>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</si>
  <si>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</si>
  <si>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</si>
  <si>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</si>
  <si>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</si>
  <si>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</si>
  <si>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</si>
  <si>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</si>
  <si>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</si>
  <si>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</si>
  <si>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</si>
  <si>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</si>
  <si>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</si>
  <si>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</si>
  <si>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</si>
  <si>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</si>
  <si>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</si>
  <si>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</si>
  <si>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</si>
  <si>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</si>
  <si>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</si>
  <si>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</si>
  <si>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</si>
  <si>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</si>
  <si>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</si>
  <si>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</si>
  <si>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</si>
  <si>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</si>
  <si>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</si>
  <si>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</si>
  <si>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</si>
  <si>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</si>
  <si>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</si>
  <si>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</si>
  <si>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</si>
  <si>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</si>
  <si>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</si>
  <si>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</si>
  <si>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</si>
  <si>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</si>
  <si>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</si>
  <si>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</si>
  <si>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</si>
  <si>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</si>
  <si>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</si>
  <si>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</si>
  <si>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</si>
  <si>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</si>
  <si>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</si>
  <si>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</si>
  <si>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</si>
  <si>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</si>
  <si>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</si>
  <si>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</si>
  <si>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</si>
  <si>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</si>
  <si>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</si>
  <si>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</si>
  <si>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</si>
  <si>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</si>
  <si>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</si>
  <si>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</si>
  <si>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</si>
  <si>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</si>
  <si>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</si>
  <si>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</si>
  <si>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</si>
  <si>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</si>
  <si>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</si>
  <si>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</si>
  <si>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</si>
  <si>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</si>
  <si>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</si>
  <si>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</si>
  <si>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</si>
  <si>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</si>
  <si>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</si>
  <si>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</si>
  <si>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</si>
  <si>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</si>
  <si>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</si>
  <si>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</si>
  <si>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</si>
  <si>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</si>
  <si>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</si>
  <si>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</si>
  <si>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</si>
  <si>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</si>
  <si>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</si>
  <si>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</si>
  <si>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</si>
  <si>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</si>
  <si>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</si>
  <si>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</si>
  <si>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</si>
  <si>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</si>
  <si>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</si>
  <si>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</si>
  <si>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</si>
  <si>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</si>
  <si>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</si>
  <si>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</si>
  <si>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</si>
  <si>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</si>
  <si>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</si>
  <si>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</si>
  <si>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</si>
  <si>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</si>
  <si>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</si>
  <si>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</si>
  <si>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</si>
  <si>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</si>
  <si>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</si>
  <si>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</si>
  <si>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</si>
  <si>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</si>
  <si>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</si>
  <si>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</si>
  <si>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</si>
  <si>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</si>
  <si>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</si>
  <si>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</si>
  <si>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</si>
  <si>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</si>
  <si>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</si>
  <si>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</si>
  <si>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</si>
  <si>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</si>
  <si>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</si>
  <si>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</si>
  <si>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</si>
  <si>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</si>
  <si>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</si>
  <si>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</si>
  <si>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</si>
  <si>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</si>
  <si>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</si>
  <si>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</si>
  <si>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</si>
  <si>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</si>
  <si>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</si>
  <si>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</si>
  <si>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</si>
  <si>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</si>
  <si>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</si>
  <si>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</si>
  <si>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</si>
  <si>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</si>
  <si>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</si>
  <si>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</si>
  <si>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</si>
  <si>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</si>
  <si>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</si>
  <si>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</si>
  <si>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</si>
  <si>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</si>
  <si>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</si>
  <si>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</si>
  <si>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</si>
  <si>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</si>
  <si>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</si>
  <si>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</si>
  <si>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</si>
  <si>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</si>
  <si>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</si>
  <si>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</si>
  <si>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</si>
  <si>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</si>
  <si>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</si>
  <si>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</si>
  <si>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</si>
  <si>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</si>
  <si>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</si>
  <si>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</si>
  <si>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</si>
  <si>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</si>
  <si>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</si>
  <si>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</si>
  <si>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</si>
  <si>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</si>
  <si>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</si>
  <si>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</si>
  <si>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</si>
  <si>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</si>
  <si>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</si>
  <si>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</si>
  <si>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</si>
  <si>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</si>
  <si>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</si>
  <si>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</si>
  <si>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</si>
  <si>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</si>
  <si>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</si>
  <si>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</si>
  <si>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</si>
  <si>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</si>
  <si>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</si>
  <si>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</si>
  <si>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</si>
  <si>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</si>
  <si>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</si>
  <si>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</si>
  <si>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</si>
  <si>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</si>
  <si>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</si>
  <si>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</si>
  <si>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</si>
  <si>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</si>
  <si>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</si>
  <si>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</si>
  <si>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</si>
  <si>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</si>
  <si>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</si>
  <si>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</si>
  <si>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</si>
  <si>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</si>
  <si>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</si>
  <si>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</si>
  <si>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</si>
  <si>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</si>
  <si>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</si>
  <si>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</si>
  <si>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</si>
  <si>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</si>
  <si>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</si>
  <si>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</si>
  <si>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</si>
  <si>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</si>
  <si>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</si>
  <si>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</si>
  <si>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</si>
  <si>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</si>
  <si>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</si>
  <si>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</si>
  <si>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</si>
  <si>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</si>
  <si>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</si>
  <si>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</si>
  <si>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</si>
  <si>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</si>
  <si>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</si>
  <si>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</si>
  <si>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</si>
  <si>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</si>
  <si>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</si>
  <si>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</si>
  <si>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</si>
  <si>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</si>
  <si>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</si>
  <si>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</si>
  <si>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</si>
  <si>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</si>
  <si>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</si>
  <si>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</si>
  <si>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</si>
  <si>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</si>
  <si>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</si>
  <si>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</si>
  <si>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</si>
  <si>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</si>
  <si>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</si>
  <si>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</si>
  <si>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</si>
  <si>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</si>
  <si>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</si>
  <si>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</si>
  <si>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</si>
  <si>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</si>
  <si>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</si>
  <si>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</si>
  <si>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</si>
  <si>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</si>
  <si>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</si>
  <si>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</si>
  <si>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</si>
  <si>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</si>
  <si>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</si>
  <si>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</si>
  <si>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</si>
  <si>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</si>
  <si>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</si>
  <si>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</si>
  <si>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</si>
  <si>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</si>
  <si>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</si>
  <si>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</si>
  <si>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</si>
  <si>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</si>
  <si>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</si>
  <si>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</si>
  <si>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</si>
  <si>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</si>
  <si>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</si>
  <si>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</si>
  <si>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</si>
  <si>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</si>
  <si>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</si>
  <si>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</si>
  <si>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</si>
  <si>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</si>
  <si>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</si>
  <si>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</si>
  <si>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</si>
  <si>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</si>
  <si>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</si>
  <si>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</si>
  <si>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</si>
  <si>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</si>
  <si>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</si>
  <si>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</si>
  <si>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</si>
  <si>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</si>
  <si>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</si>
  <si>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</si>
  <si>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</si>
  <si>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</si>
  <si>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</si>
  <si>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</si>
  <si>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</si>
  <si>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</si>
  <si>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</si>
  <si>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</si>
  <si>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</si>
  <si>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</si>
  <si>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</si>
  <si>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</si>
  <si>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</si>
  <si>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</si>
  <si>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</si>
  <si>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</si>
  <si>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</si>
  <si>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</si>
  <si>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</si>
  <si>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</si>
  <si>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</si>
  <si>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</si>
  <si>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</si>
  <si>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</si>
  <si>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</si>
  <si>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</si>
  <si>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</si>
  <si>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</si>
  <si>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</si>
  <si>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</si>
  <si>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</si>
  <si>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</si>
  <si>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</si>
  <si>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</si>
  <si>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</si>
  <si>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</si>
  <si>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</si>
  <si>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</si>
  <si>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</si>
  <si>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</si>
  <si>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</si>
  <si>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</si>
  <si>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</si>
  <si>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</si>
  <si>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</si>
  <si>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</si>
  <si>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</si>
  <si>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</si>
  <si>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</si>
  <si>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</si>
  <si>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</si>
  <si>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</si>
  <si>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</si>
  <si>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</si>
  <si>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</si>
  <si>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</si>
  <si>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</si>
  <si>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</si>
  <si>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</si>
  <si>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</si>
  <si>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</si>
  <si>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</si>
  <si>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</si>
  <si>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</si>
  <si>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</si>
  <si>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</si>
  <si>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</si>
  <si>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</si>
  <si>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</si>
  <si>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</si>
  <si>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</si>
  <si>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</si>
  <si>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</si>
  <si>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</si>
  <si>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</si>
  <si>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</si>
  <si>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</si>
  <si>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</si>
  <si>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</si>
  <si>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</si>
  <si>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</si>
  <si>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</si>
  <si>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</si>
  <si>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</si>
  <si>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</si>
  <si>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</si>
  <si>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</si>
  <si>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</si>
  <si>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</si>
  <si>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</si>
  <si>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</si>
  <si>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</si>
  <si>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</si>
  <si>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</si>
  <si>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</si>
  <si>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</si>
  <si>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</si>
  <si>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</si>
  <si>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</si>
  <si>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</si>
  <si>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</si>
  <si>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</si>
  <si>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</si>
  <si>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</si>
  <si>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</si>
  <si>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</si>
  <si>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</si>
  <si>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</si>
  <si>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</si>
  <si>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</si>
  <si>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</si>
  <si>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</si>
  <si>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</si>
  <si>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</si>
  <si>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</si>
  <si>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</si>
  <si>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</si>
  <si>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</si>
  <si>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</si>
  <si>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</si>
  <si>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</si>
  <si>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</si>
  <si>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</si>
  <si>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</si>
  <si>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</si>
  <si>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</si>
  <si>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</si>
  <si>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</si>
  <si>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</si>
  <si>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</si>
  <si>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</si>
  <si>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</si>
  <si>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</si>
  <si>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</si>
  <si>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</si>
  <si>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</si>
  <si>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</si>
  <si>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</si>
  <si>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</si>
  <si>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</si>
  <si>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</si>
  <si>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</si>
  <si>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</si>
  <si>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</si>
  <si>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</si>
  <si>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</si>
  <si>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</si>
  <si>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</si>
  <si>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</si>
  <si>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</si>
  <si>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</si>
  <si>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</si>
  <si>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</si>
  <si>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</si>
  <si>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</si>
  <si>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</si>
  <si>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</si>
  <si>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</si>
  <si>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</si>
  <si>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</si>
  <si>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</si>
  <si>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</si>
  <si>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</si>
  <si>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</si>
  <si>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</si>
  <si>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</si>
  <si>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</si>
  <si>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</si>
  <si>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</si>
  <si>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</si>
  <si>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</si>
  <si>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</si>
  <si>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</si>
  <si>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</si>
  <si>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</si>
  <si>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</si>
  <si>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</si>
  <si>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</si>
  <si>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</si>
  <si>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</si>
  <si>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</si>
  <si>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</si>
  <si>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</si>
  <si>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</si>
  <si>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</si>
  <si>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</si>
  <si>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</si>
  <si>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</si>
  <si>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</si>
  <si>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</si>
  <si>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</si>
  <si>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</si>
  <si>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</si>
  <si>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</si>
  <si>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</si>
  <si>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</si>
  <si>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</si>
  <si>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</si>
  <si>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</si>
  <si>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</si>
  <si>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</si>
  <si>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</si>
  <si>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</si>
  <si>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</si>
  <si>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</si>
  <si>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</si>
  <si>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</si>
  <si>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</si>
  <si>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</si>
  <si>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</si>
  <si>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</si>
  <si>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</si>
  <si>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</si>
  <si>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</si>
  <si>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</si>
  <si>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</si>
  <si>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</si>
  <si>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</si>
  <si>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</si>
  <si>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</si>
  <si>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</si>
  <si>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</si>
  <si>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</si>
  <si>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</si>
  <si>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</si>
  <si>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</si>
  <si>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</si>
  <si>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</si>
  <si>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</si>
  <si>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</si>
  <si>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</si>
  <si>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</si>
  <si>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</si>
  <si>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</si>
  <si>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</si>
  <si>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</si>
  <si>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</si>
  <si>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</si>
  <si>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</si>
  <si>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</si>
  <si>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</si>
  <si>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</si>
  <si>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</si>
  <si>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</si>
  <si>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</si>
  <si>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</si>
  <si>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</si>
  <si>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</si>
  <si>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</si>
  <si>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</si>
  <si>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</si>
  <si>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</si>
  <si>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</si>
  <si>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</si>
  <si>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</si>
  <si>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</si>
  <si>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</si>
  <si>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</si>
  <si>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</si>
  <si>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</si>
  <si>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</si>
  <si>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</si>
  <si>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</si>
  <si>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</si>
  <si>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</si>
  <si>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</si>
  <si>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</si>
  <si>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</si>
  <si>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</si>
  <si>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</si>
  <si>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</si>
  <si>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</si>
  <si>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</si>
  <si>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</si>
  <si>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</si>
  <si>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</si>
  <si>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</si>
  <si>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</si>
  <si>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</si>
  <si>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</si>
  <si>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</si>
  <si>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</si>
  <si>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</si>
  <si>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</si>
  <si>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</si>
  <si>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</si>
  <si>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</si>
  <si>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</si>
  <si>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</si>
  <si>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</si>
  <si>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</si>
  <si>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</si>
  <si>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</si>
  <si>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</si>
  <si>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</si>
  <si>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</si>
  <si>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</si>
  <si>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</si>
  <si>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</si>
  <si>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</si>
  <si>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</si>
  <si>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</si>
  <si>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</si>
  <si>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</si>
  <si>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</si>
  <si>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</si>
  <si>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</si>
  <si>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</si>
  <si>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</si>
  <si>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</si>
  <si>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</si>
  <si>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</si>
  <si>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</si>
  <si>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</si>
  <si>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</si>
  <si>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</si>
  <si>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</si>
  <si>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</si>
  <si>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</si>
  <si>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</si>
  <si>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</si>
  <si>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</si>
  <si>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</si>
  <si>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</si>
  <si>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</si>
  <si>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</si>
  <si>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</si>
  <si>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</si>
  <si>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</si>
  <si>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</si>
  <si>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</si>
  <si>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</si>
  <si>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</si>
  <si>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</si>
  <si>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</si>
  <si>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</si>
  <si>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</si>
  <si>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</si>
  <si>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</si>
  <si>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</si>
  <si>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</si>
  <si>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</si>
  <si>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</si>
  <si>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</si>
  <si>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</si>
  <si>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</si>
  <si>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</si>
  <si>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</si>
  <si>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</si>
  <si>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</si>
  <si>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</si>
  <si>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</si>
  <si>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</si>
  <si>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</si>
  <si>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</si>
  <si>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</si>
  <si>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</si>
  <si>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</si>
  <si>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</si>
  <si>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</si>
  <si>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</si>
  <si>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</si>
  <si>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</si>
  <si>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</si>
  <si>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</si>
  <si>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</si>
  <si>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</si>
  <si>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</si>
  <si>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</si>
  <si>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</si>
  <si>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</si>
  <si>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</si>
  <si>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</si>
  <si>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</si>
  <si>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</si>
  <si>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</si>
  <si>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</si>
  <si>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</si>
  <si>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</si>
  <si>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</si>
  <si>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</si>
  <si>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</si>
  <si>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</si>
  <si>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</si>
  <si>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</si>
  <si>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</si>
  <si>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</si>
  <si>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</si>
  <si>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</si>
  <si>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</si>
  <si>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</si>
  <si>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</si>
  <si>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</si>
  <si>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</si>
  <si>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</si>
  <si>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</si>
  <si>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</si>
  <si>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</si>
  <si>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</si>
  <si>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</si>
  <si>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</si>
  <si>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</si>
  <si>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</si>
  <si>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</si>
  <si>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</si>
  <si>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</si>
  <si>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</si>
  <si>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</si>
  <si>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</si>
  <si>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</si>
  <si>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</si>
  <si>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</si>
  <si>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</si>
  <si>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</si>
  <si>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</si>
  <si>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</si>
  <si>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</si>
  <si>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</si>
  <si>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</si>
  <si>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</si>
  <si>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</si>
  <si>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</si>
  <si>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</si>
  <si>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</si>
  <si>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</si>
  <si>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</si>
  <si>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</si>
  <si>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</si>
  <si>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</si>
  <si>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</si>
  <si>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</si>
  <si>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</si>
  <si>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</si>
  <si>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</si>
  <si>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</si>
  <si>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</si>
  <si>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</si>
  <si>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</si>
  <si>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</si>
  <si>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</si>
  <si>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</si>
  <si>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</si>
  <si>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</si>
  <si>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</si>
  <si>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</si>
  <si>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</si>
  <si>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</si>
  <si>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</si>
  <si>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</si>
  <si>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</si>
  <si>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</si>
  <si>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</si>
  <si>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</si>
  <si>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</si>
  <si>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</si>
  <si>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</si>
  <si>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</si>
  <si>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</si>
  <si>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</si>
  <si>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</si>
  <si>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</si>
  <si>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</si>
  <si>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</si>
  <si>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</si>
  <si>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</si>
  <si>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</si>
  <si>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</si>
  <si>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</si>
  <si>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</si>
  <si>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</si>
  <si>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</si>
  <si>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</si>
  <si>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</si>
  <si>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</si>
  <si>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</si>
  <si>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</si>
  <si>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</si>
  <si>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</si>
  <si>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</si>
  <si>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</si>
  <si>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</si>
  <si>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</si>
  <si>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</si>
  <si>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</si>
  <si>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</si>
  <si>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</si>
  <si>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</si>
  <si>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</si>
  <si>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</si>
  <si>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</si>
  <si>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</si>
  <si>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</si>
  <si>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</si>
  <si>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</si>
  <si>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</si>
  <si>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</si>
  <si>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</si>
  <si>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</si>
  <si>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</si>
  <si>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</si>
  <si>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</si>
  <si>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</si>
  <si>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</si>
  <si>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</si>
  <si>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</si>
  <si>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</si>
  <si>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</si>
  <si>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</si>
  <si>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</si>
  <si>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</si>
  <si>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</si>
  <si>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</si>
  <si>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</si>
  <si>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</si>
  <si>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</si>
  <si>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</si>
  <si>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</si>
  <si>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</si>
  <si>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</si>
  <si>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</si>
  <si>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</si>
  <si>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</si>
  <si>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</si>
  <si>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</si>
  <si>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</si>
  <si>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</si>
  <si>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</si>
  <si>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</si>
  <si>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</si>
  <si>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</si>
  <si>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</si>
  <si>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</si>
  <si>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</si>
  <si>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</si>
  <si>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</si>
  <si>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</si>
  <si>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</si>
  <si>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</si>
  <si>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</si>
  <si>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</si>
  <si>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</si>
  <si>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</si>
  <si>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</si>
  <si>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</si>
  <si>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</si>
  <si>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</si>
  <si>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</si>
  <si>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</si>
  <si>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</si>
  <si>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</si>
  <si>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</si>
  <si>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</si>
  <si>
    <t>(38F)サミットゴーレム</t>
  </si>
  <si>
    <t>(28F/33F)パイルゴーレム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</si>
  <si>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</si>
  <si>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</si>
  <si>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</si>
  <si>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</si>
  <si>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</si>
  <si>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</si>
  <si>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243750</t>
  </si>
  <si>
    <t>王の眼差し</t>
    <rPh sb="0" eb="1">
      <t>オウ</t>
    </rPh>
    <rPh sb="2" eb="4">
      <t>マナザ</t>
    </rPh>
    <phoneticPr fontId="1"/>
  </si>
  <si>
    <t>行動開始時に前衛&amp;自身が心眼状態のとき、自身がかけた防御力ダウンの効果量+25%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ボウギョリョク</t>
    </rPh>
    <rPh sb="33" eb="36">
      <t>コウカリョウ</t>
    </rPh>
    <phoneticPr fontId="1"/>
  </si>
  <si>
    <t>自身が心眼状態のとき、自身がかけた防御力ダウンの効果量+25%</t>
  </si>
  <si>
    <t>心眼状態</t>
    <phoneticPr fontId="1"/>
  </si>
  <si>
    <t>Defenderのスキル使用回数2回</t>
    <phoneticPr fontId="1"/>
  </si>
  <si>
    <t>Healerのスキル使用回数2回</t>
    <phoneticPr fontId="1"/>
  </si>
  <si>
    <t>敵の突属性耐性50%アップ、闇弱点が火弱点に変更</t>
    <rPh sb="2" eb="3">
      <t>トツ</t>
    </rPh>
    <rPh sb="14" eb="15">
      <t>ヤミ</t>
    </rPh>
    <rPh sb="15" eb="17">
      <t>ジャクテン</t>
    </rPh>
    <rPh sb="18" eb="19">
      <t>ヒ</t>
    </rPh>
    <rPh sb="19" eb="21">
      <t>ジャクテン</t>
    </rPh>
    <rPh sb="22" eb="24">
      <t>ヘンコウ</t>
    </rPh>
    <phoneticPr fontId="1"/>
  </si>
  <si>
    <t>ソリッドテイル</t>
  </si>
  <si>
    <t>アイボリースクーパー(エリア01)</t>
  </si>
  <si>
    <t>ヴェイルドデス(エリア02)</t>
  </si>
  <si>
    <t>311000</t>
  </si>
  <si>
    <t>3276000</t>
  </si>
  <si>
    <t>6178000</t>
  </si>
  <si>
    <t>七瀬七海</t>
    <rPh sb="0" eb="2">
      <t>ナナセ</t>
    </rPh>
    <rPh sb="2" eb="4">
      <t>ナナミ</t>
    </rPh>
    <phoneticPr fontId="1"/>
  </si>
  <si>
    <t>七海</t>
    <rPh sb="0" eb="2">
      <t>ナナミ</t>
    </rPh>
    <phoneticPr fontId="1"/>
  </si>
  <si>
    <t>HEA</t>
    <phoneticPr fontId="1"/>
  </si>
  <si>
    <t>連撃＋</t>
    <rPh sb="0" eb="2">
      <t>レンゲキ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</si>
</sst>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topLeftCell="A31" zoomScale="85" zoomScaleNormal="85" workbookViewId="0">
      <selection activeCell="B59" sqref="B5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A59" s="8"/>
      <c r="B59" s="14">
        <v>500</v>
      </c>
      <c r="C59" s="11" t="s">
        <v>2167</v>
      </c>
      <c r="D59" s="11" t="s">
        <v>2168</v>
      </c>
      <c r="E59" s="11" t="s">
        <v>2169</v>
      </c>
      <c r="F59" s="14">
        <v>0</v>
      </c>
      <c r="G59" s="15">
        <v>0</v>
      </c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9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97"/>
  <sheetViews>
    <sheetView zoomScale="85" zoomScaleNormal="85" workbookViewId="0">
      <pane ySplit="6" topLeftCell="A148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2148</v>
      </c>
      <c r="E25" s="15">
        <v>400</v>
      </c>
      <c r="F25" s="11" t="s">
        <v>2153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2149</v>
      </c>
      <c r="E26" s="15">
        <v>400</v>
      </c>
      <c r="F26" s="11" t="s">
        <v>2153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2150</v>
      </c>
      <c r="E27" s="15">
        <v>400</v>
      </c>
      <c r="F27" s="11" t="s">
        <v>2153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2151</v>
      </c>
      <c r="E28" s="15">
        <v>400</v>
      </c>
      <c r="F28" s="11" t="s">
        <v>2153</v>
      </c>
      <c r="G28" s="15">
        <v>525000</v>
      </c>
      <c r="H28" s="15">
        <v>4</v>
      </c>
      <c r="I28" s="15">
        <v>300</v>
      </c>
      <c r="J28" s="15">
        <v>100</v>
      </c>
      <c r="K28" s="15">
        <v>100</v>
      </c>
      <c r="L28" s="15">
        <v>-100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2152</v>
      </c>
      <c r="E29" s="15">
        <v>400</v>
      </c>
      <c r="F29" s="11" t="s">
        <v>2153</v>
      </c>
      <c r="G29" s="15">
        <v>525000</v>
      </c>
      <c r="H29" s="15">
        <v>4</v>
      </c>
      <c r="I29" s="15">
        <v>300</v>
      </c>
      <c r="J29" s="15">
        <v>-100</v>
      </c>
      <c r="K29" s="15">
        <v>100</v>
      </c>
      <c r="L29" s="15">
        <v>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519</v>
      </c>
      <c r="E30" s="15">
        <v>340</v>
      </c>
      <c r="F30" s="11" t="s">
        <v>769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844</v>
      </c>
      <c r="E31" s="15">
        <v>340</v>
      </c>
      <c r="F31" s="11" t="s">
        <v>769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520</v>
      </c>
      <c r="E32" s="15">
        <v>340</v>
      </c>
      <c r="F32" s="11" t="s">
        <v>769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521</v>
      </c>
      <c r="E33" s="15">
        <v>340</v>
      </c>
      <c r="F33" s="11" t="s">
        <v>769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522</v>
      </c>
      <c r="E34" s="15">
        <v>340</v>
      </c>
      <c r="F34" s="11" t="s">
        <v>769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2</v>
      </c>
      <c r="C35" s="15">
        <v>16</v>
      </c>
      <c r="D35" s="11" t="s">
        <v>2114</v>
      </c>
      <c r="E35" s="15">
        <v>390</v>
      </c>
      <c r="F35" s="11" t="s">
        <v>770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/>
    </row>
    <row r="36" spans="1:19">
      <c r="A36" s="8"/>
      <c r="B36" s="15">
        <v>2</v>
      </c>
      <c r="C36" s="15">
        <v>17</v>
      </c>
      <c r="D36" s="11" t="s">
        <v>836</v>
      </c>
      <c r="E36" s="15">
        <v>390</v>
      </c>
      <c r="F36" s="11" t="s">
        <v>770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/>
    </row>
    <row r="37" spans="1:19">
      <c r="A37" s="8"/>
      <c r="B37" s="15">
        <v>2</v>
      </c>
      <c r="C37" s="15">
        <v>18</v>
      </c>
      <c r="D37" s="11" t="s">
        <v>752</v>
      </c>
      <c r="E37" s="15">
        <v>390</v>
      </c>
      <c r="F37" s="11" t="s">
        <v>770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2</v>
      </c>
      <c r="C38" s="15">
        <v>19</v>
      </c>
      <c r="D38" s="11" t="s">
        <v>1169</v>
      </c>
      <c r="E38" s="15">
        <v>390</v>
      </c>
      <c r="F38" s="11" t="s">
        <v>770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2</v>
      </c>
      <c r="C39" s="15">
        <v>20</v>
      </c>
      <c r="D39" s="11" t="s">
        <v>1755</v>
      </c>
      <c r="E39" s="15">
        <v>390</v>
      </c>
      <c r="F39" s="11" t="s">
        <v>770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1</v>
      </c>
      <c r="D40" s="11" t="s">
        <v>504</v>
      </c>
      <c r="E40" s="15">
        <v>340</v>
      </c>
      <c r="F40" s="11" t="s">
        <v>771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/>
    </row>
    <row r="41" spans="1:19">
      <c r="A41" s="8"/>
      <c r="B41" s="15">
        <v>3</v>
      </c>
      <c r="C41" s="15">
        <v>2</v>
      </c>
      <c r="D41" s="11" t="s">
        <v>505</v>
      </c>
      <c r="E41" s="15">
        <v>340</v>
      </c>
      <c r="F41" s="11" t="s">
        <v>772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/>
    </row>
    <row r="42" spans="1:19">
      <c r="A42" s="8"/>
      <c r="B42" s="15">
        <v>3</v>
      </c>
      <c r="C42" s="15">
        <v>3</v>
      </c>
      <c r="D42" s="11" t="s">
        <v>506</v>
      </c>
      <c r="E42" s="15">
        <v>340</v>
      </c>
      <c r="F42" s="11" t="s">
        <v>773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4</v>
      </c>
      <c r="D43" s="11" t="s">
        <v>507</v>
      </c>
      <c r="E43" s="15">
        <v>340</v>
      </c>
      <c r="F43" s="11" t="s">
        <v>774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/>
    </row>
    <row r="44" spans="1:19">
      <c r="A44" s="8"/>
      <c r="B44" s="15">
        <v>3</v>
      </c>
      <c r="C44" s="15">
        <v>5</v>
      </c>
      <c r="D44" s="11" t="s">
        <v>508</v>
      </c>
      <c r="E44" s="15">
        <v>340</v>
      </c>
      <c r="F44" s="11" t="s">
        <v>775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6</v>
      </c>
      <c r="D45" s="11" t="s">
        <v>509</v>
      </c>
      <c r="E45" s="15">
        <v>340</v>
      </c>
      <c r="F45" s="11" t="s">
        <v>776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/>
    </row>
    <row r="46" spans="1:19">
      <c r="A46" s="8"/>
      <c r="B46" s="15">
        <v>3</v>
      </c>
      <c r="C46" s="15">
        <v>7</v>
      </c>
      <c r="D46" s="11" t="s">
        <v>510</v>
      </c>
      <c r="E46" s="15">
        <v>340</v>
      </c>
      <c r="F46" s="11" t="s">
        <v>772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8</v>
      </c>
      <c r="D47" s="11" t="s">
        <v>511</v>
      </c>
      <c r="E47" s="15">
        <v>340</v>
      </c>
      <c r="F47" s="11" t="s">
        <v>777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9</v>
      </c>
      <c r="D48" s="11" t="s">
        <v>512</v>
      </c>
      <c r="E48" s="15">
        <v>340</v>
      </c>
      <c r="F48" s="11" t="s">
        <v>778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/>
    </row>
    <row r="49" spans="1:19">
      <c r="A49" s="8"/>
      <c r="B49" s="15">
        <v>3</v>
      </c>
      <c r="C49" s="15">
        <v>10</v>
      </c>
      <c r="D49" s="11" t="s">
        <v>515</v>
      </c>
      <c r="E49" s="15">
        <v>340</v>
      </c>
      <c r="F49" s="11" t="s">
        <v>769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/>
    </row>
    <row r="50" spans="1:19">
      <c r="A50" s="8"/>
      <c r="B50" s="15">
        <v>3</v>
      </c>
      <c r="C50" s="15">
        <v>11</v>
      </c>
      <c r="D50" s="11" t="s">
        <v>514</v>
      </c>
      <c r="E50" s="15">
        <v>340</v>
      </c>
      <c r="F50" s="11" t="s">
        <v>779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12</v>
      </c>
      <c r="D51" s="11" t="s">
        <v>513</v>
      </c>
      <c r="E51" s="15">
        <v>340</v>
      </c>
      <c r="F51" s="11" t="s">
        <v>771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/>
    </row>
    <row r="52" spans="1:19">
      <c r="A52" s="8"/>
      <c r="B52" s="15">
        <v>3</v>
      </c>
      <c r="C52" s="15">
        <v>13</v>
      </c>
      <c r="D52" s="11" t="s">
        <v>566</v>
      </c>
      <c r="E52" s="15">
        <v>350</v>
      </c>
      <c r="F52" s="11" t="s">
        <v>780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14</v>
      </c>
      <c r="D53" s="11" t="s">
        <v>567</v>
      </c>
      <c r="E53" s="15">
        <v>350</v>
      </c>
      <c r="F53" s="11" t="s">
        <v>781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/>
    </row>
    <row r="54" spans="1:19">
      <c r="A54" s="8"/>
      <c r="B54" s="15">
        <v>3</v>
      </c>
      <c r="C54" s="15">
        <v>15</v>
      </c>
      <c r="D54" s="11" t="s">
        <v>568</v>
      </c>
      <c r="E54" s="15">
        <v>350</v>
      </c>
      <c r="F54" s="11" t="s">
        <v>782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/>
    </row>
    <row r="55" spans="1:19">
      <c r="A55" s="8"/>
      <c r="B55" s="15">
        <v>3</v>
      </c>
      <c r="C55" s="15">
        <v>16</v>
      </c>
      <c r="D55" s="11" t="s">
        <v>569</v>
      </c>
      <c r="E55" s="15">
        <v>350</v>
      </c>
      <c r="F55" s="11" t="s">
        <v>783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/>
    </row>
    <row r="56" spans="1:19">
      <c r="A56" s="8"/>
      <c r="B56" s="15">
        <v>3</v>
      </c>
      <c r="C56" s="15">
        <v>17</v>
      </c>
      <c r="D56" s="11" t="s">
        <v>570</v>
      </c>
      <c r="E56" s="15">
        <v>350</v>
      </c>
      <c r="F56" s="11" t="s">
        <v>784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/>
    </row>
    <row r="57" spans="1:19">
      <c r="A57" s="8"/>
      <c r="B57" s="15">
        <v>3</v>
      </c>
      <c r="C57" s="15">
        <v>18</v>
      </c>
      <c r="D57" s="11" t="s">
        <v>615</v>
      </c>
      <c r="E57" s="15">
        <v>350</v>
      </c>
      <c r="F57" s="11" t="s">
        <v>775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19</v>
      </c>
      <c r="D58" s="11" t="s">
        <v>616</v>
      </c>
      <c r="E58" s="15">
        <v>350</v>
      </c>
      <c r="F58" s="11" t="s">
        <v>785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/>
    </row>
    <row r="59" spans="1:19">
      <c r="A59" s="8"/>
      <c r="B59" s="15">
        <v>3</v>
      </c>
      <c r="C59" s="15">
        <v>20</v>
      </c>
      <c r="D59" s="11" t="s">
        <v>617</v>
      </c>
      <c r="E59" s="15">
        <v>350</v>
      </c>
      <c r="F59" s="11" t="s">
        <v>786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/>
    </row>
    <row r="60" spans="1:19">
      <c r="A60" s="8"/>
      <c r="B60" s="15">
        <v>3</v>
      </c>
      <c r="C60" s="15">
        <v>21</v>
      </c>
      <c r="D60" s="11" t="s">
        <v>618</v>
      </c>
      <c r="E60" s="15">
        <v>350</v>
      </c>
      <c r="F60" s="11" t="s">
        <v>787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/>
    </row>
    <row r="61" spans="1:19">
      <c r="A61" s="8"/>
      <c r="B61" s="15">
        <v>3</v>
      </c>
      <c r="C61" s="15">
        <v>22</v>
      </c>
      <c r="D61" s="11" t="s">
        <v>619</v>
      </c>
      <c r="E61" s="15">
        <v>350</v>
      </c>
      <c r="F61" s="11" t="s">
        <v>788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/>
    </row>
    <row r="62" spans="1:19">
      <c r="A62" s="8"/>
      <c r="B62" s="15">
        <v>3</v>
      </c>
      <c r="C62" s="15">
        <v>23</v>
      </c>
      <c r="D62" s="11" t="s">
        <v>815</v>
      </c>
      <c r="E62" s="15">
        <v>360</v>
      </c>
      <c r="F62" s="11" t="s">
        <v>820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24</v>
      </c>
      <c r="D63" s="11" t="s">
        <v>816</v>
      </c>
      <c r="E63" s="15">
        <v>360</v>
      </c>
      <c r="F63" s="11" t="s">
        <v>821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/>
    </row>
    <row r="64" spans="1:19">
      <c r="A64" s="8"/>
      <c r="B64" s="15">
        <v>3</v>
      </c>
      <c r="C64" s="15">
        <v>25</v>
      </c>
      <c r="D64" s="11" t="s">
        <v>817</v>
      </c>
      <c r="E64" s="15">
        <v>360</v>
      </c>
      <c r="F64" s="11" t="s">
        <v>822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/>
    </row>
    <row r="65" spans="1:19">
      <c r="A65" s="8"/>
      <c r="B65" s="15">
        <v>3</v>
      </c>
      <c r="C65" s="15">
        <v>26</v>
      </c>
      <c r="D65" s="11" t="s">
        <v>818</v>
      </c>
      <c r="E65" s="15">
        <v>360</v>
      </c>
      <c r="F65" s="11" t="s">
        <v>823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27</v>
      </c>
      <c r="D66" s="11" t="s">
        <v>819</v>
      </c>
      <c r="E66" s="15">
        <v>360</v>
      </c>
      <c r="F66" s="11" t="s">
        <v>797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/>
    </row>
    <row r="67" spans="1:19">
      <c r="A67" s="8"/>
      <c r="B67" s="15">
        <v>3</v>
      </c>
      <c r="C67" s="15">
        <v>28</v>
      </c>
      <c r="D67" s="11" t="s">
        <v>852</v>
      </c>
      <c r="E67" s="15">
        <v>360</v>
      </c>
      <c r="F67" s="11" t="s">
        <v>789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29</v>
      </c>
      <c r="D68" s="11" t="s">
        <v>853</v>
      </c>
      <c r="E68" s="15">
        <v>360</v>
      </c>
      <c r="F68" s="11" t="s">
        <v>857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30</v>
      </c>
      <c r="D69" s="11" t="s">
        <v>854</v>
      </c>
      <c r="E69" s="15">
        <v>360</v>
      </c>
      <c r="F69" s="11" t="s">
        <v>857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3</v>
      </c>
      <c r="C70" s="15">
        <v>31</v>
      </c>
      <c r="D70" s="11" t="s">
        <v>855</v>
      </c>
      <c r="E70" s="15">
        <v>360</v>
      </c>
      <c r="F70" s="11" t="s">
        <v>780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32</v>
      </c>
      <c r="D71" s="11" t="s">
        <v>856</v>
      </c>
      <c r="E71" s="15">
        <v>360</v>
      </c>
      <c r="F71" s="11" t="s">
        <v>764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/>
    </row>
    <row r="72" spans="1:19">
      <c r="A72" s="8"/>
      <c r="B72" s="15">
        <v>3</v>
      </c>
      <c r="C72" s="15">
        <v>33</v>
      </c>
      <c r="D72" s="11" t="s">
        <v>885</v>
      </c>
      <c r="E72" s="15">
        <v>370</v>
      </c>
      <c r="F72" s="11" t="s">
        <v>890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/>
    </row>
    <row r="73" spans="1:19">
      <c r="A73" s="8"/>
      <c r="B73" s="15">
        <v>3</v>
      </c>
      <c r="C73" s="15">
        <v>34</v>
      </c>
      <c r="D73" s="11" t="s">
        <v>886</v>
      </c>
      <c r="E73" s="15">
        <v>370</v>
      </c>
      <c r="F73" s="11" t="s">
        <v>891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35</v>
      </c>
      <c r="D74" s="11" t="s">
        <v>887</v>
      </c>
      <c r="E74" s="15">
        <v>370</v>
      </c>
      <c r="F74" s="11" t="s">
        <v>892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36</v>
      </c>
      <c r="D75" s="11" t="s">
        <v>888</v>
      </c>
      <c r="E75" s="15">
        <v>370</v>
      </c>
      <c r="F75" s="11" t="s">
        <v>783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37</v>
      </c>
      <c r="D76" s="11" t="s">
        <v>889</v>
      </c>
      <c r="E76" s="15">
        <v>370</v>
      </c>
      <c r="F76" s="11" t="s">
        <v>893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/>
    </row>
    <row r="77" spans="1:19">
      <c r="A77" s="8"/>
      <c r="B77" s="15">
        <v>3</v>
      </c>
      <c r="C77" s="15">
        <v>38</v>
      </c>
      <c r="D77" s="11" t="s">
        <v>1756</v>
      </c>
      <c r="E77" s="15">
        <v>370</v>
      </c>
      <c r="F77" s="11" t="s">
        <v>811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39</v>
      </c>
      <c r="D78" s="11" t="s">
        <v>1757</v>
      </c>
      <c r="E78" s="15">
        <v>370</v>
      </c>
      <c r="F78" s="11" t="s">
        <v>1761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/>
    </row>
    <row r="79" spans="1:19">
      <c r="A79" s="8"/>
      <c r="B79" s="15">
        <v>3</v>
      </c>
      <c r="C79" s="15">
        <v>40</v>
      </c>
      <c r="D79" s="11" t="s">
        <v>1758</v>
      </c>
      <c r="E79" s="15">
        <v>370</v>
      </c>
      <c r="F79" s="11" t="s">
        <v>1762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/>
    </row>
    <row r="80" spans="1:19">
      <c r="A80" s="8"/>
      <c r="B80" s="15">
        <v>3</v>
      </c>
      <c r="C80" s="15">
        <v>41</v>
      </c>
      <c r="D80" s="11" t="s">
        <v>1759</v>
      </c>
      <c r="E80" s="15">
        <v>370</v>
      </c>
      <c r="F80" s="11" t="s">
        <v>1763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/>
    </row>
    <row r="81" spans="1:19">
      <c r="A81" s="8"/>
      <c r="B81" s="15">
        <v>3</v>
      </c>
      <c r="C81" s="15">
        <v>42</v>
      </c>
      <c r="D81" s="11" t="s">
        <v>1760</v>
      </c>
      <c r="E81" s="15">
        <v>370</v>
      </c>
      <c r="F81" s="11" t="s">
        <v>1764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/>
    </row>
    <row r="82" spans="1:19">
      <c r="A82" s="8"/>
      <c r="B82" s="15">
        <v>3</v>
      </c>
      <c r="C82" s="15">
        <v>43</v>
      </c>
      <c r="D82" s="11" t="s">
        <v>1853</v>
      </c>
      <c r="E82" s="15">
        <v>380</v>
      </c>
      <c r="F82" s="11" t="s">
        <v>789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/>
    </row>
    <row r="83" spans="1:19">
      <c r="A83" s="8"/>
      <c r="B83" s="15">
        <v>3</v>
      </c>
      <c r="C83" s="15">
        <v>44</v>
      </c>
      <c r="D83" s="11" t="s">
        <v>1854</v>
      </c>
      <c r="E83" s="15">
        <v>380</v>
      </c>
      <c r="F83" s="11" t="s">
        <v>1862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3</v>
      </c>
      <c r="C84" s="15">
        <v>45</v>
      </c>
      <c r="D84" s="11" t="s">
        <v>1855</v>
      </c>
      <c r="E84" s="15">
        <v>380</v>
      </c>
      <c r="F84" s="11" t="s">
        <v>797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/>
    </row>
    <row r="85" spans="1:19">
      <c r="A85" s="8"/>
      <c r="B85" s="15">
        <v>3</v>
      </c>
      <c r="C85" s="15">
        <v>46</v>
      </c>
      <c r="D85" s="11" t="s">
        <v>1856</v>
      </c>
      <c r="E85" s="15">
        <v>380</v>
      </c>
      <c r="F85" s="11" t="s">
        <v>769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/>
    </row>
    <row r="86" spans="1:19">
      <c r="A86" s="8"/>
      <c r="B86" s="15">
        <v>3</v>
      </c>
      <c r="C86" s="15">
        <v>47</v>
      </c>
      <c r="D86" s="11" t="s">
        <v>1857</v>
      </c>
      <c r="E86" s="15">
        <v>380</v>
      </c>
      <c r="F86" s="11" t="s">
        <v>1860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/>
    </row>
    <row r="87" spans="1:19">
      <c r="A87" s="8"/>
      <c r="B87" s="15">
        <v>3</v>
      </c>
      <c r="C87" s="15">
        <v>48</v>
      </c>
      <c r="D87" s="11" t="s">
        <v>1858</v>
      </c>
      <c r="E87" s="15">
        <v>380</v>
      </c>
      <c r="F87" s="11" t="s">
        <v>1861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/>
    </row>
    <row r="88" spans="1:19">
      <c r="A88" s="8"/>
      <c r="B88" s="15">
        <v>3</v>
      </c>
      <c r="C88" s="15">
        <v>49</v>
      </c>
      <c r="D88" s="11" t="s">
        <v>2134</v>
      </c>
      <c r="E88" s="15">
        <v>380</v>
      </c>
      <c r="F88" s="11" t="s">
        <v>2115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3</v>
      </c>
      <c r="C89" s="15">
        <v>50</v>
      </c>
      <c r="D89" s="11" t="s">
        <v>2135</v>
      </c>
      <c r="E89" s="15">
        <v>380</v>
      </c>
      <c r="F89" s="11" t="s">
        <v>857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3</v>
      </c>
      <c r="C90" s="15">
        <v>51</v>
      </c>
      <c r="D90" s="11" t="s">
        <v>2136</v>
      </c>
      <c r="E90" s="15">
        <v>380</v>
      </c>
      <c r="F90" s="11" t="s">
        <v>762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/>
    </row>
    <row r="91" spans="1:19">
      <c r="A91" s="8"/>
      <c r="B91" s="15">
        <v>3</v>
      </c>
      <c r="C91" s="15">
        <v>52</v>
      </c>
      <c r="D91" s="11" t="s">
        <v>2137</v>
      </c>
      <c r="E91" s="15">
        <v>380</v>
      </c>
      <c r="F91" s="11" t="s">
        <v>1631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</v>
      </c>
      <c r="D92" s="11" t="s">
        <v>504</v>
      </c>
      <c r="E92" s="15">
        <v>380</v>
      </c>
      <c r="F92" s="11" t="s">
        <v>789</v>
      </c>
      <c r="G92" s="15">
        <v>455000</v>
      </c>
      <c r="H92" s="15">
        <v>2</v>
      </c>
      <c r="I92" s="15">
        <v>150</v>
      </c>
      <c r="J92" s="15">
        <v>200</v>
      </c>
      <c r="K92" s="15">
        <v>200</v>
      </c>
      <c r="L92" s="15">
        <v>200</v>
      </c>
      <c r="M92" s="15">
        <v>200</v>
      </c>
      <c r="N92" s="15">
        <v>200</v>
      </c>
      <c r="O92" s="15">
        <v>100</v>
      </c>
      <c r="P92" s="15">
        <v>100</v>
      </c>
      <c r="Q92" s="15">
        <v>100</v>
      </c>
      <c r="R92" s="15">
        <v>50</v>
      </c>
      <c r="S92" s="15"/>
    </row>
    <row r="93" spans="1:19">
      <c r="A93" s="8"/>
      <c r="B93" s="15">
        <v>4</v>
      </c>
      <c r="C93" s="15">
        <v>2</v>
      </c>
      <c r="D93" s="11" t="s">
        <v>505</v>
      </c>
      <c r="E93" s="15">
        <v>380</v>
      </c>
      <c r="F93" s="11" t="s">
        <v>790</v>
      </c>
      <c r="G93" s="15">
        <v>210000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100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3</v>
      </c>
      <c r="D94" s="11" t="s">
        <v>506</v>
      </c>
      <c r="E94" s="15">
        <v>380</v>
      </c>
      <c r="F94" s="11" t="s">
        <v>791</v>
      </c>
      <c r="G94" s="15">
        <v>80000</v>
      </c>
      <c r="H94" s="15">
        <v>5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4</v>
      </c>
      <c r="D95" s="11" t="s">
        <v>507</v>
      </c>
      <c r="E95" s="15">
        <v>380</v>
      </c>
      <c r="F95" s="11" t="s">
        <v>792</v>
      </c>
      <c r="G95" s="15">
        <v>96000</v>
      </c>
      <c r="H95" s="15">
        <v>5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100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5</v>
      </c>
      <c r="D96" s="11" t="s">
        <v>508</v>
      </c>
      <c r="E96" s="15">
        <v>380</v>
      </c>
      <c r="F96" s="11" t="s">
        <v>790</v>
      </c>
      <c r="G96" s="15">
        <v>280000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150</v>
      </c>
      <c r="P96" s="15">
        <v>25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6</v>
      </c>
      <c r="D97" s="11" t="s">
        <v>509</v>
      </c>
      <c r="E97" s="15">
        <v>380</v>
      </c>
      <c r="F97" s="11" t="s">
        <v>793</v>
      </c>
      <c r="G97" s="15">
        <v>330000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25</v>
      </c>
      <c r="P97" s="15">
        <v>150</v>
      </c>
      <c r="Q97" s="15">
        <v>25</v>
      </c>
      <c r="R97" s="15">
        <v>100</v>
      </c>
      <c r="S97" s="15"/>
    </row>
    <row r="98" spans="1:19">
      <c r="A98" s="8"/>
      <c r="B98" s="15">
        <v>4</v>
      </c>
      <c r="C98" s="15">
        <v>7</v>
      </c>
      <c r="D98" s="11" t="s">
        <v>510</v>
      </c>
      <c r="E98" s="15">
        <v>380</v>
      </c>
      <c r="F98" s="11" t="s">
        <v>779</v>
      </c>
      <c r="G98" s="15">
        <v>300000</v>
      </c>
      <c r="H98" s="15">
        <v>5</v>
      </c>
      <c r="I98" s="15">
        <v>300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8</v>
      </c>
      <c r="D99" s="11" t="s">
        <v>511</v>
      </c>
      <c r="E99" s="15">
        <v>380</v>
      </c>
      <c r="F99" s="11" t="s">
        <v>794</v>
      </c>
      <c r="G99" s="15">
        <v>3000000</v>
      </c>
      <c r="H99" s="15">
        <v>8</v>
      </c>
      <c r="I99" s="15">
        <v>999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100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9</v>
      </c>
      <c r="D100" s="11" t="s">
        <v>512</v>
      </c>
      <c r="E100" s="15">
        <v>380</v>
      </c>
      <c r="F100" s="11" t="s">
        <v>795</v>
      </c>
      <c r="G100" s="15">
        <v>180000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150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10</v>
      </c>
      <c r="D101" s="11" t="s">
        <v>515</v>
      </c>
      <c r="E101" s="15">
        <v>380</v>
      </c>
      <c r="F101" s="11" t="s">
        <v>796</v>
      </c>
      <c r="G101" s="15">
        <v>650000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150</v>
      </c>
      <c r="Q101" s="15">
        <v>25</v>
      </c>
      <c r="R101" s="15">
        <v>100</v>
      </c>
      <c r="S101" s="15"/>
    </row>
    <row r="102" spans="1:19">
      <c r="A102" s="8"/>
      <c r="B102" s="15">
        <v>4</v>
      </c>
      <c r="C102" s="15">
        <v>11</v>
      </c>
      <c r="D102" s="11" t="s">
        <v>514</v>
      </c>
      <c r="E102" s="15">
        <v>380</v>
      </c>
      <c r="F102" s="11" t="s">
        <v>797</v>
      </c>
      <c r="G102" s="15">
        <v>1550000</v>
      </c>
      <c r="H102" s="15">
        <v>5</v>
      </c>
      <c r="I102" s="15">
        <v>300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50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12</v>
      </c>
      <c r="D103" s="11" t="s">
        <v>513</v>
      </c>
      <c r="E103" s="15">
        <v>380</v>
      </c>
      <c r="F103" s="11" t="s">
        <v>769</v>
      </c>
      <c r="G103" s="15">
        <v>13500000</v>
      </c>
      <c r="H103" s="15">
        <v>6</v>
      </c>
      <c r="I103" s="15">
        <v>999</v>
      </c>
      <c r="J103" s="15">
        <v>200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13</v>
      </c>
      <c r="D104" s="11" t="s">
        <v>566</v>
      </c>
      <c r="E104" s="15">
        <v>390</v>
      </c>
      <c r="F104" s="11" t="s">
        <v>762</v>
      </c>
      <c r="G104" s="15">
        <v>650000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200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14</v>
      </c>
      <c r="D105" s="11" t="s">
        <v>567</v>
      </c>
      <c r="E105" s="15">
        <v>390</v>
      </c>
      <c r="F105" s="11" t="s">
        <v>798</v>
      </c>
      <c r="G105" s="15">
        <v>1000000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150</v>
      </c>
      <c r="R105" s="15">
        <v>100</v>
      </c>
      <c r="S105" s="15"/>
    </row>
    <row r="106" spans="1:19">
      <c r="A106" s="8"/>
      <c r="B106" s="15">
        <v>4</v>
      </c>
      <c r="C106" s="15">
        <v>15</v>
      </c>
      <c r="D106" s="11" t="s">
        <v>568</v>
      </c>
      <c r="E106" s="15">
        <v>390</v>
      </c>
      <c r="F106" s="11" t="s">
        <v>799</v>
      </c>
      <c r="G106" s="15">
        <v>2000000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100</v>
      </c>
      <c r="P106" s="15">
        <v>250</v>
      </c>
      <c r="Q106" s="15">
        <v>50</v>
      </c>
      <c r="R106" s="15">
        <v>100</v>
      </c>
      <c r="S106" s="15"/>
    </row>
    <row r="107" spans="1:19">
      <c r="A107" s="8"/>
      <c r="B107" s="15">
        <v>4</v>
      </c>
      <c r="C107" s="15">
        <v>16</v>
      </c>
      <c r="D107" s="11" t="s">
        <v>569</v>
      </c>
      <c r="E107" s="15">
        <v>390</v>
      </c>
      <c r="F107" s="11" t="s">
        <v>795</v>
      </c>
      <c r="G107" s="15">
        <v>3000000</v>
      </c>
      <c r="H107" s="15">
        <v>6</v>
      </c>
      <c r="I107" s="15">
        <v>400</v>
      </c>
      <c r="J107" s="15">
        <v>100</v>
      </c>
      <c r="K107" s="15">
        <v>100</v>
      </c>
      <c r="L107" s="15">
        <v>100</v>
      </c>
      <c r="M107" s="15">
        <v>100</v>
      </c>
      <c r="N107" s="15">
        <v>250</v>
      </c>
      <c r="O107" s="15">
        <v>100</v>
      </c>
      <c r="P107" s="15">
        <v>100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17</v>
      </c>
      <c r="D108" s="11" t="s">
        <v>570</v>
      </c>
      <c r="E108" s="15">
        <v>390</v>
      </c>
      <c r="F108" s="11" t="s">
        <v>800</v>
      </c>
      <c r="G108" s="15">
        <v>950000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25</v>
      </c>
      <c r="N108" s="15">
        <v>150</v>
      </c>
      <c r="O108" s="15">
        <v>50</v>
      </c>
      <c r="P108" s="15">
        <v>100</v>
      </c>
      <c r="Q108" s="15">
        <v>150</v>
      </c>
      <c r="R108" s="15">
        <v>100</v>
      </c>
      <c r="S108" s="15"/>
    </row>
    <row r="109" spans="1:19">
      <c r="A109" s="8"/>
      <c r="B109" s="15">
        <v>4</v>
      </c>
      <c r="C109" s="15">
        <v>18</v>
      </c>
      <c r="D109" s="11" t="s">
        <v>615</v>
      </c>
      <c r="E109" s="15">
        <v>390</v>
      </c>
      <c r="F109" s="11" t="s">
        <v>801</v>
      </c>
      <c r="G109" s="15">
        <v>1490000</v>
      </c>
      <c r="H109" s="15">
        <v>2</v>
      </c>
      <c r="I109" s="15">
        <v>150</v>
      </c>
      <c r="J109" s="15">
        <v>100</v>
      </c>
      <c r="K109" s="15">
        <v>200</v>
      </c>
      <c r="L109" s="15">
        <v>100</v>
      </c>
      <c r="M109" s="15">
        <v>100</v>
      </c>
      <c r="N109" s="15">
        <v>100</v>
      </c>
      <c r="O109" s="15">
        <v>150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19</v>
      </c>
      <c r="D110" s="11" t="s">
        <v>616</v>
      </c>
      <c r="E110" s="15">
        <v>390</v>
      </c>
      <c r="F110" s="11" t="s">
        <v>802</v>
      </c>
      <c r="G110" s="15">
        <v>12200000</v>
      </c>
      <c r="H110" s="15">
        <v>6</v>
      </c>
      <c r="I110" s="15">
        <v>400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25</v>
      </c>
      <c r="Q110" s="15">
        <v>250</v>
      </c>
      <c r="R110" s="15">
        <v>100</v>
      </c>
      <c r="S110" s="15"/>
    </row>
    <row r="111" spans="1:19">
      <c r="A111" s="8"/>
      <c r="B111" s="15">
        <v>4</v>
      </c>
      <c r="C111" s="15">
        <v>20</v>
      </c>
      <c r="D111" s="11" t="s">
        <v>617</v>
      </c>
      <c r="E111" s="15">
        <v>390</v>
      </c>
      <c r="F111" s="11" t="s">
        <v>803</v>
      </c>
      <c r="G111" s="15">
        <v>2550000</v>
      </c>
      <c r="H111" s="15">
        <v>2</v>
      </c>
      <c r="I111" s="15">
        <v>150</v>
      </c>
      <c r="J111" s="15">
        <v>100</v>
      </c>
      <c r="K111" s="15">
        <v>100</v>
      </c>
      <c r="L111" s="15">
        <v>100</v>
      </c>
      <c r="M111" s="15">
        <v>100</v>
      </c>
      <c r="N111" s="15">
        <v>200</v>
      </c>
      <c r="O111" s="15">
        <v>100</v>
      </c>
      <c r="P111" s="15">
        <v>100</v>
      </c>
      <c r="Q111" s="15">
        <v>100</v>
      </c>
      <c r="R111" s="15">
        <v>50</v>
      </c>
      <c r="S111" s="15"/>
    </row>
    <row r="112" spans="1:19">
      <c r="A112" s="8"/>
      <c r="B112" s="15">
        <v>4</v>
      </c>
      <c r="C112" s="15">
        <v>21</v>
      </c>
      <c r="D112" s="11" t="s">
        <v>618</v>
      </c>
      <c r="E112" s="15">
        <v>390</v>
      </c>
      <c r="F112" s="11" t="s">
        <v>804</v>
      </c>
      <c r="G112" s="15">
        <v>3150000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</v>
      </c>
      <c r="P112" s="15">
        <v>25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22</v>
      </c>
      <c r="D113" s="11" t="s">
        <v>619</v>
      </c>
      <c r="E113" s="15">
        <v>390</v>
      </c>
      <c r="F113" s="11" t="s">
        <v>805</v>
      </c>
      <c r="G113" s="15">
        <v>470000</v>
      </c>
      <c r="H113" s="15">
        <v>2</v>
      </c>
      <c r="I113" s="15">
        <v>150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50</v>
      </c>
      <c r="P113" s="15">
        <v>100</v>
      </c>
      <c r="Q113" s="15">
        <v>250</v>
      </c>
      <c r="R113" s="15">
        <v>100</v>
      </c>
      <c r="S113" s="15"/>
    </row>
    <row r="114" spans="1:19">
      <c r="A114" s="8"/>
      <c r="B114" s="15">
        <v>4</v>
      </c>
      <c r="C114" s="15">
        <v>23</v>
      </c>
      <c r="D114" s="11" t="s">
        <v>815</v>
      </c>
      <c r="E114" s="15">
        <v>400</v>
      </c>
      <c r="F114" s="11" t="s">
        <v>812</v>
      </c>
      <c r="G114" s="15">
        <v>1600000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24</v>
      </c>
      <c r="D115" s="11" t="s">
        <v>816</v>
      </c>
      <c r="E115" s="15">
        <v>400</v>
      </c>
      <c r="F115" s="11" t="s">
        <v>790</v>
      </c>
      <c r="G115" s="15">
        <v>2040000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100</v>
      </c>
      <c r="O115" s="15">
        <v>100</v>
      </c>
      <c r="P115" s="15">
        <v>100</v>
      </c>
      <c r="Q115" s="15">
        <v>150</v>
      </c>
      <c r="R115" s="15">
        <v>100</v>
      </c>
      <c r="S115" s="15"/>
    </row>
    <row r="116" spans="1:19">
      <c r="A116" s="8"/>
      <c r="B116" s="15">
        <v>4</v>
      </c>
      <c r="C116" s="15">
        <v>25</v>
      </c>
      <c r="D116" s="11" t="s">
        <v>817</v>
      </c>
      <c r="E116" s="15">
        <v>400</v>
      </c>
      <c r="F116" s="11" t="s">
        <v>824</v>
      </c>
      <c r="G116" s="15">
        <v>56500000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250</v>
      </c>
      <c r="M116" s="15">
        <v>100</v>
      </c>
      <c r="N116" s="15">
        <v>100</v>
      </c>
      <c r="O116" s="15">
        <v>100</v>
      </c>
      <c r="P116" s="15">
        <v>250</v>
      </c>
      <c r="Q116" s="15">
        <v>25</v>
      </c>
      <c r="R116" s="15">
        <v>100</v>
      </c>
      <c r="S116" s="15"/>
    </row>
    <row r="117" spans="1:19">
      <c r="A117" s="8"/>
      <c r="B117" s="15">
        <v>4</v>
      </c>
      <c r="C117" s="15">
        <v>26</v>
      </c>
      <c r="D117" s="11" t="s">
        <v>818</v>
      </c>
      <c r="E117" s="15">
        <v>400</v>
      </c>
      <c r="F117" s="11" t="s">
        <v>786</v>
      </c>
      <c r="G117" s="15">
        <v>10400000</v>
      </c>
      <c r="H117" s="15">
        <v>6</v>
      </c>
      <c r="I117" s="15">
        <v>500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50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27</v>
      </c>
      <c r="D118" s="11" t="s">
        <v>819</v>
      </c>
      <c r="E118" s="15">
        <v>400</v>
      </c>
      <c r="F118" s="11" t="s">
        <v>825</v>
      </c>
      <c r="G118" s="15">
        <v>2800000</v>
      </c>
      <c r="H118" s="15">
        <v>2</v>
      </c>
      <c r="I118" s="15">
        <v>150</v>
      </c>
      <c r="J118" s="15">
        <v>100</v>
      </c>
      <c r="K118" s="15">
        <v>100</v>
      </c>
      <c r="L118" s="15">
        <v>250</v>
      </c>
      <c r="M118" s="15">
        <v>100</v>
      </c>
      <c r="N118" s="15">
        <v>100</v>
      </c>
      <c r="O118" s="15">
        <v>250</v>
      </c>
      <c r="P118" s="15">
        <v>100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28</v>
      </c>
      <c r="D119" s="11" t="s">
        <v>852</v>
      </c>
      <c r="E119" s="15">
        <v>400</v>
      </c>
      <c r="F119" s="11" t="s">
        <v>766</v>
      </c>
      <c r="G119" s="15">
        <v>38000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29</v>
      </c>
      <c r="D120" s="11" t="s">
        <v>853</v>
      </c>
      <c r="E120" s="15">
        <v>400</v>
      </c>
      <c r="F120" s="11" t="s">
        <v>858</v>
      </c>
      <c r="G120" s="15">
        <v>12500000</v>
      </c>
      <c r="H120" s="15">
        <v>2</v>
      </c>
      <c r="I120" s="15">
        <v>150</v>
      </c>
      <c r="J120" s="15">
        <v>100</v>
      </c>
      <c r="K120" s="15">
        <v>250</v>
      </c>
      <c r="L120" s="15">
        <v>100</v>
      </c>
      <c r="M120" s="15">
        <v>100</v>
      </c>
      <c r="N120" s="15">
        <v>100</v>
      </c>
      <c r="O120" s="15">
        <v>250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30</v>
      </c>
      <c r="D121" s="11" t="s">
        <v>854</v>
      </c>
      <c r="E121" s="15">
        <v>400</v>
      </c>
      <c r="F121" s="11" t="s">
        <v>797</v>
      </c>
      <c r="G121" s="15">
        <v>1600000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25</v>
      </c>
      <c r="P121" s="15">
        <v>100</v>
      </c>
      <c r="Q121" s="15">
        <v>150</v>
      </c>
      <c r="R121" s="15">
        <v>100</v>
      </c>
      <c r="S121" s="15"/>
    </row>
    <row r="122" spans="1:19">
      <c r="A122" s="8"/>
      <c r="B122" s="15">
        <v>4</v>
      </c>
      <c r="C122" s="15">
        <v>31</v>
      </c>
      <c r="D122" s="11" t="s">
        <v>855</v>
      </c>
      <c r="E122" s="15">
        <v>400</v>
      </c>
      <c r="F122" s="11" t="s">
        <v>858</v>
      </c>
      <c r="G122" s="15">
        <v>70000000</v>
      </c>
      <c r="H122" s="15">
        <v>6</v>
      </c>
      <c r="I122" s="15">
        <v>999</v>
      </c>
      <c r="J122" s="15">
        <v>250</v>
      </c>
      <c r="K122" s="15">
        <v>100</v>
      </c>
      <c r="L122" s="15">
        <v>100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32</v>
      </c>
      <c r="D123" s="11" t="s">
        <v>856</v>
      </c>
      <c r="E123" s="15">
        <v>400</v>
      </c>
      <c r="F123" s="11" t="s">
        <v>859</v>
      </c>
      <c r="G123" s="15">
        <v>4600000</v>
      </c>
      <c r="H123" s="15">
        <v>6</v>
      </c>
      <c r="I123" s="15">
        <v>700</v>
      </c>
      <c r="J123" s="15">
        <v>200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150</v>
      </c>
      <c r="Q123" s="15">
        <v>50</v>
      </c>
      <c r="R123" s="15">
        <v>100</v>
      </c>
      <c r="S123" s="15"/>
    </row>
    <row r="124" spans="1:19">
      <c r="A124" s="8"/>
      <c r="B124" s="15">
        <v>4</v>
      </c>
      <c r="C124" s="15">
        <v>33</v>
      </c>
      <c r="D124" s="11" t="s">
        <v>885</v>
      </c>
      <c r="E124" s="15">
        <v>410</v>
      </c>
      <c r="F124" s="11" t="s">
        <v>858</v>
      </c>
      <c r="G124" s="15">
        <v>6900000</v>
      </c>
      <c r="H124" s="15">
        <v>3</v>
      </c>
      <c r="I124" s="15">
        <v>200</v>
      </c>
      <c r="J124" s="15">
        <v>100</v>
      </c>
      <c r="K124" s="15">
        <v>100</v>
      </c>
      <c r="L124" s="15">
        <v>100</v>
      </c>
      <c r="M124" s="15">
        <v>250</v>
      </c>
      <c r="N124" s="15">
        <v>100</v>
      </c>
      <c r="O124" s="15">
        <v>100</v>
      </c>
      <c r="P124" s="15">
        <v>100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34</v>
      </c>
      <c r="D125" s="11" t="s">
        <v>886</v>
      </c>
      <c r="E125" s="15">
        <v>410</v>
      </c>
      <c r="F125" s="11" t="s">
        <v>894</v>
      </c>
      <c r="G125" s="15">
        <v>5300000</v>
      </c>
      <c r="H125" s="15">
        <v>2</v>
      </c>
      <c r="I125" s="15">
        <v>150</v>
      </c>
      <c r="J125" s="15">
        <v>250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35</v>
      </c>
      <c r="D126" s="11" t="s">
        <v>887</v>
      </c>
      <c r="E126" s="15">
        <v>410</v>
      </c>
      <c r="F126" s="11" t="s">
        <v>895</v>
      </c>
      <c r="G126" s="15">
        <v>2000000</v>
      </c>
      <c r="H126" s="15">
        <v>2</v>
      </c>
      <c r="I126" s="15">
        <v>150</v>
      </c>
      <c r="J126" s="15">
        <v>150</v>
      </c>
      <c r="K126" s="15">
        <v>150</v>
      </c>
      <c r="L126" s="15">
        <v>150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36</v>
      </c>
      <c r="D127" s="11" t="s">
        <v>888</v>
      </c>
      <c r="E127" s="15">
        <v>410</v>
      </c>
      <c r="F127" s="11" t="s">
        <v>798</v>
      </c>
      <c r="G127" s="15">
        <v>53500000</v>
      </c>
      <c r="H127" s="15">
        <v>6</v>
      </c>
      <c r="I127" s="15">
        <v>500</v>
      </c>
      <c r="J127" s="15">
        <v>100</v>
      </c>
      <c r="K127" s="15">
        <v>100</v>
      </c>
      <c r="L127" s="15">
        <v>250</v>
      </c>
      <c r="M127" s="15">
        <v>100</v>
      </c>
      <c r="N127" s="15">
        <v>100</v>
      </c>
      <c r="O127" s="15">
        <v>250</v>
      </c>
      <c r="P127" s="15">
        <v>25</v>
      </c>
      <c r="Q127" s="15">
        <v>100</v>
      </c>
      <c r="R127" s="15">
        <v>100</v>
      </c>
      <c r="S127" s="15"/>
    </row>
    <row r="128" spans="1:19">
      <c r="A128" s="8"/>
      <c r="B128" s="15">
        <v>4</v>
      </c>
      <c r="C128" s="15">
        <v>37</v>
      </c>
      <c r="D128" s="11" t="s">
        <v>889</v>
      </c>
      <c r="E128" s="15">
        <v>410</v>
      </c>
      <c r="F128" s="11" t="s">
        <v>812</v>
      </c>
      <c r="G128" s="15">
        <v>11000000</v>
      </c>
      <c r="H128" s="15">
        <v>6</v>
      </c>
      <c r="I128" s="15">
        <v>600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</v>
      </c>
      <c r="P128" s="15">
        <v>100</v>
      </c>
      <c r="Q128" s="15">
        <v>150</v>
      </c>
      <c r="R128" s="15">
        <v>100</v>
      </c>
      <c r="S128" s="15"/>
    </row>
    <row r="129" spans="1:19">
      <c r="A129" s="8"/>
      <c r="B129" s="15">
        <v>4</v>
      </c>
      <c r="C129" s="15">
        <v>38</v>
      </c>
      <c r="D129" s="11" t="s">
        <v>1756</v>
      </c>
      <c r="E129" s="15">
        <v>410</v>
      </c>
      <c r="F129" s="11" t="s">
        <v>804</v>
      </c>
      <c r="G129" s="15">
        <v>17000000</v>
      </c>
      <c r="H129" s="15">
        <v>5</v>
      </c>
      <c r="I129" s="15">
        <v>650</v>
      </c>
      <c r="J129" s="15">
        <v>100</v>
      </c>
      <c r="K129" s="15">
        <v>200</v>
      </c>
      <c r="L129" s="15">
        <v>100</v>
      </c>
      <c r="M129" s="15">
        <v>100</v>
      </c>
      <c r="N129" s="15">
        <v>100</v>
      </c>
      <c r="O129" s="15">
        <v>150</v>
      </c>
      <c r="P129" s="15">
        <v>100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39</v>
      </c>
      <c r="D130" s="11" t="s">
        <v>1757</v>
      </c>
      <c r="E130" s="15">
        <v>410</v>
      </c>
      <c r="F130" s="11" t="s">
        <v>1765</v>
      </c>
      <c r="G130" s="15">
        <v>1050000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250</v>
      </c>
      <c r="O130" s="15">
        <v>100</v>
      </c>
      <c r="P130" s="15">
        <v>250</v>
      </c>
      <c r="Q130" s="15">
        <v>25</v>
      </c>
      <c r="R130" s="15">
        <v>100</v>
      </c>
      <c r="S130" s="15"/>
    </row>
    <row r="131" spans="1:19">
      <c r="A131" s="8"/>
      <c r="B131" s="15">
        <v>4</v>
      </c>
      <c r="C131" s="15">
        <v>40</v>
      </c>
      <c r="D131" s="11" t="s">
        <v>1758</v>
      </c>
      <c r="E131" s="15">
        <v>410</v>
      </c>
      <c r="F131" s="11" t="s">
        <v>1766</v>
      </c>
      <c r="G131" s="15">
        <v>62500000</v>
      </c>
      <c r="H131" s="15">
        <v>5</v>
      </c>
      <c r="I131" s="15">
        <v>700</v>
      </c>
      <c r="J131" s="15">
        <v>100</v>
      </c>
      <c r="K131" s="15">
        <v>100</v>
      </c>
      <c r="L131" s="15">
        <v>100</v>
      </c>
      <c r="M131" s="15">
        <v>250</v>
      </c>
      <c r="N131" s="15">
        <v>100</v>
      </c>
      <c r="O131" s="15">
        <v>250</v>
      </c>
      <c r="P131" s="15">
        <v>50</v>
      </c>
      <c r="Q131" s="15">
        <v>100</v>
      </c>
      <c r="R131" s="15">
        <v>100</v>
      </c>
      <c r="S131" s="15"/>
    </row>
    <row r="132" spans="1:19">
      <c r="A132" s="8"/>
      <c r="B132" s="15">
        <v>4</v>
      </c>
      <c r="C132" s="15">
        <v>41</v>
      </c>
      <c r="D132" s="11" t="s">
        <v>1759</v>
      </c>
      <c r="E132" s="15">
        <v>410</v>
      </c>
      <c r="F132" s="11" t="s">
        <v>1767</v>
      </c>
      <c r="G132" s="15">
        <v>1380000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250</v>
      </c>
      <c r="O132" s="15">
        <v>100</v>
      </c>
      <c r="P132" s="15">
        <v>250</v>
      </c>
      <c r="Q132" s="15">
        <v>25</v>
      </c>
      <c r="R132" s="15">
        <v>100</v>
      </c>
      <c r="S132" s="15"/>
    </row>
    <row r="133" spans="1:19">
      <c r="A133" s="8"/>
      <c r="B133" s="15">
        <v>4</v>
      </c>
      <c r="C133" s="15">
        <v>42</v>
      </c>
      <c r="D133" s="11" t="s">
        <v>1760</v>
      </c>
      <c r="E133" s="15">
        <v>410</v>
      </c>
      <c r="F133" s="11" t="s">
        <v>1768</v>
      </c>
      <c r="G133" s="15">
        <v>3200000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250</v>
      </c>
      <c r="O133" s="15">
        <v>100</v>
      </c>
      <c r="P133" s="15">
        <v>250</v>
      </c>
      <c r="Q133" s="15">
        <v>25</v>
      </c>
      <c r="R133" s="15">
        <v>100</v>
      </c>
      <c r="S133" s="15"/>
    </row>
    <row r="134" spans="1:19">
      <c r="A134" s="8"/>
      <c r="B134" s="15">
        <v>4</v>
      </c>
      <c r="C134" s="15">
        <v>43</v>
      </c>
      <c r="D134" s="11" t="s">
        <v>1853</v>
      </c>
      <c r="E134" s="15">
        <v>420</v>
      </c>
      <c r="F134" s="11" t="s">
        <v>1859</v>
      </c>
      <c r="G134" s="15">
        <v>500000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100</v>
      </c>
      <c r="R134" s="15">
        <v>100</v>
      </c>
      <c r="S134" s="15"/>
    </row>
    <row r="135" spans="1:19">
      <c r="A135" s="8"/>
      <c r="B135" s="15">
        <v>4</v>
      </c>
      <c r="C135" s="15">
        <v>44</v>
      </c>
      <c r="D135" s="11" t="s">
        <v>1854</v>
      </c>
      <c r="E135" s="15">
        <v>420</v>
      </c>
      <c r="F135" s="11" t="s">
        <v>1863</v>
      </c>
      <c r="G135" s="15">
        <v>500000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250</v>
      </c>
      <c r="R135" s="15">
        <v>100</v>
      </c>
      <c r="S135" s="15"/>
    </row>
    <row r="136" spans="1:19">
      <c r="A136" s="8"/>
      <c r="B136" s="15">
        <v>4</v>
      </c>
      <c r="C136" s="15">
        <v>45</v>
      </c>
      <c r="D136" s="11" t="s">
        <v>1855</v>
      </c>
      <c r="E136" s="15">
        <v>420</v>
      </c>
      <c r="F136" s="11" t="s">
        <v>1864</v>
      </c>
      <c r="G136" s="15">
        <v>2500000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</v>
      </c>
      <c r="P136" s="15">
        <v>25</v>
      </c>
      <c r="Q136" s="15">
        <v>250</v>
      </c>
      <c r="R136" s="15">
        <v>100</v>
      </c>
      <c r="S136" s="15"/>
    </row>
    <row r="137" spans="1:19">
      <c r="A137" s="8"/>
      <c r="B137" s="15">
        <v>4</v>
      </c>
      <c r="C137" s="15">
        <v>46</v>
      </c>
      <c r="D137" s="11" t="s">
        <v>1856</v>
      </c>
      <c r="E137" s="15">
        <v>420</v>
      </c>
      <c r="F137" s="11" t="s">
        <v>1865</v>
      </c>
      <c r="G137" s="15">
        <v>15000000</v>
      </c>
      <c r="H137" s="15">
        <v>2</v>
      </c>
      <c r="I137" s="15">
        <v>150</v>
      </c>
      <c r="J137" s="15">
        <v>100</v>
      </c>
      <c r="K137" s="15">
        <v>100</v>
      </c>
      <c r="L137" s="15">
        <v>250</v>
      </c>
      <c r="M137" s="15">
        <v>100</v>
      </c>
      <c r="N137" s="15">
        <v>100</v>
      </c>
      <c r="O137" s="15">
        <v>50</v>
      </c>
      <c r="P137" s="15">
        <v>100</v>
      </c>
      <c r="Q137" s="15">
        <v>250</v>
      </c>
      <c r="R137" s="15">
        <v>100</v>
      </c>
      <c r="S137" s="15"/>
    </row>
    <row r="138" spans="1:19">
      <c r="A138" s="8"/>
      <c r="B138" s="15">
        <v>4</v>
      </c>
      <c r="C138" s="15">
        <v>47</v>
      </c>
      <c r="D138" s="11" t="s">
        <v>1857</v>
      </c>
      <c r="E138" s="15">
        <v>420</v>
      </c>
      <c r="F138" s="11" t="s">
        <v>1866</v>
      </c>
      <c r="G138" s="15">
        <v>1300000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250</v>
      </c>
      <c r="Q138" s="15">
        <v>100</v>
      </c>
      <c r="R138" s="15">
        <v>100</v>
      </c>
      <c r="S138" s="15"/>
    </row>
    <row r="139" spans="1:19">
      <c r="A139" s="8"/>
      <c r="B139" s="15">
        <v>4</v>
      </c>
      <c r="C139" s="15">
        <v>48</v>
      </c>
      <c r="D139" s="11" t="s">
        <v>1858</v>
      </c>
      <c r="E139" s="15">
        <v>420</v>
      </c>
      <c r="F139" s="11" t="s">
        <v>1866</v>
      </c>
      <c r="G139" s="15">
        <v>38000000</v>
      </c>
      <c r="H139" s="15">
        <v>5</v>
      </c>
      <c r="I139" s="15">
        <v>200</v>
      </c>
      <c r="J139" s="15">
        <v>100</v>
      </c>
      <c r="K139" s="15">
        <v>250</v>
      </c>
      <c r="L139" s="15">
        <v>100</v>
      </c>
      <c r="M139" s="15">
        <v>100</v>
      </c>
      <c r="N139" s="15">
        <v>100</v>
      </c>
      <c r="O139" s="15">
        <v>100</v>
      </c>
      <c r="P139" s="15">
        <v>250</v>
      </c>
      <c r="Q139" s="15">
        <v>50</v>
      </c>
      <c r="R139" s="15">
        <v>100</v>
      </c>
      <c r="S139" s="15"/>
    </row>
    <row r="140" spans="1:19">
      <c r="A140" s="8"/>
      <c r="B140" s="15">
        <v>4</v>
      </c>
      <c r="C140" s="15">
        <v>49</v>
      </c>
      <c r="D140" s="11" t="s">
        <v>2134</v>
      </c>
      <c r="E140" s="15">
        <v>420</v>
      </c>
      <c r="F140" s="11" t="s">
        <v>2116</v>
      </c>
      <c r="G140" s="15">
        <v>1500000</v>
      </c>
      <c r="H140" s="15">
        <v>2</v>
      </c>
      <c r="I140" s="15">
        <v>150</v>
      </c>
      <c r="J140" s="15">
        <v>250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50</v>
      </c>
      <c r="R140" s="15">
        <v>100</v>
      </c>
      <c r="S140" s="15"/>
    </row>
    <row r="141" spans="1:19">
      <c r="A141" s="8"/>
      <c r="B141" s="15">
        <v>4</v>
      </c>
      <c r="C141" s="15">
        <v>50</v>
      </c>
      <c r="D141" s="11" t="s">
        <v>2135</v>
      </c>
      <c r="E141" s="15">
        <v>420</v>
      </c>
      <c r="F141" s="11" t="s">
        <v>2117</v>
      </c>
      <c r="G141" s="15">
        <v>18500000</v>
      </c>
      <c r="H141" s="15">
        <v>6</v>
      </c>
      <c r="I141" s="15">
        <v>650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250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4</v>
      </c>
      <c r="C142" s="15">
        <v>51</v>
      </c>
      <c r="D142" s="11" t="s">
        <v>2136</v>
      </c>
      <c r="E142" s="15">
        <v>420</v>
      </c>
      <c r="F142" s="11" t="s">
        <v>2118</v>
      </c>
      <c r="G142" s="15">
        <v>2000000</v>
      </c>
      <c r="H142" s="15">
        <v>5</v>
      </c>
      <c r="I142" s="15">
        <v>350</v>
      </c>
      <c r="J142" s="15">
        <v>100</v>
      </c>
      <c r="K142" s="15">
        <v>25</v>
      </c>
      <c r="L142" s="15">
        <v>150</v>
      </c>
      <c r="M142" s="15">
        <v>100</v>
      </c>
      <c r="N142" s="15">
        <v>100</v>
      </c>
      <c r="O142" s="15">
        <v>100</v>
      </c>
      <c r="P142" s="15">
        <v>150</v>
      </c>
      <c r="Q142" s="15">
        <v>50</v>
      </c>
      <c r="R142" s="15">
        <v>100</v>
      </c>
      <c r="S142" s="15"/>
    </row>
    <row r="143" spans="1:19">
      <c r="A143" s="8"/>
      <c r="B143" s="15">
        <v>4</v>
      </c>
      <c r="C143" s="15">
        <v>52</v>
      </c>
      <c r="D143" s="11" t="s">
        <v>2137</v>
      </c>
      <c r="E143" s="15">
        <v>420</v>
      </c>
      <c r="F143" s="11" t="s">
        <v>2119</v>
      </c>
      <c r="G143" s="15">
        <v>28000000</v>
      </c>
      <c r="H143" s="15">
        <v>3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250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5</v>
      </c>
      <c r="C144" s="15">
        <v>1</v>
      </c>
      <c r="D144" s="11" t="s">
        <v>556</v>
      </c>
      <c r="E144" s="15">
        <v>280</v>
      </c>
      <c r="F144" s="11" t="s">
        <v>772</v>
      </c>
      <c r="G144" s="15">
        <v>42000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75</v>
      </c>
      <c r="S144" s="15"/>
    </row>
    <row r="145" spans="1:19">
      <c r="A145" s="8"/>
      <c r="B145" s="15">
        <v>5</v>
      </c>
      <c r="C145" s="15">
        <v>2</v>
      </c>
      <c r="D145" s="11" t="s">
        <v>557</v>
      </c>
      <c r="E145" s="15">
        <v>300</v>
      </c>
      <c r="F145" s="11" t="s">
        <v>806</v>
      </c>
      <c r="G145" s="15">
        <v>26000</v>
      </c>
      <c r="H145" s="15">
        <v>2</v>
      </c>
      <c r="I145" s="15">
        <v>150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75</v>
      </c>
      <c r="S145" s="15"/>
    </row>
    <row r="146" spans="1:19">
      <c r="A146" s="8"/>
      <c r="B146" s="15">
        <v>5</v>
      </c>
      <c r="C146" s="15">
        <v>3</v>
      </c>
      <c r="D146" s="11" t="s">
        <v>558</v>
      </c>
      <c r="E146" s="15">
        <v>310</v>
      </c>
      <c r="F146" s="11" t="s">
        <v>807</v>
      </c>
      <c r="G146" s="15">
        <v>47000</v>
      </c>
      <c r="H146" s="15">
        <v>2</v>
      </c>
      <c r="I146" s="15">
        <v>150</v>
      </c>
      <c r="J146" s="15">
        <v>200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75</v>
      </c>
      <c r="S146" s="15"/>
    </row>
    <row r="147" spans="1:19">
      <c r="A147" s="8"/>
      <c r="B147" s="15">
        <v>5</v>
      </c>
      <c r="C147" s="15">
        <v>4</v>
      </c>
      <c r="D147" s="11" t="s">
        <v>2146</v>
      </c>
      <c r="E147" s="15">
        <v>265</v>
      </c>
      <c r="F147" s="11" t="s">
        <v>2147</v>
      </c>
      <c r="G147" s="15">
        <v>53000</v>
      </c>
      <c r="H147" s="15">
        <v>2</v>
      </c>
      <c r="I147" s="15">
        <v>150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</v>
      </c>
      <c r="P147" s="15">
        <v>100</v>
      </c>
      <c r="Q147" s="15">
        <v>150</v>
      </c>
      <c r="R147" s="15">
        <v>100</v>
      </c>
      <c r="S147" s="15"/>
    </row>
    <row r="148" spans="1:19">
      <c r="A148" s="8"/>
      <c r="B148" s="15">
        <v>5</v>
      </c>
      <c r="C148" s="15">
        <v>5</v>
      </c>
      <c r="D148" s="11" t="s">
        <v>559</v>
      </c>
      <c r="E148" s="15">
        <v>320</v>
      </c>
      <c r="F148" s="11" t="s">
        <v>778</v>
      </c>
      <c r="G148" s="15">
        <v>56000</v>
      </c>
      <c r="H148" s="15">
        <v>2</v>
      </c>
      <c r="I148" s="15">
        <v>150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50</v>
      </c>
      <c r="S148" s="15"/>
    </row>
    <row r="149" spans="1:19">
      <c r="A149" s="8"/>
      <c r="B149" s="15">
        <v>5</v>
      </c>
      <c r="C149" s="15">
        <v>6</v>
      </c>
      <c r="D149" s="11" t="s">
        <v>560</v>
      </c>
      <c r="E149" s="15">
        <v>330</v>
      </c>
      <c r="F149" s="11" t="s">
        <v>807</v>
      </c>
      <c r="G149" s="15">
        <v>47000</v>
      </c>
      <c r="H149" s="15">
        <v>2</v>
      </c>
      <c r="I149" s="15">
        <v>150</v>
      </c>
      <c r="J149" s="15">
        <v>100</v>
      </c>
      <c r="K149" s="15">
        <v>100</v>
      </c>
      <c r="L149" s="15">
        <v>200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50</v>
      </c>
      <c r="S149" s="15"/>
    </row>
    <row r="150" spans="1:19">
      <c r="A150" s="8"/>
      <c r="B150" s="15">
        <v>5</v>
      </c>
      <c r="C150" s="15">
        <v>7</v>
      </c>
      <c r="D150" s="11" t="s">
        <v>2145</v>
      </c>
      <c r="E150" s="15">
        <v>265</v>
      </c>
      <c r="F150" s="11" t="s">
        <v>785</v>
      </c>
      <c r="G150" s="15">
        <v>76000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25</v>
      </c>
      <c r="P150" s="15">
        <v>100</v>
      </c>
      <c r="Q150" s="15">
        <v>150</v>
      </c>
      <c r="R150" s="15">
        <v>100</v>
      </c>
      <c r="S150" s="15"/>
    </row>
    <row r="151" spans="1:19">
      <c r="A151" s="8"/>
      <c r="B151" s="15">
        <v>5</v>
      </c>
      <c r="C151" s="15">
        <v>8</v>
      </c>
      <c r="D151" s="11" t="s">
        <v>561</v>
      </c>
      <c r="E151" s="15">
        <v>340</v>
      </c>
      <c r="F151" s="11" t="s">
        <v>807</v>
      </c>
      <c r="G151" s="15">
        <v>47000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200</v>
      </c>
      <c r="N151" s="15">
        <v>100</v>
      </c>
      <c r="O151" s="15">
        <v>100</v>
      </c>
      <c r="P151" s="15">
        <v>100</v>
      </c>
      <c r="Q151" s="15">
        <v>100</v>
      </c>
      <c r="R151" s="15">
        <v>50</v>
      </c>
      <c r="S151" s="15"/>
    </row>
    <row r="152" spans="1:19">
      <c r="A152" s="8"/>
      <c r="B152" s="15">
        <v>5</v>
      </c>
      <c r="C152" s="15">
        <v>9</v>
      </c>
      <c r="D152" s="11" t="s">
        <v>562</v>
      </c>
      <c r="E152" s="15">
        <v>345</v>
      </c>
      <c r="F152" s="11" t="s">
        <v>807</v>
      </c>
      <c r="G152" s="15">
        <v>47000</v>
      </c>
      <c r="H152" s="15">
        <v>2</v>
      </c>
      <c r="I152" s="15">
        <v>150</v>
      </c>
      <c r="J152" s="15">
        <v>100</v>
      </c>
      <c r="K152" s="15">
        <v>200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50</v>
      </c>
      <c r="S152" s="15"/>
    </row>
    <row r="153" spans="1:19">
      <c r="A153" s="8"/>
      <c r="B153" s="15">
        <v>5</v>
      </c>
      <c r="C153" s="15">
        <v>10</v>
      </c>
      <c r="D153" s="11" t="s">
        <v>563</v>
      </c>
      <c r="E153" s="15">
        <v>350</v>
      </c>
      <c r="F153" s="11" t="s">
        <v>780</v>
      </c>
      <c r="G153" s="15">
        <v>68000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50</v>
      </c>
      <c r="S153" s="15"/>
    </row>
    <row r="154" spans="1:19">
      <c r="A154" s="8"/>
      <c r="B154" s="15">
        <v>5</v>
      </c>
      <c r="C154" s="15">
        <v>11</v>
      </c>
      <c r="D154" s="11" t="s">
        <v>564</v>
      </c>
      <c r="E154" s="15">
        <v>360</v>
      </c>
      <c r="F154" s="11" t="s">
        <v>758</v>
      </c>
      <c r="G154" s="15">
        <v>300000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25</v>
      </c>
      <c r="S154" s="15"/>
    </row>
    <row r="155" spans="1:19">
      <c r="A155" s="8"/>
      <c r="B155" s="15">
        <v>5</v>
      </c>
      <c r="C155" s="15">
        <v>12</v>
      </c>
      <c r="D155" s="11" t="s">
        <v>565</v>
      </c>
      <c r="E155" s="15">
        <v>360</v>
      </c>
      <c r="F155" s="11" t="s">
        <v>759</v>
      </c>
      <c r="G155" s="15">
        <v>1200000</v>
      </c>
      <c r="H155" s="15">
        <v>8</v>
      </c>
      <c r="I155" s="15">
        <v>700</v>
      </c>
      <c r="J155" s="15">
        <v>100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25</v>
      </c>
      <c r="S155" s="15"/>
    </row>
    <row r="156" spans="1:19">
      <c r="A156" s="8"/>
      <c r="B156" s="15">
        <v>6</v>
      </c>
      <c r="C156" s="15">
        <v>1</v>
      </c>
      <c r="D156" s="11" t="s">
        <v>71</v>
      </c>
      <c r="E156" s="15">
        <v>430</v>
      </c>
      <c r="F156" s="11" t="s">
        <v>1630</v>
      </c>
      <c r="G156" s="15">
        <v>900000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48</v>
      </c>
    </row>
    <row r="157" spans="1:19">
      <c r="A157" s="8"/>
      <c r="B157" s="15">
        <v>6</v>
      </c>
      <c r="C157" s="15">
        <v>2</v>
      </c>
      <c r="D157" s="11" t="s">
        <v>69</v>
      </c>
      <c r="E157" s="15">
        <v>430</v>
      </c>
      <c r="F157" s="11" t="s">
        <v>1631</v>
      </c>
      <c r="G157" s="15">
        <v>1000000</v>
      </c>
      <c r="H157" s="15">
        <v>5</v>
      </c>
      <c r="I157" s="15">
        <v>300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48</v>
      </c>
    </row>
    <row r="158" spans="1:19">
      <c r="A158" s="8"/>
      <c r="B158" s="15">
        <v>6</v>
      </c>
      <c r="C158" s="15">
        <v>3</v>
      </c>
      <c r="D158" s="11" t="s">
        <v>1691</v>
      </c>
      <c r="E158" s="15">
        <v>430</v>
      </c>
      <c r="F158" s="11" t="s">
        <v>1630</v>
      </c>
      <c r="G158" s="15">
        <v>1000000</v>
      </c>
      <c r="H158" s="15">
        <v>5</v>
      </c>
      <c r="I158" s="15">
        <v>300</v>
      </c>
      <c r="J158" s="15">
        <v>100</v>
      </c>
      <c r="K158" s="15">
        <v>250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49</v>
      </c>
    </row>
    <row r="159" spans="1:19">
      <c r="A159" s="8"/>
      <c r="B159" s="15">
        <v>6</v>
      </c>
      <c r="C159" s="15">
        <v>4</v>
      </c>
      <c r="D159" s="11" t="s">
        <v>1690</v>
      </c>
      <c r="E159" s="15">
        <v>340</v>
      </c>
      <c r="F159" s="11" t="s">
        <v>1693</v>
      </c>
      <c r="G159" s="15">
        <v>1700000</v>
      </c>
      <c r="H159" s="15">
        <v>5</v>
      </c>
      <c r="I159" s="15">
        <v>300</v>
      </c>
      <c r="J159" s="15">
        <v>100</v>
      </c>
      <c r="K159" s="15">
        <v>100</v>
      </c>
      <c r="L159" s="15">
        <v>100</v>
      </c>
      <c r="M159" s="15">
        <v>250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50</v>
      </c>
    </row>
    <row r="160" spans="1:19">
      <c r="A160" s="8"/>
      <c r="B160" s="15">
        <v>6</v>
      </c>
      <c r="C160" s="15">
        <v>5</v>
      </c>
      <c r="D160" s="11" t="s">
        <v>208</v>
      </c>
      <c r="E160" s="15">
        <v>340</v>
      </c>
      <c r="F160" s="11" t="s">
        <v>1762</v>
      </c>
      <c r="G160" s="15">
        <v>2905000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>
        <v>51</v>
      </c>
    </row>
    <row r="161" spans="1:19">
      <c r="A161" s="8"/>
      <c r="B161" s="15">
        <v>6</v>
      </c>
      <c r="C161" s="15">
        <v>6</v>
      </c>
      <c r="D161" s="11" t="s">
        <v>1821</v>
      </c>
      <c r="E161" s="15">
        <v>340</v>
      </c>
      <c r="F161" s="11" t="s">
        <v>1630</v>
      </c>
      <c r="G161" s="15">
        <v>1000000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250</v>
      </c>
      <c r="O161" s="15">
        <v>100</v>
      </c>
      <c r="P161" s="15">
        <v>100</v>
      </c>
      <c r="Q161" s="15">
        <v>150</v>
      </c>
      <c r="R161" s="15">
        <v>100</v>
      </c>
      <c r="S161" s="15">
        <v>52</v>
      </c>
    </row>
    <row r="162" spans="1:19">
      <c r="A162" s="8"/>
      <c r="B162" s="15">
        <v>6</v>
      </c>
      <c r="C162" s="15">
        <v>7</v>
      </c>
      <c r="D162" s="11" t="s">
        <v>1868</v>
      </c>
      <c r="E162" s="15">
        <v>340</v>
      </c>
      <c r="F162" s="11" t="s">
        <v>2120</v>
      </c>
      <c r="G162" s="15">
        <v>6900000</v>
      </c>
      <c r="H162" s="15">
        <v>6</v>
      </c>
      <c r="I162" s="15">
        <v>500</v>
      </c>
      <c r="J162" s="15">
        <v>100</v>
      </c>
      <c r="K162" s="15">
        <v>100</v>
      </c>
      <c r="L162" s="15">
        <v>250</v>
      </c>
      <c r="M162" s="15">
        <v>100</v>
      </c>
      <c r="N162" s="15">
        <v>100</v>
      </c>
      <c r="O162" s="15">
        <v>100</v>
      </c>
      <c r="P162" s="15">
        <v>150</v>
      </c>
      <c r="Q162" s="15">
        <v>150</v>
      </c>
      <c r="R162" s="15">
        <v>100</v>
      </c>
      <c r="S162" s="15">
        <v>53</v>
      </c>
    </row>
    <row r="163" spans="1:19">
      <c r="A163" s="8"/>
      <c r="B163" s="15">
        <v>6</v>
      </c>
      <c r="C163" s="15">
        <v>8</v>
      </c>
      <c r="D163" s="11" t="s">
        <v>2038</v>
      </c>
      <c r="E163" s="15">
        <v>300</v>
      </c>
      <c r="F163" s="11" t="s">
        <v>2121</v>
      </c>
      <c r="G163" s="15">
        <v>60000</v>
      </c>
      <c r="H163" s="15">
        <v>5</v>
      </c>
      <c r="I163" s="15">
        <v>500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>
        <v>54</v>
      </c>
    </row>
    <row r="164" spans="1:19">
      <c r="A164" s="8"/>
      <c r="B164" s="15">
        <v>6</v>
      </c>
      <c r="C164" s="15">
        <v>9</v>
      </c>
      <c r="D164" s="11" t="s">
        <v>2039</v>
      </c>
      <c r="E164" s="15">
        <v>300</v>
      </c>
      <c r="F164" s="11" t="s">
        <v>2121</v>
      </c>
      <c r="G164" s="15">
        <v>60000</v>
      </c>
      <c r="H164" s="15">
        <v>5</v>
      </c>
      <c r="I164" s="15">
        <v>500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>
        <v>54</v>
      </c>
    </row>
    <row r="165" spans="1:19">
      <c r="A165" s="8"/>
      <c r="B165" s="15">
        <v>6</v>
      </c>
      <c r="C165" s="15">
        <v>10</v>
      </c>
      <c r="D165" s="11" t="s">
        <v>2060</v>
      </c>
      <c r="E165" s="15">
        <v>300</v>
      </c>
      <c r="F165" s="11" t="s">
        <v>2122</v>
      </c>
      <c r="G165" s="15">
        <v>7200000</v>
      </c>
      <c r="H165" s="15">
        <v>5</v>
      </c>
      <c r="I165" s="15">
        <v>500</v>
      </c>
      <c r="J165" s="15">
        <v>250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>
        <v>55</v>
      </c>
    </row>
    <row r="166" spans="1:19">
      <c r="A166" s="8"/>
      <c r="B166" s="15">
        <v>6</v>
      </c>
      <c r="C166" s="15">
        <v>11</v>
      </c>
      <c r="D166" s="11" t="s">
        <v>2112</v>
      </c>
      <c r="E166" s="15">
        <v>300</v>
      </c>
      <c r="F166" s="11" t="s">
        <v>2138</v>
      </c>
      <c r="G166" s="15">
        <v>13455000</v>
      </c>
      <c r="H166" s="15">
        <v>6</v>
      </c>
      <c r="I166" s="15">
        <v>700</v>
      </c>
      <c r="J166" s="15">
        <v>100</v>
      </c>
      <c r="K166" s="15">
        <v>100</v>
      </c>
      <c r="L166" s="15">
        <v>250</v>
      </c>
      <c r="M166" s="15">
        <v>100</v>
      </c>
      <c r="N166" s="15">
        <v>250</v>
      </c>
      <c r="O166" s="15">
        <v>100</v>
      </c>
      <c r="P166" s="15">
        <v>100</v>
      </c>
      <c r="Q166" s="15">
        <v>100</v>
      </c>
      <c r="R166" s="15">
        <v>100</v>
      </c>
      <c r="S166" s="15">
        <v>56</v>
      </c>
    </row>
    <row r="167" spans="1:19">
      <c r="A167" s="8"/>
      <c r="B167" s="15">
        <v>6</v>
      </c>
      <c r="C167" s="15">
        <v>12</v>
      </c>
      <c r="D167" s="11" t="s">
        <v>2161</v>
      </c>
      <c r="E167" s="15">
        <v>300</v>
      </c>
      <c r="F167" s="11" t="s">
        <v>2164</v>
      </c>
      <c r="G167" s="15">
        <v>7050500</v>
      </c>
      <c r="H167" s="15">
        <v>5</v>
      </c>
      <c r="I167" s="15">
        <v>300</v>
      </c>
      <c r="J167" s="15">
        <v>100</v>
      </c>
      <c r="K167" s="15">
        <v>100</v>
      </c>
      <c r="L167" s="15">
        <v>100</v>
      </c>
      <c r="M167" s="15">
        <v>5</v>
      </c>
      <c r="N167" s="15">
        <v>250</v>
      </c>
      <c r="O167" s="15">
        <v>100</v>
      </c>
      <c r="P167" s="15">
        <v>100</v>
      </c>
      <c r="Q167" s="15">
        <v>100</v>
      </c>
      <c r="R167" s="15">
        <v>100</v>
      </c>
      <c r="S167" s="15">
        <v>57</v>
      </c>
    </row>
    <row r="168" spans="1:19">
      <c r="A168" s="8"/>
      <c r="B168" s="15">
        <v>7</v>
      </c>
      <c r="C168" s="15">
        <v>1</v>
      </c>
      <c r="D168" s="11" t="s">
        <v>581</v>
      </c>
      <c r="E168" s="15">
        <v>400</v>
      </c>
      <c r="F168" s="11" t="s">
        <v>808</v>
      </c>
      <c r="G168" s="15">
        <v>235000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</v>
      </c>
      <c r="S168" s="15"/>
    </row>
    <row r="169" spans="1:19">
      <c r="A169" s="8"/>
      <c r="B169" s="15">
        <v>7</v>
      </c>
      <c r="C169" s="15">
        <v>2</v>
      </c>
      <c r="D169" s="11" t="s">
        <v>582</v>
      </c>
      <c r="E169" s="15">
        <v>380</v>
      </c>
      <c r="F169" s="11" t="s">
        <v>809</v>
      </c>
      <c r="G169" s="15">
        <v>175000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</v>
      </c>
      <c r="S169" s="15"/>
    </row>
    <row r="170" spans="1:19">
      <c r="A170" s="8"/>
      <c r="B170" s="15">
        <v>7</v>
      </c>
      <c r="C170" s="15">
        <v>3</v>
      </c>
      <c r="D170" s="11" t="s">
        <v>583</v>
      </c>
      <c r="E170" s="15">
        <v>360</v>
      </c>
      <c r="F170" s="11" t="s">
        <v>810</v>
      </c>
      <c r="G170" s="15">
        <v>124000</v>
      </c>
      <c r="H170" s="15">
        <v>5</v>
      </c>
      <c r="I170" s="15">
        <v>300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</v>
      </c>
      <c r="S170" s="15"/>
    </row>
    <row r="171" spans="1:19">
      <c r="A171" s="8"/>
      <c r="B171" s="15">
        <v>7</v>
      </c>
      <c r="C171" s="15">
        <v>4</v>
      </c>
      <c r="D171" s="11" t="s">
        <v>584</v>
      </c>
      <c r="E171" s="15">
        <v>340</v>
      </c>
      <c r="F171" s="11" t="s">
        <v>811</v>
      </c>
      <c r="G171" s="15">
        <v>82500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</v>
      </c>
      <c r="S171" s="15"/>
    </row>
    <row r="172" spans="1:19">
      <c r="A172" s="8"/>
      <c r="B172" s="15">
        <v>8</v>
      </c>
      <c r="C172" s="15">
        <v>1</v>
      </c>
      <c r="D172" s="11" t="s">
        <v>882</v>
      </c>
      <c r="E172" s="15">
        <v>355</v>
      </c>
      <c r="F172" s="11" t="s">
        <v>899</v>
      </c>
      <c r="G172" s="15">
        <v>238600</v>
      </c>
      <c r="H172" s="15">
        <v>5</v>
      </c>
      <c r="I172" s="15">
        <v>300</v>
      </c>
      <c r="J172" s="15">
        <v>250</v>
      </c>
      <c r="K172" s="15">
        <v>100</v>
      </c>
      <c r="L172" s="15">
        <v>100</v>
      </c>
      <c r="M172" s="15">
        <v>250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8</v>
      </c>
      <c r="C173" s="15">
        <v>2</v>
      </c>
      <c r="D173" s="11" t="s">
        <v>884</v>
      </c>
      <c r="E173" s="15">
        <v>355</v>
      </c>
      <c r="F173" s="11" t="s">
        <v>898</v>
      </c>
      <c r="G173" s="15">
        <v>2164700</v>
      </c>
      <c r="H173" s="15">
        <v>5</v>
      </c>
      <c r="I173" s="15">
        <v>300</v>
      </c>
      <c r="J173" s="15">
        <v>250</v>
      </c>
      <c r="K173" s="15">
        <v>100</v>
      </c>
      <c r="L173" s="15">
        <v>100</v>
      </c>
      <c r="M173" s="15">
        <v>250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8</v>
      </c>
      <c r="C174" s="15">
        <v>3</v>
      </c>
      <c r="D174" s="11" t="s">
        <v>881</v>
      </c>
      <c r="E174" s="15">
        <v>370</v>
      </c>
      <c r="F174" s="11" t="s">
        <v>897</v>
      </c>
      <c r="G174" s="15">
        <v>320900</v>
      </c>
      <c r="H174" s="15">
        <v>5</v>
      </c>
      <c r="I174" s="15">
        <v>300</v>
      </c>
      <c r="J174" s="15">
        <v>250</v>
      </c>
      <c r="K174" s="15">
        <v>100</v>
      </c>
      <c r="L174" s="15">
        <v>100</v>
      </c>
      <c r="M174" s="15">
        <v>250</v>
      </c>
      <c r="N174" s="15">
        <v>100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8</v>
      </c>
      <c r="C175" s="15">
        <v>4</v>
      </c>
      <c r="D175" s="11" t="s">
        <v>883</v>
      </c>
      <c r="E175" s="15">
        <v>370</v>
      </c>
      <c r="F175" s="11" t="s">
        <v>896</v>
      </c>
      <c r="G175" s="15">
        <v>2911200</v>
      </c>
      <c r="H175" s="15">
        <v>5</v>
      </c>
      <c r="I175" s="15">
        <v>300</v>
      </c>
      <c r="J175" s="15">
        <v>250</v>
      </c>
      <c r="K175" s="15">
        <v>100</v>
      </c>
      <c r="L175" s="15">
        <v>100</v>
      </c>
      <c r="M175" s="15">
        <v>250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8</v>
      </c>
      <c r="C176" s="15">
        <v>5</v>
      </c>
      <c r="D176" s="11" t="s">
        <v>720</v>
      </c>
      <c r="E176" s="15">
        <v>330</v>
      </c>
      <c r="F176" s="11" t="s">
        <v>812</v>
      </c>
      <c r="G176" s="15">
        <v>4000000</v>
      </c>
      <c r="H176" s="15">
        <v>5</v>
      </c>
      <c r="I176" s="15">
        <v>999</v>
      </c>
      <c r="J176" s="15">
        <v>250</v>
      </c>
      <c r="K176" s="15">
        <v>250</v>
      </c>
      <c r="L176" s="15">
        <v>250</v>
      </c>
      <c r="M176" s="15">
        <v>250</v>
      </c>
      <c r="N176" s="15">
        <v>250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8</v>
      </c>
      <c r="C177" s="15">
        <v>6</v>
      </c>
      <c r="D177" s="11" t="s">
        <v>719</v>
      </c>
      <c r="E177" s="15">
        <v>340</v>
      </c>
      <c r="F177" s="11" t="s">
        <v>789</v>
      </c>
      <c r="G177" s="15">
        <v>10000000</v>
      </c>
      <c r="H177" s="15">
        <v>5</v>
      </c>
      <c r="I177" s="15">
        <v>999</v>
      </c>
      <c r="J177" s="15">
        <v>250</v>
      </c>
      <c r="K177" s="15">
        <v>250</v>
      </c>
      <c r="L177" s="15">
        <v>250</v>
      </c>
      <c r="M177" s="15">
        <v>250</v>
      </c>
      <c r="N177" s="15">
        <v>250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8</v>
      </c>
      <c r="C178" s="15">
        <v>7</v>
      </c>
      <c r="D178" s="11" t="s">
        <v>2123</v>
      </c>
      <c r="E178" s="15">
        <v>355</v>
      </c>
      <c r="F178" s="11" t="s">
        <v>1867</v>
      </c>
      <c r="G178" s="15">
        <v>4000000</v>
      </c>
      <c r="H178" s="15">
        <v>5</v>
      </c>
      <c r="I178" s="15">
        <v>300</v>
      </c>
      <c r="J178" s="15">
        <v>250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8</v>
      </c>
      <c r="C179" s="15">
        <v>8</v>
      </c>
      <c r="D179" s="11" t="s">
        <v>2124</v>
      </c>
      <c r="E179" s="15">
        <v>370</v>
      </c>
      <c r="F179" s="11" t="s">
        <v>796</v>
      </c>
      <c r="G179" s="15">
        <v>8500000</v>
      </c>
      <c r="H179" s="15">
        <v>5</v>
      </c>
      <c r="I179" s="15">
        <v>300</v>
      </c>
      <c r="J179" s="15">
        <v>250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</v>
      </c>
      <c r="C180" s="15">
        <v>1</v>
      </c>
      <c r="D180" s="11" t="s">
        <v>845</v>
      </c>
      <c r="E180" s="15">
        <v>290</v>
      </c>
      <c r="F180" s="11" t="s">
        <v>834</v>
      </c>
      <c r="G180" s="15">
        <v>4500000</v>
      </c>
      <c r="H180" s="15">
        <v>5</v>
      </c>
      <c r="I180" s="15">
        <v>400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150</v>
      </c>
      <c r="P180" s="15">
        <v>50</v>
      </c>
      <c r="Q180" s="15">
        <v>100</v>
      </c>
      <c r="R180" s="15">
        <v>100</v>
      </c>
      <c r="S180" s="15"/>
    </row>
    <row r="181" spans="1:19">
      <c r="A181" s="8"/>
      <c r="B181" s="15">
        <v>9</v>
      </c>
      <c r="C181" s="15">
        <v>2</v>
      </c>
      <c r="D181" s="11" t="s">
        <v>846</v>
      </c>
      <c r="E181" s="15">
        <v>360</v>
      </c>
      <c r="F181" s="11" t="s">
        <v>835</v>
      </c>
      <c r="G181" s="15">
        <v>12000000</v>
      </c>
      <c r="H181" s="15">
        <v>5</v>
      </c>
      <c r="I181" s="15">
        <v>300</v>
      </c>
      <c r="J181" s="15">
        <v>250</v>
      </c>
      <c r="K181" s="15">
        <v>250</v>
      </c>
      <c r="L181" s="15">
        <v>250</v>
      </c>
      <c r="M181" s="15">
        <v>250</v>
      </c>
      <c r="N181" s="15">
        <v>250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</v>
      </c>
      <c r="C182" s="15">
        <v>3</v>
      </c>
      <c r="D182" s="11" t="s">
        <v>1653</v>
      </c>
      <c r="E182" s="15">
        <v>400</v>
      </c>
      <c r="F182" s="11" t="s">
        <v>1654</v>
      </c>
      <c r="G182" s="15">
        <v>42000000</v>
      </c>
      <c r="H182" s="15">
        <v>5</v>
      </c>
      <c r="I182" s="15">
        <v>700</v>
      </c>
      <c r="J182" s="15">
        <v>100</v>
      </c>
      <c r="K182" s="15">
        <v>400</v>
      </c>
      <c r="L182" s="15">
        <v>100</v>
      </c>
      <c r="M182" s="15">
        <v>100</v>
      </c>
      <c r="N182" s="15">
        <v>400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</v>
      </c>
      <c r="C183" s="15">
        <v>4</v>
      </c>
      <c r="D183" s="11" t="s">
        <v>2132</v>
      </c>
      <c r="E183" s="15">
        <v>400</v>
      </c>
      <c r="F183" s="11" t="s">
        <v>2139</v>
      </c>
      <c r="G183" s="15">
        <v>15000000</v>
      </c>
      <c r="H183" s="15">
        <v>5</v>
      </c>
      <c r="I183" s="15">
        <v>600</v>
      </c>
      <c r="J183" s="15">
        <v>400</v>
      </c>
      <c r="K183" s="15">
        <v>100</v>
      </c>
      <c r="L183" s="15">
        <v>100</v>
      </c>
      <c r="M183" s="15">
        <v>400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</v>
      </c>
      <c r="C184" s="15">
        <v>5</v>
      </c>
      <c r="D184" s="11" t="s">
        <v>2133</v>
      </c>
      <c r="E184" s="15">
        <v>400</v>
      </c>
      <c r="F184" s="11" t="s">
        <v>2139</v>
      </c>
      <c r="G184" s="15">
        <v>15000000</v>
      </c>
      <c r="H184" s="15">
        <v>5</v>
      </c>
      <c r="I184" s="15">
        <v>600</v>
      </c>
      <c r="J184" s="15">
        <v>400</v>
      </c>
      <c r="K184" s="15">
        <v>100</v>
      </c>
      <c r="L184" s="15">
        <v>100</v>
      </c>
      <c r="M184" s="15">
        <v>400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10</v>
      </c>
      <c r="C185" s="15">
        <v>1</v>
      </c>
      <c r="D185" s="11" t="s">
        <v>2125</v>
      </c>
      <c r="E185" s="15">
        <v>361</v>
      </c>
      <c r="F185" s="11" t="s">
        <v>758</v>
      </c>
      <c r="G185" s="15">
        <v>35100</v>
      </c>
      <c r="H185" s="15">
        <v>5</v>
      </c>
      <c r="I185" s="15">
        <v>300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11</v>
      </c>
      <c r="C186" s="15">
        <v>1</v>
      </c>
      <c r="D186" s="11" t="s">
        <v>2162</v>
      </c>
      <c r="E186" s="15">
        <v>649</v>
      </c>
      <c r="F186" s="11" t="s">
        <v>2165</v>
      </c>
      <c r="G186" s="15">
        <v>7254000</v>
      </c>
      <c r="H186" s="15">
        <v>10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50</v>
      </c>
      <c r="P186" s="15">
        <v>100</v>
      </c>
      <c r="Q186" s="15">
        <v>150</v>
      </c>
      <c r="R186" s="15">
        <v>100</v>
      </c>
      <c r="S186" s="15"/>
    </row>
    <row r="187" spans="1:19">
      <c r="A187" s="8"/>
      <c r="B187" s="15">
        <v>11</v>
      </c>
      <c r="C187" s="15">
        <v>2</v>
      </c>
      <c r="D187" s="11" t="s">
        <v>2163</v>
      </c>
      <c r="E187" s="15">
        <v>673</v>
      </c>
      <c r="F187" s="11" t="s">
        <v>2166</v>
      </c>
      <c r="G187" s="15">
        <v>2808000</v>
      </c>
      <c r="H187" s="15">
        <v>10</v>
      </c>
      <c r="I187" s="15">
        <v>999</v>
      </c>
      <c r="J187" s="15">
        <v>150</v>
      </c>
      <c r="K187" s="15">
        <v>150</v>
      </c>
      <c r="L187" s="15">
        <v>150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  <row r="188" spans="1:19">
      <c r="A188" s="8"/>
      <c r="B188" s="15">
        <v>99</v>
      </c>
      <c r="C188" s="15">
        <v>1</v>
      </c>
      <c r="D188" s="11" t="s">
        <v>874</v>
      </c>
      <c r="E188" s="15">
        <v>360</v>
      </c>
      <c r="F188" s="11" t="s">
        <v>875</v>
      </c>
      <c r="G188" s="15">
        <v>10000000</v>
      </c>
      <c r="H188" s="15">
        <v>8</v>
      </c>
      <c r="I188" s="15">
        <v>999</v>
      </c>
      <c r="J188" s="15">
        <v>100</v>
      </c>
      <c r="K188" s="15">
        <v>100</v>
      </c>
      <c r="L188" s="15">
        <v>100</v>
      </c>
      <c r="M188" s="15">
        <v>100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/>
    </row>
    <row r="189" spans="1:19">
      <c r="A189" s="8"/>
      <c r="B189" s="15">
        <v>99</v>
      </c>
      <c r="C189" s="15">
        <v>2</v>
      </c>
      <c r="D189" s="11" t="s">
        <v>874</v>
      </c>
      <c r="E189" s="15">
        <v>360</v>
      </c>
      <c r="F189" s="11" t="s">
        <v>875</v>
      </c>
      <c r="G189" s="15">
        <v>10000000</v>
      </c>
      <c r="H189" s="15">
        <v>8</v>
      </c>
      <c r="I189" s="15">
        <v>999</v>
      </c>
      <c r="J189" s="15">
        <v>100</v>
      </c>
      <c r="K189" s="15">
        <v>100</v>
      </c>
      <c r="L189" s="15">
        <v>100</v>
      </c>
      <c r="M189" s="15">
        <v>100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/>
    </row>
    <row r="190" spans="1:19">
      <c r="A190" s="8"/>
      <c r="B190" s="15">
        <v>99</v>
      </c>
      <c r="C190" s="15">
        <v>3</v>
      </c>
      <c r="D190" s="11" t="s">
        <v>874</v>
      </c>
      <c r="E190" s="15">
        <v>360</v>
      </c>
      <c r="F190" s="11" t="s">
        <v>875</v>
      </c>
      <c r="G190" s="15">
        <v>10000000</v>
      </c>
      <c r="H190" s="15">
        <v>8</v>
      </c>
      <c r="I190" s="15">
        <v>999</v>
      </c>
      <c r="J190" s="15">
        <v>100</v>
      </c>
      <c r="K190" s="15">
        <v>100</v>
      </c>
      <c r="L190" s="15">
        <v>100</v>
      </c>
      <c r="M190" s="15">
        <v>100</v>
      </c>
      <c r="N190" s="15">
        <v>100</v>
      </c>
      <c r="O190" s="15">
        <v>100</v>
      </c>
      <c r="P190" s="15">
        <v>100</v>
      </c>
      <c r="Q190" s="15">
        <v>100</v>
      </c>
      <c r="R190" s="15">
        <v>100</v>
      </c>
      <c r="S190" s="15"/>
    </row>
    <row r="191" spans="1:19">
      <c r="A191" s="8"/>
      <c r="B191" s="15">
        <v>99</v>
      </c>
      <c r="C191" s="15">
        <v>4</v>
      </c>
      <c r="D191" s="11" t="s">
        <v>874</v>
      </c>
      <c r="E191" s="15">
        <v>360</v>
      </c>
      <c r="F191" s="11" t="s">
        <v>875</v>
      </c>
      <c r="G191" s="15">
        <v>10000000</v>
      </c>
      <c r="H191" s="15">
        <v>8</v>
      </c>
      <c r="I191" s="15">
        <v>999</v>
      </c>
      <c r="J191" s="15">
        <v>100</v>
      </c>
      <c r="K191" s="15">
        <v>100</v>
      </c>
      <c r="L191" s="15">
        <v>100</v>
      </c>
      <c r="M191" s="15">
        <v>100</v>
      </c>
      <c r="N191" s="15">
        <v>100</v>
      </c>
      <c r="O191" s="15">
        <v>100</v>
      </c>
      <c r="P191" s="15">
        <v>100</v>
      </c>
      <c r="Q191" s="15">
        <v>100</v>
      </c>
      <c r="R191" s="15">
        <v>100</v>
      </c>
      <c r="S191" s="15"/>
    </row>
    <row r="192" spans="1:19">
      <c r="A192" s="8"/>
      <c r="B192" s="15">
        <v>99</v>
      </c>
      <c r="C192" s="15">
        <v>5</v>
      </c>
      <c r="D192" s="11" t="s">
        <v>874</v>
      </c>
      <c r="E192" s="15">
        <v>360</v>
      </c>
      <c r="F192" s="11" t="s">
        <v>875</v>
      </c>
      <c r="G192" s="15">
        <v>10000000</v>
      </c>
      <c r="H192" s="15">
        <v>8</v>
      </c>
      <c r="I192" s="15">
        <v>999</v>
      </c>
      <c r="J192" s="15">
        <v>100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/>
    </row>
    <row r="193" spans="1:19">
      <c r="A193" s="8"/>
      <c r="B193" s="15">
        <v>99</v>
      </c>
      <c r="C193" s="15">
        <v>6</v>
      </c>
      <c r="D193" s="11" t="s">
        <v>874</v>
      </c>
      <c r="E193" s="15">
        <v>360</v>
      </c>
      <c r="F193" s="11" t="s">
        <v>875</v>
      </c>
      <c r="G193" s="15">
        <v>10000000</v>
      </c>
      <c r="H193" s="15">
        <v>8</v>
      </c>
      <c r="I193" s="15">
        <v>999</v>
      </c>
      <c r="J193" s="15">
        <v>100</v>
      </c>
      <c r="K193" s="15">
        <v>100</v>
      </c>
      <c r="L193" s="15">
        <v>100</v>
      </c>
      <c r="M193" s="15">
        <v>100</v>
      </c>
      <c r="N193" s="15">
        <v>100</v>
      </c>
      <c r="O193" s="15">
        <v>100</v>
      </c>
      <c r="P193" s="15">
        <v>100</v>
      </c>
      <c r="Q193" s="15">
        <v>100</v>
      </c>
      <c r="R193" s="15">
        <v>100</v>
      </c>
      <c r="S193" s="15"/>
    </row>
    <row r="194" spans="1:19">
      <c r="A194" s="8"/>
      <c r="B194" s="15">
        <v>99</v>
      </c>
      <c r="C194" s="15">
        <v>7</v>
      </c>
      <c r="D194" s="11" t="s">
        <v>874</v>
      </c>
      <c r="E194" s="15">
        <v>360</v>
      </c>
      <c r="F194" s="11" t="s">
        <v>875</v>
      </c>
      <c r="G194" s="15">
        <v>10000000</v>
      </c>
      <c r="H194" s="15">
        <v>8</v>
      </c>
      <c r="I194" s="15">
        <v>999</v>
      </c>
      <c r="J194" s="15">
        <v>100</v>
      </c>
      <c r="K194" s="15">
        <v>100</v>
      </c>
      <c r="L194" s="15">
        <v>100</v>
      </c>
      <c r="M194" s="15">
        <v>100</v>
      </c>
      <c r="N194" s="15">
        <v>100</v>
      </c>
      <c r="O194" s="15">
        <v>100</v>
      </c>
      <c r="P194" s="15">
        <v>100</v>
      </c>
      <c r="Q194" s="15">
        <v>100</v>
      </c>
      <c r="R194" s="15">
        <v>100</v>
      </c>
      <c r="S194" s="15"/>
    </row>
    <row r="195" spans="1:19">
      <c r="A195" s="8"/>
      <c r="B195" s="15">
        <v>99</v>
      </c>
      <c r="C195" s="15">
        <v>8</v>
      </c>
      <c r="D195" s="11" t="s">
        <v>874</v>
      </c>
      <c r="E195" s="15">
        <v>360</v>
      </c>
      <c r="F195" s="11" t="s">
        <v>875</v>
      </c>
      <c r="G195" s="15">
        <v>10000000</v>
      </c>
      <c r="H195" s="15">
        <v>8</v>
      </c>
      <c r="I195" s="15">
        <v>999</v>
      </c>
      <c r="J195" s="15">
        <v>100</v>
      </c>
      <c r="K195" s="15">
        <v>100</v>
      </c>
      <c r="L195" s="15">
        <v>100</v>
      </c>
      <c r="M195" s="15">
        <v>100</v>
      </c>
      <c r="N195" s="15">
        <v>100</v>
      </c>
      <c r="O195" s="15">
        <v>100</v>
      </c>
      <c r="P195" s="15">
        <v>100</v>
      </c>
      <c r="Q195" s="15">
        <v>100</v>
      </c>
      <c r="R195" s="15">
        <v>100</v>
      </c>
      <c r="S195" s="15"/>
    </row>
    <row r="196" spans="1:19">
      <c r="A196" s="8"/>
      <c r="B196" s="15">
        <v>99</v>
      </c>
      <c r="C196" s="15">
        <v>9</v>
      </c>
      <c r="D196" s="11" t="s">
        <v>874</v>
      </c>
      <c r="E196" s="15">
        <v>360</v>
      </c>
      <c r="F196" s="11" t="s">
        <v>875</v>
      </c>
      <c r="G196" s="15">
        <v>10000000</v>
      </c>
      <c r="H196" s="15">
        <v>8</v>
      </c>
      <c r="I196" s="15">
        <v>999</v>
      </c>
      <c r="J196" s="15">
        <v>100</v>
      </c>
      <c r="K196" s="15">
        <v>100</v>
      </c>
      <c r="L196" s="15">
        <v>100</v>
      </c>
      <c r="M196" s="15">
        <v>100</v>
      </c>
      <c r="N196" s="15">
        <v>100</v>
      </c>
      <c r="O196" s="15">
        <v>100</v>
      </c>
      <c r="P196" s="15">
        <v>100</v>
      </c>
      <c r="Q196" s="15">
        <v>100</v>
      </c>
      <c r="R196" s="15">
        <v>100</v>
      </c>
      <c r="S196" s="15"/>
    </row>
    <row r="197" spans="1:19">
      <c r="A197" s="8"/>
      <c r="B197" s="15">
        <v>99</v>
      </c>
      <c r="C197" s="15">
        <v>10</v>
      </c>
      <c r="D197" s="11" t="s">
        <v>874</v>
      </c>
      <c r="E197" s="15">
        <v>360</v>
      </c>
      <c r="F197" s="11" t="s">
        <v>875</v>
      </c>
      <c r="G197" s="15">
        <v>10000000</v>
      </c>
      <c r="H197" s="15">
        <v>8</v>
      </c>
      <c r="I197" s="15">
        <v>999</v>
      </c>
      <c r="J197" s="15">
        <v>100</v>
      </c>
      <c r="K197" s="15">
        <v>100</v>
      </c>
      <c r="L197" s="15">
        <v>100</v>
      </c>
      <c r="M197" s="15">
        <v>100</v>
      </c>
      <c r="N197" s="15">
        <v>100</v>
      </c>
      <c r="O197" s="15">
        <v>100</v>
      </c>
      <c r="P197" s="15">
        <v>100</v>
      </c>
      <c r="Q197" s="15">
        <v>100</v>
      </c>
      <c r="R197" s="15">
        <v>100</v>
      </c>
      <c r="S197" s="15"/>
    </row>
  </sheetData>
  <phoneticPr fontId="1"/>
  <dataValidations count="1">
    <dataValidation type="list" allowBlank="1" showInputMessage="1" showErrorMessage="1" sqref="A7:A197" xr:uid="{D165E579-D785-4EE9-B0EA-00D204F7ACF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30"/>
  <sheetViews>
    <sheetView zoomScale="85" zoomScaleNormal="85" workbookViewId="0">
      <pane ySplit="6" topLeftCell="A505" activePane="bottomLeft" state="frozen"/>
      <selection pane="bottomLeft" activeCell="L510" sqref="L510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8001</v>
      </c>
      <c r="C513" s="15" t="s">
        <v>550</v>
      </c>
      <c r="D513" s="15">
        <v>501</v>
      </c>
      <c r="E513" s="15">
        <v>0</v>
      </c>
      <c r="F513" s="15">
        <v>0</v>
      </c>
      <c r="G513" s="15">
        <v>0</v>
      </c>
      <c r="H513" s="15">
        <v>1</v>
      </c>
      <c r="I513" s="15"/>
    </row>
    <row r="514" spans="1:9">
      <c r="A514" s="8"/>
      <c r="B514" s="15">
        <v>8002</v>
      </c>
      <c r="C514" s="15" t="s">
        <v>538</v>
      </c>
      <c r="D514" s="15">
        <v>501</v>
      </c>
      <c r="E514" s="15">
        <v>0</v>
      </c>
      <c r="F514" s="15">
        <v>0</v>
      </c>
      <c r="G514" s="15">
        <v>0</v>
      </c>
      <c r="H514" s="15">
        <v>1</v>
      </c>
      <c r="I514" s="15"/>
    </row>
    <row r="515" spans="1:9">
      <c r="A515" s="8"/>
      <c r="B515" s="15">
        <v>8003</v>
      </c>
      <c r="C515" s="15" t="s">
        <v>2170</v>
      </c>
      <c r="D515" s="15">
        <v>501</v>
      </c>
      <c r="E515" s="15">
        <v>0</v>
      </c>
      <c r="F515" s="15">
        <v>0</v>
      </c>
      <c r="G515" s="15">
        <v>0</v>
      </c>
      <c r="H515" s="15">
        <v>1</v>
      </c>
      <c r="I515" s="15"/>
    </row>
    <row r="516" spans="1:9">
      <c r="A516" s="8"/>
      <c r="B516" s="15">
        <v>9001</v>
      </c>
      <c r="C516" s="15" t="s">
        <v>2028</v>
      </c>
      <c r="D516" s="15">
        <v>0</v>
      </c>
      <c r="E516" s="15">
        <v>0</v>
      </c>
      <c r="F516" s="15">
        <v>5</v>
      </c>
      <c r="G516" s="15">
        <v>450</v>
      </c>
      <c r="H516" s="15">
        <v>1</v>
      </c>
      <c r="I516" s="15"/>
    </row>
    <row r="517" spans="1:9">
      <c r="A517" s="8"/>
      <c r="B517" s="15">
        <v>9002</v>
      </c>
      <c r="C517" s="15" t="s">
        <v>1661</v>
      </c>
      <c r="D517" s="15">
        <v>0</v>
      </c>
      <c r="E517" s="15">
        <v>0</v>
      </c>
      <c r="F517" s="15">
        <v>11</v>
      </c>
      <c r="G517" s="15">
        <v>450</v>
      </c>
      <c r="H517" s="15">
        <v>1</v>
      </c>
      <c r="I517" s="15"/>
    </row>
    <row r="518" spans="1:9">
      <c r="A518" s="8"/>
      <c r="B518" s="15">
        <v>9003</v>
      </c>
      <c r="C518" s="15" t="s">
        <v>1656</v>
      </c>
      <c r="D518" s="15">
        <v>0</v>
      </c>
      <c r="E518" s="15">
        <v>0</v>
      </c>
      <c r="F518" s="15">
        <v>6</v>
      </c>
      <c r="G518" s="15">
        <v>0</v>
      </c>
      <c r="H518" s="15">
        <v>1</v>
      </c>
      <c r="I518" s="15"/>
    </row>
    <row r="519" spans="1:9">
      <c r="A519" s="8"/>
      <c r="B519" s="15">
        <v>9004</v>
      </c>
      <c r="C519" s="15" t="s">
        <v>1659</v>
      </c>
      <c r="D519" s="15">
        <v>0</v>
      </c>
      <c r="E519" s="15">
        <v>0</v>
      </c>
      <c r="F519" s="15">
        <v>3</v>
      </c>
      <c r="G519" s="15">
        <v>450</v>
      </c>
      <c r="H519" s="15">
        <v>1</v>
      </c>
      <c r="I519" s="15"/>
    </row>
    <row r="520" spans="1:9">
      <c r="A520" s="8"/>
      <c r="B520" s="15">
        <v>9005</v>
      </c>
      <c r="C520" s="15" t="s">
        <v>590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9006</v>
      </c>
      <c r="C521" s="15" t="s">
        <v>530</v>
      </c>
      <c r="D521" s="15">
        <v>0</v>
      </c>
      <c r="E521" s="15">
        <v>0</v>
      </c>
      <c r="F521" s="15">
        <v>4</v>
      </c>
      <c r="G521" s="15">
        <v>450</v>
      </c>
      <c r="H521" s="15">
        <v>1</v>
      </c>
      <c r="I521" s="15"/>
    </row>
    <row r="522" spans="1:9">
      <c r="A522" s="8"/>
      <c r="B522" s="15">
        <v>9007</v>
      </c>
      <c r="C522" s="15" t="s">
        <v>1657</v>
      </c>
      <c r="D522" s="15">
        <v>0</v>
      </c>
      <c r="E522" s="15">
        <v>0</v>
      </c>
      <c r="F522" s="15">
        <v>1</v>
      </c>
      <c r="G522" s="15">
        <v>0</v>
      </c>
      <c r="H522" s="15">
        <v>1</v>
      </c>
      <c r="I522" s="15"/>
    </row>
    <row r="523" spans="1:9">
      <c r="A523" s="8"/>
      <c r="B523" s="15">
        <v>9008</v>
      </c>
      <c r="C523" s="15" t="s">
        <v>1660</v>
      </c>
      <c r="D523" s="15">
        <v>0</v>
      </c>
      <c r="E523" s="15">
        <v>0</v>
      </c>
      <c r="F523" s="15">
        <v>4</v>
      </c>
      <c r="G523" s="15">
        <v>450</v>
      </c>
      <c r="H523" s="15">
        <v>1</v>
      </c>
      <c r="I523" s="15"/>
    </row>
    <row r="524" spans="1:9">
      <c r="A524" s="8"/>
      <c r="B524" s="15">
        <v>9009</v>
      </c>
      <c r="C524" s="15" t="s">
        <v>586</v>
      </c>
      <c r="D524" s="15">
        <v>0</v>
      </c>
      <c r="E524" s="15">
        <v>0</v>
      </c>
      <c r="F524" s="15">
        <v>9</v>
      </c>
      <c r="G524" s="15">
        <v>200</v>
      </c>
      <c r="H524" s="15">
        <v>1</v>
      </c>
      <c r="I524" s="15"/>
    </row>
    <row r="525" spans="1:9">
      <c r="A525" s="8"/>
      <c r="B525" s="15">
        <v>9010</v>
      </c>
      <c r="C525" s="15" t="s">
        <v>1658</v>
      </c>
      <c r="D525" s="15">
        <v>0</v>
      </c>
      <c r="E525" s="15">
        <v>0</v>
      </c>
      <c r="F525" s="15">
        <v>6</v>
      </c>
      <c r="G525" s="15">
        <v>200</v>
      </c>
      <c r="H525" s="15">
        <v>1</v>
      </c>
      <c r="I525" s="15"/>
    </row>
    <row r="526" spans="1:9">
      <c r="A526" s="8"/>
      <c r="B526" s="15">
        <v>9011</v>
      </c>
      <c r="C526" s="15" t="s">
        <v>1662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9012</v>
      </c>
      <c r="C527" s="15" t="s">
        <v>2029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  <row r="528" spans="1:9">
      <c r="A528" s="8"/>
      <c r="B528" s="15">
        <v>9013</v>
      </c>
      <c r="C528" s="15" t="s">
        <v>1663</v>
      </c>
      <c r="D528" s="15">
        <v>0</v>
      </c>
      <c r="E528" s="15">
        <v>0</v>
      </c>
      <c r="F528" s="15">
        <v>6</v>
      </c>
      <c r="G528" s="15">
        <v>0</v>
      </c>
      <c r="H528" s="15">
        <v>1</v>
      </c>
      <c r="I528" s="15"/>
    </row>
    <row r="529" spans="1:9">
      <c r="A529" s="8"/>
      <c r="B529" s="15">
        <v>9014</v>
      </c>
      <c r="C529" s="15" t="s">
        <v>2030</v>
      </c>
      <c r="D529" s="15">
        <v>0</v>
      </c>
      <c r="E529" s="15">
        <v>0</v>
      </c>
      <c r="F529" s="15">
        <v>6</v>
      </c>
      <c r="G529" s="15">
        <v>0</v>
      </c>
      <c r="H529" s="15">
        <v>1</v>
      </c>
      <c r="I529" s="15"/>
    </row>
    <row r="530" spans="1:9">
      <c r="A530" s="8"/>
      <c r="B530" s="15">
        <v>9015</v>
      </c>
      <c r="C530" s="15" t="s">
        <v>2031</v>
      </c>
      <c r="D530" s="15">
        <v>0</v>
      </c>
      <c r="E530" s="15">
        <v>0</v>
      </c>
      <c r="F530" s="15">
        <v>6</v>
      </c>
      <c r="G530" s="15">
        <v>0</v>
      </c>
      <c r="H530" s="15">
        <v>1</v>
      </c>
      <c r="I530" s="15"/>
    </row>
  </sheetData>
  <autoFilter ref="B6:J519" xr:uid="{3F84FBC2-D1A1-4918-8ACB-795AE24453E5}"/>
  <phoneticPr fontId="1"/>
  <dataValidations count="1">
    <dataValidation type="list" allowBlank="1" showInputMessage="1" showErrorMessage="1" sqref="A7:A530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130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VLOOKUP(C7,skill_list!$B$7:$C$1033,2)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VLOOKUP(C8,skill_list!$B$7:$C$1033,2)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VLOOKUP(C9,skill_list!$B$7:$C$1033,2)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VLOOKUP(C10,skill_list!$B$7:$C$1033,2)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VLOOKUP(C11,skill_list!$B$7:$C$1033,2)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VLOOKUP(C12,skill_list!$B$7:$C$1033,2)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VLOOKUP(C13,skill_list!$B$7:$C$1033,2)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VLOOKUP(C14,skill_list!$B$7:$C$1033,2)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VLOOKUP(C15,skill_list!$B$7:$C$1033,2)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VLOOKUP(C16,skill_list!$B$7:$C$1033,2)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VLOOKUP(C17,skill_list!$B$7:$C$1033,2)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VLOOKUP(C18,skill_list!$B$7:$C$1033,2)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VLOOKUP(C19,skill_list!$B$7:$C$1033,2)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VLOOKUP(C20,skill_list!$B$7:$C$1033,2)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VLOOKUP(C21,skill_list!$B$7:$C$1033,2)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VLOOKUP(C22,skill_list!$B$7:$C$1033,2)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VLOOKUP(C23,skill_list!$B$7:$C$1033,2)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VLOOKUP(C24,skill_list!$B$7:$C$1033,2)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VLOOKUP(C25,skill_list!$B$7:$C$1033,2)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VLOOKUP(C26,skill_list!$B$7:$C$1033,2)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VLOOKUP(C27,skill_list!$B$7:$C$1033,2)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VLOOKUP(C28,skill_list!$B$7:$C$1033,2)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VLOOKUP(C29,skill_list!$B$7:$C$1033,2)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VLOOKUP(C30,skill_list!$B$7:$C$1033,2)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VLOOKUP(C31,skill_list!$B$7:$C$1033,2)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VLOOKUP(C32,skill_list!$B$7:$C$1033,2)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VLOOKUP(C33,skill_list!$B$7:$C$1033,2)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VLOOKUP(C34,skill_list!$B$7:$C$1033,2)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VLOOKUP(C35,skill_list!$B$7:$C$1033,2)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VLOOKUP(C36,skill_list!$B$7:$C$1033,2)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VLOOKUP(C37,skill_list!$B$7:$C$1033,2)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VLOOKUP(C38,skill_list!$B$7:$C$1033,2)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VLOOKUP(C39,skill_list!$B$7:$C$1033,2)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VLOOKUP(C40,skill_list!$B$7:$C$1033,2)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VLOOKUP(C41,skill_list!$B$7:$C$1033,2)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VLOOKUP(C42,skill_list!$B$7:$C$1033,2)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VLOOKUP(C43,skill_list!$B$7:$C$1033,2)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VLOOKUP(C44,skill_list!$B$7:$C$1033,2)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VLOOKUP(C45,skill_list!$B$7:$C$1033,2)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VLOOKUP(C46,skill_list!$B$7:$C$1033,2)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VLOOKUP(C47,skill_list!$B$7:$C$1033,2)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VLOOKUP(C48,skill_list!$B$7:$C$1033,2)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VLOOKUP(C49,skill_list!$B$7:$C$1033,2)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VLOOKUP(C50,skill_list!$B$7:$C$1033,2)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VLOOKUP(C51,skill_list!$B$7:$C$1033,2)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VLOOKUP(C52,skill_list!$B$7:$C$1033,2)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VLOOKUP(C53,skill_list!$B$7:$C$1033,2)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VLOOKUP(C54,skill_list!$B$7:$C$1033,2)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VLOOKUP(C55,skill_list!$B$7:$C$1033,2)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VLOOKUP(C56,skill_list!$B$7:$C$1033,2)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VLOOKUP(C57,skill_list!$B$7:$C$1033,2)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VLOOKUP(C58,skill_list!$B$7:$C$1033,2)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VLOOKUP(C59,skill_list!$B$7:$C$1033,2)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VLOOKUP(C60,skill_list!$B$7:$C$1033,2)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VLOOKUP(C61,skill_list!$B$7:$C$1033,2)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VLOOKUP(C62,skill_list!$B$7:$C$1033,2)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VLOOKUP(C63,skill_list!$B$7:$C$1033,2)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VLOOKUP(C64,skill_list!$B$7:$C$1033,2)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VLOOKUP(C65,skill_list!$B$7:$C$1033,2)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VLOOKUP(C66,skill_list!$B$7:$C$1033,2)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VLOOKUP(C67,skill_list!$B$7:$C$1033,2)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VLOOKUP(C68,skill_list!$B$7:$C$1033,2)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VLOOKUP(C69,skill_list!$B$7:$C$1033,2)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VLOOKUP(C70,skill_list!$B$7:$C$1033,2)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VLOOKUP(C71,skill_list!$B$7:$C$1033,2)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VLOOKUP(C72,skill_list!$B$7:$C$1033,2)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VLOOKUP(C73,skill_list!$B$7:$C$1033,2)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VLOOKUP(C74,skill_list!$B$7:$C$1033,2)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VLOOKUP(C75,skill_list!$B$7:$C$1033,2)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VLOOKUP(C76,skill_list!$B$7:$C$1033,2)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VLOOKUP(C77,skill_list!$B$7:$C$1033,2)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VLOOKUP(C78,skill_list!$B$7:$C$1033,2)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VLOOKUP(C79,skill_list!$B$7:$C$1033,2)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VLOOKUP(C80,skill_list!$B$7:$C$1033,2)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VLOOKUP(C81,skill_list!$B$7:$C$1033,2)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VLOOKUP(C82,skill_list!$B$7:$C$1033,2)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VLOOKUP(C83,skill_list!$B$7:$C$1033,2)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VLOOKUP(C84,skill_list!$B$7:$C$1033,2)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VLOOKUP(C85,skill_list!$B$7:$C$1033,2)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VLOOKUP(C86,skill_list!$B$7:$C$1033,2)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VLOOKUP(C87,skill_list!$B$7:$C$1033,2)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VLOOKUP(C88,skill_list!$B$7:$C$1033,2)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VLOOKUP(C89,skill_list!$B$7:$C$1033,2)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VLOOKUP(C90,skill_list!$B$7:$C$1033,2)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VLOOKUP(C91,skill_list!$B$7:$C$1033,2)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VLOOKUP(C92,skill_list!$B$7:$C$1033,2)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VLOOKUP(C93,skill_list!$B$7:$C$1033,2)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VLOOKUP(C94,skill_list!$B$7:$C$1033,2)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VLOOKUP(C95,skill_list!$B$7:$C$1033,2)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VLOOKUP(C96,skill_list!$B$7:$C$1033,2)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VLOOKUP(C97,skill_list!$B$7:$C$1033,2)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VLOOKUP(C98,skill_list!$B$7:$C$1033,2)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VLOOKUP(C99,skill_list!$B$7:$C$1033,2)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VLOOKUP(C100,skill_list!$B$7:$C$1033,2)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VLOOKUP(C101,skill_list!$B$7:$C$1033,2)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VLOOKUP(C102,skill_list!$B$7:$C$1033,2)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VLOOKUP(C103,skill_list!$B$7:$C$1033,2)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VLOOKUP(C104,skill_list!$B$7:$C$1033,2)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VLOOKUP(C105,skill_list!$B$7:$C$1033,2)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VLOOKUP(C106,skill_list!$B$7:$C$1033,2)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VLOOKUP(C107,skill_list!$B$7:$C$1033,2)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VLOOKUP(C108,skill_list!$B$7:$C$1033,2)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VLOOKUP(C109,skill_list!$B$7:$C$1033,2)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VLOOKUP(C110,skill_list!$B$7:$C$1033,2)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VLOOKUP(C111,skill_list!$B$7:$C$1033,2)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VLOOKUP(C112,skill_list!$B$7:$C$1033,2)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VLOOKUP(C113,skill_list!$B$7:$C$1033,2)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VLOOKUP(C114,skill_list!$B$7:$C$1033,2)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VLOOKUP(C115,skill_list!$B$7:$C$1033,2)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VLOOKUP(C116,skill_list!$B$7:$C$1033,2)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VLOOKUP(C117,skill_list!$B$7:$C$1033,2)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VLOOKUP(C118,skill_list!$B$7:$C$1033,2)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VLOOKUP(C119,skill_list!$B$7:$C$1033,2)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VLOOKUP(C120,skill_list!$B$7:$C$1033,2)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VLOOKUP(C121,skill_list!$B$7:$C$1033,2)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VLOOKUP(C122,skill_list!$B$7:$C$1033,2)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VLOOKUP(C123,skill_list!$B$7:$C$1033,2)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VLOOKUP(C124,skill_list!$B$7:$C$1033,2)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VLOOKUP(C125,skill_list!$B$7:$C$1033,2)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VLOOKUP(C126,skill_list!$B$7:$C$1033,2)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VLOOKUP(C127,skill_list!$B$7:$C$1033,2)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VLOOKUP(C128,skill_list!$B$7:$C$1033,2)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VLOOKUP(C129,skill_list!$B$7:$C$1033,2)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VLOOKUP(C130,skill_list!$B$7:$C$1033,2)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VLOOKUP(C131,skill_list!$B$7:$C$1033,2)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VLOOKUP(C132,skill_list!$B$7:$C$1033,2)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VLOOKUP(C133,skill_list!$B$7:$C$1033,2)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VLOOKUP(C134,skill_list!$B$7:$C$1033,2)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VLOOKUP(C135,skill_list!$B$7:$C$1033,2)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VLOOKUP(C136,skill_list!$B$7:$C$1033,2)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VLOOKUP(C137,skill_list!$B$7:$C$1033,2)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VLOOKUP(C138,skill_list!$B$7:$C$1033,2)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VLOOKUP(C139,skill_list!$B$7:$C$1033,2)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VLOOKUP(C140,skill_list!$B$7:$C$1033,2)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VLOOKUP(C141,skill_list!$B$7:$C$1033,2)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VLOOKUP(C142,skill_list!$B$7:$C$1033,2)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VLOOKUP(C143,skill_list!$B$7:$C$1033,2)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VLOOKUP(C144,skill_list!$B$7:$C$1033,2)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VLOOKUP(C145,skill_list!$B$7:$C$1033,2)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VLOOKUP(C146,skill_list!$B$7:$C$1033,2)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VLOOKUP(C147,skill_list!$B$7:$C$1033,2)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VLOOKUP(C148,skill_list!$B$7:$C$1033,2)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VLOOKUP(C149,skill_list!$B$7:$C$1033,2)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VLOOKUP(C150,skill_list!$B$7:$C$1033,2)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VLOOKUP(C151,skill_list!$B$7:$C$1033,2)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VLOOKUP(C152,skill_list!$B$7:$C$1033,2)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VLOOKUP(C153,skill_list!$B$7:$C$1033,2)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VLOOKUP(C154,skill_list!$B$7:$C$1033,2)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VLOOKUP(C155,skill_list!$B$7:$C$1033,2)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VLOOKUP(C156,skill_list!$B$7:$C$1033,2)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VLOOKUP(C157,skill_list!$B$7:$C$1033,2)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VLOOKUP(C158,skill_list!$B$7:$C$1033,2)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VLOOKUP(C159,skill_list!$B$7:$C$1033,2)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VLOOKUP(C160,skill_list!$B$7:$C$1033,2)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VLOOKUP(C161,skill_list!$B$7:$C$1033,2)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VLOOKUP(C162,skill_list!$B$7:$C$1033,2)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VLOOKUP(C163,skill_list!$B$7:$C$1033,2)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VLOOKUP(C164,skill_list!$B$7:$C$1033,2)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VLOOKUP(C165,skill_list!$B$7:$C$1033,2)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VLOOKUP(C166,skill_list!$B$7:$C$1033,2)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VLOOKUP(C167,skill_list!$B$7:$C$1033,2)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VLOOKUP(C168,skill_list!$B$7:$C$1033,2)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VLOOKUP(C169,skill_list!$B$7:$C$1033,2)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VLOOKUP(C170,skill_list!$B$7:$C$1033,2)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VLOOKUP(C171,skill_list!$B$7:$C$1033,2)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VLOOKUP(C172,skill_list!$B$7:$C$1033,2)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VLOOKUP(C173,skill_list!$B$7:$C$1033,2)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VLOOKUP(C174,skill_list!$B$7:$C$1033,2)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VLOOKUP(C175,skill_list!$B$7:$C$1033,2)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VLOOKUP(C176,skill_list!$B$7:$C$1033,2)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VLOOKUP(C177,skill_list!$B$7:$C$1033,2)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VLOOKUP(C178,skill_list!$B$7:$C$1033,2)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VLOOKUP(C179,skill_list!$B$7:$C$1033,2)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VLOOKUP(C180,skill_list!$B$7:$C$1033,2)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VLOOKUP(C181,skill_list!$B$7:$C$1033,2)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VLOOKUP(C182,skill_list!$B$7:$C$1033,2)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VLOOKUP(C183,skill_list!$B$7:$C$1033,2)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VLOOKUP(C184,skill_list!$B$7:$C$1033,2)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VLOOKUP(C185,skill_list!$B$7:$C$1033,2)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VLOOKUP(C186,skill_list!$B$7:$C$1033,2)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VLOOKUP(C187,skill_list!$B$7:$C$1033,2)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VLOOKUP(C188,skill_list!$B$7:$C$1033,2)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VLOOKUP(C189,skill_list!$B$7:$C$1033,2)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VLOOKUP(C190,skill_list!$B$7:$C$1033,2)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VLOOKUP(C191,skill_list!$B$7:$C$1033,2)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VLOOKUP(C192,skill_list!$B$7:$C$1033,2)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VLOOKUP(C193,skill_list!$B$7:$C$1033,2)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VLOOKUP(C194,skill_list!$B$7:$C$1033,2)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VLOOKUP(C195,skill_list!$B$7:$C$1033,2)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VLOOKUP(C196,skill_list!$B$7:$C$1033,2)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VLOOKUP(C197,skill_list!$B$7:$C$1033,2)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VLOOKUP(C198,skill_list!$B$7:$C$1033,2)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VLOOKUP(C199,skill_list!$B$7:$C$1033,2)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VLOOKUP(C200,skill_list!$B$7:$C$1033,2)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VLOOKUP(C201,skill_list!$B$7:$C$1033,2)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VLOOKUP(C202,skill_list!$B$7:$C$1033,2)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VLOOKUP(C203,skill_list!$B$7:$C$1033,2)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VLOOKUP(C204,skill_list!$B$7:$C$1033,2)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VLOOKUP(C205,skill_list!$B$7:$C$1033,2)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VLOOKUP(C206,skill_list!$B$7:$C$1033,2)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VLOOKUP(C207,skill_list!$B$7:$C$1033,2)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VLOOKUP(C208,skill_list!$B$7:$C$1033,2)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VLOOKUP(C209,skill_list!$B$7:$C$1033,2)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VLOOKUP(C210,skill_list!$B$7:$C$1033,2)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VLOOKUP(C211,skill_list!$B$7:$C$1033,2)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VLOOKUP(C212,skill_list!$B$7:$C$1033,2)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VLOOKUP(C213,skill_list!$B$7:$C$1033,2)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VLOOKUP(C214,skill_list!$B$7:$C$1033,2)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VLOOKUP(C215,skill_list!$B$7:$C$1033,2)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VLOOKUP(C216,skill_list!$B$7:$C$1033,2)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VLOOKUP(C217,skill_list!$B$7:$C$1033,2)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VLOOKUP(C218,skill_list!$B$7:$C$1033,2)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VLOOKUP(C219,skill_list!$B$7:$C$1033,2)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VLOOKUP(C220,skill_list!$B$7:$C$1033,2)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VLOOKUP(C221,skill_list!$B$7:$C$1033,2)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VLOOKUP(C222,skill_list!$B$7:$C$1033,2)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VLOOKUP(C223,skill_list!$B$7:$C$1033,2)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VLOOKUP(C224,skill_list!$B$7:$C$1033,2)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VLOOKUP(C225,skill_list!$B$7:$C$1033,2)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VLOOKUP(C226,skill_list!$B$7:$C$1033,2)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VLOOKUP(C227,skill_list!$B$7:$C$1033,2)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VLOOKUP(C228,skill_list!$B$7:$C$1033,2)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VLOOKUP(C229,skill_list!$B$7:$C$1033,2)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VLOOKUP(C230,skill_list!$B$7:$C$1033,2)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VLOOKUP(C231,skill_list!$B$7:$C$1033,2)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VLOOKUP(C232,skill_list!$B$7:$C$1033,2)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VLOOKUP(C233,skill_list!$B$7:$C$1033,2)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VLOOKUP(C234,skill_list!$B$7:$C$1033,2)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VLOOKUP(C235,skill_list!$B$7:$C$1033,2)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VLOOKUP(C236,skill_list!$B$7:$C$1033,2)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VLOOKUP(C237,skill_list!$B$7:$C$1033,2)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VLOOKUP(C238,skill_list!$B$7:$C$1033,2)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VLOOKUP(C239,skill_list!$B$7:$C$1033,2)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VLOOKUP(C240,skill_list!$B$7:$C$1033,2)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VLOOKUP(C241,skill_list!$B$7:$C$1033,2)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VLOOKUP(C242,skill_list!$B$7:$C$1033,2)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VLOOKUP(C243,skill_list!$B$7:$C$1033,2)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VLOOKUP(C244,skill_list!$B$7:$C$1033,2)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VLOOKUP(C245,skill_list!$B$7:$C$1033,2)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VLOOKUP(C246,skill_list!$B$7:$C$1033,2)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VLOOKUP(C247,skill_list!$B$7:$C$1033,2)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VLOOKUP(C248,skill_list!$B$7:$C$1033,2)</f>
        <v>春雷</v>
      </c>
      <c r="E248" s="11"/>
      <c r="F248" s="15">
        <v>0</v>
      </c>
      <c r="G248" s="15">
        <v>1</v>
      </c>
      <c r="H248" s="15">
        <v>2</v>
      </c>
      <c r="I248" s="15">
        <v>3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VLOOKUP(C249,skill_list!$B$7:$C$1033,2)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VLOOKUP(C250,skill_list!$B$7:$C$1033,2)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VLOOKUP(C251,skill_list!$B$7:$C$1033,2)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VLOOKUP(C252,skill_list!$B$7:$C$1033,2)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VLOOKUP(C253,skill_list!$B$7:$C$1033,2)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VLOOKUP(C254,skill_list!$B$7:$C$1033,2)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VLOOKUP(C255,skill_list!$B$7:$C$1033,2)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VLOOKUP(C256,skill_list!$B$7:$C$1033,2)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VLOOKUP(C257,skill_list!$B$7:$C$1033,2)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VLOOKUP(C258,skill_list!$B$7:$C$1033,2)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VLOOKUP(C259,skill_list!$B$7:$C$1033,2)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VLOOKUP(C260,skill_list!$B$7:$C$1033,2)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VLOOKUP(C261,skill_list!$B$7:$C$1033,2)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VLOOKUP(C262,skill_list!$B$7:$C$1033,2)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VLOOKUP(C263,skill_list!$B$7:$C$1033,2)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VLOOKUP(C264,skill_list!$B$7:$C$1033,2)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VLOOKUP(C265,skill_list!$B$7:$C$1033,2)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VLOOKUP(C266,skill_list!$B$7:$C$1033,2)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VLOOKUP(C267,skill_list!$B$7:$C$1033,2)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VLOOKUP(C268,skill_list!$B$7:$C$1033,2)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VLOOKUP(C269,skill_list!$B$7:$C$1033,2)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VLOOKUP(C270,skill_list!$B$7:$C$1033,2)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VLOOKUP(C271,skill_list!$B$7:$C$1033,2)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VLOOKUP(C272,skill_list!$B$7:$C$1033,2)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VLOOKUP(C273,skill_list!$B$7:$C$1033,2)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VLOOKUP(C274,skill_list!$B$7:$C$1033,2)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VLOOKUP(C275,skill_list!$B$7:$C$1033,2)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VLOOKUP(C276,skill_list!$B$7:$C$1033,2)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VLOOKUP(C277,skill_list!$B$7:$C$1033,2)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VLOOKUP(C278,skill_list!$B$7:$C$1033,2)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VLOOKUP(C279,skill_list!$B$7:$C$1033,2)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VLOOKUP(C280,skill_list!$B$7:$C$1033,2)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VLOOKUP(C281,skill_list!$B$7:$C$1033,2)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VLOOKUP(C282,skill_list!$B$7:$C$1033,2)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VLOOKUP(C283,skill_list!$B$7:$C$1033,2)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VLOOKUP(C284,skill_list!$B$7:$C$1033,2)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VLOOKUP(C285,skill_list!$B$7:$C$1033,2)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VLOOKUP(C286,skill_list!$B$7:$C$1033,2)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VLOOKUP(C287,skill_list!$B$7:$C$1033,2)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VLOOKUP(C288,skill_list!$B$7:$C$1033,2)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VLOOKUP(C289,skill_list!$B$7:$C$1033,2)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VLOOKUP(C290,skill_list!$B$7:$C$1033,2)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VLOOKUP(C291,skill_list!$B$7:$C$1033,2)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VLOOKUP(C292,skill_list!$B$7:$C$1033,2)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VLOOKUP(C293,skill_list!$B$7:$C$1033,2)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VLOOKUP(C294,skill_list!$B$7:$C$1033,2)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VLOOKUP(C295,skill_list!$B$7:$C$1033,2)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VLOOKUP(C296,skill_list!$B$7:$C$1033,2)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VLOOKUP(C297,skill_list!$B$7:$C$1033,2)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VLOOKUP(C298,skill_list!$B$7:$C$1033,2)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VLOOKUP(C299,skill_list!$B$7:$C$1033,2)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VLOOKUP(C300,skill_list!$B$7:$C$1033,2)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VLOOKUP(C301,skill_list!$B$7:$C$1033,2)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VLOOKUP(C302,skill_list!$B$7:$C$1033,2)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VLOOKUP(C303,skill_list!$B$7:$C$1033,2)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VLOOKUP(C304,skill_list!$B$7:$C$1033,2)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VLOOKUP(C305,skill_list!$B$7:$C$1033,2)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VLOOKUP(C306,skill_list!$B$7:$C$1033,2)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VLOOKUP(C307,skill_list!$B$7:$C$1033,2)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VLOOKUP(C308,skill_list!$B$7:$C$1033,2)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VLOOKUP(C309,skill_list!$B$7:$C$1033,2)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VLOOKUP(C310,skill_list!$B$7:$C$1033,2)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VLOOKUP(C311,skill_list!$B$7:$C$1033,2)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VLOOKUP(C312,skill_list!$B$7:$C$1033,2)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VLOOKUP(C313,skill_list!$B$7:$C$1033,2)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VLOOKUP(C314,skill_list!$B$7:$C$1033,2)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VLOOKUP(C315,skill_list!$B$7:$C$1033,2)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VLOOKUP(C316,skill_list!$B$7:$C$1033,2)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VLOOKUP(C317,skill_list!$B$7:$C$1033,2)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VLOOKUP(C318,skill_list!$B$7:$C$1033,2)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VLOOKUP(C319,skill_list!$B$7:$C$1033,2)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10"/>
  <sheetViews>
    <sheetView tabSelected="1" zoomScale="85" zoomScaleNormal="85" workbookViewId="0">
      <pane ySplit="6" topLeftCell="A141" activePane="bottomLeft" state="frozen"/>
      <selection pane="bottomLeft" activeCell="O161" sqref="B158:O161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2143</v>
      </c>
      <c r="Q1" s="9" t="s">
        <v>2144</v>
      </c>
    </row>
    <row r="2" spans="1:17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329</v>
      </c>
      <c r="Q2" s="9" t="s">
        <v>417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45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45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 t="s">
        <v>1664</v>
      </c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>
        <v>1</v>
      </c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1203</v>
      </c>
      <c r="C209" s="15">
        <v>8002</v>
      </c>
      <c r="D209" s="15">
        <v>2</v>
      </c>
      <c r="E209" s="15">
        <v>0</v>
      </c>
      <c r="F209" s="14" t="str">
        <f>VLOOKUP(C209,skill_list!B:C,2)</f>
        <v>心眼</v>
      </c>
      <c r="G209" s="11"/>
      <c r="H209" s="15">
        <v>50</v>
      </c>
      <c r="I209" s="15">
        <v>50</v>
      </c>
      <c r="J209" s="15">
        <v>1</v>
      </c>
      <c r="K209" s="15">
        <v>1</v>
      </c>
      <c r="L209" s="15">
        <v>7</v>
      </c>
      <c r="M209" s="15">
        <v>0</v>
      </c>
      <c r="N209" s="15">
        <v>1</v>
      </c>
      <c r="O209" s="15">
        <v>0</v>
      </c>
      <c r="P209" s="15"/>
      <c r="Q209" s="15">
        <v>1</v>
      </c>
    </row>
    <row r="210" spans="1:17">
      <c r="A210" s="8"/>
      <c r="B210" s="15">
        <v>1300</v>
      </c>
      <c r="C210" s="15">
        <v>9009</v>
      </c>
      <c r="D210" s="15">
        <v>3</v>
      </c>
      <c r="E210" s="15">
        <v>0</v>
      </c>
      <c r="F210" s="14" t="str">
        <f>VLOOKUP(C210,skill_list!B:C,2)</f>
        <v>ソフニング</v>
      </c>
      <c r="G210" s="11"/>
      <c r="H210" s="15">
        <v>30</v>
      </c>
      <c r="I210" s="15">
        <v>45</v>
      </c>
      <c r="J210" s="15">
        <v>200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1301</v>
      </c>
      <c r="C211" s="15">
        <v>173</v>
      </c>
      <c r="D211" s="15">
        <v>3</v>
      </c>
      <c r="E211" s="15">
        <v>0</v>
      </c>
      <c r="F211" s="14" t="str">
        <f>VLOOKUP(C211,skill_list!B:C,2)</f>
        <v>臥龍演舞斬</v>
      </c>
      <c r="G211" s="11"/>
      <c r="H211" s="15">
        <v>30</v>
      </c>
      <c r="I211" s="15">
        <v>45</v>
      </c>
      <c r="J211" s="15">
        <v>123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1302</v>
      </c>
      <c r="C212" s="15">
        <v>16</v>
      </c>
      <c r="D212" s="15">
        <v>3</v>
      </c>
      <c r="E212" s="15">
        <v>0</v>
      </c>
      <c r="F212" s="14" t="str">
        <f>VLOOKUP(C212,skill_list!B:C,2)</f>
        <v>ハードブレード</v>
      </c>
      <c r="G212" s="11"/>
      <c r="H212" s="15">
        <v>30</v>
      </c>
      <c r="I212" s="15">
        <v>45</v>
      </c>
      <c r="J212" s="15">
        <v>129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1303</v>
      </c>
      <c r="C213" s="15">
        <v>70</v>
      </c>
      <c r="D213" s="15">
        <v>3</v>
      </c>
      <c r="E213" s="15">
        <v>0</v>
      </c>
      <c r="F213" s="14" t="str">
        <f>VLOOKUP(C213,skill_list!B:C,2)</f>
        <v>ウィザードショット</v>
      </c>
      <c r="G213" s="11"/>
      <c r="H213" s="15">
        <v>30</v>
      </c>
      <c r="I213" s="15">
        <v>45</v>
      </c>
      <c r="J213" s="15">
        <v>117</v>
      </c>
      <c r="K213" s="15">
        <v>1</v>
      </c>
      <c r="L213" s="15">
        <v>1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1304</v>
      </c>
      <c r="C214" s="15">
        <v>467</v>
      </c>
      <c r="D214" s="15">
        <v>3</v>
      </c>
      <c r="E214" s="15">
        <v>0</v>
      </c>
      <c r="F214" s="14" t="str">
        <f>VLOOKUP(C214,skill_list!B:C,2)</f>
        <v>螳螂之斧</v>
      </c>
      <c r="G214" s="11"/>
      <c r="H214" s="15">
        <v>20</v>
      </c>
      <c r="I214" s="15">
        <v>30</v>
      </c>
      <c r="J214" s="15">
        <v>134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1351</v>
      </c>
      <c r="C215" s="15">
        <v>116</v>
      </c>
      <c r="D215" s="15">
        <v>3</v>
      </c>
      <c r="E215" s="15">
        <v>0</v>
      </c>
      <c r="F215" s="14" t="str">
        <f>VLOOKUP(C215,skill_list!B:C,2)</f>
        <v>レイジングシャウト</v>
      </c>
      <c r="G215" s="11"/>
      <c r="H215" s="15">
        <v>20</v>
      </c>
      <c r="I215" s="15">
        <v>30</v>
      </c>
      <c r="J215" s="15">
        <v>120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1352</v>
      </c>
      <c r="C216" s="15">
        <v>126</v>
      </c>
      <c r="D216" s="15">
        <v>3</v>
      </c>
      <c r="E216" s="15">
        <v>0</v>
      </c>
      <c r="F216" s="14" t="str">
        <f>VLOOKUP(C216,skill_list!B:C,2)</f>
        <v>ラブカ・ブレード</v>
      </c>
      <c r="G216" s="11"/>
      <c r="H216" s="15">
        <v>20</v>
      </c>
      <c r="I216" s="15">
        <v>30</v>
      </c>
      <c r="J216" s="15">
        <v>123</v>
      </c>
      <c r="K216" s="15">
        <v>1</v>
      </c>
      <c r="L216" s="15">
        <v>2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1401</v>
      </c>
      <c r="C217" s="15">
        <v>204</v>
      </c>
      <c r="D217" s="15">
        <v>4</v>
      </c>
      <c r="E217" s="15">
        <v>3</v>
      </c>
      <c r="F217" s="14" t="str">
        <f>VLOOKUP(C217,skill_list!B:C,2)</f>
        <v>ミストイングレイブ</v>
      </c>
      <c r="G217" s="11"/>
      <c r="H217" s="15">
        <v>45</v>
      </c>
      <c r="I217" s="15">
        <v>60</v>
      </c>
      <c r="J217" s="15">
        <v>126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1402</v>
      </c>
      <c r="C218" s="15">
        <v>328</v>
      </c>
      <c r="D218" s="15">
        <v>4</v>
      </c>
      <c r="E218" s="15">
        <v>5</v>
      </c>
      <c r="F218" s="14" t="str">
        <f>VLOOKUP(C218,skill_list!B:C,2)</f>
        <v>先に逝くなよ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1403</v>
      </c>
      <c r="C219" s="15">
        <v>282</v>
      </c>
      <c r="D219" s="15">
        <v>4</v>
      </c>
      <c r="E219" s="15">
        <v>1</v>
      </c>
      <c r="F219" s="14" t="str">
        <f>VLOOKUP(C219,skill_list!B:C,2)</f>
        <v>ヴィクタープラクティス</v>
      </c>
      <c r="G219" s="11"/>
      <c r="H219" s="15">
        <v>45</v>
      </c>
      <c r="I219" s="15">
        <v>60</v>
      </c>
      <c r="J219" s="15">
        <v>123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1404</v>
      </c>
      <c r="C220" s="15">
        <v>222</v>
      </c>
      <c r="D220" s="15">
        <v>4</v>
      </c>
      <c r="E220" s="15">
        <v>4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>
      <c r="A221" s="8"/>
      <c r="B221" s="15">
        <v>1405</v>
      </c>
      <c r="C221" s="15">
        <v>222</v>
      </c>
      <c r="D221" s="15">
        <v>4</v>
      </c>
      <c r="E221" s="15">
        <v>5</v>
      </c>
      <c r="F221" s="14" t="str">
        <f>VLOOKUP(C221,skill_list!B:C,2)</f>
        <v>夜雨</v>
      </c>
      <c r="G221" s="11"/>
      <c r="H221" s="15">
        <v>45</v>
      </c>
      <c r="I221" s="15">
        <v>60</v>
      </c>
      <c r="J221" s="15">
        <v>131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 ht="18" customHeight="1">
      <c r="A222" s="8"/>
      <c r="B222" s="15">
        <v>1406</v>
      </c>
      <c r="C222" s="15">
        <v>446</v>
      </c>
      <c r="D222" s="15">
        <v>4</v>
      </c>
      <c r="E222" s="15">
        <v>2</v>
      </c>
      <c r="F222" s="14" t="str">
        <f>VLOOKUP(C222,skill_list!B:C,2)</f>
        <v>コールドクラッシュ</v>
      </c>
      <c r="G222" s="11"/>
      <c r="H222" s="15">
        <v>45</v>
      </c>
      <c r="I222" s="15">
        <v>60</v>
      </c>
      <c r="J222" s="15">
        <v>132</v>
      </c>
      <c r="K222" s="15">
        <v>1</v>
      </c>
      <c r="L222" s="15">
        <v>1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1451</v>
      </c>
      <c r="C223" s="15">
        <v>241</v>
      </c>
      <c r="D223" s="15">
        <v>4</v>
      </c>
      <c r="E223" s="15">
        <v>1</v>
      </c>
      <c r="F223" s="14" t="str">
        <f>VLOOKUP(C223,skill_list!B:C,2)</f>
        <v>怒裂昂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1452</v>
      </c>
      <c r="C224" s="15">
        <v>77</v>
      </c>
      <c r="D224" s="15">
        <v>4</v>
      </c>
      <c r="E224" s="15">
        <v>2</v>
      </c>
      <c r="F224" s="14" t="str">
        <f>VLOOKUP(C224,skill_list!B:C,2)</f>
        <v>ビスコッティ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1453</v>
      </c>
      <c r="C225" s="15">
        <v>410</v>
      </c>
      <c r="D225" s="15">
        <v>4</v>
      </c>
      <c r="E225" s="15">
        <v>3</v>
      </c>
      <c r="F225" s="14" t="str">
        <f>VLOOKUP(C225,skill_list!B:C,2)</f>
        <v>ザヴィーシマスチ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0</v>
      </c>
      <c r="P225" s="15"/>
      <c r="Q225" s="15"/>
    </row>
    <row r="226" spans="1:17">
      <c r="A226" s="8"/>
      <c r="B226" s="15">
        <v>1454</v>
      </c>
      <c r="C226" s="15">
        <v>476</v>
      </c>
      <c r="D226" s="15">
        <v>4</v>
      </c>
      <c r="E226" s="15">
        <v>5</v>
      </c>
      <c r="F226" s="14" t="str">
        <f>VLOOKUP(C226,skill_list!B:C,2)</f>
        <v>ヌラルジャ</v>
      </c>
      <c r="G226" s="11"/>
      <c r="H226" s="15">
        <v>30</v>
      </c>
      <c r="I226" s="15">
        <v>45</v>
      </c>
      <c r="J226" s="15">
        <v>129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1455</v>
      </c>
      <c r="C227" s="15">
        <v>249</v>
      </c>
      <c r="D227" s="15">
        <v>4</v>
      </c>
      <c r="E227" s="15">
        <v>1</v>
      </c>
      <c r="F227" s="14" t="str">
        <f>VLOOKUP(C227,skill_list!B:C,2)</f>
        <v>シルキーフレア</v>
      </c>
      <c r="G227" s="11"/>
      <c r="H227" s="15">
        <v>30</v>
      </c>
      <c r="I227" s="15">
        <v>45</v>
      </c>
      <c r="J227" s="15">
        <v>132</v>
      </c>
      <c r="K227" s="15">
        <v>1</v>
      </c>
      <c r="L227" s="15">
        <v>2</v>
      </c>
      <c r="M227" s="15">
        <v>0</v>
      </c>
      <c r="N227" s="15">
        <v>1</v>
      </c>
      <c r="O227" s="15">
        <v>999</v>
      </c>
      <c r="P227" s="15"/>
      <c r="Q227" s="15"/>
    </row>
    <row r="228" spans="1:17">
      <c r="A228" s="8"/>
      <c r="B228" s="15">
        <v>1501</v>
      </c>
      <c r="C228" s="15">
        <v>94</v>
      </c>
      <c r="D228" s="15">
        <v>5</v>
      </c>
      <c r="E228" s="15">
        <v>0</v>
      </c>
      <c r="F228" s="14" t="str">
        <f>VLOOKUP(C228,skill_list!B:C,2)</f>
        <v>呪怨の矢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1502</v>
      </c>
      <c r="C229" s="15">
        <v>272</v>
      </c>
      <c r="D229" s="15">
        <v>5</v>
      </c>
      <c r="E229" s="15">
        <v>0</v>
      </c>
      <c r="F229" s="14" t="str">
        <f>VLOOKUP(C229,skill_list!B:C,2)</f>
        <v>ディープブロー</v>
      </c>
      <c r="G229" s="11"/>
      <c r="H229" s="15">
        <v>35</v>
      </c>
      <c r="I229" s="15">
        <v>50</v>
      </c>
      <c r="J229" s="15">
        <v>120</v>
      </c>
      <c r="K229" s="15">
        <v>1</v>
      </c>
      <c r="L229" s="15">
        <v>1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1551</v>
      </c>
      <c r="C230" s="15">
        <v>195</v>
      </c>
      <c r="D230" s="15">
        <v>5</v>
      </c>
      <c r="E230" s="15">
        <v>0</v>
      </c>
      <c r="F230" s="14" t="str">
        <f>VLOOKUP(C230,skill_list!B:C,2)</f>
        <v>ネイキッドイレイザー</v>
      </c>
      <c r="G230" s="11"/>
      <c r="H230" s="15">
        <v>35</v>
      </c>
      <c r="I230" s="15">
        <v>50</v>
      </c>
      <c r="J230" s="15">
        <v>132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1552</v>
      </c>
      <c r="C231" s="15">
        <v>218</v>
      </c>
      <c r="D231" s="15">
        <v>5</v>
      </c>
      <c r="E231" s="15">
        <v>0</v>
      </c>
      <c r="F231" s="14" t="str">
        <f>VLOOKUP(C231,skill_list!B:C,2)</f>
        <v>薙の矢</v>
      </c>
      <c r="G231" s="11"/>
      <c r="H231" s="15">
        <v>35</v>
      </c>
      <c r="I231" s="15">
        <v>50</v>
      </c>
      <c r="J231" s="15">
        <v>126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1553</v>
      </c>
      <c r="C232" s="15">
        <v>349</v>
      </c>
      <c r="D232" s="15">
        <v>5</v>
      </c>
      <c r="E232" s="15">
        <v>0</v>
      </c>
      <c r="F232" s="14" t="str">
        <f>VLOOKUP(C232,skill_list!B:C,2)</f>
        <v>大海原</v>
      </c>
      <c r="G232" s="11"/>
      <c r="H232" s="15">
        <v>35</v>
      </c>
      <c r="I232" s="15">
        <v>50</v>
      </c>
      <c r="J232" s="15">
        <v>129</v>
      </c>
      <c r="K232" s="15">
        <v>1</v>
      </c>
      <c r="L232" s="15">
        <v>2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1600</v>
      </c>
      <c r="C233" s="15">
        <v>9001</v>
      </c>
      <c r="D233" s="15">
        <v>6</v>
      </c>
      <c r="E233" s="15">
        <v>0</v>
      </c>
      <c r="F233" s="14" t="str">
        <f>VLOOKUP(C233,skill_list!B:C,2)</f>
        <v>クリティカルシンキング</v>
      </c>
      <c r="G233" s="11"/>
      <c r="H233" s="15">
        <v>40</v>
      </c>
      <c r="I233" s="15">
        <v>70</v>
      </c>
      <c r="J233" s="15">
        <v>450</v>
      </c>
      <c r="K233" s="15">
        <v>1</v>
      </c>
      <c r="L233" s="15">
        <v>7</v>
      </c>
      <c r="M233" s="15">
        <v>0</v>
      </c>
      <c r="N233" s="15">
        <v>1</v>
      </c>
      <c r="O233" s="15">
        <v>0</v>
      </c>
      <c r="P233" s="15"/>
      <c r="Q233" s="15"/>
    </row>
    <row r="234" spans="1:17">
      <c r="A234" s="8"/>
      <c r="B234" s="15">
        <v>1601</v>
      </c>
      <c r="C234" s="15">
        <v>71</v>
      </c>
      <c r="D234" s="15">
        <v>6</v>
      </c>
      <c r="E234" s="15">
        <v>0</v>
      </c>
      <c r="F234" s="14" t="str">
        <f>VLOOKUP(C234,skill_list!B:C,2)</f>
        <v>ルーンバースト</v>
      </c>
      <c r="G234" s="11"/>
      <c r="H234" s="15">
        <v>35</v>
      </c>
      <c r="I234" s="15">
        <v>45</v>
      </c>
      <c r="J234" s="15">
        <v>132</v>
      </c>
      <c r="K234" s="15">
        <v>1</v>
      </c>
      <c r="L234" s="15">
        <v>7</v>
      </c>
      <c r="M234" s="15">
        <v>0</v>
      </c>
      <c r="N234" s="15">
        <v>1</v>
      </c>
      <c r="O234" s="15">
        <v>999</v>
      </c>
      <c r="P234" s="15"/>
      <c r="Q234" s="15"/>
    </row>
    <row r="235" spans="1:17">
      <c r="A235" s="8"/>
      <c r="B235" s="15">
        <v>1602</v>
      </c>
      <c r="C235" s="15">
        <v>255</v>
      </c>
      <c r="D235" s="15">
        <v>6</v>
      </c>
      <c r="E235" s="15">
        <v>0</v>
      </c>
      <c r="F235" s="14" t="str">
        <f>VLOOKUP(C235,skill_list!B:C,2)</f>
        <v>ホールドアップマインド</v>
      </c>
      <c r="G235" s="11"/>
      <c r="H235" s="15">
        <v>35</v>
      </c>
      <c r="I235" s="15">
        <v>45</v>
      </c>
      <c r="J235" s="15">
        <v>224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1603</v>
      </c>
      <c r="C236" s="15">
        <v>378</v>
      </c>
      <c r="D236" s="15">
        <v>6</v>
      </c>
      <c r="E236" s="15">
        <v>0</v>
      </c>
      <c r="F236" s="14" t="str">
        <f>VLOOKUP(C236,skill_list!B:C,2)</f>
        <v>冀望</v>
      </c>
      <c r="G236" s="11"/>
      <c r="H236" s="15">
        <v>40</v>
      </c>
      <c r="I236" s="15">
        <v>70</v>
      </c>
      <c r="J236" s="15">
        <v>216</v>
      </c>
      <c r="K236" s="15">
        <v>10</v>
      </c>
      <c r="L236" s="15">
        <v>7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1604</v>
      </c>
      <c r="C237" s="15">
        <v>462</v>
      </c>
      <c r="D237" s="15">
        <v>6</v>
      </c>
      <c r="E237" s="15">
        <v>0</v>
      </c>
      <c r="F237" s="14" t="str">
        <f>VLOOKUP(C237,skill_list!B:C,2)</f>
        <v>一途なスマイル</v>
      </c>
      <c r="G237" s="11"/>
      <c r="H237" s="15">
        <v>40</v>
      </c>
      <c r="I237" s="15">
        <v>70</v>
      </c>
      <c r="J237" s="15">
        <v>232</v>
      </c>
      <c r="K237" s="15">
        <v>10</v>
      </c>
      <c r="L237" s="15">
        <v>3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1605</v>
      </c>
      <c r="C238" s="15">
        <v>471</v>
      </c>
      <c r="D238" s="15">
        <v>6</v>
      </c>
      <c r="E238" s="15">
        <v>0</v>
      </c>
      <c r="F238" s="14" t="str">
        <f>VLOOKUP(C238,skill_list!B:C,2)</f>
        <v>おしおき</v>
      </c>
      <c r="G238" s="11"/>
      <c r="H238" s="15">
        <v>40</v>
      </c>
      <c r="I238" s="15">
        <v>70</v>
      </c>
      <c r="J238" s="15">
        <v>200</v>
      </c>
      <c r="K238" s="15">
        <v>10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1700</v>
      </c>
      <c r="C239" s="15">
        <v>9006</v>
      </c>
      <c r="D239" s="15">
        <v>7</v>
      </c>
      <c r="E239" s="15">
        <v>0</v>
      </c>
      <c r="F239" s="14" t="str">
        <f>VLOOKUP(C239,skill_list!B:C,2)</f>
        <v>コンセントレーション</v>
      </c>
      <c r="G239" s="11"/>
      <c r="H239" s="15">
        <v>10</v>
      </c>
      <c r="I239" s="15">
        <v>20</v>
      </c>
      <c r="J239" s="15">
        <v>450</v>
      </c>
      <c r="K239" s="15">
        <v>1</v>
      </c>
      <c r="L239" s="15">
        <v>7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1701</v>
      </c>
      <c r="C240" s="15">
        <v>462</v>
      </c>
      <c r="D240" s="15">
        <v>7</v>
      </c>
      <c r="E240" s="15">
        <v>0</v>
      </c>
      <c r="F240" s="14" t="str">
        <f>VLOOKUP(C240,skill_list!B:C,2)</f>
        <v>一途なスマイル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3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1702</v>
      </c>
      <c r="C241" s="15">
        <v>482</v>
      </c>
      <c r="D241" s="15">
        <v>7</v>
      </c>
      <c r="E241" s="15">
        <v>0</v>
      </c>
      <c r="F241" s="14" t="str">
        <f>VLOOKUP(C241,skill_list!B:C,2)</f>
        <v>解けない謎はない</v>
      </c>
      <c r="G241" s="11"/>
      <c r="H241" s="15">
        <v>30</v>
      </c>
      <c r="I241" s="15">
        <v>30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2001</v>
      </c>
      <c r="C242" s="15">
        <v>378</v>
      </c>
      <c r="D242" s="15">
        <v>10</v>
      </c>
      <c r="E242" s="15">
        <v>0</v>
      </c>
      <c r="F242" s="14" t="str">
        <f>VLOOKUP(C242,skill_list!B:C,2)</f>
        <v>冀望</v>
      </c>
      <c r="G242" s="11"/>
      <c r="H242" s="15">
        <v>20</v>
      </c>
      <c r="I242" s="15">
        <v>30</v>
      </c>
      <c r="J242" s="15">
        <v>216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2002</v>
      </c>
      <c r="C243" s="15">
        <v>157</v>
      </c>
      <c r="D243" s="15">
        <v>10</v>
      </c>
      <c r="E243" s="15">
        <v>0</v>
      </c>
      <c r="F243" s="14" t="str">
        <f>VLOOKUP(C243,skill_list!B:C,2)</f>
        <v>聖域のカンタータ</v>
      </c>
      <c r="G243" s="11"/>
      <c r="H243" s="15">
        <v>20</v>
      </c>
      <c r="I243" s="15">
        <v>30</v>
      </c>
      <c r="J243" s="15">
        <v>216</v>
      </c>
      <c r="K243" s="15">
        <v>10</v>
      </c>
      <c r="L243" s="15">
        <v>6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2003</v>
      </c>
      <c r="C244" s="15">
        <v>346</v>
      </c>
      <c r="D244" s="15">
        <v>10</v>
      </c>
      <c r="E244" s="15">
        <v>0</v>
      </c>
      <c r="F244" s="14" t="str">
        <f>VLOOKUP(C244,skill_list!B:C,2)</f>
        <v>メイドの嗜み</v>
      </c>
      <c r="G244" s="11"/>
      <c r="H244" s="15">
        <v>20</v>
      </c>
      <c r="I244" s="15">
        <v>30</v>
      </c>
      <c r="J244" s="15">
        <v>200</v>
      </c>
      <c r="K244" s="15">
        <v>10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2004</v>
      </c>
      <c r="C245" s="15">
        <v>478</v>
      </c>
      <c r="D245" s="15">
        <v>10</v>
      </c>
      <c r="E245" s="15">
        <v>0</v>
      </c>
      <c r="F245" s="14" t="str">
        <f>VLOOKUP(C245,skill_list!B:C,2)</f>
        <v>春爛漫</v>
      </c>
      <c r="G245" s="11"/>
      <c r="H245" s="15">
        <v>20</v>
      </c>
      <c r="I245" s="15">
        <v>30</v>
      </c>
      <c r="J245" s="15">
        <v>216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2005</v>
      </c>
      <c r="C246" s="15">
        <v>8001</v>
      </c>
      <c r="D246" s="15">
        <v>10</v>
      </c>
      <c r="E246" s="15">
        <v>0</v>
      </c>
      <c r="F246" s="14" t="str">
        <f>VLOOKUP(C246,skill_list!B:C,2)</f>
        <v>チャージ</v>
      </c>
      <c r="G246" s="11"/>
      <c r="H246" s="15">
        <v>30</v>
      </c>
      <c r="I246" s="15">
        <v>30</v>
      </c>
      <c r="J246" s="15">
        <v>1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>
        <v>1</v>
      </c>
    </row>
    <row r="247" spans="1:17">
      <c r="A247" s="8"/>
      <c r="B247" s="15">
        <v>2051</v>
      </c>
      <c r="C247" s="15">
        <v>226</v>
      </c>
      <c r="D247" s="15">
        <v>10</v>
      </c>
      <c r="E247" s="15">
        <v>0</v>
      </c>
      <c r="F247" s="14" t="str">
        <f>VLOOKUP(C247,skill_list!B:C,2)</f>
        <v>ハイセンス・ショット</v>
      </c>
      <c r="G247" s="11"/>
      <c r="H247" s="15">
        <v>20</v>
      </c>
      <c r="I247" s="15">
        <v>30</v>
      </c>
      <c r="J247" s="15">
        <v>123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2052</v>
      </c>
      <c r="C248" s="15">
        <v>163</v>
      </c>
      <c r="D248" s="15">
        <v>10</v>
      </c>
      <c r="E248" s="15">
        <v>0</v>
      </c>
      <c r="F248" s="14" t="str">
        <f>VLOOKUP(C248,skill_list!B:C,2)</f>
        <v>残心</v>
      </c>
      <c r="G248" s="11"/>
      <c r="H248" s="15">
        <v>20</v>
      </c>
      <c r="I248" s="15">
        <v>30</v>
      </c>
      <c r="J248" s="15">
        <v>123</v>
      </c>
      <c r="K248" s="15">
        <v>1</v>
      </c>
      <c r="L248" s="15">
        <v>7</v>
      </c>
      <c r="M248" s="15">
        <v>0</v>
      </c>
      <c r="N248" s="15">
        <v>1</v>
      </c>
      <c r="O248" s="15">
        <v>0</v>
      </c>
      <c r="P248" s="15"/>
      <c r="Q248" s="15"/>
    </row>
    <row r="249" spans="1:17">
      <c r="A249" s="8"/>
      <c r="B249" s="15">
        <v>2053</v>
      </c>
      <c r="C249" s="15">
        <v>228</v>
      </c>
      <c r="D249" s="15">
        <v>10</v>
      </c>
      <c r="E249" s="15">
        <v>0</v>
      </c>
      <c r="F249" s="14" t="str">
        <f>VLOOKUP(C249,skill_list!B:C,2)</f>
        <v>喧嘩上等！！</v>
      </c>
      <c r="G249" s="11"/>
      <c r="H249" s="15">
        <v>20</v>
      </c>
      <c r="I249" s="15">
        <v>30</v>
      </c>
      <c r="J249" s="15">
        <v>132</v>
      </c>
      <c r="K249" s="15">
        <v>1</v>
      </c>
      <c r="L249" s="15">
        <v>7</v>
      </c>
      <c r="M249" s="15">
        <v>0</v>
      </c>
      <c r="N249" s="15">
        <v>1</v>
      </c>
      <c r="O249" s="15">
        <v>0</v>
      </c>
      <c r="P249" s="15"/>
      <c r="Q249" s="15"/>
    </row>
    <row r="250" spans="1:17">
      <c r="A250" s="8"/>
      <c r="B250" s="15">
        <v>2201</v>
      </c>
      <c r="C250" s="15">
        <v>321</v>
      </c>
      <c r="D250" s="15">
        <v>12</v>
      </c>
      <c r="E250" s="15">
        <v>0</v>
      </c>
      <c r="F250" s="14" t="str">
        <f>VLOOKUP(C250,skill_list!B:C,2)</f>
        <v>ファーストラヴ</v>
      </c>
      <c r="G250" s="11"/>
      <c r="H250" s="15">
        <v>50</v>
      </c>
      <c r="I250" s="15">
        <v>50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  <c r="Q250" s="15"/>
    </row>
    <row r="251" spans="1:17">
      <c r="A251" s="8"/>
      <c r="B251" s="15">
        <v>2300</v>
      </c>
      <c r="C251" s="15">
        <v>9003</v>
      </c>
      <c r="D251" s="15">
        <v>13</v>
      </c>
      <c r="E251" s="15">
        <v>0</v>
      </c>
      <c r="F251" s="14" t="str">
        <f>VLOOKUP(C251,skill_list!B:C,2)</f>
        <v>ドライブゲイン</v>
      </c>
      <c r="G251" s="11"/>
      <c r="H251" s="15">
        <v>15</v>
      </c>
      <c r="I251" s="15">
        <v>15</v>
      </c>
      <c r="J251" s="15">
        <v>0</v>
      </c>
      <c r="K251" s="15">
        <v>1</v>
      </c>
      <c r="L251" s="15">
        <v>0</v>
      </c>
      <c r="M251" s="15">
        <v>0</v>
      </c>
      <c r="N251" s="15">
        <v>0</v>
      </c>
      <c r="O251" s="15">
        <v>0</v>
      </c>
      <c r="P251" s="15"/>
      <c r="Q251" s="15"/>
    </row>
    <row r="252" spans="1:17">
      <c r="A252" s="8"/>
      <c r="B252" s="15">
        <v>2301</v>
      </c>
      <c r="C252" s="15">
        <v>123</v>
      </c>
      <c r="D252" s="15">
        <v>13</v>
      </c>
      <c r="E252" s="15">
        <v>0</v>
      </c>
      <c r="F252" s="14" t="str">
        <f>VLOOKUP(C252,skill_list!B:C,2)</f>
        <v>サービス・エース</v>
      </c>
      <c r="G252" s="11"/>
      <c r="H252" s="15">
        <v>10</v>
      </c>
      <c r="I252" s="15">
        <v>15</v>
      </c>
      <c r="J252" s="15">
        <v>117</v>
      </c>
      <c r="K252" s="15">
        <v>1</v>
      </c>
      <c r="L252" s="15">
        <v>0</v>
      </c>
      <c r="M252" s="15">
        <v>0</v>
      </c>
      <c r="N252" s="15">
        <v>0</v>
      </c>
      <c r="O252" s="15">
        <v>0</v>
      </c>
      <c r="P252" s="15"/>
      <c r="Q252" s="15"/>
    </row>
    <row r="253" spans="1:17">
      <c r="A253" s="8"/>
      <c r="B253" s="15">
        <v>2401</v>
      </c>
      <c r="C253" s="15">
        <v>293</v>
      </c>
      <c r="D253" s="15">
        <v>14</v>
      </c>
      <c r="E253" s="15">
        <v>0</v>
      </c>
      <c r="F253" s="14" t="str">
        <f>VLOOKUP(C253,skill_list!B:C,2)</f>
        <v>きらめきのエール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4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2501</v>
      </c>
      <c r="C254" s="15">
        <v>275</v>
      </c>
      <c r="D254" s="15">
        <v>15</v>
      </c>
      <c r="E254" s="15">
        <v>0</v>
      </c>
      <c r="F254" s="14" t="str">
        <f>VLOOKUP(C254,skill_list!B:C,2)</f>
        <v>カースサイス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1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2502</v>
      </c>
      <c r="C255" s="15">
        <v>380</v>
      </c>
      <c r="D255" s="15">
        <v>15</v>
      </c>
      <c r="E255" s="15">
        <v>0</v>
      </c>
      <c r="F255" s="14" t="str">
        <f>VLOOKUP(C255,skill_list!B:C,2)</f>
        <v>天変の相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2503</v>
      </c>
      <c r="C256" s="15">
        <v>265</v>
      </c>
      <c r="D256" s="15">
        <v>15</v>
      </c>
      <c r="E256" s="15">
        <v>0</v>
      </c>
      <c r="F256" s="14" t="str">
        <f>VLOOKUP(C256,skill_list!B:C,2)</f>
        <v>神妙</v>
      </c>
      <c r="G256" s="11"/>
      <c r="H256" s="15">
        <v>0</v>
      </c>
      <c r="I256" s="15">
        <v>0</v>
      </c>
      <c r="J256" s="15">
        <v>0</v>
      </c>
      <c r="K256" s="15">
        <v>1</v>
      </c>
      <c r="L256" s="15">
        <v>2</v>
      </c>
      <c r="M256" s="15">
        <v>0</v>
      </c>
      <c r="N256" s="15">
        <v>2</v>
      </c>
      <c r="O256" s="15">
        <v>0</v>
      </c>
      <c r="P256" s="15"/>
      <c r="Q256" s="15"/>
    </row>
    <row r="257" spans="1:17">
      <c r="A257" s="8"/>
      <c r="B257" s="15">
        <v>2504</v>
      </c>
      <c r="C257" s="15">
        <v>417</v>
      </c>
      <c r="D257" s="15">
        <v>15</v>
      </c>
      <c r="E257" s="15">
        <v>0</v>
      </c>
      <c r="F257" s="14" t="str">
        <f>VLOOKUP(C257,skill_list!B:C,2)</f>
        <v>ナイトフォール</v>
      </c>
      <c r="G257" s="11"/>
      <c r="H257" s="15">
        <v>0</v>
      </c>
      <c r="I257" s="15">
        <v>0</v>
      </c>
      <c r="J257" s="15">
        <v>0</v>
      </c>
      <c r="K257" s="15">
        <v>1</v>
      </c>
      <c r="L257" s="15">
        <v>1</v>
      </c>
      <c r="M257" s="15">
        <v>0</v>
      </c>
      <c r="N257" s="15">
        <v>2</v>
      </c>
      <c r="O257" s="15">
        <v>0</v>
      </c>
      <c r="P257" s="15"/>
      <c r="Q257" s="15"/>
    </row>
    <row r="258" spans="1:17">
      <c r="A258" s="8"/>
      <c r="B258" s="15">
        <v>2601</v>
      </c>
      <c r="C258" s="15">
        <v>331</v>
      </c>
      <c r="D258" s="15">
        <v>16</v>
      </c>
      <c r="E258" s="15">
        <v>0</v>
      </c>
      <c r="F258" s="14" t="str">
        <f>VLOOKUP(C258,skill_list!B:C,2)</f>
        <v>イチコロスマイル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2602</v>
      </c>
      <c r="C259" s="15">
        <v>384</v>
      </c>
      <c r="D259" s="15">
        <v>16</v>
      </c>
      <c r="E259" s="15">
        <v>0</v>
      </c>
      <c r="F259" s="14" t="str">
        <f>VLOOKUP(C259,skill_list!B:C,2)</f>
        <v>バックラッシュ</v>
      </c>
      <c r="G259" s="11"/>
      <c r="H259" s="15">
        <v>5</v>
      </c>
      <c r="I259" s="15">
        <v>5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2603</v>
      </c>
      <c r="C260" s="15">
        <v>425</v>
      </c>
      <c r="D260" s="15">
        <v>16</v>
      </c>
      <c r="E260" s="15">
        <v>0</v>
      </c>
      <c r="F260" s="14" t="str">
        <f>VLOOKUP(C260,skill_list!B:C,2)</f>
        <v>セルフパッション</v>
      </c>
      <c r="G260" s="11"/>
      <c r="H260" s="15">
        <v>5</v>
      </c>
      <c r="I260" s="15">
        <v>5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2604</v>
      </c>
      <c r="C261" s="15">
        <v>8003</v>
      </c>
      <c r="D261" s="15">
        <v>16</v>
      </c>
      <c r="E261" s="15">
        <v>0</v>
      </c>
      <c r="F261" s="14" t="str">
        <f>VLOOKUP(C261,skill_list!B:C,2)</f>
        <v>連撃＋</v>
      </c>
      <c r="G261" s="11"/>
      <c r="H261" s="15">
        <v>3</v>
      </c>
      <c r="I261" s="15">
        <v>3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>
        <v>1</v>
      </c>
    </row>
    <row r="262" spans="1:17">
      <c r="A262" s="8"/>
      <c r="B262" s="15">
        <v>2701</v>
      </c>
      <c r="C262" s="15">
        <v>189</v>
      </c>
      <c r="D262" s="15">
        <v>17</v>
      </c>
      <c r="E262" s="15">
        <v>0</v>
      </c>
      <c r="F262" s="14" t="str">
        <f>VLOOKUP(C262,skill_list!B:C,2)</f>
        <v>心意活性</v>
      </c>
      <c r="G262" s="11"/>
      <c r="H262" s="15">
        <v>2</v>
      </c>
      <c r="I262" s="15">
        <v>3</v>
      </c>
      <c r="J262" s="15">
        <v>129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2702</v>
      </c>
      <c r="C263" s="15">
        <v>255</v>
      </c>
      <c r="D263" s="15">
        <v>17</v>
      </c>
      <c r="E263" s="15">
        <v>0</v>
      </c>
      <c r="F263" s="14" t="str">
        <f>VLOOKUP(C263,skill_list!B:C,2)</f>
        <v>ホールドアップマインド</v>
      </c>
      <c r="G263" s="11"/>
      <c r="H263" s="15">
        <v>2</v>
      </c>
      <c r="I263" s="15">
        <v>2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0</v>
      </c>
      <c r="P263" s="15"/>
      <c r="Q263" s="15"/>
    </row>
    <row r="264" spans="1:17">
      <c r="A264" s="8"/>
      <c r="B264" s="15">
        <v>2703</v>
      </c>
      <c r="C264" s="15">
        <v>236</v>
      </c>
      <c r="D264" s="15">
        <v>17</v>
      </c>
      <c r="E264" s="15">
        <v>0</v>
      </c>
      <c r="F264" s="14" t="str">
        <f>VLOOKUP(C264,skill_list!B:C,2)</f>
        <v>ブリリアント・グローリー</v>
      </c>
      <c r="G264" s="11"/>
      <c r="H264" s="15">
        <v>2</v>
      </c>
      <c r="I264" s="15">
        <v>3</v>
      </c>
      <c r="J264" s="15">
        <v>208</v>
      </c>
      <c r="K264" s="15">
        <v>1</v>
      </c>
      <c r="L264" s="15">
        <v>7</v>
      </c>
      <c r="M264" s="15">
        <v>0</v>
      </c>
      <c r="N264" s="15">
        <v>1</v>
      </c>
      <c r="O264" s="15">
        <v>0</v>
      </c>
      <c r="P264" s="15"/>
      <c r="Q264" s="15"/>
    </row>
    <row r="265" spans="1:17">
      <c r="A265" s="8"/>
      <c r="B265" s="15">
        <v>3300</v>
      </c>
      <c r="C265" s="15">
        <v>9007</v>
      </c>
      <c r="D265" s="15">
        <v>23</v>
      </c>
      <c r="E265" s="15">
        <v>0</v>
      </c>
      <c r="F265" s="14" t="str">
        <f>VLOOKUP(C265,skill_list!B:C,2)</f>
        <v>ポイントケア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0</v>
      </c>
      <c r="P265" s="15"/>
      <c r="Q265" s="15"/>
    </row>
    <row r="266" spans="1:17">
      <c r="A266" s="8"/>
      <c r="B266" s="15">
        <v>3301</v>
      </c>
      <c r="C266" s="15">
        <v>22</v>
      </c>
      <c r="D266" s="15">
        <v>23</v>
      </c>
      <c r="E266" s="15">
        <v>0</v>
      </c>
      <c r="F266" s="14" t="str">
        <f>VLOOKUP(C266,skill_list!B:C,2)</f>
        <v>ブレスショット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3302</v>
      </c>
      <c r="C267" s="15">
        <v>33</v>
      </c>
      <c r="D267" s="15">
        <v>23</v>
      </c>
      <c r="E267" s="15">
        <v>0</v>
      </c>
      <c r="F267" s="14" t="str">
        <f>VLOOKUP(C267,skill_list!B:C,2)</f>
        <v>闘気斬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3303</v>
      </c>
      <c r="C268" s="15">
        <v>113</v>
      </c>
      <c r="D268" s="15">
        <v>23</v>
      </c>
      <c r="E268" s="15">
        <v>0</v>
      </c>
      <c r="F268" s="14" t="str">
        <f>VLOOKUP(C268,skill_list!B:C,2)</f>
        <v>ヴィヴィットシュート</v>
      </c>
      <c r="G268" s="11"/>
      <c r="H268" s="15">
        <v>2</v>
      </c>
      <c r="I268" s="15">
        <v>2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3304</v>
      </c>
      <c r="C269" s="15">
        <v>120</v>
      </c>
      <c r="D269" s="15">
        <v>23</v>
      </c>
      <c r="E269" s="15">
        <v>0</v>
      </c>
      <c r="F269" s="14" t="str">
        <f>VLOOKUP(C269,skill_list!B:C,2)</f>
        <v>リバースショット</v>
      </c>
      <c r="G269" s="11"/>
      <c r="H269" s="15">
        <v>2</v>
      </c>
      <c r="I269" s="15">
        <v>2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3305</v>
      </c>
      <c r="C270" s="15">
        <v>132</v>
      </c>
      <c r="D270" s="15">
        <v>23</v>
      </c>
      <c r="E270" s="15">
        <v>0</v>
      </c>
      <c r="F270" s="14" t="str">
        <f>VLOOKUP(C270,skill_list!B:C,2)</f>
        <v>砕華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3306</v>
      </c>
      <c r="C271" s="15">
        <v>190</v>
      </c>
      <c r="D271" s="15">
        <v>23</v>
      </c>
      <c r="E271" s="15">
        <v>0</v>
      </c>
      <c r="F271" s="14" t="str">
        <f>VLOOKUP(C271,skill_list!B:C,2)</f>
        <v>ゲインカノン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3307</v>
      </c>
      <c r="C272" s="15">
        <v>212</v>
      </c>
      <c r="D272" s="15">
        <v>23</v>
      </c>
      <c r="E272" s="15">
        <v>0</v>
      </c>
      <c r="F272" s="14" t="str">
        <f>VLOOKUP(C272,skill_list!B:C,2)</f>
        <v>粛正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3308</v>
      </c>
      <c r="C273" s="15">
        <v>239</v>
      </c>
      <c r="D273" s="15">
        <v>23</v>
      </c>
      <c r="E273" s="15">
        <v>0</v>
      </c>
      <c r="F273" s="14" t="str">
        <f>VLOOKUP(C273,skill_list!B:C,2)</f>
        <v>キャンディ・バースト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3309</v>
      </c>
      <c r="C274" s="15">
        <v>259</v>
      </c>
      <c r="D274" s="15">
        <v>23</v>
      </c>
      <c r="E274" s="15">
        <v>0</v>
      </c>
      <c r="F274" s="14" t="str">
        <f>VLOOKUP(C274,skill_list!B:C,2)</f>
        <v>不純なアリア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3310</v>
      </c>
      <c r="C275" s="15">
        <v>309</v>
      </c>
      <c r="D275" s="15">
        <v>23</v>
      </c>
      <c r="E275" s="15">
        <v>0</v>
      </c>
      <c r="F275" s="14" t="str">
        <f>VLOOKUP(C275,skill_list!B:C,2)</f>
        <v>フォーチュンスラッシュ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</row>
    <row r="276" spans="1:18">
      <c r="A276" s="8"/>
      <c r="B276" s="15">
        <v>3311</v>
      </c>
      <c r="C276" s="15">
        <v>324</v>
      </c>
      <c r="D276" s="15">
        <v>23</v>
      </c>
      <c r="E276" s="15">
        <v>0</v>
      </c>
      <c r="F276" s="14" t="str">
        <f>VLOOKUP(C276,skill_list!B:C,2)</f>
        <v>トランスペイン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3312</v>
      </c>
      <c r="C277" s="15">
        <v>382</v>
      </c>
      <c r="D277" s="15">
        <v>23</v>
      </c>
      <c r="E277" s="15">
        <v>0</v>
      </c>
      <c r="F277" s="14" t="str">
        <f>VLOOKUP(C277,skill_list!B:C,2)</f>
        <v>エキゾーストノート</v>
      </c>
      <c r="G277" s="11"/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3313</v>
      </c>
      <c r="C278" s="15">
        <v>397</v>
      </c>
      <c r="D278" s="15">
        <v>23</v>
      </c>
      <c r="E278" s="15">
        <v>0</v>
      </c>
      <c r="F278" s="14" t="str">
        <f>VLOOKUP(C278,skill_list!B:C,2)</f>
        <v>春雷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3314</v>
      </c>
      <c r="C279" s="15">
        <v>427</v>
      </c>
      <c r="D279" s="15">
        <v>23</v>
      </c>
      <c r="E279" s="15">
        <v>0</v>
      </c>
      <c r="F279" s="14" t="str">
        <f>VLOOKUP(C279,skill_list!B:C,2)</f>
        <v>ファンタズム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</row>
    <row r="280" spans="1:18">
      <c r="A280" s="8"/>
      <c r="B280" s="15">
        <v>3315</v>
      </c>
      <c r="C280" s="15">
        <v>480</v>
      </c>
      <c r="D280" s="15">
        <v>23</v>
      </c>
      <c r="E280" s="15">
        <v>0</v>
      </c>
      <c r="F280" s="14" t="str">
        <f>VLOOKUP(C280,skill_list!B:C,2)</f>
        <v>スイーツチャージ！</v>
      </c>
      <c r="G280" s="11"/>
      <c r="H280" s="15">
        <v>2</v>
      </c>
      <c r="I280" s="15">
        <v>2</v>
      </c>
      <c r="J280" s="15">
        <v>0</v>
      </c>
      <c r="K280" s="15">
        <v>1</v>
      </c>
      <c r="L280" s="15">
        <v>7</v>
      </c>
      <c r="M280" s="15">
        <v>0</v>
      </c>
      <c r="N280" s="15">
        <v>1</v>
      </c>
      <c r="O280" s="15">
        <v>999</v>
      </c>
      <c r="P280" s="15"/>
      <c r="Q280" s="15"/>
    </row>
    <row r="281" spans="1:18">
      <c r="A281" s="8"/>
      <c r="B281" s="15">
        <v>3316</v>
      </c>
      <c r="C281" s="15">
        <v>177</v>
      </c>
      <c r="D281" s="15">
        <v>23</v>
      </c>
      <c r="E281" s="15">
        <v>0</v>
      </c>
      <c r="F281" s="14" t="str">
        <f>VLOOKUP(C281,skill_list!B:C,2)</f>
        <v>エリミネイト・ポッシブル</v>
      </c>
      <c r="G281" s="11"/>
      <c r="H281" s="15">
        <v>3</v>
      </c>
      <c r="I281" s="15">
        <v>3</v>
      </c>
      <c r="J281" s="15">
        <v>0</v>
      </c>
      <c r="K281" s="15">
        <v>1</v>
      </c>
      <c r="L281" s="15">
        <v>3</v>
      </c>
      <c r="M281" s="15">
        <v>0</v>
      </c>
      <c r="N281" s="15">
        <v>1</v>
      </c>
      <c r="O281" s="15">
        <v>0</v>
      </c>
      <c r="P281" s="15"/>
      <c r="Q281" s="15"/>
    </row>
    <row r="282" spans="1:18">
      <c r="A282" s="8"/>
      <c r="B282" s="15">
        <v>3317</v>
      </c>
      <c r="C282" s="15">
        <v>207</v>
      </c>
      <c r="D282" s="15">
        <v>23</v>
      </c>
      <c r="E282" s="15">
        <v>1</v>
      </c>
      <c r="F282" s="14" t="str">
        <f>VLOOKUP(C282,skill_list!B:C,2)</f>
        <v>リバイブ・ヴェール</v>
      </c>
      <c r="G282" s="11"/>
      <c r="H282" s="15">
        <v>3</v>
      </c>
      <c r="I282" s="15">
        <v>3</v>
      </c>
      <c r="J282" s="15">
        <v>0</v>
      </c>
      <c r="K282" s="15">
        <v>1</v>
      </c>
      <c r="L282" s="15">
        <v>8</v>
      </c>
      <c r="M282" s="15">
        <v>1</v>
      </c>
      <c r="N282" s="15">
        <v>1</v>
      </c>
      <c r="O282" s="15">
        <v>0</v>
      </c>
      <c r="P282" s="15"/>
      <c r="Q282" s="15"/>
    </row>
    <row r="283" spans="1:18">
      <c r="A283" s="8"/>
      <c r="B283" s="15">
        <v>3401</v>
      </c>
      <c r="C283" s="15">
        <v>137</v>
      </c>
      <c r="D283" s="15">
        <v>24</v>
      </c>
      <c r="E283" s="15">
        <v>0</v>
      </c>
      <c r="F283" s="14" t="str">
        <f>VLOOKUP(C283,skill_list!B:C,2)</f>
        <v>サイクロンブレード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3402</v>
      </c>
      <c r="C284" s="15">
        <v>211</v>
      </c>
      <c r="D284" s="15">
        <v>24</v>
      </c>
      <c r="E284" s="15">
        <v>0</v>
      </c>
      <c r="F284" s="14" t="str">
        <f>VLOOKUP(C284,skill_list!B:C,2)</f>
        <v>我忘恍惚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  <c r="Q284" s="15"/>
    </row>
    <row r="285" spans="1:18">
      <c r="A285" s="8"/>
      <c r="B285" s="15">
        <v>3403</v>
      </c>
      <c r="C285" s="15">
        <v>229</v>
      </c>
      <c r="D285" s="15">
        <v>24</v>
      </c>
      <c r="E285" s="15">
        <v>0</v>
      </c>
      <c r="F285" s="14" t="str">
        <f>VLOOKUP(C285,skill_list!B:C,2)</f>
        <v>フューリーインパルス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3404</v>
      </c>
      <c r="C286" s="15">
        <v>243</v>
      </c>
      <c r="D286" s="15">
        <v>24</v>
      </c>
      <c r="E286" s="15">
        <v>0</v>
      </c>
      <c r="F286" s="14" t="str">
        <f>VLOOKUP(C286,skill_list!B:C,2)</f>
        <v>銀蜂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2</v>
      </c>
      <c r="O286" s="15">
        <v>999</v>
      </c>
      <c r="P286" s="15"/>
      <c r="Q286" s="15"/>
    </row>
    <row r="287" spans="1:18">
      <c r="A287" s="8"/>
      <c r="B287" s="15">
        <v>3405</v>
      </c>
      <c r="C287" s="15">
        <v>322</v>
      </c>
      <c r="D287" s="15">
        <v>24</v>
      </c>
      <c r="E287" s="15">
        <v>0</v>
      </c>
      <c r="F287" s="14" t="str">
        <f>VLOOKUP(C287,skill_list!B:C,2)</f>
        <v>決戦前夜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2</v>
      </c>
      <c r="O287" s="15">
        <v>0</v>
      </c>
      <c r="P287" s="15"/>
      <c r="Q287" s="15"/>
    </row>
    <row r="288" spans="1:18">
      <c r="A288" s="8"/>
      <c r="B288" s="15">
        <v>3406</v>
      </c>
      <c r="C288" s="15">
        <v>473</v>
      </c>
      <c r="D288" s="15">
        <v>24</v>
      </c>
      <c r="E288" s="15">
        <v>0</v>
      </c>
      <c r="F288" s="14" t="str">
        <f>VLOOKUP(C288,skill_list!B:C,2)</f>
        <v>朝霜</v>
      </c>
      <c r="G288" s="11"/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2</v>
      </c>
      <c r="O288" s="15">
        <v>999</v>
      </c>
      <c r="P288" s="15"/>
      <c r="Q288" s="15"/>
    </row>
    <row r="289" spans="1:17">
      <c r="A289" s="8"/>
      <c r="B289" s="15">
        <v>3501</v>
      </c>
      <c r="C289" s="15">
        <v>38</v>
      </c>
      <c r="D289" s="15">
        <v>25</v>
      </c>
      <c r="E289" s="15">
        <v>0</v>
      </c>
      <c r="F289" s="14" t="str">
        <f>VLOOKUP(C289,skill_list!B:C,2)</f>
        <v>プロヴォーク</v>
      </c>
      <c r="G289" s="11"/>
      <c r="H289" s="15">
        <v>2</v>
      </c>
      <c r="I289" s="15">
        <v>3</v>
      </c>
      <c r="J289" s="15">
        <v>208</v>
      </c>
      <c r="K289" s="15">
        <v>0</v>
      </c>
      <c r="L289" s="15">
        <v>7</v>
      </c>
      <c r="M289" s="15">
        <v>0</v>
      </c>
      <c r="N289" s="15">
        <v>3</v>
      </c>
      <c r="O289" s="15">
        <v>0</v>
      </c>
      <c r="P289" s="15"/>
      <c r="Q289" s="15"/>
    </row>
    <row r="290" spans="1:17">
      <c r="A290" s="8"/>
      <c r="B290" s="15">
        <v>3502</v>
      </c>
      <c r="C290" s="15">
        <v>65</v>
      </c>
      <c r="D290" s="15">
        <v>25</v>
      </c>
      <c r="E290" s="15">
        <v>0</v>
      </c>
      <c r="F290" s="14" t="str">
        <f>VLOOKUP(C290,skill_list!B:C,2)</f>
        <v>ポラリスの輝き</v>
      </c>
      <c r="G290" s="11"/>
      <c r="H290" s="15">
        <v>2</v>
      </c>
      <c r="I290" s="15">
        <v>3</v>
      </c>
      <c r="J290" s="15">
        <v>129</v>
      </c>
      <c r="K290" s="15">
        <v>0</v>
      </c>
      <c r="L290" s="15">
        <v>7</v>
      </c>
      <c r="M290" s="15">
        <v>0</v>
      </c>
      <c r="N290" s="15">
        <v>3</v>
      </c>
      <c r="O290" s="15">
        <v>999</v>
      </c>
      <c r="P290" s="15"/>
      <c r="Q290" s="15"/>
    </row>
    <row r="291" spans="1:17">
      <c r="A291" s="8"/>
      <c r="B291" s="15">
        <v>3503</v>
      </c>
      <c r="C291" s="15">
        <v>129</v>
      </c>
      <c r="D291" s="15">
        <v>25</v>
      </c>
      <c r="E291" s="15">
        <v>0</v>
      </c>
      <c r="F291" s="14" t="str">
        <f>VLOOKUP(C291,skill_list!B:C,2)</f>
        <v>ライオンハート</v>
      </c>
      <c r="G291" s="11"/>
      <c r="H291" s="15">
        <v>2</v>
      </c>
      <c r="I291" s="15">
        <v>3</v>
      </c>
      <c r="J291" s="15">
        <v>184</v>
      </c>
      <c r="K291" s="15">
        <v>0</v>
      </c>
      <c r="L291" s="15">
        <v>7</v>
      </c>
      <c r="M291" s="15">
        <v>0</v>
      </c>
      <c r="N291" s="15">
        <v>3</v>
      </c>
      <c r="O291" s="15">
        <v>0</v>
      </c>
      <c r="P291" s="15"/>
      <c r="Q291" s="15"/>
    </row>
    <row r="292" spans="1:17">
      <c r="A292" s="8"/>
      <c r="B292" s="15">
        <v>3504</v>
      </c>
      <c r="C292" s="15">
        <v>160</v>
      </c>
      <c r="D292" s="15">
        <v>25</v>
      </c>
      <c r="E292" s="15">
        <v>0</v>
      </c>
      <c r="F292" s="14" t="str">
        <f>VLOOKUP(C292,skill_list!B:C,2)</f>
        <v>ギャザー・バッシュ</v>
      </c>
      <c r="G292" s="11"/>
      <c r="H292" s="15">
        <v>2</v>
      </c>
      <c r="I292" s="15">
        <v>3</v>
      </c>
      <c r="J292" s="15">
        <v>117</v>
      </c>
      <c r="K292" s="15">
        <v>0</v>
      </c>
      <c r="L292" s="15">
        <v>7</v>
      </c>
      <c r="M292" s="15">
        <v>0</v>
      </c>
      <c r="N292" s="15">
        <v>3</v>
      </c>
      <c r="O292" s="15">
        <v>999</v>
      </c>
      <c r="P292" s="15"/>
      <c r="Q292" s="15"/>
    </row>
    <row r="293" spans="1:17">
      <c r="A293" s="8"/>
      <c r="B293" s="15">
        <v>3505</v>
      </c>
      <c r="C293" s="15">
        <v>233</v>
      </c>
      <c r="D293" s="15">
        <v>25</v>
      </c>
      <c r="E293" s="15">
        <v>0</v>
      </c>
      <c r="F293" s="14" t="str">
        <f>VLOOKUP(C293,skill_list!B:C,2)</f>
        <v>プロヴォーク</v>
      </c>
      <c r="G293" s="11"/>
      <c r="H293" s="15">
        <v>2</v>
      </c>
      <c r="I293" s="15">
        <v>3</v>
      </c>
      <c r="J293" s="15">
        <v>208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3506</v>
      </c>
      <c r="C294" s="15">
        <v>257</v>
      </c>
      <c r="D294" s="15">
        <v>25</v>
      </c>
      <c r="E294" s="15">
        <v>0</v>
      </c>
      <c r="F294" s="14" t="str">
        <f>VLOOKUP(C294,skill_list!B:C,2)</f>
        <v>プリンシプルチャンダス</v>
      </c>
      <c r="G294" s="11"/>
      <c r="H294" s="15">
        <v>2</v>
      </c>
      <c r="I294" s="15">
        <v>3</v>
      </c>
      <c r="J294" s="15">
        <v>131</v>
      </c>
      <c r="K294" s="15">
        <v>0</v>
      </c>
      <c r="L294" s="15">
        <v>7</v>
      </c>
      <c r="M294" s="15">
        <v>0</v>
      </c>
      <c r="N294" s="15">
        <v>3</v>
      </c>
      <c r="O294" s="15">
        <v>999</v>
      </c>
      <c r="P294" s="15"/>
      <c r="Q294" s="15"/>
    </row>
    <row r="295" spans="1:17">
      <c r="A295" s="8"/>
      <c r="B295" s="15">
        <v>3507</v>
      </c>
      <c r="C295" s="15">
        <v>326</v>
      </c>
      <c r="D295" s="15">
        <v>25</v>
      </c>
      <c r="E295" s="15">
        <v>0</v>
      </c>
      <c r="F295" s="14" t="str">
        <f>VLOOKUP(C295,skill_list!B:C,2)</f>
        <v>籠の鳥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3508</v>
      </c>
      <c r="C296" s="15">
        <v>341</v>
      </c>
      <c r="D296" s="15">
        <v>25</v>
      </c>
      <c r="E296" s="15">
        <v>0</v>
      </c>
      <c r="F296" s="14" t="str">
        <f>VLOOKUP(C296,skill_list!B:C,2)</f>
        <v>ご注文を伺います</v>
      </c>
      <c r="G296" s="11"/>
      <c r="H296" s="15">
        <v>2</v>
      </c>
      <c r="I296" s="15">
        <v>3</v>
      </c>
      <c r="J296" s="15">
        <v>192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3509</v>
      </c>
      <c r="C297" s="15">
        <v>358</v>
      </c>
      <c r="D297" s="15">
        <v>25</v>
      </c>
      <c r="E297" s="15">
        <v>0</v>
      </c>
      <c r="F297" s="14" t="str">
        <f>VLOOKUP(C297,skill_list!B:C,2)</f>
        <v>決意の夜</v>
      </c>
      <c r="G297" s="11"/>
      <c r="H297" s="15">
        <v>2</v>
      </c>
      <c r="I297" s="15">
        <v>3</v>
      </c>
      <c r="J297" s="15">
        <v>184</v>
      </c>
      <c r="K297" s="15">
        <v>0</v>
      </c>
      <c r="L297" s="15">
        <v>7</v>
      </c>
      <c r="M297" s="15">
        <v>0</v>
      </c>
      <c r="N297" s="15">
        <v>3</v>
      </c>
      <c r="O297" s="15">
        <v>0</v>
      </c>
      <c r="P297" s="15"/>
      <c r="Q297" s="15"/>
    </row>
    <row r="298" spans="1:17">
      <c r="A298" s="8"/>
      <c r="B298" s="15">
        <v>3510</v>
      </c>
      <c r="C298" s="15">
        <v>434</v>
      </c>
      <c r="D298" s="15">
        <v>25</v>
      </c>
      <c r="E298" s="15">
        <v>0</v>
      </c>
      <c r="F298" s="14" t="str">
        <f>VLOOKUP(C298,skill_list!B:C,2)</f>
        <v>シンコペーション</v>
      </c>
      <c r="G298" s="11"/>
      <c r="H298" s="15">
        <v>2</v>
      </c>
      <c r="I298" s="15">
        <v>3</v>
      </c>
      <c r="J298" s="15">
        <v>184</v>
      </c>
      <c r="K298" s="15">
        <v>0</v>
      </c>
      <c r="L298" s="15">
        <v>7</v>
      </c>
      <c r="M298" s="15">
        <v>0</v>
      </c>
      <c r="N298" s="15">
        <v>3</v>
      </c>
      <c r="O298" s="15">
        <v>0</v>
      </c>
      <c r="P298" s="15"/>
      <c r="Q298" s="15"/>
    </row>
    <row r="299" spans="1:17">
      <c r="A299" s="8"/>
      <c r="B299" s="15">
        <v>3511</v>
      </c>
      <c r="C299" s="15">
        <v>461</v>
      </c>
      <c r="D299" s="15">
        <v>25</v>
      </c>
      <c r="E299" s="15">
        <v>0</v>
      </c>
      <c r="F299" s="14" t="str">
        <f>VLOOKUP(C299,skill_list!B:C,2)</f>
        <v>ねこじゃらし</v>
      </c>
      <c r="G299" s="11"/>
      <c r="H299" s="15">
        <v>2</v>
      </c>
      <c r="I299" s="15">
        <v>3</v>
      </c>
      <c r="J299" s="15">
        <v>200</v>
      </c>
      <c r="K299" s="15">
        <v>0</v>
      </c>
      <c r="L299" s="15">
        <v>7</v>
      </c>
      <c r="M299" s="15">
        <v>0</v>
      </c>
      <c r="N299" s="15">
        <v>3</v>
      </c>
      <c r="O299" s="15">
        <v>0</v>
      </c>
      <c r="P299" s="15"/>
      <c r="Q299" s="15"/>
    </row>
    <row r="300" spans="1:17">
      <c r="A300" s="8"/>
      <c r="B300" s="15">
        <v>3601</v>
      </c>
      <c r="C300" s="15">
        <v>88</v>
      </c>
      <c r="D300" s="15">
        <v>26</v>
      </c>
      <c r="E300" s="15">
        <v>0</v>
      </c>
      <c r="F300" s="14" t="str">
        <f>VLOOKUP(C300,skill_list!B:C,2)</f>
        <v>導きの号令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3602</v>
      </c>
      <c r="C301" s="15">
        <v>217</v>
      </c>
      <c r="D301" s="15">
        <v>26</v>
      </c>
      <c r="E301" s="15">
        <v>0</v>
      </c>
      <c r="F301" s="14" t="str">
        <f>VLOOKUP(C301,skill_list!B:C,2)</f>
        <v>空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3603</v>
      </c>
      <c r="C302" s="15">
        <v>267</v>
      </c>
      <c r="D302" s="15">
        <v>26</v>
      </c>
      <c r="E302" s="15">
        <v>0</v>
      </c>
      <c r="F302" s="14" t="str">
        <f>VLOOKUP(C302,skill_list!B:C,2)</f>
        <v>細雪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3604</v>
      </c>
      <c r="C303" s="15">
        <v>346</v>
      </c>
      <c r="D303" s="15">
        <v>26</v>
      </c>
      <c r="E303" s="15">
        <v>0</v>
      </c>
      <c r="F303" s="14" t="str">
        <f>VLOOKUP(C303,skill_list!B:C,2)</f>
        <v>メイドの嗜み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3605</v>
      </c>
      <c r="C304" s="15">
        <v>371</v>
      </c>
      <c r="D304" s="15">
        <v>26</v>
      </c>
      <c r="E304" s="15">
        <v>0</v>
      </c>
      <c r="F304" s="14" t="str">
        <f>VLOOKUP(C304,skill_list!B:C,2)</f>
        <v>赤面スティグマ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3606</v>
      </c>
      <c r="C305" s="15">
        <v>380</v>
      </c>
      <c r="D305" s="15">
        <v>26</v>
      </c>
      <c r="E305" s="15">
        <v>0</v>
      </c>
      <c r="F305" s="14" t="str">
        <f>VLOOKUP(C305,skill_list!B:C,2)</f>
        <v>天変の相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7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3607</v>
      </c>
      <c r="C306" s="15">
        <v>404</v>
      </c>
      <c r="D306" s="15">
        <v>26</v>
      </c>
      <c r="E306" s="15">
        <v>0</v>
      </c>
      <c r="F306" s="14" t="str">
        <f>VLOOKUP(C306,skill_list!B:C,2)</f>
        <v>とある衝撃</v>
      </c>
      <c r="G306" s="11"/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>
        <v>0</v>
      </c>
      <c r="P306" s="15"/>
      <c r="Q306" s="15"/>
    </row>
    <row r="307" spans="1:17">
      <c r="A307" s="8"/>
      <c r="B307" s="15">
        <v>3608</v>
      </c>
      <c r="C307" s="15">
        <v>471</v>
      </c>
      <c r="D307" s="15">
        <v>26</v>
      </c>
      <c r="E307" s="15">
        <v>0</v>
      </c>
      <c r="F307" s="14" t="str">
        <f>VLOOKUP(C307,skill_list!B:C,2)</f>
        <v>おしおき</v>
      </c>
      <c r="G307" s="11"/>
      <c r="H307" s="15">
        <v>0</v>
      </c>
      <c r="I307" s="15">
        <v>0</v>
      </c>
      <c r="J307" s="15">
        <v>0</v>
      </c>
      <c r="K307" s="15">
        <v>0</v>
      </c>
      <c r="L307" s="15">
        <v>7</v>
      </c>
      <c r="M307" s="15">
        <v>0</v>
      </c>
      <c r="N307" s="15">
        <v>1</v>
      </c>
      <c r="O307" s="15">
        <v>0</v>
      </c>
      <c r="P307" s="15"/>
      <c r="Q307" s="15"/>
    </row>
    <row r="308" spans="1:17">
      <c r="A308" s="8"/>
      <c r="B308" s="15">
        <v>3609</v>
      </c>
      <c r="C308" s="15">
        <v>494</v>
      </c>
      <c r="D308" s="15">
        <v>26</v>
      </c>
      <c r="E308" s="15">
        <v>0</v>
      </c>
      <c r="F308" s="14" t="str">
        <f>VLOOKUP(C308,skill_list!B:C,2)</f>
        <v>夜醒</v>
      </c>
      <c r="G308" s="11"/>
      <c r="H308" s="15">
        <v>0</v>
      </c>
      <c r="I308" s="15">
        <v>0</v>
      </c>
      <c r="J308" s="15">
        <v>0</v>
      </c>
      <c r="K308" s="15">
        <v>0</v>
      </c>
      <c r="L308" s="15">
        <v>4</v>
      </c>
      <c r="M308" s="15">
        <v>0</v>
      </c>
      <c r="N308" s="15">
        <v>1</v>
      </c>
      <c r="O308" s="15">
        <v>0</v>
      </c>
      <c r="P308" s="15"/>
      <c r="Q308" s="15"/>
    </row>
    <row r="309" spans="1:17">
      <c r="A309" s="8"/>
      <c r="B309" s="15">
        <v>3701</v>
      </c>
      <c r="C309" s="15">
        <v>486</v>
      </c>
      <c r="D309" s="15">
        <v>27</v>
      </c>
      <c r="E309" s="15">
        <v>0</v>
      </c>
      <c r="F309" s="14" t="str">
        <f>VLOOKUP(C309,skill_list!B:C,2)</f>
        <v>聖女の守護</v>
      </c>
      <c r="G309" s="11"/>
      <c r="H309" s="15">
        <v>2</v>
      </c>
      <c r="I309" s="15">
        <v>3</v>
      </c>
      <c r="J309" s="15">
        <v>160</v>
      </c>
      <c r="K309" s="15">
        <v>1</v>
      </c>
      <c r="L309" s="15">
        <v>7</v>
      </c>
      <c r="M309" s="15">
        <v>0</v>
      </c>
      <c r="N309" s="15">
        <v>0</v>
      </c>
      <c r="O309" s="15">
        <v>0</v>
      </c>
      <c r="P309" s="15"/>
      <c r="Q309" s="15"/>
    </row>
    <row r="310" spans="1:17">
      <c r="A310" s="8"/>
      <c r="B310" s="15">
        <v>4001</v>
      </c>
      <c r="C310" s="15">
        <v>469</v>
      </c>
      <c r="D310" s="15">
        <v>30</v>
      </c>
      <c r="E310" s="15">
        <v>0</v>
      </c>
      <c r="F310" s="14" t="str">
        <f>VLOOKUP(C310,skill_list!B:C,2)</f>
        <v>ひらり落桜</v>
      </c>
      <c r="G310" s="11"/>
      <c r="H310" s="15">
        <v>0</v>
      </c>
      <c r="I310" s="15">
        <v>0</v>
      </c>
      <c r="J310" s="15">
        <v>0</v>
      </c>
      <c r="K310" s="15">
        <v>1</v>
      </c>
      <c r="L310" s="15">
        <v>7</v>
      </c>
      <c r="M310" s="15">
        <v>0</v>
      </c>
      <c r="N310" s="15">
        <v>0</v>
      </c>
      <c r="O310" s="15">
        <v>0</v>
      </c>
      <c r="P310" s="15"/>
      <c r="Q310" s="15"/>
    </row>
  </sheetData>
  <autoFilter ref="B6:Q310" xr:uid="{401BDCFC-C7C7-426C-A276-7FBF75833C9C}"/>
  <phoneticPr fontId="1"/>
  <dataValidations count="1">
    <dataValidation type="list" allowBlank="1" showInputMessage="1" showErrorMessage="1" sqref="A7:A310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>
      <pane ySplit="6" topLeftCell="A190" activePane="bottomLeft" state="frozen"/>
      <selection pane="bottomLeft" activeCell="G250" sqref="G250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str">
        <f>VLOOKUP(VALUE(L115),ability!$B:$C,2,FALSE)</f>
        <v>王の眼差し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0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0"/>
  <sheetViews>
    <sheetView zoomScale="85" zoomScaleNormal="85" workbookViewId="0">
      <pane ySplit="6" topLeftCell="A79" activePane="bottomLeft" state="frozen"/>
      <selection pane="bottomLeft" activeCell="B91" sqref="B91:B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2154</v>
      </c>
      <c r="D92" s="11" t="s">
        <v>2155</v>
      </c>
      <c r="E92" s="11" t="s">
        <v>2156</v>
      </c>
      <c r="F92" s="15">
        <v>1</v>
      </c>
      <c r="G92" s="15">
        <v>1</v>
      </c>
      <c r="H92" s="15" t="s">
        <v>2157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605</v>
      </c>
      <c r="D93" s="11" t="s">
        <v>1780</v>
      </c>
      <c r="E93" s="11" t="s">
        <v>1160</v>
      </c>
      <c r="F93" s="15">
        <v>1</v>
      </c>
      <c r="G93" s="15">
        <v>1</v>
      </c>
      <c r="H93" s="15" t="s">
        <v>1595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1781</v>
      </c>
      <c r="D94" s="11" t="s">
        <v>1782</v>
      </c>
      <c r="E94" s="11" t="s">
        <v>1783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379</v>
      </c>
      <c r="D95" s="11" t="s">
        <v>1224</v>
      </c>
      <c r="E95" s="11" t="s">
        <v>734</v>
      </c>
      <c r="F95" s="15">
        <v>0</v>
      </c>
      <c r="G95" s="15">
        <v>1</v>
      </c>
      <c r="H95" s="15" t="s">
        <v>1596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380</v>
      </c>
      <c r="D96" s="11" t="s">
        <v>1225</v>
      </c>
      <c r="E96" s="11" t="s">
        <v>734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381</v>
      </c>
      <c r="D97" s="11" t="s">
        <v>1226</v>
      </c>
      <c r="E97" s="11" t="s">
        <v>734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20" t="s">
        <v>1597</v>
      </c>
      <c r="D98" s="11" t="s">
        <v>1550</v>
      </c>
      <c r="E98" s="11" t="s">
        <v>734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1598</v>
      </c>
      <c r="D99" s="11" t="s">
        <v>1227</v>
      </c>
      <c r="E99" s="11" t="s">
        <v>734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20" t="s">
        <v>1277</v>
      </c>
      <c r="D100" s="11" t="s">
        <v>1228</v>
      </c>
      <c r="E100" s="11" t="s">
        <v>734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20" t="s">
        <v>1278</v>
      </c>
      <c r="D101" s="11" t="s">
        <v>1229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1279</v>
      </c>
      <c r="D102" s="11" t="s">
        <v>1230</v>
      </c>
      <c r="E102" s="11" t="s">
        <v>734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1599</v>
      </c>
      <c r="D103" s="11" t="s">
        <v>1551</v>
      </c>
      <c r="E103" s="11" t="s">
        <v>734</v>
      </c>
      <c r="F103" s="15">
        <v>0</v>
      </c>
      <c r="G103" s="15">
        <v>3</v>
      </c>
      <c r="H103" s="15" t="s">
        <v>1600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20" t="s">
        <v>1622</v>
      </c>
      <c r="D104" s="11" t="s">
        <v>1632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20" t="s">
        <v>2043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20" t="s">
        <v>2044</v>
      </c>
      <c r="D106" s="11" t="s">
        <v>2045</v>
      </c>
      <c r="E106" s="11" t="s">
        <v>734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1101</v>
      </c>
      <c r="C107" s="20" t="s">
        <v>1601</v>
      </c>
      <c r="D107" s="11" t="s">
        <v>382</v>
      </c>
      <c r="E107" s="11" t="s">
        <v>734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12</v>
      </c>
      <c r="M107" s="15">
        <v>1</v>
      </c>
      <c r="N107" s="15"/>
    </row>
    <row r="108" spans="1:14">
      <c r="A108" s="8"/>
      <c r="B108" s="15">
        <v>1102</v>
      </c>
      <c r="C108" s="11" t="s">
        <v>383</v>
      </c>
      <c r="D108" s="11" t="s">
        <v>1231</v>
      </c>
      <c r="E108" s="11" t="s">
        <v>734</v>
      </c>
      <c r="F108" s="15">
        <v>1</v>
      </c>
      <c r="G108" s="15">
        <v>1</v>
      </c>
      <c r="H108" s="15" t="s">
        <v>1206</v>
      </c>
      <c r="I108" s="15">
        <v>1</v>
      </c>
      <c r="J108" s="15">
        <v>0</v>
      </c>
      <c r="K108" s="15">
        <v>0</v>
      </c>
      <c r="L108" s="15">
        <v>13</v>
      </c>
      <c r="M108" s="15">
        <v>50</v>
      </c>
      <c r="N108" s="15"/>
    </row>
    <row r="109" spans="1:14">
      <c r="A109" s="8"/>
      <c r="B109" s="15">
        <v>1103</v>
      </c>
      <c r="C109" s="20" t="s">
        <v>384</v>
      </c>
      <c r="D109" s="11" t="s">
        <v>1232</v>
      </c>
      <c r="E109" s="11" t="s">
        <v>734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14</v>
      </c>
      <c r="M109" s="15">
        <v>5</v>
      </c>
      <c r="N109" s="15"/>
    </row>
    <row r="110" spans="1:14">
      <c r="A110" s="8"/>
      <c r="B110" s="15">
        <v>1104</v>
      </c>
      <c r="C110" s="11" t="s">
        <v>385</v>
      </c>
      <c r="D110" s="11" t="s">
        <v>1233</v>
      </c>
      <c r="E110" s="11" t="s">
        <v>734</v>
      </c>
      <c r="F110" s="15">
        <v>1</v>
      </c>
      <c r="G110" s="15">
        <v>1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30</v>
      </c>
      <c r="N110" s="15">
        <v>1</v>
      </c>
    </row>
    <row r="111" spans="1:14">
      <c r="A111" s="8"/>
      <c r="B111" s="15">
        <v>1105</v>
      </c>
      <c r="C111" s="11" t="s">
        <v>386</v>
      </c>
      <c r="D111" s="11" t="s">
        <v>1234</v>
      </c>
      <c r="E111" s="11" t="s">
        <v>734</v>
      </c>
      <c r="F111" s="15">
        <v>1</v>
      </c>
      <c r="G111" s="15">
        <v>1</v>
      </c>
      <c r="H111" s="15"/>
      <c r="I111" s="15">
        <v>2</v>
      </c>
      <c r="J111" s="15">
        <v>0</v>
      </c>
      <c r="K111" s="15">
        <v>0</v>
      </c>
      <c r="L111" s="15">
        <v>13</v>
      </c>
      <c r="M111" s="15">
        <v>10</v>
      </c>
      <c r="N111" s="15"/>
    </row>
    <row r="112" spans="1:14">
      <c r="A112" s="8"/>
      <c r="B112" s="15">
        <v>1106</v>
      </c>
      <c r="C112" s="11" t="s">
        <v>387</v>
      </c>
      <c r="D112" s="11" t="s">
        <v>1235</v>
      </c>
      <c r="E112" s="11" t="s">
        <v>734</v>
      </c>
      <c r="F112" s="15">
        <v>1</v>
      </c>
      <c r="G112" s="15">
        <v>1</v>
      </c>
      <c r="H112" s="15"/>
      <c r="I112" s="15">
        <v>4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1107</v>
      </c>
      <c r="C113" s="20" t="s">
        <v>1602</v>
      </c>
      <c r="D113" s="11" t="s">
        <v>1552</v>
      </c>
      <c r="E113" s="11" t="s">
        <v>734</v>
      </c>
      <c r="F113" s="15">
        <v>1</v>
      </c>
      <c r="G113" s="15">
        <v>2</v>
      </c>
      <c r="H113" s="15"/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1108</v>
      </c>
      <c r="C114" s="11" t="s">
        <v>1603</v>
      </c>
      <c r="D114" s="11" t="s">
        <v>1553</v>
      </c>
      <c r="E114" s="11" t="s">
        <v>734</v>
      </c>
      <c r="F114" s="15">
        <v>1</v>
      </c>
      <c r="G114" s="15">
        <v>2</v>
      </c>
      <c r="H114" s="15"/>
      <c r="I114" s="15">
        <v>4</v>
      </c>
      <c r="J114" s="15">
        <v>0</v>
      </c>
      <c r="K114" s="15">
        <v>0</v>
      </c>
      <c r="L114" s="15">
        <v>13</v>
      </c>
      <c r="M114" s="15">
        <v>7</v>
      </c>
      <c r="N114" s="15"/>
    </row>
    <row r="115" spans="1:14">
      <c r="A115" s="8"/>
      <c r="B115" s="15">
        <v>1109</v>
      </c>
      <c r="C115" s="20" t="s">
        <v>1161</v>
      </c>
      <c r="D115" s="11" t="s">
        <v>1236</v>
      </c>
      <c r="E115" s="11" t="s">
        <v>734</v>
      </c>
      <c r="F115" s="15">
        <v>1</v>
      </c>
      <c r="G115" s="15">
        <v>1</v>
      </c>
      <c r="H115" s="15" t="s">
        <v>1561</v>
      </c>
      <c r="I115" s="15">
        <v>1</v>
      </c>
      <c r="J115" s="15">
        <v>0</v>
      </c>
      <c r="K115" s="15">
        <v>0</v>
      </c>
      <c r="L115" s="15">
        <v>12</v>
      </c>
      <c r="M115" s="15">
        <v>3</v>
      </c>
      <c r="N115" s="15"/>
    </row>
    <row r="116" spans="1:14">
      <c r="A116" s="8"/>
      <c r="B116" s="15">
        <v>1110</v>
      </c>
      <c r="C116" s="11" t="s">
        <v>1604</v>
      </c>
      <c r="D116" s="11" t="s">
        <v>1237</v>
      </c>
      <c r="E116" s="11" t="s">
        <v>734</v>
      </c>
      <c r="F116" s="15">
        <v>1</v>
      </c>
      <c r="G116" s="15">
        <v>3</v>
      </c>
      <c r="H116" s="15"/>
      <c r="I116" s="15">
        <v>1</v>
      </c>
      <c r="J116" s="15">
        <v>0</v>
      </c>
      <c r="K116" s="15">
        <v>0</v>
      </c>
      <c r="L116" s="15">
        <v>13</v>
      </c>
      <c r="M116" s="15">
        <v>7</v>
      </c>
      <c r="N116" s="15"/>
    </row>
    <row r="117" spans="1:14">
      <c r="A117" s="8"/>
      <c r="B117" s="15">
        <v>1111</v>
      </c>
      <c r="C117" s="21" t="s">
        <v>1829</v>
      </c>
      <c r="D117" s="11" t="s">
        <v>1238</v>
      </c>
      <c r="E117" s="11" t="s">
        <v>734</v>
      </c>
      <c r="F117" s="15">
        <v>1</v>
      </c>
      <c r="G117" s="15">
        <v>1</v>
      </c>
      <c r="H117" s="15" t="s">
        <v>1605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1112</v>
      </c>
      <c r="C118" s="20" t="s">
        <v>1280</v>
      </c>
      <c r="D118" s="11" t="s">
        <v>1239</v>
      </c>
      <c r="E118" s="11" t="s">
        <v>734</v>
      </c>
      <c r="F118" s="15">
        <v>1</v>
      </c>
      <c r="G118" s="15">
        <v>1</v>
      </c>
      <c r="H118" s="15" t="s">
        <v>1240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1113</v>
      </c>
      <c r="C119" s="11" t="s">
        <v>1281</v>
      </c>
      <c r="D119" s="11" t="s">
        <v>1241</v>
      </c>
      <c r="E119" s="11" t="s">
        <v>734</v>
      </c>
      <c r="F119" s="15">
        <v>1</v>
      </c>
      <c r="G119" s="15">
        <v>1</v>
      </c>
      <c r="H119" s="15" t="s">
        <v>1242</v>
      </c>
      <c r="I119" s="15">
        <v>1</v>
      </c>
      <c r="J119" s="15">
        <v>0</v>
      </c>
      <c r="K119" s="15">
        <v>0</v>
      </c>
      <c r="L119" s="15">
        <v>13</v>
      </c>
      <c r="M119" s="15">
        <v>15</v>
      </c>
      <c r="N119" s="15"/>
    </row>
    <row r="120" spans="1:14">
      <c r="A120" s="8"/>
      <c r="B120" s="15">
        <v>1114</v>
      </c>
      <c r="C120" s="21" t="s">
        <v>1282</v>
      </c>
      <c r="D120" s="11" t="s">
        <v>1243</v>
      </c>
      <c r="E120" s="11" t="s">
        <v>734</v>
      </c>
      <c r="F120" s="15">
        <v>1</v>
      </c>
      <c r="G120" s="15">
        <v>1</v>
      </c>
      <c r="H120" s="15" t="s">
        <v>1561</v>
      </c>
      <c r="I120" s="15">
        <v>4</v>
      </c>
      <c r="J120" s="15">
        <v>0</v>
      </c>
      <c r="K120" s="15">
        <v>0</v>
      </c>
      <c r="L120" s="15">
        <v>14</v>
      </c>
      <c r="M120" s="15">
        <v>10</v>
      </c>
      <c r="N120" s="15"/>
    </row>
    <row r="121" spans="1:14">
      <c r="A121" s="8"/>
      <c r="B121" s="15">
        <v>1115</v>
      </c>
      <c r="C121" s="11" t="s">
        <v>1283</v>
      </c>
      <c r="D121" s="11" t="s">
        <v>1244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13</v>
      </c>
      <c r="M121" s="15">
        <v>10</v>
      </c>
      <c r="N121" s="15"/>
    </row>
    <row r="122" spans="1:14">
      <c r="A122" s="8"/>
      <c r="B122" s="15">
        <v>1116</v>
      </c>
      <c r="C122" s="20" t="s">
        <v>1284</v>
      </c>
      <c r="D122" s="11" t="s">
        <v>1245</v>
      </c>
      <c r="E122" s="11" t="s">
        <v>734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1117</v>
      </c>
      <c r="C123" s="11" t="s">
        <v>1619</v>
      </c>
      <c r="D123" s="11" t="s">
        <v>1620</v>
      </c>
      <c r="E123" s="11" t="s">
        <v>734</v>
      </c>
      <c r="F123" s="15">
        <v>1</v>
      </c>
      <c r="G123" s="15">
        <v>1</v>
      </c>
      <c r="H123" s="15"/>
      <c r="I123" s="15">
        <v>0</v>
      </c>
      <c r="J123" s="15">
        <v>0</v>
      </c>
      <c r="K123" s="15">
        <v>0</v>
      </c>
      <c r="L123" s="15">
        <v>2</v>
      </c>
      <c r="M123" s="15">
        <v>10</v>
      </c>
      <c r="N123" s="15"/>
    </row>
    <row r="124" spans="1:14">
      <c r="A124" s="8"/>
      <c r="B124" s="15">
        <v>1118</v>
      </c>
      <c r="C124" s="20" t="s">
        <v>1784</v>
      </c>
      <c r="D124" s="11" t="s">
        <v>1785</v>
      </c>
      <c r="E124" s="11" t="s">
        <v>734</v>
      </c>
      <c r="F124" s="15">
        <v>1</v>
      </c>
      <c r="G124" s="15">
        <v>3</v>
      </c>
      <c r="H124" s="15" t="s">
        <v>1786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1119</v>
      </c>
      <c r="C125" s="20" t="s">
        <v>1787</v>
      </c>
      <c r="D125" s="11" t="s">
        <v>1788</v>
      </c>
      <c r="E125" s="11" t="s">
        <v>734</v>
      </c>
      <c r="F125" s="15">
        <v>1</v>
      </c>
      <c r="G125" s="15">
        <v>3</v>
      </c>
      <c r="H125" s="15" t="s">
        <v>1789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1203</v>
      </c>
      <c r="C126" s="11" t="s">
        <v>814</v>
      </c>
      <c r="D126" s="11" t="s">
        <v>1246</v>
      </c>
      <c r="E126" s="11" t="s">
        <v>734</v>
      </c>
      <c r="F126" s="15">
        <v>2</v>
      </c>
      <c r="G126" s="15">
        <v>1</v>
      </c>
      <c r="H126" s="15" t="s">
        <v>1562</v>
      </c>
      <c r="I126" s="15">
        <v>1</v>
      </c>
      <c r="J126" s="15">
        <v>0</v>
      </c>
      <c r="K126" s="15">
        <v>0</v>
      </c>
      <c r="L126" s="15">
        <v>11</v>
      </c>
      <c r="M126" s="15">
        <v>50</v>
      </c>
      <c r="N126" s="15">
        <v>1</v>
      </c>
    </row>
    <row r="127" spans="1:14">
      <c r="A127" s="8"/>
      <c r="B127" s="15">
        <v>1204</v>
      </c>
      <c r="C127" s="20" t="s">
        <v>1879</v>
      </c>
      <c r="D127" s="11" t="s">
        <v>1846</v>
      </c>
      <c r="E127" s="11"/>
      <c r="F127" s="15">
        <v>1</v>
      </c>
      <c r="G127" s="15">
        <v>1</v>
      </c>
      <c r="H127" s="15" t="s">
        <v>1848</v>
      </c>
      <c r="I127" s="15">
        <v>4</v>
      </c>
      <c r="J127" s="15">
        <v>0</v>
      </c>
      <c r="K127" s="15">
        <v>0</v>
      </c>
      <c r="L127" s="15">
        <v>12</v>
      </c>
      <c r="M127" s="15">
        <v>1</v>
      </c>
      <c r="N127" s="15"/>
    </row>
    <row r="128" spans="1:14">
      <c r="A128" s="8"/>
      <c r="B128" s="15">
        <v>1205</v>
      </c>
      <c r="C128" s="11" t="s">
        <v>1845</v>
      </c>
      <c r="D128" s="11" t="s">
        <v>1847</v>
      </c>
      <c r="E128" s="11"/>
      <c r="F128" s="15">
        <v>2</v>
      </c>
      <c r="G128" s="15">
        <v>3</v>
      </c>
      <c r="H128" s="15" t="s">
        <v>1848</v>
      </c>
      <c r="I128" s="15">
        <v>7</v>
      </c>
      <c r="J128" s="15">
        <v>0</v>
      </c>
      <c r="K128" s="15">
        <v>0</v>
      </c>
      <c r="L128" s="15">
        <v>13</v>
      </c>
      <c r="M128" s="15">
        <v>15</v>
      </c>
      <c r="N128" s="15"/>
    </row>
    <row r="129" spans="1:14">
      <c r="A129" s="8"/>
      <c r="B129" s="15">
        <v>1501</v>
      </c>
      <c r="C129" s="11" t="s">
        <v>390</v>
      </c>
      <c r="D129" s="11" t="s">
        <v>391</v>
      </c>
      <c r="E129" s="11" t="s">
        <v>734</v>
      </c>
      <c r="F129" s="15">
        <v>2</v>
      </c>
      <c r="G129" s="15">
        <v>0</v>
      </c>
      <c r="H129" s="15"/>
      <c r="I129" s="15">
        <v>0</v>
      </c>
      <c r="J129" s="15">
        <v>0</v>
      </c>
      <c r="K129" s="15">
        <v>0</v>
      </c>
      <c r="L129" s="15">
        <v>0</v>
      </c>
      <c r="M129" s="15">
        <v>20</v>
      </c>
      <c r="N129" s="15"/>
    </row>
    <row r="130" spans="1:14">
      <c r="A130" s="8"/>
      <c r="B130" s="15">
        <v>1502</v>
      </c>
      <c r="C130" s="11" t="s">
        <v>392</v>
      </c>
      <c r="D130" s="11" t="s">
        <v>1247</v>
      </c>
      <c r="E130" s="11" t="s">
        <v>734</v>
      </c>
      <c r="F130" s="15">
        <v>3</v>
      </c>
      <c r="G130" s="15">
        <v>1</v>
      </c>
      <c r="H130" s="15" t="s">
        <v>1248</v>
      </c>
      <c r="I130" s="15">
        <v>1</v>
      </c>
      <c r="J130" s="15">
        <v>0</v>
      </c>
      <c r="K130" s="15">
        <v>0</v>
      </c>
      <c r="L130" s="15">
        <v>11</v>
      </c>
      <c r="M130" s="15">
        <v>50</v>
      </c>
      <c r="N130" s="15">
        <v>1</v>
      </c>
    </row>
    <row r="131" spans="1:14">
      <c r="A131" s="8"/>
      <c r="B131" s="15">
        <v>1503</v>
      </c>
      <c r="C131" s="11" t="s">
        <v>1162</v>
      </c>
      <c r="D131" s="11" t="s">
        <v>1163</v>
      </c>
      <c r="E131" s="11" t="s">
        <v>734</v>
      </c>
      <c r="F131" s="15">
        <v>0</v>
      </c>
      <c r="G131" s="15">
        <v>0</v>
      </c>
      <c r="H131" s="15" t="s">
        <v>1606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1504</v>
      </c>
      <c r="C132" s="11" t="s">
        <v>575</v>
      </c>
      <c r="D132" s="11" t="s">
        <v>1607</v>
      </c>
      <c r="E132" s="11" t="s">
        <v>734</v>
      </c>
      <c r="F132" s="15">
        <v>0</v>
      </c>
      <c r="G132" s="15">
        <v>0</v>
      </c>
      <c r="H132" s="15" t="s">
        <v>1608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1505</v>
      </c>
      <c r="C133" s="11" t="s">
        <v>1609</v>
      </c>
      <c r="D133" s="11" t="s">
        <v>1610</v>
      </c>
      <c r="E133" s="11" t="s">
        <v>734</v>
      </c>
      <c r="F133" s="15">
        <v>6</v>
      </c>
      <c r="G133" s="15">
        <v>0</v>
      </c>
      <c r="H133" s="15" t="s">
        <v>1594</v>
      </c>
      <c r="I133" s="15">
        <v>1</v>
      </c>
      <c r="J133" s="15">
        <v>0</v>
      </c>
      <c r="K133" s="15">
        <v>0</v>
      </c>
      <c r="L133" s="15">
        <v>12</v>
      </c>
      <c r="M133" s="15">
        <v>8</v>
      </c>
      <c r="N133" s="15"/>
    </row>
    <row r="134" spans="1:14">
      <c r="A134" s="8"/>
      <c r="B134" s="15">
        <v>1506</v>
      </c>
      <c r="C134" s="20" t="s">
        <v>1834</v>
      </c>
      <c r="D134" s="11" t="s">
        <v>1611</v>
      </c>
      <c r="E134" s="11" t="s">
        <v>734</v>
      </c>
      <c r="F134" s="15">
        <v>6</v>
      </c>
      <c r="G134" s="15">
        <v>3</v>
      </c>
      <c r="H134" s="15" t="s">
        <v>1612</v>
      </c>
      <c r="I134" s="15">
        <v>1</v>
      </c>
      <c r="J134" s="15">
        <v>0</v>
      </c>
      <c r="K134" s="15">
        <v>0</v>
      </c>
      <c r="L134" s="15">
        <v>15</v>
      </c>
      <c r="M134" s="15">
        <v>2</v>
      </c>
      <c r="N134" s="15"/>
    </row>
    <row r="135" spans="1:14">
      <c r="A135" s="8"/>
      <c r="B135" s="15">
        <v>1507</v>
      </c>
      <c r="C135" s="11" t="s">
        <v>1285</v>
      </c>
      <c r="D135" s="11" t="s">
        <v>1249</v>
      </c>
      <c r="E135" s="11" t="s">
        <v>734</v>
      </c>
      <c r="F135" s="15">
        <v>3</v>
      </c>
      <c r="G135" s="15">
        <v>1</v>
      </c>
      <c r="H135" s="15" t="s">
        <v>1242</v>
      </c>
      <c r="I135" s="15">
        <v>1</v>
      </c>
      <c r="J135" s="15">
        <v>0</v>
      </c>
      <c r="K135" s="15">
        <v>0</v>
      </c>
      <c r="L135" s="15">
        <v>11</v>
      </c>
      <c r="M135" s="15">
        <v>25</v>
      </c>
      <c r="N135" s="15">
        <v>1</v>
      </c>
    </row>
    <row r="136" spans="1:14">
      <c r="A136" s="8"/>
      <c r="B136" s="15">
        <v>1508</v>
      </c>
      <c r="C136" s="11" t="s">
        <v>1286</v>
      </c>
      <c r="D136" s="11" t="s">
        <v>1250</v>
      </c>
      <c r="E136" s="11" t="s">
        <v>734</v>
      </c>
      <c r="F136" s="15">
        <v>3</v>
      </c>
      <c r="G136" s="15">
        <v>1</v>
      </c>
      <c r="H136" s="15"/>
      <c r="I136" s="15">
        <v>1</v>
      </c>
      <c r="J136" s="15">
        <v>0</v>
      </c>
      <c r="K136" s="15">
        <v>0</v>
      </c>
      <c r="L136" s="15">
        <v>32</v>
      </c>
      <c r="M136" s="15">
        <v>7</v>
      </c>
      <c r="N136" s="15">
        <v>1</v>
      </c>
    </row>
    <row r="137" spans="1:14">
      <c r="A137" s="8"/>
      <c r="B137" s="15">
        <v>1509</v>
      </c>
      <c r="C137" s="11" t="s">
        <v>1820</v>
      </c>
      <c r="D137" s="11" t="s">
        <v>1830</v>
      </c>
      <c r="E137" s="11" t="s">
        <v>734</v>
      </c>
      <c r="F137" s="15">
        <v>6</v>
      </c>
      <c r="G137" s="15">
        <v>0</v>
      </c>
      <c r="H137" s="15" t="s">
        <v>1831</v>
      </c>
      <c r="I137" s="15">
        <v>2</v>
      </c>
      <c r="J137" s="15">
        <v>0</v>
      </c>
      <c r="K137" s="15">
        <v>0</v>
      </c>
      <c r="L137" s="15">
        <v>12</v>
      </c>
      <c r="M137" s="15">
        <v>2</v>
      </c>
      <c r="N137" s="15"/>
    </row>
    <row r="138" spans="1:14">
      <c r="A138" s="8"/>
      <c r="B138" s="15">
        <v>1510</v>
      </c>
      <c r="C138" s="11" t="s">
        <v>1832</v>
      </c>
      <c r="D138" s="11" t="s">
        <v>1833</v>
      </c>
      <c r="E138" s="11" t="s">
        <v>734</v>
      </c>
      <c r="F138" s="15">
        <v>0</v>
      </c>
      <c r="G138" s="15">
        <v>1</v>
      </c>
      <c r="H138" s="15" t="s">
        <v>1562</v>
      </c>
      <c r="I138" s="15">
        <v>2</v>
      </c>
      <c r="J138" s="15">
        <v>0</v>
      </c>
      <c r="K138" s="15">
        <v>0</v>
      </c>
      <c r="L138" s="15">
        <v>11</v>
      </c>
      <c r="M138" s="15">
        <v>15</v>
      </c>
      <c r="N138" s="15"/>
    </row>
    <row r="139" spans="1:14">
      <c r="A139" s="8"/>
      <c r="B139" s="15">
        <v>1511</v>
      </c>
      <c r="C139" s="11" t="s">
        <v>1839</v>
      </c>
      <c r="D139" s="11" t="s">
        <v>391</v>
      </c>
      <c r="E139" s="11" t="s">
        <v>734</v>
      </c>
      <c r="F139" s="15">
        <v>2</v>
      </c>
      <c r="G139" s="15">
        <v>0</v>
      </c>
      <c r="H139" s="15"/>
      <c r="I139" s="15">
        <v>0</v>
      </c>
      <c r="J139" s="15">
        <v>0</v>
      </c>
      <c r="K139" s="15">
        <v>0</v>
      </c>
      <c r="L139" s="15">
        <v>0</v>
      </c>
      <c r="M139" s="15">
        <v>10</v>
      </c>
      <c r="N139" s="15"/>
    </row>
    <row r="140" spans="1:14">
      <c r="A140" s="8"/>
      <c r="B140" s="15">
        <v>1512</v>
      </c>
      <c r="C140" s="20" t="s">
        <v>2035</v>
      </c>
      <c r="D140" s="11" t="s">
        <v>1611</v>
      </c>
      <c r="E140" s="11" t="s">
        <v>734</v>
      </c>
      <c r="F140" s="15">
        <v>6</v>
      </c>
      <c r="G140" s="15">
        <v>3</v>
      </c>
      <c r="H140" s="15" t="s">
        <v>1612</v>
      </c>
      <c r="I140" s="15">
        <v>1</v>
      </c>
      <c r="J140" s="15">
        <v>0</v>
      </c>
      <c r="K140" s="15">
        <v>0</v>
      </c>
      <c r="L140" s="15">
        <v>15</v>
      </c>
      <c r="M140" s="15">
        <v>2</v>
      </c>
      <c r="N140" s="15"/>
    </row>
  </sheetData>
  <autoFilter ref="B6:N139" xr:uid="{33D0B11C-9859-45D7-8BC1-573E4E831828}"/>
  <phoneticPr fontId="1"/>
  <dataValidations count="1">
    <dataValidation type="list" allowBlank="1" showInputMessage="1" showErrorMessage="1" sqref="A7:A140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20"/>
  <sheetViews>
    <sheetView zoomScale="85" zoomScaleNormal="85" workbookViewId="0">
      <pane ySplit="6" topLeftCell="A93" activePane="bottomLeft" state="frozen"/>
      <selection pane="bottomLeft" activeCell="O119" sqref="O11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1743</v>
      </c>
      <c r="F115" s="11" t="s">
        <v>1743</v>
      </c>
      <c r="G115" s="11" t="s">
        <v>2061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1743</v>
      </c>
      <c r="F116" s="11" t="s">
        <v>1743</v>
      </c>
      <c r="G116" s="11" t="s">
        <v>1822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1743</v>
      </c>
      <c r="F117" s="11" t="s">
        <v>1743</v>
      </c>
      <c r="G117" s="11" t="s">
        <v>2158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1743</v>
      </c>
      <c r="F118" s="11" t="s">
        <v>1743</v>
      </c>
      <c r="G118" s="11" t="s">
        <v>2160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1743</v>
      </c>
      <c r="F119" s="11" t="s">
        <v>1743</v>
      </c>
      <c r="G119" s="11" t="s">
        <v>2062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1743</v>
      </c>
      <c r="F120" s="11" t="s">
        <v>1743</v>
      </c>
      <c r="G120" s="11" t="s">
        <v>2159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20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N24" sqref="N24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1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1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1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2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2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2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3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3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3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4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4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4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5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5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5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2024-08-17T05:22:08Z</dcterms:modified>
</cp:coreProperties>
</file>