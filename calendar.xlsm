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pivotTables/pivotTable1.xml" ContentType="application/vnd.openxmlformats-officedocument.spreadsheetml.pivotTable+xml"/>
  <Override PartName="/xl/drawings/drawing9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react-app\"/>
    </mc:Choice>
  </mc:AlternateContent>
  <xr:revisionPtr revIDLastSave="0" documentId="13_ncr:1_{C8AF99F1-202E-4AF2-AB7C-69AB7A032196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MAIN" sheetId="5" r:id="rId1"/>
    <sheet name="event" sheetId="97" r:id="rId2"/>
    <sheet name="calendar_category" sheetId="96" r:id="rId3"/>
    <sheet name="calendar_event" sheetId="93" r:id="rId4"/>
    <sheet name="calendar_event_tag" sheetId="94" r:id="rId5"/>
    <sheet name="calendar_tag" sheetId="95" r:id="rId6"/>
    <sheet name="Data" sheetId="13" state="hidden" r:id="rId7"/>
    <sheet name="character_name" sheetId="61" state="hidden" r:id="rId8"/>
    <sheet name="遭遇戦" sheetId="74" state="hidden" r:id="rId9"/>
    <sheet name="Sheet2" sheetId="90" state="hidden" r:id="rId10"/>
    <sheet name="base" sheetId="7" state="hidden" r:id="rId11"/>
  </sheets>
  <functionGroups builtInGroupCount="19"/>
  <externalReferences>
    <externalReference r:id="rId12"/>
  </externalReferences>
  <definedNames>
    <definedName name="_xlnm._FilterDatabase" localSheetId="0" hidden="1">MAIN!$F:$F</definedName>
    <definedName name="_xleta.IF" hidden="1" xlm="1">#NAME?</definedName>
    <definedName name="_xleta.INDEX" hidden="1" xlm="1">#NAME?</definedName>
    <definedName name="_xleta.MATCH" hidden="1" xlm="1">#NAME?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97" l="1"/>
  <c r="D4" i="97"/>
  <c r="C4" i="97"/>
  <c r="B4" i="97"/>
  <c r="A1" i="96"/>
  <c r="A1" i="95"/>
  <c r="A1" i="94"/>
  <c r="A1" i="93"/>
  <c r="D224" i="90"/>
  <c r="D223" i="90"/>
  <c r="D222" i="90"/>
  <c r="D221" i="90"/>
  <c r="D220" i="90"/>
  <c r="D219" i="90"/>
  <c r="D218" i="90"/>
  <c r="D217" i="90"/>
  <c r="D216" i="90"/>
  <c r="D215" i="90"/>
  <c r="D214" i="90"/>
  <c r="D213" i="90"/>
  <c r="D212" i="90"/>
  <c r="D211" i="90"/>
  <c r="D210" i="90"/>
  <c r="D209" i="90"/>
  <c r="D208" i="90"/>
  <c r="D207" i="90"/>
  <c r="D206" i="90"/>
  <c r="D205" i="90"/>
  <c r="D204" i="90"/>
  <c r="D203" i="90"/>
  <c r="D202" i="90"/>
  <c r="D201" i="90"/>
  <c r="D200" i="90"/>
  <c r="D199" i="90"/>
  <c r="D198" i="90"/>
  <c r="D197" i="90"/>
  <c r="D196" i="90"/>
  <c r="D195" i="90"/>
  <c r="D194" i="90"/>
  <c r="D193" i="90"/>
  <c r="D192" i="90"/>
  <c r="D191" i="90"/>
  <c r="D190" i="90"/>
  <c r="D189" i="90"/>
  <c r="D188" i="90"/>
  <c r="D187" i="90"/>
  <c r="D186" i="90"/>
  <c r="D185" i="90"/>
  <c r="D184" i="90"/>
  <c r="D183" i="90"/>
  <c r="D182" i="90"/>
  <c r="D181" i="90"/>
  <c r="D180" i="90"/>
  <c r="D179" i="90"/>
  <c r="D178" i="90"/>
  <c r="D177" i="90"/>
  <c r="D176" i="90"/>
  <c r="D175" i="90"/>
  <c r="D174" i="90"/>
  <c r="D173" i="90"/>
  <c r="D172" i="90"/>
  <c r="D171" i="90"/>
  <c r="D170" i="90"/>
  <c r="D169" i="90"/>
  <c r="D168" i="90"/>
  <c r="D167" i="90"/>
  <c r="D166" i="90"/>
  <c r="D165" i="90"/>
  <c r="D164" i="90"/>
  <c r="D163" i="90"/>
  <c r="D162" i="90"/>
  <c r="D161" i="90"/>
  <c r="D160" i="90"/>
  <c r="D159" i="90"/>
  <c r="D158" i="90"/>
  <c r="D157" i="90"/>
  <c r="D156" i="90"/>
  <c r="D155" i="90"/>
  <c r="D154" i="90"/>
  <c r="D153" i="90"/>
  <c r="D152" i="90"/>
  <c r="D151" i="90"/>
  <c r="D150" i="90"/>
  <c r="D149" i="90"/>
  <c r="D148" i="90"/>
  <c r="D147" i="90"/>
  <c r="D146" i="90"/>
  <c r="D145" i="90"/>
  <c r="D144" i="90"/>
  <c r="D143" i="90"/>
  <c r="D142" i="90"/>
  <c r="D141" i="90"/>
  <c r="D140" i="90"/>
  <c r="D139" i="90"/>
  <c r="D138" i="90"/>
  <c r="D137" i="90"/>
  <c r="D136" i="90"/>
  <c r="D135" i="90"/>
  <c r="D134" i="90"/>
  <c r="D133" i="90"/>
  <c r="D132" i="90"/>
  <c r="D131" i="90"/>
  <c r="D130" i="90"/>
  <c r="D129" i="90"/>
  <c r="D128" i="90"/>
  <c r="D127" i="90"/>
  <c r="D126" i="90"/>
  <c r="D125" i="90"/>
  <c r="D124" i="90"/>
  <c r="D123" i="90"/>
  <c r="D122" i="90"/>
  <c r="D121" i="90"/>
  <c r="D120" i="90"/>
  <c r="D119" i="90"/>
  <c r="D118" i="90"/>
  <c r="D117" i="90"/>
  <c r="D116" i="90"/>
  <c r="D115" i="90"/>
  <c r="D114" i="90"/>
  <c r="D113" i="90"/>
  <c r="D112" i="90"/>
  <c r="D111" i="90"/>
  <c r="D110" i="90"/>
  <c r="D109" i="90"/>
  <c r="D108" i="90"/>
  <c r="D107" i="90"/>
  <c r="D106" i="90"/>
  <c r="D105" i="90"/>
  <c r="D104" i="90"/>
  <c r="D103" i="90"/>
  <c r="D102" i="90"/>
  <c r="D101" i="90"/>
  <c r="D100" i="90"/>
  <c r="D99" i="90"/>
  <c r="D98" i="90"/>
  <c r="D97" i="90"/>
  <c r="D96" i="90"/>
  <c r="D95" i="90"/>
  <c r="D94" i="90"/>
  <c r="D93" i="90"/>
  <c r="D92" i="90"/>
  <c r="D91" i="90"/>
  <c r="D90" i="90"/>
  <c r="D89" i="90"/>
  <c r="D88" i="90"/>
  <c r="D87" i="90"/>
  <c r="D86" i="90"/>
  <c r="D85" i="90"/>
  <c r="D84" i="90"/>
  <c r="D83" i="90"/>
  <c r="D82" i="90"/>
  <c r="D81" i="90"/>
  <c r="D80" i="90"/>
  <c r="D79" i="90"/>
  <c r="D78" i="90"/>
  <c r="D77" i="90"/>
  <c r="D76" i="90"/>
  <c r="D75" i="90"/>
  <c r="D74" i="90"/>
  <c r="D73" i="90"/>
  <c r="D72" i="90"/>
  <c r="D71" i="90"/>
  <c r="D70" i="90"/>
  <c r="D69" i="90"/>
  <c r="D68" i="90"/>
  <c r="D67" i="90"/>
  <c r="D66" i="90"/>
  <c r="D65" i="90"/>
  <c r="D64" i="90"/>
  <c r="D63" i="90"/>
  <c r="D62" i="90"/>
  <c r="D61" i="90"/>
  <c r="D60" i="90"/>
  <c r="D59" i="90"/>
  <c r="D58" i="90"/>
  <c r="D57" i="90"/>
  <c r="D56" i="90"/>
  <c r="D55" i="90"/>
  <c r="D54" i="90"/>
  <c r="D53" i="90"/>
  <c r="D52" i="90"/>
  <c r="D51" i="90"/>
  <c r="D50" i="90"/>
  <c r="D49" i="90"/>
  <c r="D48" i="90"/>
  <c r="D47" i="90"/>
  <c r="D46" i="90"/>
  <c r="D45" i="90"/>
  <c r="D44" i="90"/>
  <c r="D43" i="90"/>
  <c r="D42" i="90"/>
  <c r="D41" i="90"/>
  <c r="D40" i="90"/>
  <c r="D39" i="90"/>
  <c r="D38" i="90"/>
  <c r="D37" i="90"/>
  <c r="D36" i="90"/>
  <c r="D35" i="90"/>
  <c r="D34" i="90"/>
  <c r="D33" i="90"/>
  <c r="D32" i="90"/>
  <c r="D31" i="90"/>
  <c r="D30" i="90"/>
  <c r="D29" i="90"/>
  <c r="D28" i="90"/>
  <c r="D27" i="90"/>
  <c r="D26" i="90"/>
  <c r="D25" i="90"/>
  <c r="D24" i="90"/>
  <c r="D23" i="90"/>
  <c r="D22" i="90"/>
  <c r="D21" i="90"/>
  <c r="D20" i="90"/>
  <c r="D19" i="90"/>
  <c r="D18" i="90"/>
  <c r="D17" i="90"/>
  <c r="D16" i="90"/>
  <c r="D15" i="90"/>
  <c r="D14" i="90"/>
  <c r="D13" i="90"/>
  <c r="D12" i="90"/>
  <c r="D11" i="90"/>
  <c r="D10" i="90"/>
  <c r="D9" i="90"/>
  <c r="D8" i="90"/>
  <c r="D7" i="90"/>
  <c r="E224" i="90"/>
  <c r="E223" i="90"/>
  <c r="E222" i="90"/>
  <c r="E221" i="90"/>
  <c r="E220" i="90"/>
  <c r="E219" i="90"/>
  <c r="E218" i="90"/>
  <c r="E217" i="90"/>
  <c r="E216" i="90"/>
  <c r="E215" i="90"/>
  <c r="E214" i="90"/>
  <c r="E213" i="90"/>
  <c r="E212" i="90"/>
  <c r="E211" i="90"/>
  <c r="E210" i="90"/>
  <c r="E209" i="90"/>
  <c r="E208" i="90"/>
  <c r="E207" i="90"/>
  <c r="E206" i="90"/>
  <c r="E205" i="90"/>
  <c r="E204" i="90"/>
  <c r="E203" i="90"/>
  <c r="E202" i="90"/>
  <c r="E201" i="90"/>
  <c r="E200" i="90"/>
  <c r="E199" i="90"/>
  <c r="E198" i="90"/>
  <c r="E197" i="90"/>
  <c r="E196" i="90"/>
  <c r="E195" i="90"/>
  <c r="E194" i="90"/>
  <c r="E193" i="90"/>
  <c r="E192" i="90"/>
  <c r="E191" i="90"/>
  <c r="E190" i="90"/>
  <c r="E189" i="90"/>
  <c r="E188" i="90"/>
  <c r="E187" i="90"/>
  <c r="E186" i="90"/>
  <c r="E185" i="90"/>
  <c r="E184" i="90"/>
  <c r="E183" i="90"/>
  <c r="E182" i="90"/>
  <c r="E181" i="90"/>
  <c r="E180" i="90"/>
  <c r="E179" i="90"/>
  <c r="E178" i="90"/>
  <c r="E177" i="90"/>
  <c r="E176" i="90"/>
  <c r="E175" i="90"/>
  <c r="E174" i="90"/>
  <c r="E173" i="90"/>
  <c r="E172" i="90"/>
  <c r="E171" i="90"/>
  <c r="E170" i="90"/>
  <c r="E169" i="90"/>
  <c r="E168" i="90"/>
  <c r="E167" i="90"/>
  <c r="E166" i="90"/>
  <c r="E165" i="90"/>
  <c r="E164" i="90"/>
  <c r="E163" i="90"/>
  <c r="E162" i="90"/>
  <c r="E161" i="90"/>
  <c r="E160" i="90"/>
  <c r="E159" i="90"/>
  <c r="E158" i="90"/>
  <c r="E157" i="90"/>
  <c r="E156" i="90"/>
  <c r="E155" i="90"/>
  <c r="E154" i="90"/>
  <c r="E153" i="90"/>
  <c r="E152" i="90"/>
  <c r="E151" i="90"/>
  <c r="E150" i="90"/>
  <c r="E149" i="90"/>
  <c r="E148" i="90"/>
  <c r="E147" i="90"/>
  <c r="E146" i="90"/>
  <c r="E145" i="90"/>
  <c r="E144" i="90"/>
  <c r="E143" i="90"/>
  <c r="E142" i="90"/>
  <c r="E141" i="90"/>
  <c r="E140" i="90"/>
  <c r="E139" i="90"/>
  <c r="E138" i="90"/>
  <c r="E137" i="90"/>
  <c r="E136" i="90"/>
  <c r="E135" i="90"/>
  <c r="E134" i="90"/>
  <c r="E133" i="90"/>
  <c r="E132" i="90"/>
  <c r="E131" i="90"/>
  <c r="E130" i="90"/>
  <c r="E129" i="90"/>
  <c r="E128" i="90"/>
  <c r="E127" i="90"/>
  <c r="E126" i="90"/>
  <c r="E125" i="90"/>
  <c r="E124" i="90"/>
  <c r="E123" i="90"/>
  <c r="E122" i="90"/>
  <c r="E121" i="90"/>
  <c r="E120" i="90"/>
  <c r="E119" i="90"/>
  <c r="E118" i="90"/>
  <c r="E117" i="90"/>
  <c r="E116" i="90"/>
  <c r="E115" i="90"/>
  <c r="E114" i="90"/>
  <c r="E113" i="90"/>
  <c r="E112" i="90"/>
  <c r="E111" i="90"/>
  <c r="E110" i="90"/>
  <c r="E109" i="90"/>
  <c r="E108" i="90"/>
  <c r="E107" i="90"/>
  <c r="E106" i="90"/>
  <c r="E105" i="90"/>
  <c r="E104" i="90"/>
  <c r="E103" i="90"/>
  <c r="E102" i="90"/>
  <c r="E101" i="90"/>
  <c r="E100" i="90"/>
  <c r="E99" i="90"/>
  <c r="E98" i="90"/>
  <c r="E97" i="90"/>
  <c r="E96" i="90"/>
  <c r="E95" i="90"/>
  <c r="E94" i="90"/>
  <c r="E93" i="90"/>
  <c r="E92" i="90"/>
  <c r="E91" i="90"/>
  <c r="E90" i="90"/>
  <c r="E89" i="90"/>
  <c r="E88" i="90"/>
  <c r="E87" i="90"/>
  <c r="E86" i="90"/>
  <c r="E85" i="90"/>
  <c r="E84" i="90"/>
  <c r="E83" i="90"/>
  <c r="E82" i="90"/>
  <c r="E81" i="90"/>
  <c r="E80" i="90"/>
  <c r="E79" i="90"/>
  <c r="E78" i="90"/>
  <c r="E77" i="90"/>
  <c r="E76" i="90"/>
  <c r="E75" i="90"/>
  <c r="E74" i="90"/>
  <c r="E73" i="90"/>
  <c r="E72" i="90"/>
  <c r="E71" i="90"/>
  <c r="E70" i="90"/>
  <c r="E69" i="90"/>
  <c r="E68" i="90"/>
  <c r="E67" i="90"/>
  <c r="E66" i="90"/>
  <c r="E65" i="90"/>
  <c r="E64" i="90"/>
  <c r="E63" i="90"/>
  <c r="E62" i="90"/>
  <c r="E61" i="90"/>
  <c r="E60" i="90"/>
  <c r="E59" i="90"/>
  <c r="E58" i="90"/>
  <c r="E57" i="90"/>
  <c r="E56" i="90"/>
  <c r="E55" i="90"/>
  <c r="E54" i="90"/>
  <c r="E53" i="90"/>
  <c r="E52" i="90"/>
  <c r="E51" i="90"/>
  <c r="E50" i="90"/>
  <c r="E49" i="90"/>
  <c r="E48" i="90"/>
  <c r="E47" i="90"/>
  <c r="E46" i="90"/>
  <c r="E45" i="90"/>
  <c r="E44" i="90"/>
  <c r="E43" i="90"/>
  <c r="E42" i="90"/>
  <c r="E41" i="90"/>
  <c r="E40" i="90"/>
  <c r="E39" i="90"/>
  <c r="E38" i="90"/>
  <c r="E37" i="90"/>
  <c r="E36" i="90"/>
  <c r="E35" i="90"/>
  <c r="E34" i="90"/>
  <c r="E33" i="90"/>
  <c r="E32" i="90"/>
  <c r="E31" i="90"/>
  <c r="E30" i="90"/>
  <c r="E29" i="90"/>
  <c r="E28" i="90"/>
  <c r="E27" i="90"/>
  <c r="E26" i="90"/>
  <c r="E25" i="90"/>
  <c r="E24" i="90"/>
  <c r="E23" i="90"/>
  <c r="E22" i="90"/>
  <c r="E21" i="90"/>
  <c r="E20" i="90"/>
  <c r="E19" i="90"/>
  <c r="E18" i="90"/>
  <c r="E17" i="90"/>
  <c r="E16" i="90"/>
  <c r="E15" i="90"/>
  <c r="E14" i="90"/>
  <c r="E13" i="90"/>
  <c r="E12" i="90"/>
  <c r="E11" i="90"/>
  <c r="E10" i="90"/>
  <c r="E9" i="90"/>
  <c r="E8" i="90"/>
  <c r="E7" i="90"/>
  <c r="A1" i="61" l="1"/>
  <c r="A1" i="7" l="1"/>
  <c r="B5" i="5" l="1"/>
  <c r="B6" i="5"/>
  <c r="B4" i="5"/>
  <c r="B3" i="5"/>
  <c r="B2" i="5"/>
</calcChain>
</file>

<file path=xl/sharedStrings.xml><?xml version="1.0" encoding="utf-8"?>
<sst xmlns="http://schemas.openxmlformats.org/spreadsheetml/2006/main" count="1229" uniqueCount="667">
  <si>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</si>
  <si>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</si>
  <si>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</si>
  <si>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</si>
  <si>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</si>
  <si>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</si>
  <si>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</si>
  <si>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</si>
  <si>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</si>
  <si>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</si>
  <si>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</si>
  <si>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</si>
  <si>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</si>
  <si>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</si>
  <si>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</si>
  <si>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</si>
  <si>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</si>
  <si>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</si>
  <si>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</si>
  <si>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</si>
  <si>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</si>
  <si>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</si>
  <si>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</si>
  <si>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</si>
  <si>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</si>
  <si>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</si>
  <si>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</si>
  <si>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</si>
  <si>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</si>
  <si>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</si>
  <si>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</si>
  <si>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</si>
  <si>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</si>
  <si>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</si>
  <si>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1,0</t>
    <phoneticPr fontId="1"/>
  </si>
  <si>
    <t>3,0</t>
    <phoneticPr fontId="1"/>
  </si>
  <si>
    <t>destruction</t>
    <phoneticPr fontId="1"/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</si>
  <si>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</si>
  <si>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</si>
  <si>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</si>
  <si>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</si>
  <si>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</si>
  <si>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</si>
  <si>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</si>
  <si>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</si>
  <si>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</si>
  <si>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</si>
  <si>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</si>
  <si>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</si>
  <si>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</si>
  <si>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</si>
  <si>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</si>
  <si>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</si>
  <si>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</si>
  <si>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</si>
  <si>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</si>
  <si>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</si>
  <si>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</si>
  <si>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</si>
  <si>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</si>
  <si>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</si>
  <si>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</si>
  <si>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</si>
  <si>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</si>
  <si>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</si>
  <si>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</si>
  <si>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</si>
  <si>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</si>
  <si>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</si>
  <si>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</si>
  <si>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</si>
  <si>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</si>
  <si>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</si>
  <si>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</si>
  <si>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</si>
  <si>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</si>
  <si>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</si>
  <si>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</si>
  <si>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</si>
  <si>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</si>
  <si>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</si>
  <si>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</si>
  <si>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</si>
  <si>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</si>
  <si>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</si>
  <si>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</si>
  <si>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</si>
  <si>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</si>
  <si>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</si>
  <si>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</si>
  <si>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</si>
  <si>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</si>
  <si>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</si>
  <si>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</si>
  <si>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</si>
  <si>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</si>
  <si>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</si>
  <si>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</si>
  <si>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</si>
  <si>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</si>
  <si>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</si>
  <si>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</si>
  <si>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</si>
  <si>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</si>
  <si>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</si>
  <si>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</si>
  <si>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</si>
  <si>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</si>
  <si>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</si>
  <si>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</si>
  <si>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</si>
  <si>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</si>
  <si>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</si>
  <si>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</si>
  <si>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</si>
  <si>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</si>
  <si>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</si>
  <si>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</si>
  <si>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</si>
  <si>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</si>
  <si>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</si>
  <si>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</si>
  <si>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</si>
  <si>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</si>
  <si>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</si>
  <si>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</si>
  <si>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</si>
  <si>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</si>
  <si>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</si>
  <si>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</si>
  <si>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</si>
  <si>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</si>
  <si>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</si>
  <si>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</si>
  <si>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</si>
  <si>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</si>
  <si>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</si>
  <si>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</si>
  <si>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</si>
  <si>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</si>
  <si>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</si>
  <si>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</si>
  <si>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</si>
  <si>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</si>
  <si>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</si>
  <si>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</si>
  <si>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</si>
  <si>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</si>
  <si>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</si>
  <si>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</si>
  <si>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</si>
  <si>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</si>
  <si>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○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</si>
  <si>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</si>
  <si>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</si>
  <si>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</si>
  <si>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</si>
  <si>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</si>
  <si>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</si>
  <si>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</si>
  <si>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</si>
  <si>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</si>
  <si>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</si>
  <si>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</si>
  <si>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</si>
  <si>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</si>
  <si>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</si>
  <si>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</si>
  <si>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</si>
  <si>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</si>
  <si>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</si>
  <si>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31C</t>
    <phoneticPr fontId="1"/>
  </si>
  <si>
    <t>31X</t>
    <phoneticPr fontId="1"/>
  </si>
  <si>
    <t>ability</t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</si>
  <si>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</si>
  <si>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</si>
  <si>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30G</t>
    <phoneticPr fontId="1"/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</si>
  <si>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</si>
  <si>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</si>
  <si>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</si>
  <si>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</si>
  <si>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</si>
  <si>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</si>
  <si>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</si>
  <si>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</si>
  <si>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</si>
  <si>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</si>
  <si>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</si>
  <si>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</si>
  <si>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</si>
  <si>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</si>
  <si>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</si>
  <si>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</si>
  <si>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</si>
  <si>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サンプル</t>
    <phoneticPr fontId="1"/>
  </si>
  <si>
    <t>耐性ダウン</t>
    <rPh sb="0" eb="2">
      <t>タイセイ</t>
    </rPh>
    <phoneticPr fontId="1"/>
  </si>
  <si>
    <t>31D</t>
    <phoneticPr fontId="1"/>
  </si>
  <si>
    <t>31A</t>
    <phoneticPr fontId="1"/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</si>
  <si>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</si>
  <si>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</si>
  <si>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grade</t>
  </si>
  <si>
    <t/>
  </si>
  <si>
    <t>31B</t>
    <phoneticPr fontId="1"/>
  </si>
  <si>
    <t>31E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</si>
  <si>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</si>
  <si>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</si>
  <si>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デススラッグ（第1形態）</t>
    <phoneticPr fontId="1"/>
  </si>
  <si>
    <t>31F</t>
    <phoneticPr fontId="1"/>
  </si>
  <si>
    <t>AB!</t>
    <phoneticPr fontId="1"/>
  </si>
  <si>
    <t>rarity</t>
    <phoneticPr fontId="1"/>
  </si>
  <si>
    <t>skill_list</t>
  </si>
  <si>
    <t>arts_list</t>
  </si>
  <si>
    <t>初回</t>
  </si>
  <si>
    <t>チャージ</t>
  </si>
  <si>
    <t>追加ターン</t>
  </si>
  <si>
    <t>buff_kind</t>
  </si>
  <si>
    <t>physical</t>
    <phoneticPr fontId="1"/>
  </si>
  <si>
    <t>score_attack</t>
  </si>
  <si>
    <t>pursuit</t>
    <phoneticPr fontId="1"/>
  </si>
  <si>
    <t>瑞原あいな</t>
    <phoneticPr fontId="1"/>
  </si>
  <si>
    <t>永遠の誓い</t>
    <rPh sb="0" eb="2">
      <t>エイエン</t>
    </rPh>
    <rPh sb="3" eb="4">
      <t>チカ</t>
    </rPh>
    <phoneticPr fontId="1"/>
  </si>
  <si>
    <t>Shield</t>
  </si>
  <si>
    <t>Cannon</t>
  </si>
  <si>
    <t>Gun</t>
  </si>
  <si>
    <t>LargeSword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</si>
  <si>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</si>
  <si>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</si>
  <si>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</si>
  <si>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</si>
  <si>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</si>
  <si>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</si>
  <si>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</si>
  <si>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</si>
  <si>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</si>
  <si>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</si>
  <si>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</si>
  <si>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</si>
  <si>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</si>
  <si>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</si>
  <si>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</si>
  <si>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</si>
  <si>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</si>
  <si>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</si>
  <si>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</si>
  <si>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</si>
  <si>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</si>
  <si>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</si>
  <si>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</si>
  <si>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</si>
  <si>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</si>
  <si>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</si>
  <si>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</si>
  <si>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</si>
  <si>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</si>
  <si>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</si>
  <si>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</si>
  <si>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</si>
  <si>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</si>
  <si>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</si>
  <si>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</si>
  <si>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</si>
  <si>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</si>
  <si>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</si>
  <si>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</si>
  <si>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</si>
  <si>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</si>
  <si>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</si>
  <si>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</si>
  <si>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</si>
  <si>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</si>
  <si>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</si>
  <si>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</si>
  <si>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集中・挑発状態</t>
  </si>
  <si>
    <t>31A3人</t>
  </si>
  <si>
    <t>31E3人</t>
  </si>
  <si>
    <t>破壊率200%以上</t>
    <rPh sb="0" eb="2">
      <t>ハカイ</t>
    </rPh>
    <rPh sb="2" eb="3">
      <t>リツ</t>
    </rPh>
    <rPh sb="7" eb="9">
      <t>イジョウ</t>
    </rPh>
    <phoneticPr fontId="1"/>
  </si>
  <si>
    <t>敵1体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</si>
  <si>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</si>
  <si>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</si>
  <si>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skill_passive</t>
  </si>
  <si>
    <t>ADMIRAL</t>
    <phoneticPr fontId="1"/>
  </si>
  <si>
    <t>歌姫の加護</t>
    <rPh sb="0" eb="2">
      <t>ウタヒメ</t>
    </rPh>
    <rPh sb="3" eb="5">
      <t>カゴ</t>
    </rPh>
    <phoneticPr fontId="1"/>
  </si>
  <si>
    <t>関根しおり</t>
  </si>
  <si>
    <t>関根しおり</t>
    <phoneticPr fontId="1"/>
  </si>
  <si>
    <t>しおり</t>
    <phoneticPr fontId="1"/>
  </si>
  <si>
    <t>Scythe</t>
  </si>
  <si>
    <t>芳岡ユイ</t>
    <rPh sb="0" eb="2">
      <t>ヨシオカ</t>
    </rPh>
    <phoneticPr fontId="1"/>
  </si>
  <si>
    <t>ユイ</t>
    <phoneticPr fontId="1"/>
  </si>
  <si>
    <t>Sword</t>
  </si>
  <si>
    <t>岩沢雅美</t>
  </si>
  <si>
    <t>岩沢雅美</t>
    <phoneticPr fontId="1"/>
  </si>
  <si>
    <t>岩沢</t>
    <phoneticPr fontId="1"/>
  </si>
  <si>
    <t>DoubleSword</t>
  </si>
  <si>
    <t>Gun</t>
    <phoneticPr fontId="1"/>
  </si>
  <si>
    <t>Sword</t>
    <phoneticPr fontId="1"/>
  </si>
  <si>
    <t>Scythe</t>
    <phoneticPr fontId="1"/>
  </si>
  <si>
    <t>Claw</t>
  </si>
  <si>
    <t>七瀬七海</t>
    <phoneticPr fontId="1"/>
  </si>
  <si>
    <t>七海</t>
    <phoneticPr fontId="1"/>
  </si>
  <si>
    <t>HEA</t>
    <phoneticPr fontId="1"/>
  </si>
  <si>
    <t>ブレイク</t>
    <phoneticPr fontId="1"/>
  </si>
  <si>
    <t>集中・挑発状態</t>
    <rPh sb="0" eb="2">
      <t>シュウチュウ</t>
    </rPh>
    <rPh sb="3" eb="5">
      <t>チョウハツ</t>
    </rPh>
    <rPh sb="5" eb="7">
      <t>ジョウタイ</t>
    </rPh>
    <phoneticPr fontId="1"/>
  </si>
  <si>
    <t>影分身</t>
    <rPh sb="0" eb="1">
      <t>カゲ</t>
    </rPh>
    <rPh sb="1" eb="3">
      <t>ブンシン</t>
    </rPh>
    <phoneticPr fontId="1"/>
  </si>
  <si>
    <t>火属性以外フィールド</t>
    <rPh sb="0" eb="1">
      <t>ヒ</t>
    </rPh>
    <rPh sb="1" eb="3">
      <t>ゾクセイ</t>
    </rPh>
    <rPh sb="3" eb="5">
      <t>イガイ</t>
    </rPh>
    <phoneticPr fontId="1"/>
  </si>
  <si>
    <t>歌姫の加護以外</t>
    <rPh sb="0" eb="2">
      <t>ウタヒメ</t>
    </rPh>
    <rPh sb="3" eb="5">
      <t>カゴ</t>
    </rPh>
    <rPh sb="5" eb="7">
      <t>イガイ</t>
    </rPh>
    <phoneticPr fontId="1"/>
  </si>
  <si>
    <t>バフ解除</t>
    <rPh sb="2" eb="4">
      <t>カイジョ</t>
    </rPh>
    <phoneticPr fontId="1"/>
  </si>
  <si>
    <t>確率30%</t>
    <rPh sb="0" eb="2">
      <t>カクリツ</t>
    </rPh>
    <phoneticPr fontId="1"/>
  </si>
  <si>
    <t>ダウンターン</t>
    <phoneticPr fontId="1"/>
  </si>
  <si>
    <t>ネガティブ以外</t>
    <rPh sb="5" eb="7">
      <t>イガイ</t>
    </rPh>
    <phoneticPr fontId="1"/>
  </si>
  <si>
    <t>オーバードライブ中</t>
    <rPh sb="8" eb="9">
      <t>チュウ</t>
    </rPh>
    <phoneticPr fontId="1"/>
  </si>
  <si>
    <t>3</t>
    <phoneticPr fontId="1"/>
  </si>
  <si>
    <t>SRP</t>
    <phoneticPr fontId="1"/>
  </si>
  <si>
    <t>bike</t>
    <phoneticPr fontId="1"/>
  </si>
  <si>
    <t>七瀬七海</t>
  </si>
  <si>
    <t>RIDER</t>
    <phoneticPr fontId="1"/>
  </si>
  <si>
    <t>手塚咲</t>
    <rPh sb="0" eb="2">
      <t>テヅカ</t>
    </rPh>
    <rPh sb="2" eb="3">
      <t>サ</t>
    </rPh>
    <phoneticPr fontId="1"/>
  </si>
  <si>
    <t>手塚</t>
    <rPh sb="0" eb="2">
      <t>テズカ</t>
    </rPh>
    <phoneticPr fontId="1"/>
  </si>
  <si>
    <t>浅見真紀子</t>
    <phoneticPr fontId="1"/>
  </si>
  <si>
    <t>浅見</t>
    <phoneticPr fontId="1"/>
  </si>
  <si>
    <t>bonus</t>
  </si>
  <si>
    <t>4</t>
    <phoneticPr fontId="1"/>
  </si>
  <si>
    <t>30</t>
    <phoneticPr fontId="1"/>
  </si>
  <si>
    <t>Co</t>
  </si>
  <si>
    <t>[強化変種]カウリックプライヤー</t>
  </si>
  <si>
    <t>Ca</t>
  </si>
  <si>
    <t>[強化変種]キャットホーンγ</t>
  </si>
  <si>
    <t>De</t>
  </si>
  <si>
    <t>デザートコンカラー</t>
  </si>
  <si>
    <t>Sw</t>
  </si>
  <si>
    <t>[強化変種]チェッカークロウ</t>
  </si>
  <si>
    <t>Ra</t>
  </si>
  <si>
    <t>Ta</t>
  </si>
  <si>
    <t>トールフレシア</t>
  </si>
  <si>
    <t>[強化変種]フレームロード</t>
  </si>
  <si>
    <t>[強化変種]ダスキーハンマー</t>
  </si>
  <si>
    <t>エレファントウィップ</t>
  </si>
  <si>
    <t>ADVENTURE</t>
    <phoneticPr fontId="1"/>
  </si>
  <si>
    <t>CASUAL</t>
    <phoneticPr fontId="1"/>
  </si>
  <si>
    <t>PROFESSIONAL</t>
    <phoneticPr fontId="1"/>
  </si>
  <si>
    <t>2?</t>
    <phoneticPr fontId="1"/>
  </si>
  <si>
    <t>1?</t>
    <phoneticPr fontId="1"/>
  </si>
  <si>
    <t>STORY</t>
    <phoneticPr fontId="1"/>
  </si>
  <si>
    <t>MISSION</t>
    <phoneticPr fontId="1"/>
  </si>
  <si>
    <t>エリア3</t>
    <phoneticPr fontId="1"/>
  </si>
  <si>
    <t>エリア4</t>
    <phoneticPr fontId="1"/>
  </si>
  <si>
    <t>クロウホース</t>
    <phoneticPr fontId="1"/>
  </si>
  <si>
    <t>トールフレシア</t>
    <phoneticPr fontId="1"/>
  </si>
  <si>
    <t>5</t>
    <phoneticPr fontId="1"/>
  </si>
  <si>
    <t>6</t>
    <phoneticPr fontId="1"/>
  </si>
  <si>
    <t>回復スキル効果アップ</t>
    <phoneticPr fontId="1"/>
  </si>
  <si>
    <t>攻撃力上昇スキル効果アップ</t>
    <phoneticPr fontId="1"/>
  </si>
  <si>
    <t>デバフスキル効果アップ</t>
    <phoneticPr fontId="1"/>
  </si>
  <si>
    <t>クリティカル率効果アップ</t>
    <phoneticPr fontId="1"/>
  </si>
  <si>
    <t>挑発・注目状態：ダメージ軽減</t>
    <phoneticPr fontId="1"/>
  </si>
  <si>
    <t>ダメージ軽減</t>
    <phoneticPr fontId="1"/>
  </si>
  <si>
    <t>SSR</t>
    <phoneticPr fontId="1"/>
  </si>
  <si>
    <t>resonance</t>
  </si>
  <si>
    <t>attack_ref</t>
  </si>
  <si>
    <t>7</t>
    <phoneticPr fontId="1"/>
  </si>
  <si>
    <t>浅見真紀子</t>
  </si>
  <si>
    <t>ability_effect</t>
  </si>
  <si>
    <t>ability_list</t>
  </si>
  <si>
    <t>passive_effect</t>
  </si>
  <si>
    <t>passive_list</t>
  </si>
  <si>
    <t>P5R</t>
    <phoneticPr fontId="1"/>
  </si>
  <si>
    <t>モナ</t>
  </si>
  <si>
    <t>モナ</t>
    <phoneticPr fontId="1"/>
  </si>
  <si>
    <t>クイーン</t>
  </si>
  <si>
    <t>クイーン</t>
    <phoneticPr fontId="1"/>
  </si>
  <si>
    <t>BareHands</t>
    <phoneticPr fontId="1"/>
  </si>
  <si>
    <t>ShortSword</t>
    <phoneticPr fontId="1"/>
  </si>
  <si>
    <t>ヴァイオレット</t>
    <phoneticPr fontId="1"/>
  </si>
  <si>
    <t>Rapier</t>
    <phoneticPr fontId="1"/>
  </si>
  <si>
    <t>ヒカリ</t>
    <phoneticPr fontId="1"/>
  </si>
  <si>
    <t>19A</t>
    <phoneticPr fontId="1"/>
  </si>
  <si>
    <t>御崎飛鳥</t>
  </si>
  <si>
    <t>御崎飛鳥</t>
    <phoneticPr fontId="1"/>
  </si>
  <si>
    <t>飛鳥</t>
    <phoneticPr fontId="1"/>
  </si>
  <si>
    <t>成瀬ヒカリ</t>
    <rPh sb="0" eb="2">
      <t>ナルセ</t>
    </rPh>
    <phoneticPr fontId="1"/>
  </si>
  <si>
    <t>与那城レン</t>
  </si>
  <si>
    <t>与那城レン</t>
    <phoneticPr fontId="1"/>
  </si>
  <si>
    <t>レン</t>
    <phoneticPr fontId="1"/>
  </si>
  <si>
    <t>松嶋ちひろ</t>
  </si>
  <si>
    <t>松嶋ちひろ</t>
    <phoneticPr fontId="1"/>
  </si>
  <si>
    <t>ちひろ</t>
  </si>
  <si>
    <t>高宮瑠璃</t>
  </si>
  <si>
    <t>高宮瑠璃</t>
    <phoneticPr fontId="1"/>
  </si>
  <si>
    <t>瑠璃</t>
    <phoneticPr fontId="1"/>
  </si>
  <si>
    <t>虚</t>
    <rPh sb="0" eb="1">
      <t>ウツ</t>
    </rPh>
    <phoneticPr fontId="1"/>
  </si>
  <si>
    <t>60</t>
    <phoneticPr fontId="1"/>
  </si>
  <si>
    <t>release_date</t>
    <phoneticPr fontId="1"/>
  </si>
  <si>
    <t>date</t>
    <phoneticPr fontId="1"/>
  </si>
  <si>
    <t>2022/10/14</t>
  </si>
  <si>
    <t>2022/10/31</t>
  </si>
  <si>
    <t>2022/11/14</t>
  </si>
  <si>
    <t>2022/11/30</t>
  </si>
  <si>
    <t>2022/12/16</t>
  </si>
  <si>
    <t>2022/12/30</t>
  </si>
  <si>
    <t>2023/10/20</t>
  </si>
  <si>
    <t>2023/11/17</t>
  </si>
  <si>
    <t>2023/12/15</t>
  </si>
  <si>
    <t>2023/12/29</t>
  </si>
  <si>
    <t>2024/10/11</t>
  </si>
  <si>
    <t>2024/10/25</t>
  </si>
  <si>
    <t>2024/11/22</t>
  </si>
  <si>
    <t>2024/12/13</t>
  </si>
  <si>
    <t>2024/12/27</t>
  </si>
  <si>
    <t>2025/10/10</t>
  </si>
  <si>
    <t>2025/10/17</t>
  </si>
  <si>
    <t>2025/10/31</t>
  </si>
  <si>
    <t>2025/11/14</t>
  </si>
  <si>
    <t>2025/11/28</t>
  </si>
  <si>
    <t>2025/12/12</t>
  </si>
  <si>
    <t>2025/12/26</t>
  </si>
  <si>
    <t>2022/02/10</t>
  </si>
  <si>
    <t>2022/02/14</t>
  </si>
  <si>
    <t>2022/02/22</t>
  </si>
  <si>
    <t>2022/02/28</t>
  </si>
  <si>
    <t>2022/03/08</t>
  </si>
  <si>
    <t>2022/03/18</t>
  </si>
  <si>
    <t>2022/03/31</t>
  </si>
  <si>
    <t>2022/04/15</t>
  </si>
  <si>
    <t>2022/04/29</t>
  </si>
  <si>
    <t>2022/05/13</t>
  </si>
  <si>
    <t>2022/05/31</t>
  </si>
  <si>
    <t>2022/06/14</t>
  </si>
  <si>
    <t>2022/06/30</t>
  </si>
  <si>
    <t>2022/07/15</t>
  </si>
  <si>
    <t>2022/07/29</t>
  </si>
  <si>
    <t>2022/08/10</t>
  </si>
  <si>
    <t>2022/08/31</t>
  </si>
  <si>
    <t>2022/09/15</t>
  </si>
  <si>
    <t>2022/09/30</t>
  </si>
  <si>
    <t>2023/01/06</t>
  </si>
  <si>
    <t>2023/01/19</t>
  </si>
  <si>
    <t>2023/02/05</t>
  </si>
  <si>
    <t>2023/02/10</t>
  </si>
  <si>
    <t>2023/03/10</t>
  </si>
  <si>
    <t>2023/03/24</t>
  </si>
  <si>
    <t>2023/04/07</t>
  </si>
  <si>
    <t>2023/04/28</t>
  </si>
  <si>
    <t>2023/05/05</t>
  </si>
  <si>
    <t>2023/05/19</t>
  </si>
  <si>
    <t>2023/06/02</t>
  </si>
  <si>
    <t>2023/06/24</t>
  </si>
  <si>
    <t>2023/06/30</t>
  </si>
  <si>
    <t>2023/07/14</t>
  </si>
  <si>
    <t>2023/08/06</t>
  </si>
  <si>
    <t>2023/08/15</t>
  </si>
  <si>
    <t>2023/08/31</t>
  </si>
  <si>
    <t>2023/09/08</t>
  </si>
  <si>
    <t>2023/09/22</t>
  </si>
  <si>
    <t>2023/10/06</t>
  </si>
  <si>
    <t>2023/11/03</t>
  </si>
  <si>
    <t>2023/12/01</t>
  </si>
  <si>
    <t>2024/01/05</t>
  </si>
  <si>
    <t>2024/01/20</t>
  </si>
  <si>
    <t>2024/02/04</t>
  </si>
  <si>
    <t>2024/02/16</t>
  </si>
  <si>
    <t>2024/02/23</t>
  </si>
  <si>
    <t>2024/03/08</t>
  </si>
  <si>
    <t>2024/03/22</t>
  </si>
  <si>
    <t>2024/04/05</t>
  </si>
  <si>
    <t>2024/04/26</t>
  </si>
  <si>
    <t>2024/05/17</t>
  </si>
  <si>
    <t>2024/05/31</t>
  </si>
  <si>
    <t>2024/06/14</t>
  </si>
  <si>
    <t>2024/06/28</t>
  </si>
  <si>
    <t>2024/07/05</t>
  </si>
  <si>
    <t>2024/07/20</t>
  </si>
  <si>
    <t>2024/08/23</t>
  </si>
  <si>
    <t>2024/09/06</t>
  </si>
  <si>
    <t>2024/09/20</t>
  </si>
  <si>
    <t>2024/10/04</t>
  </si>
  <si>
    <t>2024/11/08</t>
  </si>
  <si>
    <t>2024/12/06</t>
  </si>
  <si>
    <t>2025/01/10</t>
  </si>
  <si>
    <t>2025/02/02</t>
  </si>
  <si>
    <t>2025/02/09</t>
  </si>
  <si>
    <t>2025/02/21</t>
  </si>
  <si>
    <t>2025/03/07</t>
  </si>
  <si>
    <t>2025/03/21</t>
  </si>
  <si>
    <t>2025/04/04</t>
  </si>
  <si>
    <t>2025/04/25</t>
  </si>
  <si>
    <t>2025/05/02</t>
  </si>
  <si>
    <t>2025/05/16</t>
  </si>
  <si>
    <t>2025/05/30</t>
  </si>
  <si>
    <t>2025/06/13</t>
  </si>
  <si>
    <t>2025/06/27</t>
  </si>
  <si>
    <t>2025/07/11</t>
  </si>
  <si>
    <t>2025/07/18</t>
  </si>
  <si>
    <t>2025/08/03</t>
  </si>
  <si>
    <t>2025/08/10</t>
  </si>
  <si>
    <t>2025/08/22</t>
  </si>
  <si>
    <t>2025/09/05</t>
  </si>
  <si>
    <t>2025/09/19</t>
  </si>
  <si>
    <t>2025/10/03</t>
  </si>
  <si>
    <t>2026/01/16</t>
  </si>
  <si>
    <t>2026/02/01</t>
  </si>
  <si>
    <t>2026/02/13</t>
  </si>
  <si>
    <t>2026/02/27</t>
  </si>
  <si>
    <t>2026/03/13</t>
  </si>
  <si>
    <t>2026/03/27</t>
  </si>
  <si>
    <t>2026/04/10</t>
  </si>
  <si>
    <t>2026/04/24</t>
  </si>
  <si>
    <t>2026/05/01</t>
  </si>
  <si>
    <t>2026/05/22</t>
  </si>
  <si>
    <t>2026/06/05</t>
  </si>
  <si>
    <t>2026/06/19</t>
  </si>
  <si>
    <t>2026/07/03</t>
  </si>
  <si>
    <t>2026/07/17</t>
  </si>
  <si>
    <t>2026/08/02</t>
  </si>
  <si>
    <t>2026/08/09</t>
  </si>
  <si>
    <t>列ラベル</t>
  </si>
  <si>
    <t>総計</t>
  </si>
  <si>
    <t>行ラベル</t>
  </si>
  <si>
    <t>31A</t>
  </si>
  <si>
    <t>31B</t>
  </si>
  <si>
    <t>31C</t>
  </si>
  <si>
    <t>31D</t>
  </si>
  <si>
    <t>31E</t>
  </si>
  <si>
    <t>31F</t>
  </si>
  <si>
    <t>31X</t>
  </si>
  <si>
    <t>30G</t>
  </si>
  <si>
    <t>19A</t>
  </si>
  <si>
    <t>SRP</t>
  </si>
  <si>
    <t>AB</t>
  </si>
  <si>
    <t>AB</t>
    <phoneticPr fontId="1"/>
  </si>
  <si>
    <t>P5R</t>
  </si>
  <si>
    <t>個数 / 31A</t>
  </si>
  <si>
    <t>2022/02</t>
  </si>
  <si>
    <t>2022/03</t>
  </si>
  <si>
    <t>2022/04</t>
  </si>
  <si>
    <t>2022/05</t>
  </si>
  <si>
    <t>2022/06</t>
  </si>
  <si>
    <t>2022/07</t>
  </si>
  <si>
    <t>2022/08</t>
  </si>
  <si>
    <t>2022/09</t>
  </si>
  <si>
    <t>2022/10</t>
  </si>
  <si>
    <t>2022/11</t>
  </si>
  <si>
    <t>2022/12</t>
  </si>
  <si>
    <t>2023/01</t>
  </si>
  <si>
    <t>2023/02</t>
  </si>
  <si>
    <t>2023/03</t>
  </si>
  <si>
    <t>2023/04</t>
  </si>
  <si>
    <t>2023/05</t>
  </si>
  <si>
    <t>2023/06</t>
  </si>
  <si>
    <t>2023/07</t>
  </si>
  <si>
    <t>2023/08</t>
  </si>
  <si>
    <t>2023/09</t>
  </si>
  <si>
    <t>2023/10</t>
  </si>
  <si>
    <t>2023/11</t>
  </si>
  <si>
    <t>2023/12</t>
  </si>
  <si>
    <t>2024/01</t>
  </si>
  <si>
    <t>2024/02</t>
  </si>
  <si>
    <t>2024/03</t>
  </si>
  <si>
    <t>2024/04</t>
  </si>
  <si>
    <t>2024/05</t>
  </si>
  <si>
    <t>2024/06</t>
  </si>
  <si>
    <t>2024/07</t>
  </si>
  <si>
    <t>2024/08</t>
  </si>
  <si>
    <t>2024/09</t>
  </si>
  <si>
    <t>2024/10</t>
  </si>
  <si>
    <t>2024/11</t>
  </si>
  <si>
    <t>2024/12</t>
  </si>
  <si>
    <t>2025/01</t>
  </si>
  <si>
    <t>2025/02</t>
  </si>
  <si>
    <t>2025/03</t>
  </si>
  <si>
    <t>2025/04</t>
  </si>
  <si>
    <t>2025/05</t>
  </si>
  <si>
    <t>2025/06</t>
  </si>
  <si>
    <t>2025/07</t>
  </si>
  <si>
    <t>2025/08</t>
  </si>
  <si>
    <t>2025/09</t>
  </si>
  <si>
    <t>2025/10</t>
  </si>
  <si>
    <t>2025/11</t>
  </si>
  <si>
    <t>2025/12</t>
  </si>
  <si>
    <t>2026/01</t>
  </si>
  <si>
    <t>2026/02</t>
  </si>
  <si>
    <t>2026/03</t>
  </si>
  <si>
    <t>2026/04</t>
  </si>
  <si>
    <t>2026/05</t>
  </si>
  <si>
    <t>2026/06</t>
  </si>
  <si>
    <t>2026/07</t>
  </si>
  <si>
    <t>2026/08</t>
  </si>
  <si>
    <t>50</t>
    <phoneticPr fontId="1"/>
  </si>
  <si>
    <t>skill_effect</t>
  </si>
  <si>
    <t>calendar_category</t>
  </si>
  <si>
    <t>calendar_event</t>
  </si>
  <si>
    <t>calendar_event_tag</t>
  </si>
  <si>
    <t>calendar_tag</t>
  </si>
  <si>
    <t>event_id</t>
    <phoneticPr fontId="1"/>
  </si>
  <si>
    <t>bigint</t>
    <phoneticPr fontId="1"/>
  </si>
  <si>
    <t>category_id</t>
    <phoneticPr fontId="1"/>
  </si>
  <si>
    <t>smallint</t>
    <phoneticPr fontId="1"/>
  </si>
  <si>
    <t>event_name</t>
    <phoneticPr fontId="1"/>
  </si>
  <si>
    <t>text</t>
    <phoneticPr fontId="1"/>
  </si>
  <si>
    <t>start_date</t>
    <phoneticPr fontId="1"/>
  </si>
  <si>
    <t>end_date</t>
    <phoneticPr fontId="1"/>
  </si>
  <si>
    <t>description</t>
    <phoneticPr fontId="1"/>
  </si>
  <si>
    <t>url</t>
    <phoneticPr fontId="1"/>
  </si>
  <si>
    <t>icon</t>
    <phoneticPr fontId="1"/>
  </si>
  <si>
    <t>display_order</t>
    <phoneticPr fontId="1"/>
  </si>
  <si>
    <t>integer</t>
    <phoneticPr fontId="1"/>
  </si>
  <si>
    <t>public.calendar_event</t>
  </si>
  <si>
    <t>tag_id</t>
    <phoneticPr fontId="1"/>
  </si>
  <si>
    <t>public.calendar_event_tag</t>
  </si>
  <si>
    <t>tag_name</t>
    <phoneticPr fontId="1"/>
  </si>
  <si>
    <t>public.calendar_tag</t>
  </si>
  <si>
    <t>category_code</t>
    <phoneticPr fontId="1"/>
  </si>
  <si>
    <t>category_name</t>
    <phoneticPr fontId="1"/>
  </si>
  <si>
    <t>color</t>
    <phoneticPr fontId="1"/>
  </si>
  <si>
    <t>public.calendar_category</t>
  </si>
  <si>
    <t>#E57373</t>
  </si>
  <si>
    <t>#64B5F6</t>
  </si>
  <si>
    <t>#81C784</t>
  </si>
  <si>
    <t>2026/10/16 10:59:00</t>
  </si>
  <si>
    <t>timestamp without time zone</t>
    <phoneticPr fontId="1"/>
  </si>
  <si>
    <t>2026/10/12 10:59:00</t>
  </si>
  <si>
    <t>2026/10/30 10:59:00</t>
  </si>
  <si>
    <t>ガチャ</t>
    <phoneticPr fontId="1"/>
  </si>
  <si>
    <t>イベント</t>
    <phoneticPr fontId="1"/>
  </si>
  <si>
    <t>異時層EX</t>
    <rPh sb="0" eb="3">
      <t>イジソウ</t>
    </rPh>
    <phoneticPr fontId="1"/>
  </si>
  <si>
    <t>恒星掃戦線</t>
    <rPh sb="0" eb="2">
      <t>コウセイ</t>
    </rPh>
    <rPh sb="2" eb="3">
      <t>ソウ</t>
    </rPh>
    <rPh sb="3" eb="5">
      <t>センセン</t>
    </rPh>
    <phoneticPr fontId="1"/>
  </si>
  <si>
    <t>ストーリー</t>
    <phoneticPr fontId="1"/>
  </si>
  <si>
    <t>gacha</t>
    <phoneticPr fontId="1"/>
  </si>
  <si>
    <t>story</t>
    <phoneticPr fontId="1"/>
  </si>
  <si>
    <t>hardEX</t>
    <phoneticPr fontId="1"/>
  </si>
  <si>
    <t>dimension</t>
  </si>
  <si>
    <t>other</t>
    <phoneticPr fontId="1"/>
  </si>
  <si>
    <t>scoreAttack</t>
    <phoneticPr fontId="1"/>
  </si>
  <si>
    <t>スコアアタック</t>
    <phoneticPr fontId="1"/>
  </si>
  <si>
    <t>セラフ遭遇戦</t>
    <rPh sb="3" eb="5">
      <t>ソウグウ</t>
    </rPh>
    <rPh sb="5" eb="6">
      <t>セン</t>
    </rPh>
    <phoneticPr fontId="1"/>
  </si>
  <si>
    <t>wavebattle</t>
  </si>
  <si>
    <t>PU[フルール・アンシャンテ]和泉ユキ</t>
  </si>
  <si>
    <t>2026/10/09 11:00:00</t>
  </si>
  <si>
    <t>ストーリーイベント「禁断の知識」</t>
  </si>
  <si>
    <t>2026/09/18 11:00:00</t>
  </si>
  <si>
    <t>#103 Eternal Grief</t>
  </si>
  <si>
    <t>2026/10/02 11:00:00</t>
  </si>
  <si>
    <t>2026/10/23 10:59:00</t>
  </si>
  <si>
    <t>復刻 Angel Beats! コラボガチャⅢ</t>
  </si>
  <si>
    <t>40</t>
    <phoneticPr fontId="1"/>
  </si>
  <si>
    <t>70</t>
    <phoneticPr fontId="1"/>
  </si>
  <si>
    <t>#FFB74D</t>
  </si>
  <si>
    <t>#BA68C8</t>
  </si>
  <si>
    <t>#4DB6AC</t>
  </si>
  <si>
    <t>#90A4AE</t>
  </si>
  <si>
    <t>異時層EX -第三章-</t>
  </si>
  <si>
    <t>Live Fes</t>
  </si>
  <si>
    <t>2026/10/13 10:59:00</t>
  </si>
  <si>
    <t>2026/11/27 10:59:00</t>
  </si>
  <si>
    <t>カテゴリ</t>
    <phoneticPr fontId="1"/>
  </si>
  <si>
    <t>イベント名</t>
    <rPh sb="4" eb="5">
      <t>メイ</t>
    </rPh>
    <phoneticPr fontId="1"/>
  </si>
  <si>
    <t>開始日</t>
    <rPh sb="0" eb="3">
      <t>カイシビ</t>
    </rPh>
    <phoneticPr fontId="1"/>
  </si>
  <si>
    <t>開始時刻</t>
    <rPh sb="0" eb="2">
      <t>カイシ</t>
    </rPh>
    <rPh sb="2" eb="4">
      <t>ジコク</t>
    </rPh>
    <phoneticPr fontId="1"/>
  </si>
  <si>
    <t>終了日</t>
    <rPh sb="0" eb="2">
      <t>シュウリョウ</t>
    </rPh>
    <rPh sb="2" eb="3">
      <t>ビ</t>
    </rPh>
    <phoneticPr fontId="1"/>
  </si>
  <si>
    <t>終了時刻</t>
    <rPh sb="0" eb="2">
      <t>シュウリョウ</t>
    </rPh>
    <rPh sb="2" eb="4">
      <t>ジコク</t>
    </rPh>
    <phoneticPr fontId="1"/>
  </si>
  <si>
    <t>2026/10/14</t>
    <phoneticPr fontId="1"/>
  </si>
  <si>
    <t>11:00</t>
  </si>
  <si>
    <t>10:59</t>
    <phoneticPr fontId="1"/>
  </si>
  <si>
    <t>復刻 Angel Beats! コラボガチャ</t>
  </si>
  <si>
    <t>復刻 Angel Beats! コラボガチャⅡ</t>
  </si>
  <si>
    <t>コラボ復刻「コスモスが咲き続けた場所」</t>
  </si>
  <si>
    <t>コラボ復刻「Beautiful the Blood」</t>
  </si>
  <si>
    <t>コラボ復刻「唐突にファザー～オカンとアタシと弟と、ずっとアルコール依存～」</t>
  </si>
  <si>
    <t>#15 厄災の担い手&amp;疫災の運び手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</si>
</sst>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"/>
  </numFmts>
  <fonts count="6" x14ac:knownFonts="1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scheme val="minor"/>
    </font>
    <font>
      <sz val="10"/>
      <color theme="1"/>
      <name val="ＭＳ 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36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0" fontId="0" fillId="0" borderId="1" xfId="0" applyBorder="1"/>
    <xf numFmtId="0" fontId="2" fillId="0" borderId="1" xfId="0" applyFont="1" applyBorder="1"/>
    <xf numFmtId="3" fontId="0" fillId="0" borderId="0" xfId="0" applyNumberFormat="1"/>
    <xf numFmtId="14" fontId="0" fillId="0" borderId="0" xfId="0" applyNumberFormat="1"/>
    <xf numFmtId="0" fontId="4" fillId="0" borderId="0" xfId="0" applyFont="1"/>
    <xf numFmtId="49" fontId="4" fillId="2" borderId="1" xfId="0" applyNumberFormat="1" applyFont="1" applyFill="1" applyBorder="1"/>
    <xf numFmtId="49" fontId="5" fillId="8" borderId="1" xfId="0" applyNumberFormat="1" applyFont="1" applyFill="1" applyBorder="1"/>
    <xf numFmtId="49" fontId="4" fillId="0" borderId="1" xfId="0" applyNumberFormat="1" applyFont="1" applyBorder="1"/>
    <xf numFmtId="49" fontId="4" fillId="2" borderId="0" xfId="0" applyNumberFormat="1" applyFont="1" applyFill="1"/>
    <xf numFmtId="49" fontId="5" fillId="8" borderId="0" xfId="0" applyNumberFormat="1" applyFont="1" applyFill="1"/>
    <xf numFmtId="49" fontId="4" fillId="0" borderId="0" xfId="0" applyNumberFormat="1" applyFont="1"/>
    <xf numFmtId="0" fontId="4" fillId="0" borderId="1" xfId="0" applyFont="1" applyBorder="1"/>
    <xf numFmtId="0" fontId="0" fillId="0" borderId="0" xfId="0" pivotButton="1"/>
    <xf numFmtId="0" fontId="0" fillId="0" borderId="0" xfId="0" applyAlignment="1">
      <alignment horizontal="left"/>
    </xf>
    <xf numFmtId="49" fontId="2" fillId="0" borderId="0" xfId="0" applyNumberFormat="1" applyFont="1"/>
    <xf numFmtId="0" fontId="2" fillId="0" borderId="0" xfId="0" applyFont="1"/>
    <xf numFmtId="176" fontId="2" fillId="0" borderId="0" xfId="0" applyNumberFormat="1" applyFont="1"/>
    <xf numFmtId="0" fontId="0" fillId="0" borderId="1" xfId="0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1" xfId="0" applyFill="1" applyBorder="1" applyAlignment="1">
      <alignment horizontal="center"/>
    </xf>
    <xf numFmtId="49" fontId="0" fillId="7" borderId="1" xfId="0" applyNumberFormat="1" applyFill="1" applyBorder="1" applyAlignment="1">
      <alignment horizontal="center"/>
    </xf>
    <xf numFmtId="49" fontId="2" fillId="0" borderId="1" xfId="0" applyNumberFormat="1" applyFont="1" applyBorder="1" applyAlignment="1">
      <alignment horizontal="right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[calendar.xlsm]Sheet2!ピボットテーブル2</c:name>
    <c:fmtId val="1"/>
  </c:pivotSource>
  <c:chart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3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>
                <a:lumMod val="75000"/>
              </a:schemeClr>
            </a:solidFill>
            <a:ln w="9525">
              <a:solidFill>
                <a:schemeClr val="accent3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rgbClr val="FF99FF"/>
            </a:solidFill>
            <a:round/>
          </a:ln>
          <a:effectLst/>
        </c:spPr>
        <c:marker>
          <c:symbol val="circle"/>
          <c:size val="5"/>
          <c:spPr>
            <a:solidFill>
              <a:srgbClr val="FF99FF"/>
            </a:solidFill>
            <a:ln w="9525">
              <a:solidFill>
                <a:srgbClr val="FF99FF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ln w="28575" cap="rnd">
            <a:solidFill>
              <a:schemeClr val="accent1">
                <a:lumMod val="75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rgbClr val="0070C0"/>
            </a:solidFill>
            <a:ln w="9525">
              <a:solidFill>
                <a:schemeClr val="accent1">
                  <a:lumMod val="75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ln w="28575" cap="rnd">
            <a:solidFill>
              <a:srgbClr val="7030A0"/>
            </a:solidFill>
            <a:round/>
          </a:ln>
          <a:effectLst/>
        </c:spPr>
        <c:marker>
          <c:symbol val="circle"/>
          <c:size val="5"/>
          <c:spPr>
            <a:solidFill>
              <a:srgbClr val="7030A0"/>
            </a:solidFill>
            <a:ln w="9525">
              <a:solidFill>
                <a:srgbClr val="7030A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ln w="28575" cap="rnd">
            <a:solidFill>
              <a:schemeClr val="accent6">
                <a:lumMod val="5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50000"/>
              </a:schemeClr>
            </a:solidFill>
            <a:ln w="9525">
              <a:solidFill>
                <a:schemeClr val="accent6">
                  <a:lumMod val="5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ln w="28575" cap="rnd">
            <a:solidFill>
              <a:srgbClr val="92D050"/>
            </a:solidFill>
            <a:round/>
          </a:ln>
          <a:effectLst/>
        </c:spPr>
        <c:marker>
          <c:symbol val="circle"/>
          <c:size val="5"/>
          <c:spPr>
            <a:solidFill>
              <a:srgbClr val="92D050"/>
            </a:solidFill>
            <a:ln w="9525">
              <a:solidFill>
                <a:srgbClr val="92D050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>
                <a:lumMod val="60000"/>
              </a:schemeClr>
            </a:solidFill>
            <a:ln w="9525">
              <a:solidFill>
                <a:schemeClr val="accent2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ln w="28575" cap="rnd">
            <a:solidFill>
              <a:schemeClr val="accent5">
                <a:lumMod val="40000"/>
                <a:lumOff val="60000"/>
              </a:schemeClr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40000"/>
                <a:lumOff val="60000"/>
              </a:schemeClr>
            </a:solidFill>
            <a:ln w="9525">
              <a:solidFill>
                <a:schemeClr val="accent5">
                  <a:lumMod val="40000"/>
                  <a:lumOff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>
                <a:lumMod val="60000"/>
              </a:schemeClr>
            </a:solidFill>
            <a:ln w="9525">
              <a:solidFill>
                <a:schemeClr val="accent4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>
                <a:lumMod val="60000"/>
              </a:schemeClr>
            </a:solidFill>
            <a:ln w="9525">
              <a:solidFill>
                <a:schemeClr val="accent5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6">
                <a:lumMod val="60000"/>
              </a:schemeClr>
            </a:solidFill>
            <a:ln w="9525">
              <a:solidFill>
                <a:schemeClr val="accent6">
                  <a:lumMod val="60000"/>
                </a:schemeClr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1050328288856632E-2"/>
          <c:y val="6.6436527846862381E-2"/>
          <c:w val="0.8679441531393397"/>
          <c:h val="0.82360357322329669"/>
        </c:manualLayout>
      </c:layout>
      <c:lineChart>
        <c:grouping val="standard"/>
        <c:varyColors val="0"/>
        <c:ser>
          <c:idx val="0"/>
          <c:order val="0"/>
          <c:tx>
            <c:strRef>
              <c:f>Sheet2!$J$3:$J$4</c:f>
              <c:strCache>
                <c:ptCount val="1"/>
                <c:pt idx="0">
                  <c:v>19A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Sheet2!$J$5:$J$60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11C-4A42-BF93-74D4388014F7}"/>
            </c:ext>
          </c:extLst>
        </c:ser>
        <c:ser>
          <c:idx val="1"/>
          <c:order val="1"/>
          <c:tx>
            <c:strRef>
              <c:f>Sheet2!$K$3:$K$4</c:f>
              <c:strCache>
                <c:ptCount val="1"/>
                <c:pt idx="0">
                  <c:v>30G</c:v>
                </c:pt>
              </c:strCache>
            </c:strRef>
          </c:tx>
          <c:spPr>
            <a:ln w="28575" cap="rnd">
              <a:solidFill>
                <a:schemeClr val="accent3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solidFill>
                  <a:schemeClr val="accent3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Sheet2!$K$5:$K$60</c:f>
              <c:numCache>
                <c:formatCode>General</c:formatCode>
                <c:ptCount val="55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</c:v>
                </c:pt>
                <c:pt idx="11">
                  <c:v>7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10</c:v>
                </c:pt>
                <c:pt idx="17">
                  <c:v>10</c:v>
                </c:pt>
                <c:pt idx="18">
                  <c:v>11</c:v>
                </c:pt>
                <c:pt idx="19">
                  <c:v>12</c:v>
                </c:pt>
                <c:pt idx="20">
                  <c:v>12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16</c:v>
                </c:pt>
                <c:pt idx="27">
                  <c:v>16</c:v>
                </c:pt>
                <c:pt idx="28">
                  <c:v>17</c:v>
                </c:pt>
                <c:pt idx="29">
                  <c:v>17</c:v>
                </c:pt>
                <c:pt idx="30">
                  <c:v>17</c:v>
                </c:pt>
                <c:pt idx="31">
                  <c:v>18</c:v>
                </c:pt>
                <c:pt idx="32">
                  <c:v>18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19</c:v>
                </c:pt>
                <c:pt idx="37">
                  <c:v>21</c:v>
                </c:pt>
                <c:pt idx="38">
                  <c:v>21</c:v>
                </c:pt>
                <c:pt idx="39">
                  <c:v>21</c:v>
                </c:pt>
                <c:pt idx="40">
                  <c:v>21</c:v>
                </c:pt>
                <c:pt idx="41">
                  <c:v>21</c:v>
                </c:pt>
                <c:pt idx="42">
                  <c:v>23</c:v>
                </c:pt>
                <c:pt idx="43">
                  <c:v>23</c:v>
                </c:pt>
                <c:pt idx="44">
                  <c:v>23</c:v>
                </c:pt>
                <c:pt idx="45">
                  <c:v>23</c:v>
                </c:pt>
                <c:pt idx="46">
                  <c:v>24</c:v>
                </c:pt>
                <c:pt idx="47">
                  <c:v>24</c:v>
                </c:pt>
                <c:pt idx="48">
                  <c:v>24</c:v>
                </c:pt>
                <c:pt idx="49">
                  <c:v>25</c:v>
                </c:pt>
                <c:pt idx="50">
                  <c:v>25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11C-4A42-BF93-74D4388014F7}"/>
            </c:ext>
          </c:extLst>
        </c:ser>
        <c:ser>
          <c:idx val="2"/>
          <c:order val="2"/>
          <c:tx>
            <c:strRef>
              <c:f>Sheet2!$L$3:$L$4</c:f>
              <c:strCache>
                <c:ptCount val="1"/>
                <c:pt idx="0">
                  <c:v>31A</c:v>
                </c:pt>
              </c:strCache>
            </c:strRef>
          </c:tx>
          <c:spPr>
            <a:ln w="28575" cap="rnd">
              <a:solidFill>
                <a:srgbClr val="FF99FF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FF99FF"/>
              </a:solidFill>
              <a:ln w="9525">
                <a:solidFill>
                  <a:srgbClr val="FF99FF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Sheet2!$L$5:$L$60</c:f>
              <c:numCache>
                <c:formatCode>General</c:formatCode>
                <c:ptCount val="55"/>
                <c:pt idx="0">
                  <c:v>7</c:v>
                </c:pt>
                <c:pt idx="1">
                  <c:v>8</c:v>
                </c:pt>
                <c:pt idx="2">
                  <c:v>9</c:v>
                </c:pt>
                <c:pt idx="3">
                  <c:v>9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16</c:v>
                </c:pt>
                <c:pt idx="17">
                  <c:v>16</c:v>
                </c:pt>
                <c:pt idx="18">
                  <c:v>19</c:v>
                </c:pt>
                <c:pt idx="19">
                  <c:v>20</c:v>
                </c:pt>
                <c:pt idx="20">
                  <c:v>20</c:v>
                </c:pt>
                <c:pt idx="21">
                  <c:v>20</c:v>
                </c:pt>
                <c:pt idx="22">
                  <c:v>22</c:v>
                </c:pt>
                <c:pt idx="23">
                  <c:v>22</c:v>
                </c:pt>
                <c:pt idx="24">
                  <c:v>24</c:v>
                </c:pt>
                <c:pt idx="25">
                  <c:v>24</c:v>
                </c:pt>
                <c:pt idx="26">
                  <c:v>25</c:v>
                </c:pt>
                <c:pt idx="27">
                  <c:v>25</c:v>
                </c:pt>
                <c:pt idx="28">
                  <c:v>25</c:v>
                </c:pt>
                <c:pt idx="29">
                  <c:v>27</c:v>
                </c:pt>
                <c:pt idx="30">
                  <c:v>27</c:v>
                </c:pt>
                <c:pt idx="31">
                  <c:v>27</c:v>
                </c:pt>
                <c:pt idx="32">
                  <c:v>28</c:v>
                </c:pt>
                <c:pt idx="33">
                  <c:v>28</c:v>
                </c:pt>
                <c:pt idx="34">
                  <c:v>29</c:v>
                </c:pt>
                <c:pt idx="35">
                  <c:v>29</c:v>
                </c:pt>
                <c:pt idx="36">
                  <c:v>31</c:v>
                </c:pt>
                <c:pt idx="37">
                  <c:v>31</c:v>
                </c:pt>
                <c:pt idx="38">
                  <c:v>31</c:v>
                </c:pt>
                <c:pt idx="39">
                  <c:v>31</c:v>
                </c:pt>
                <c:pt idx="40">
                  <c:v>31</c:v>
                </c:pt>
                <c:pt idx="41">
                  <c:v>31</c:v>
                </c:pt>
                <c:pt idx="42">
                  <c:v>33</c:v>
                </c:pt>
                <c:pt idx="43">
                  <c:v>33</c:v>
                </c:pt>
                <c:pt idx="44">
                  <c:v>35</c:v>
                </c:pt>
                <c:pt idx="45">
                  <c:v>35</c:v>
                </c:pt>
                <c:pt idx="46">
                  <c:v>36</c:v>
                </c:pt>
                <c:pt idx="47">
                  <c:v>36</c:v>
                </c:pt>
                <c:pt idx="48">
                  <c:v>37</c:v>
                </c:pt>
                <c:pt idx="49">
                  <c:v>37</c:v>
                </c:pt>
                <c:pt idx="50">
                  <c:v>37</c:v>
                </c:pt>
                <c:pt idx="51">
                  <c:v>38</c:v>
                </c:pt>
                <c:pt idx="52">
                  <c:v>39</c:v>
                </c:pt>
                <c:pt idx="53">
                  <c:v>39</c:v>
                </c:pt>
                <c:pt idx="54">
                  <c:v>39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11C-4A42-BF93-74D4388014F7}"/>
            </c:ext>
          </c:extLst>
        </c:ser>
        <c:ser>
          <c:idx val="3"/>
          <c:order val="3"/>
          <c:tx>
            <c:strRef>
              <c:f>Sheet2!$M$3:$M$4</c:f>
              <c:strCache>
                <c:ptCount val="1"/>
                <c:pt idx="0">
                  <c:v>31B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0070C0"/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Sheet2!$M$5:$M$60</c:f>
              <c:numCache>
                <c:formatCode>General</c:formatCode>
                <c:ptCount val="55"/>
                <c:pt idx="0">
                  <c:v>2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9</c:v>
                </c:pt>
                <c:pt idx="15">
                  <c:v>11</c:v>
                </c:pt>
                <c:pt idx="16">
                  <c:v>11</c:v>
                </c:pt>
                <c:pt idx="17">
                  <c:v>11</c:v>
                </c:pt>
                <c:pt idx="18">
                  <c:v>11</c:v>
                </c:pt>
                <c:pt idx="19">
                  <c:v>11</c:v>
                </c:pt>
                <c:pt idx="20">
                  <c:v>11</c:v>
                </c:pt>
                <c:pt idx="21">
                  <c:v>11</c:v>
                </c:pt>
                <c:pt idx="22">
                  <c:v>13</c:v>
                </c:pt>
                <c:pt idx="23">
                  <c:v>13</c:v>
                </c:pt>
                <c:pt idx="24">
                  <c:v>13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14</c:v>
                </c:pt>
                <c:pt idx="31">
                  <c:v>14</c:v>
                </c:pt>
                <c:pt idx="32">
                  <c:v>16</c:v>
                </c:pt>
                <c:pt idx="33">
                  <c:v>18</c:v>
                </c:pt>
                <c:pt idx="34">
                  <c:v>18</c:v>
                </c:pt>
                <c:pt idx="35">
                  <c:v>18</c:v>
                </c:pt>
                <c:pt idx="36">
                  <c:v>18</c:v>
                </c:pt>
                <c:pt idx="37">
                  <c:v>18</c:v>
                </c:pt>
                <c:pt idx="38">
                  <c:v>18</c:v>
                </c:pt>
                <c:pt idx="39">
                  <c:v>18</c:v>
                </c:pt>
                <c:pt idx="40">
                  <c:v>20</c:v>
                </c:pt>
                <c:pt idx="41">
                  <c:v>21</c:v>
                </c:pt>
                <c:pt idx="42">
                  <c:v>21</c:v>
                </c:pt>
                <c:pt idx="43">
                  <c:v>21</c:v>
                </c:pt>
                <c:pt idx="44">
                  <c:v>23</c:v>
                </c:pt>
                <c:pt idx="45">
                  <c:v>23</c:v>
                </c:pt>
                <c:pt idx="46">
                  <c:v>23</c:v>
                </c:pt>
                <c:pt idx="47">
                  <c:v>24</c:v>
                </c:pt>
                <c:pt idx="48">
                  <c:v>24</c:v>
                </c:pt>
                <c:pt idx="49">
                  <c:v>24</c:v>
                </c:pt>
                <c:pt idx="50">
                  <c:v>24</c:v>
                </c:pt>
                <c:pt idx="51">
                  <c:v>25</c:v>
                </c:pt>
                <c:pt idx="52">
                  <c:v>25</c:v>
                </c:pt>
                <c:pt idx="53">
                  <c:v>25</c:v>
                </c:pt>
                <c:pt idx="54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11C-4A42-BF93-74D4388014F7}"/>
            </c:ext>
          </c:extLst>
        </c:ser>
        <c:ser>
          <c:idx val="4"/>
          <c:order val="4"/>
          <c:tx>
            <c:strRef>
              <c:f>Sheet2!$N$3:$N$4</c:f>
              <c:strCache>
                <c:ptCount val="1"/>
                <c:pt idx="0">
                  <c:v>31C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Sheet2!$N$5:$N$60</c:f>
              <c:numCache>
                <c:formatCode>General</c:formatCode>
                <c:ptCount val="5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6</c:v>
                </c:pt>
                <c:pt idx="5">
                  <c:v>6</c:v>
                </c:pt>
                <c:pt idx="6">
                  <c:v>6</c:v>
                </c:pt>
                <c:pt idx="7">
                  <c:v>6</c:v>
                </c:pt>
                <c:pt idx="8">
                  <c:v>6</c:v>
                </c:pt>
                <c:pt idx="9">
                  <c:v>6</c:v>
                </c:pt>
                <c:pt idx="10">
                  <c:v>8</c:v>
                </c:pt>
                <c:pt idx="11">
                  <c:v>9</c:v>
                </c:pt>
                <c:pt idx="12">
                  <c:v>9</c:v>
                </c:pt>
                <c:pt idx="13">
                  <c:v>9</c:v>
                </c:pt>
                <c:pt idx="14">
                  <c:v>11</c:v>
                </c:pt>
                <c:pt idx="15">
                  <c:v>11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14</c:v>
                </c:pt>
                <c:pt idx="21">
                  <c:v>14</c:v>
                </c:pt>
                <c:pt idx="22">
                  <c:v>14</c:v>
                </c:pt>
                <c:pt idx="23">
                  <c:v>14</c:v>
                </c:pt>
                <c:pt idx="24">
                  <c:v>15</c:v>
                </c:pt>
                <c:pt idx="25">
                  <c:v>17</c:v>
                </c:pt>
                <c:pt idx="26">
                  <c:v>17</c:v>
                </c:pt>
                <c:pt idx="27">
                  <c:v>17</c:v>
                </c:pt>
                <c:pt idx="28">
                  <c:v>18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20</c:v>
                </c:pt>
                <c:pt idx="34">
                  <c:v>20</c:v>
                </c:pt>
                <c:pt idx="35">
                  <c:v>20</c:v>
                </c:pt>
                <c:pt idx="36">
                  <c:v>21</c:v>
                </c:pt>
                <c:pt idx="37">
                  <c:v>21</c:v>
                </c:pt>
                <c:pt idx="38">
                  <c:v>22</c:v>
                </c:pt>
                <c:pt idx="39">
                  <c:v>24</c:v>
                </c:pt>
                <c:pt idx="40">
                  <c:v>24</c:v>
                </c:pt>
                <c:pt idx="41">
                  <c:v>24</c:v>
                </c:pt>
                <c:pt idx="42">
                  <c:v>25</c:v>
                </c:pt>
                <c:pt idx="43">
                  <c:v>25</c:v>
                </c:pt>
                <c:pt idx="44">
                  <c:v>25</c:v>
                </c:pt>
                <c:pt idx="45">
                  <c:v>26</c:v>
                </c:pt>
                <c:pt idx="46">
                  <c:v>27</c:v>
                </c:pt>
                <c:pt idx="47">
                  <c:v>27</c:v>
                </c:pt>
                <c:pt idx="48">
                  <c:v>28</c:v>
                </c:pt>
                <c:pt idx="49">
                  <c:v>28</c:v>
                </c:pt>
                <c:pt idx="50">
                  <c:v>28</c:v>
                </c:pt>
                <c:pt idx="51">
                  <c:v>28</c:v>
                </c:pt>
                <c:pt idx="52">
                  <c:v>28</c:v>
                </c:pt>
                <c:pt idx="53">
                  <c:v>28</c:v>
                </c:pt>
                <c:pt idx="54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11C-4A42-BF93-74D4388014F7}"/>
            </c:ext>
          </c:extLst>
        </c:ser>
        <c:ser>
          <c:idx val="5"/>
          <c:order val="5"/>
          <c:tx>
            <c:strRef>
              <c:f>Sheet2!$O$3:$O$4</c:f>
              <c:strCache>
                <c:ptCount val="1"/>
                <c:pt idx="0">
                  <c:v>31D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50000"/>
                </a:schemeClr>
              </a:solidFill>
              <a:ln w="9525">
                <a:solidFill>
                  <a:schemeClr val="accent6">
                    <a:lumMod val="5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Sheet2!$O$5:$O$60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9</c:v>
                </c:pt>
                <c:pt idx="27">
                  <c:v>10</c:v>
                </c:pt>
                <c:pt idx="28">
                  <c:v>10</c:v>
                </c:pt>
                <c:pt idx="29">
                  <c:v>10</c:v>
                </c:pt>
                <c:pt idx="30">
                  <c:v>10</c:v>
                </c:pt>
                <c:pt idx="31">
                  <c:v>10</c:v>
                </c:pt>
                <c:pt idx="32">
                  <c:v>10</c:v>
                </c:pt>
                <c:pt idx="33">
                  <c:v>12</c:v>
                </c:pt>
                <c:pt idx="34">
                  <c:v>13</c:v>
                </c:pt>
                <c:pt idx="35">
                  <c:v>15</c:v>
                </c:pt>
                <c:pt idx="36">
                  <c:v>16</c:v>
                </c:pt>
                <c:pt idx="37">
                  <c:v>16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18</c:v>
                </c:pt>
                <c:pt idx="43">
                  <c:v>18</c:v>
                </c:pt>
                <c:pt idx="44">
                  <c:v>18</c:v>
                </c:pt>
                <c:pt idx="45">
                  <c:v>18</c:v>
                </c:pt>
                <c:pt idx="46">
                  <c:v>18</c:v>
                </c:pt>
                <c:pt idx="47">
                  <c:v>18</c:v>
                </c:pt>
                <c:pt idx="48">
                  <c:v>18</c:v>
                </c:pt>
                <c:pt idx="49">
                  <c:v>18</c:v>
                </c:pt>
                <c:pt idx="50">
                  <c:v>20</c:v>
                </c:pt>
                <c:pt idx="51">
                  <c:v>20</c:v>
                </c:pt>
                <c:pt idx="52">
                  <c:v>20</c:v>
                </c:pt>
                <c:pt idx="53">
                  <c:v>20</c:v>
                </c:pt>
                <c:pt idx="54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11C-4A42-BF93-74D4388014F7}"/>
            </c:ext>
          </c:extLst>
        </c:ser>
        <c:ser>
          <c:idx val="6"/>
          <c:order val="6"/>
          <c:tx>
            <c:strRef>
              <c:f>Sheet2!$P$3:$P$4</c:f>
              <c:strCache>
                <c:ptCount val="1"/>
                <c:pt idx="0">
                  <c:v>31E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92D050"/>
              </a:solidFill>
              <a:ln w="9525">
                <a:solidFill>
                  <a:srgbClr val="92D050"/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Sheet2!$P$5:$P$60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4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9</c:v>
                </c:pt>
                <c:pt idx="21">
                  <c:v>9</c:v>
                </c:pt>
                <c:pt idx="22">
                  <c:v>9</c:v>
                </c:pt>
                <c:pt idx="23">
                  <c:v>11</c:v>
                </c:pt>
                <c:pt idx="24">
                  <c:v>11</c:v>
                </c:pt>
                <c:pt idx="25">
                  <c:v>11</c:v>
                </c:pt>
                <c:pt idx="26">
                  <c:v>11</c:v>
                </c:pt>
                <c:pt idx="27">
                  <c:v>11</c:v>
                </c:pt>
                <c:pt idx="28">
                  <c:v>11</c:v>
                </c:pt>
                <c:pt idx="29">
                  <c:v>11</c:v>
                </c:pt>
                <c:pt idx="30">
                  <c:v>11</c:v>
                </c:pt>
                <c:pt idx="31">
                  <c:v>13</c:v>
                </c:pt>
                <c:pt idx="32">
                  <c:v>13</c:v>
                </c:pt>
                <c:pt idx="33">
                  <c:v>13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14</c:v>
                </c:pt>
                <c:pt idx="38">
                  <c:v>14</c:v>
                </c:pt>
                <c:pt idx="39">
                  <c:v>15</c:v>
                </c:pt>
                <c:pt idx="40">
                  <c:v>15</c:v>
                </c:pt>
                <c:pt idx="41">
                  <c:v>17</c:v>
                </c:pt>
                <c:pt idx="42">
                  <c:v>17</c:v>
                </c:pt>
                <c:pt idx="43">
                  <c:v>17</c:v>
                </c:pt>
                <c:pt idx="44">
                  <c:v>19</c:v>
                </c:pt>
                <c:pt idx="45">
                  <c:v>19</c:v>
                </c:pt>
                <c:pt idx="46">
                  <c:v>19</c:v>
                </c:pt>
                <c:pt idx="47">
                  <c:v>19</c:v>
                </c:pt>
                <c:pt idx="48">
                  <c:v>19</c:v>
                </c:pt>
                <c:pt idx="49">
                  <c:v>19</c:v>
                </c:pt>
                <c:pt idx="50">
                  <c:v>19</c:v>
                </c:pt>
                <c:pt idx="51">
                  <c:v>19</c:v>
                </c:pt>
                <c:pt idx="52">
                  <c:v>19</c:v>
                </c:pt>
                <c:pt idx="53">
                  <c:v>21</c:v>
                </c:pt>
                <c:pt idx="54">
                  <c:v>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11C-4A42-BF93-74D4388014F7}"/>
            </c:ext>
          </c:extLst>
        </c:ser>
        <c:ser>
          <c:idx val="7"/>
          <c:order val="7"/>
          <c:tx>
            <c:strRef>
              <c:f>Sheet2!$Q$3:$Q$4</c:f>
              <c:strCache>
                <c:ptCount val="1"/>
                <c:pt idx="0">
                  <c:v>31F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Sheet2!$Q$5:$Q$60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6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6</c:v>
                </c:pt>
                <c:pt idx="14">
                  <c:v>6</c:v>
                </c:pt>
                <c:pt idx="15">
                  <c:v>6</c:v>
                </c:pt>
                <c:pt idx="16">
                  <c:v>6</c:v>
                </c:pt>
                <c:pt idx="17">
                  <c:v>6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8</c:v>
                </c:pt>
                <c:pt idx="26">
                  <c:v>8</c:v>
                </c:pt>
                <c:pt idx="27">
                  <c:v>9</c:v>
                </c:pt>
                <c:pt idx="28">
                  <c:v>9</c:v>
                </c:pt>
                <c:pt idx="29">
                  <c:v>9</c:v>
                </c:pt>
                <c:pt idx="30">
                  <c:v>11</c:v>
                </c:pt>
                <c:pt idx="31">
                  <c:v>12</c:v>
                </c:pt>
                <c:pt idx="32">
                  <c:v>12</c:v>
                </c:pt>
                <c:pt idx="33">
                  <c:v>12</c:v>
                </c:pt>
                <c:pt idx="34">
                  <c:v>13</c:v>
                </c:pt>
                <c:pt idx="35">
                  <c:v>13</c:v>
                </c:pt>
                <c:pt idx="36">
                  <c:v>13</c:v>
                </c:pt>
                <c:pt idx="37">
                  <c:v>13</c:v>
                </c:pt>
                <c:pt idx="38">
                  <c:v>13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15</c:v>
                </c:pt>
                <c:pt idx="44">
                  <c:v>15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18</c:v>
                </c:pt>
                <c:pt idx="51">
                  <c:v>18</c:v>
                </c:pt>
                <c:pt idx="52">
                  <c:v>18</c:v>
                </c:pt>
                <c:pt idx="53">
                  <c:v>19</c:v>
                </c:pt>
                <c:pt idx="54">
                  <c:v>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11C-4A42-BF93-74D4388014F7}"/>
            </c:ext>
          </c:extLst>
        </c:ser>
        <c:ser>
          <c:idx val="8"/>
          <c:order val="8"/>
          <c:tx>
            <c:strRef>
              <c:f>Sheet2!$R$3:$R$4</c:f>
              <c:strCache>
                <c:ptCount val="1"/>
                <c:pt idx="0">
                  <c:v>31X</c:v>
                </c:pt>
              </c:strCache>
            </c:strRef>
          </c:tx>
          <c:spPr>
            <a:ln w="28575" cap="rnd">
              <a:solidFill>
                <a:schemeClr val="accent5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40000"/>
                  <a:lumOff val="60000"/>
                </a:schemeClr>
              </a:solidFill>
              <a:ln w="9525">
                <a:solidFill>
                  <a:schemeClr val="accent5">
                    <a:lumMod val="40000"/>
                    <a:lumOff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Sheet2!$R$5:$R$60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4</c:v>
                </c:pt>
                <c:pt idx="15">
                  <c:v>4</c:v>
                </c:pt>
                <c:pt idx="16">
                  <c:v>6</c:v>
                </c:pt>
                <c:pt idx="17">
                  <c:v>6</c:v>
                </c:pt>
                <c:pt idx="18">
                  <c:v>6</c:v>
                </c:pt>
                <c:pt idx="19">
                  <c:v>6</c:v>
                </c:pt>
                <c:pt idx="20">
                  <c:v>7</c:v>
                </c:pt>
                <c:pt idx="21">
                  <c:v>9</c:v>
                </c:pt>
                <c:pt idx="22">
                  <c:v>9</c:v>
                </c:pt>
                <c:pt idx="23">
                  <c:v>9</c:v>
                </c:pt>
                <c:pt idx="24">
                  <c:v>9</c:v>
                </c:pt>
                <c:pt idx="25">
                  <c:v>9</c:v>
                </c:pt>
                <c:pt idx="26">
                  <c:v>10</c:v>
                </c:pt>
                <c:pt idx="27">
                  <c:v>12</c:v>
                </c:pt>
                <c:pt idx="28">
                  <c:v>13</c:v>
                </c:pt>
                <c:pt idx="29">
                  <c:v>13</c:v>
                </c:pt>
                <c:pt idx="30">
                  <c:v>13</c:v>
                </c:pt>
                <c:pt idx="31">
                  <c:v>13</c:v>
                </c:pt>
                <c:pt idx="32">
                  <c:v>14</c:v>
                </c:pt>
                <c:pt idx="33">
                  <c:v>14</c:v>
                </c:pt>
                <c:pt idx="34">
                  <c:v>14</c:v>
                </c:pt>
                <c:pt idx="35">
                  <c:v>14</c:v>
                </c:pt>
                <c:pt idx="36">
                  <c:v>14</c:v>
                </c:pt>
                <c:pt idx="37">
                  <c:v>14</c:v>
                </c:pt>
                <c:pt idx="38">
                  <c:v>16</c:v>
                </c:pt>
                <c:pt idx="39">
                  <c:v>16</c:v>
                </c:pt>
                <c:pt idx="40">
                  <c:v>17</c:v>
                </c:pt>
                <c:pt idx="41">
                  <c:v>17</c:v>
                </c:pt>
                <c:pt idx="42">
                  <c:v>17</c:v>
                </c:pt>
                <c:pt idx="43">
                  <c:v>20</c:v>
                </c:pt>
                <c:pt idx="44">
                  <c:v>20</c:v>
                </c:pt>
                <c:pt idx="45">
                  <c:v>21</c:v>
                </c:pt>
                <c:pt idx="46">
                  <c:v>21</c:v>
                </c:pt>
                <c:pt idx="47">
                  <c:v>21</c:v>
                </c:pt>
                <c:pt idx="48">
                  <c:v>21</c:v>
                </c:pt>
                <c:pt idx="49">
                  <c:v>23</c:v>
                </c:pt>
                <c:pt idx="50">
                  <c:v>23</c:v>
                </c:pt>
                <c:pt idx="51">
                  <c:v>23</c:v>
                </c:pt>
                <c:pt idx="52">
                  <c:v>25</c:v>
                </c:pt>
                <c:pt idx="53">
                  <c:v>25</c:v>
                </c:pt>
                <c:pt idx="54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11C-4A42-BF93-74D4388014F7}"/>
            </c:ext>
          </c:extLst>
        </c:ser>
        <c:ser>
          <c:idx val="9"/>
          <c:order val="9"/>
          <c:tx>
            <c:strRef>
              <c:f>Sheet2!$S$3:$S$4</c:f>
              <c:strCache>
                <c:ptCount val="1"/>
                <c:pt idx="0">
                  <c:v>AB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Sheet2!$S$5:$S$60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3</c:v>
                </c:pt>
                <c:pt idx="24">
                  <c:v>5</c:v>
                </c:pt>
                <c:pt idx="25">
                  <c:v>5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3">
                  <c:v>5</c:v>
                </c:pt>
                <c:pt idx="34">
                  <c:v>7</c:v>
                </c:pt>
                <c:pt idx="35">
                  <c:v>7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0">
                  <c:v>7</c:v>
                </c:pt>
                <c:pt idx="41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49">
                  <c:v>7</c:v>
                </c:pt>
                <c:pt idx="50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7</c:v>
                </c:pt>
                <c:pt idx="54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11C-4A42-BF93-74D4388014F7}"/>
            </c:ext>
          </c:extLst>
        </c:ser>
        <c:ser>
          <c:idx val="10"/>
          <c:order val="10"/>
          <c:tx>
            <c:strRef>
              <c:f>Sheet2!$T$3:$T$4</c:f>
              <c:strCache>
                <c:ptCount val="1"/>
                <c:pt idx="0">
                  <c:v>P5R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Sheet2!$T$5:$T$60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2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11C-4A42-BF93-74D4388014F7}"/>
            </c:ext>
          </c:extLst>
        </c:ser>
        <c:ser>
          <c:idx val="11"/>
          <c:order val="11"/>
          <c:tx>
            <c:strRef>
              <c:f>Sheet2!$U$3:$U$4</c:f>
              <c:strCache>
                <c:ptCount val="1"/>
                <c:pt idx="0">
                  <c:v>SRP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cat>
            <c:strRef>
              <c:f>Sheet2!$I$5:$I$60</c:f>
              <c:strCache>
                <c:ptCount val="55"/>
                <c:pt idx="0">
                  <c:v>2022/02</c:v>
                </c:pt>
                <c:pt idx="1">
                  <c:v>2022/03</c:v>
                </c:pt>
                <c:pt idx="2">
                  <c:v>2022/04</c:v>
                </c:pt>
                <c:pt idx="3">
                  <c:v>2022/05</c:v>
                </c:pt>
                <c:pt idx="4">
                  <c:v>2022/06</c:v>
                </c:pt>
                <c:pt idx="5">
                  <c:v>2022/07</c:v>
                </c:pt>
                <c:pt idx="6">
                  <c:v>2022/08</c:v>
                </c:pt>
                <c:pt idx="7">
                  <c:v>2022/09</c:v>
                </c:pt>
                <c:pt idx="8">
                  <c:v>2022/10</c:v>
                </c:pt>
                <c:pt idx="9">
                  <c:v>2022/11</c:v>
                </c:pt>
                <c:pt idx="10">
                  <c:v>2022/12</c:v>
                </c:pt>
                <c:pt idx="11">
                  <c:v>2023/01</c:v>
                </c:pt>
                <c:pt idx="12">
                  <c:v>2023/02</c:v>
                </c:pt>
                <c:pt idx="13">
                  <c:v>2023/03</c:v>
                </c:pt>
                <c:pt idx="14">
                  <c:v>2023/04</c:v>
                </c:pt>
                <c:pt idx="15">
                  <c:v>2023/05</c:v>
                </c:pt>
                <c:pt idx="16">
                  <c:v>2023/06</c:v>
                </c:pt>
                <c:pt idx="17">
                  <c:v>2023/07</c:v>
                </c:pt>
                <c:pt idx="18">
                  <c:v>2023/08</c:v>
                </c:pt>
                <c:pt idx="19">
                  <c:v>2023/09</c:v>
                </c:pt>
                <c:pt idx="20">
                  <c:v>2023/10</c:v>
                </c:pt>
                <c:pt idx="21">
                  <c:v>2023/11</c:v>
                </c:pt>
                <c:pt idx="22">
                  <c:v>2023/12</c:v>
                </c:pt>
                <c:pt idx="23">
                  <c:v>2024/01</c:v>
                </c:pt>
                <c:pt idx="24">
                  <c:v>2024/02</c:v>
                </c:pt>
                <c:pt idx="25">
                  <c:v>2024/03</c:v>
                </c:pt>
                <c:pt idx="26">
                  <c:v>2024/04</c:v>
                </c:pt>
                <c:pt idx="27">
                  <c:v>2024/05</c:v>
                </c:pt>
                <c:pt idx="28">
                  <c:v>2024/06</c:v>
                </c:pt>
                <c:pt idx="29">
                  <c:v>2024/07</c:v>
                </c:pt>
                <c:pt idx="30">
                  <c:v>2024/08</c:v>
                </c:pt>
                <c:pt idx="31">
                  <c:v>2024/09</c:v>
                </c:pt>
                <c:pt idx="32">
                  <c:v>2024/10</c:v>
                </c:pt>
                <c:pt idx="33">
                  <c:v>2024/11</c:v>
                </c:pt>
                <c:pt idx="34">
                  <c:v>2024/12</c:v>
                </c:pt>
                <c:pt idx="35">
                  <c:v>2025/01</c:v>
                </c:pt>
                <c:pt idx="36">
                  <c:v>2025/02</c:v>
                </c:pt>
                <c:pt idx="37">
                  <c:v>2025/03</c:v>
                </c:pt>
                <c:pt idx="38">
                  <c:v>2025/04</c:v>
                </c:pt>
                <c:pt idx="39">
                  <c:v>2025/05</c:v>
                </c:pt>
                <c:pt idx="40">
                  <c:v>2025/06</c:v>
                </c:pt>
                <c:pt idx="41">
                  <c:v>2025/07</c:v>
                </c:pt>
                <c:pt idx="42">
                  <c:v>2025/08</c:v>
                </c:pt>
                <c:pt idx="43">
                  <c:v>2025/09</c:v>
                </c:pt>
                <c:pt idx="44">
                  <c:v>2025/10</c:v>
                </c:pt>
                <c:pt idx="45">
                  <c:v>2025/11</c:v>
                </c:pt>
                <c:pt idx="46">
                  <c:v>2025/12</c:v>
                </c:pt>
                <c:pt idx="47">
                  <c:v>2026/01</c:v>
                </c:pt>
                <c:pt idx="48">
                  <c:v>2026/02</c:v>
                </c:pt>
                <c:pt idx="49">
                  <c:v>2026/03</c:v>
                </c:pt>
                <c:pt idx="50">
                  <c:v>2026/04</c:v>
                </c:pt>
                <c:pt idx="51">
                  <c:v>2026/05</c:v>
                </c:pt>
                <c:pt idx="52">
                  <c:v>2026/06</c:v>
                </c:pt>
                <c:pt idx="53">
                  <c:v>2026/07</c:v>
                </c:pt>
                <c:pt idx="54">
                  <c:v>2026/08</c:v>
                </c:pt>
              </c:strCache>
            </c:strRef>
          </c:cat>
          <c:val>
            <c:numRef>
              <c:f>Sheet2!$U$5:$U$60</c:f>
              <c:numCache>
                <c:formatCode>General</c:formatCode>
                <c:ptCount val="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11C-4A42-BF93-74D4388014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5158112"/>
        <c:axId val="1016326351"/>
      </c:lineChart>
      <c:dateAx>
        <c:axId val="1785158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16326351"/>
        <c:crosses val="autoZero"/>
        <c:auto val="0"/>
        <c:lblOffset val="100"/>
        <c:baseTimeUnit val="days"/>
      </c:dateAx>
      <c:valAx>
        <c:axId val="1016326351"/>
        <c:scaling>
          <c:orientation val="minMax"/>
          <c:max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785158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png"/><Relationship Id="rId3" Type="http://schemas.openxmlformats.org/officeDocument/2006/relationships/image" Target="../media/image2.png"/><Relationship Id="rId7" Type="http://schemas.openxmlformats.org/officeDocument/2006/relationships/image" Target="../media/image6.png"/><Relationship Id="rId12" Type="http://schemas.openxmlformats.org/officeDocument/2006/relationships/image" Target="../media/image11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image" Target="../media/image10.png"/><Relationship Id="rId5" Type="http://schemas.openxmlformats.org/officeDocument/2006/relationships/image" Target="../media/image4.png"/><Relationship Id="rId10" Type="http://schemas.openxmlformats.org/officeDocument/2006/relationships/image" Target="../media/image9.png"/><Relationship Id="rId4" Type="http://schemas.openxmlformats.org/officeDocument/2006/relationships/image" Target="../media/image3.png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457201</xdr:colOff>
      <xdr:row>2</xdr:row>
      <xdr:rowOff>0</xdr:rowOff>
    </xdr:from>
    <xdr:to>
      <xdr:col>8</xdr:col>
      <xdr:colOff>495301</xdr:colOff>
      <xdr:row>3</xdr:row>
      <xdr:rowOff>114300</xdr:rowOff>
    </xdr:to>
    <xdr:sp macro="[0]!insertCalendar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72D59838-B25A-37C3-5D80-8E02CEEA0C78}"/>
            </a:ext>
          </a:extLst>
        </xdr:cNvPr>
        <xdr:cNvSpPr/>
      </xdr:nvSpPr>
      <xdr:spPr>
        <a:xfrm>
          <a:off x="8696326" y="476250"/>
          <a:ext cx="723900" cy="3524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C6FB697-E221-4A8D-AF3F-A2195FC3788E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6B4CF909-9DBF-49FD-AE35-1ED173D4B43B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5C28E9F-0084-4213-8A4D-CF5741230111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A0C548FA-72C5-4624-8F36-A577A10F88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A2C2CD7-693D-4DCB-A25C-112A7F5924B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6F7F076-2C40-459A-BF66-215BD61DB2B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158D38E-1305-4E1F-9CE2-8A5C37E305A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A495A94-3DC5-496B-8291-D63843512C26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12</xdr:col>
      <xdr:colOff>67235</xdr:colOff>
      <xdr:row>1</xdr:row>
      <xdr:rowOff>123265</xdr:rowOff>
    </xdr:from>
    <xdr:to>
      <xdr:col>13</xdr:col>
      <xdr:colOff>347383</xdr:colOff>
      <xdr:row>3</xdr:row>
      <xdr:rowOff>56030</xdr:rowOff>
    </xdr:to>
    <xdr:sp macro="[0]!outputEvent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C053CF9-AC23-C7B3-C1F1-1DE98B4CF50C}"/>
            </a:ext>
          </a:extLst>
        </xdr:cNvPr>
        <xdr:cNvSpPr/>
      </xdr:nvSpPr>
      <xdr:spPr>
        <a:xfrm>
          <a:off x="12864353" y="358589"/>
          <a:ext cx="963706" cy="403412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298C0E1-E512-4679-9447-128FDF7DB274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A16395E-A378-4283-9361-230AF9BC8CD8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0E605C89-2D21-4D04-A19E-36B834F744B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DF1B3F-1A58-4C23-9515-689C09A3E6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71DA147-CB2F-4962-88B6-B5CE3656668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034D0D8C-4AF3-4924-90E2-1F78E23F6290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461CA23-C7FA-4A2A-88A5-43EDAEDAE56E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D7A5B6F-8475-42F2-899A-AADCA6F5D728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209550</xdr:colOff>
      <xdr:row>0</xdr:row>
      <xdr:rowOff>133350</xdr:rowOff>
    </xdr:from>
    <xdr:to>
      <xdr:col>20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1431F24C-9BAB-4FB5-B839-9E9078BBBF7C}"/>
            </a:ext>
          </a:extLst>
        </xdr:cNvPr>
        <xdr:cNvSpPr/>
      </xdr:nvSpPr>
      <xdr:spPr>
        <a:xfrm>
          <a:off x="17068800" y="133350"/>
          <a:ext cx="628650" cy="190500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9729</xdr:colOff>
      <xdr:row>0</xdr:row>
      <xdr:rowOff>6626</xdr:rowOff>
    </xdr:from>
    <xdr:to>
      <xdr:col>68</xdr:col>
      <xdr:colOff>157368</xdr:colOff>
      <xdr:row>27</xdr:row>
      <xdr:rowOff>227772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A2A12EAE-A043-D5E6-F0C5-B2694C6BD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63</xdr:col>
      <xdr:colOff>245837</xdr:colOff>
      <xdr:row>0</xdr:row>
      <xdr:rowOff>68746</xdr:rowOff>
    </xdr:from>
    <xdr:to>
      <xdr:col>64</xdr:col>
      <xdr:colOff>359918</xdr:colOff>
      <xdr:row>2</xdr:row>
      <xdr:rowOff>69765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0BE730F-C1CB-2989-7280-2EF05FDDF8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6650794" y="68746"/>
          <a:ext cx="503363" cy="481410"/>
        </a:xfrm>
        <a:prstGeom prst="rect">
          <a:avLst/>
        </a:prstGeom>
      </xdr:spPr>
    </xdr:pic>
    <xdr:clientData/>
  </xdr:twoCellAnchor>
  <xdr:twoCellAnchor editAs="oneCell">
    <xdr:from>
      <xdr:col>64</xdr:col>
      <xdr:colOff>272963</xdr:colOff>
      <xdr:row>8</xdr:row>
      <xdr:rowOff>163374</xdr:rowOff>
    </xdr:from>
    <xdr:to>
      <xdr:col>65</xdr:col>
      <xdr:colOff>358464</xdr:colOff>
      <xdr:row>10</xdr:row>
      <xdr:rowOff>138671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A131219D-3470-A01E-69C4-8ED0937628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7067202" y="2084939"/>
          <a:ext cx="474784" cy="455689"/>
        </a:xfrm>
        <a:prstGeom prst="rect">
          <a:avLst/>
        </a:prstGeom>
      </xdr:spPr>
    </xdr:pic>
    <xdr:clientData/>
  </xdr:twoCellAnchor>
  <xdr:twoCellAnchor editAs="oneCell">
    <xdr:from>
      <xdr:col>63</xdr:col>
      <xdr:colOff>285956</xdr:colOff>
      <xdr:row>6</xdr:row>
      <xdr:rowOff>157578</xdr:rowOff>
    </xdr:from>
    <xdr:to>
      <xdr:col>65</xdr:col>
      <xdr:colOff>7896</xdr:colOff>
      <xdr:row>8</xdr:row>
      <xdr:rowOff>170030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8D0B215F-51ED-E48F-5B09-9FC159049C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6690913" y="1598752"/>
          <a:ext cx="500505" cy="492843"/>
        </a:xfrm>
        <a:prstGeom prst="rect">
          <a:avLst/>
        </a:prstGeom>
      </xdr:spPr>
    </xdr:pic>
    <xdr:clientData/>
  </xdr:twoCellAnchor>
  <xdr:twoCellAnchor editAs="oneCell">
    <xdr:from>
      <xdr:col>64</xdr:col>
      <xdr:colOff>273117</xdr:colOff>
      <xdr:row>12</xdr:row>
      <xdr:rowOff>99391</xdr:rowOff>
    </xdr:from>
    <xdr:to>
      <xdr:col>65</xdr:col>
      <xdr:colOff>359095</xdr:colOff>
      <xdr:row>14</xdr:row>
      <xdr:rowOff>46111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57984ABC-C5EF-A1A2-0A33-CFBD42E58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7067356" y="2981739"/>
          <a:ext cx="475261" cy="427111"/>
        </a:xfrm>
        <a:prstGeom prst="rect">
          <a:avLst/>
        </a:prstGeom>
      </xdr:spPr>
    </xdr:pic>
    <xdr:clientData/>
  </xdr:twoCellAnchor>
  <xdr:twoCellAnchor editAs="oneCell">
    <xdr:from>
      <xdr:col>63</xdr:col>
      <xdr:colOff>272962</xdr:colOff>
      <xdr:row>11</xdr:row>
      <xdr:rowOff>10096</xdr:rowOff>
    </xdr:from>
    <xdr:to>
      <xdr:col>64</xdr:col>
      <xdr:colOff>339701</xdr:colOff>
      <xdr:row>12</xdr:row>
      <xdr:rowOff>202726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1114682F-C0AA-7024-823A-E23DC732C8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6677919" y="2652248"/>
          <a:ext cx="456021" cy="432826"/>
        </a:xfrm>
        <a:prstGeom prst="rect">
          <a:avLst/>
        </a:prstGeom>
      </xdr:spPr>
    </xdr:pic>
    <xdr:clientData/>
  </xdr:twoCellAnchor>
  <xdr:twoCellAnchor editAs="oneCell">
    <xdr:from>
      <xdr:col>63</xdr:col>
      <xdr:colOff>340727</xdr:colOff>
      <xdr:row>13</xdr:row>
      <xdr:rowOff>214883</xdr:rowOff>
    </xdr:from>
    <xdr:to>
      <xdr:col>65</xdr:col>
      <xdr:colOff>60286</xdr:colOff>
      <xdr:row>15</xdr:row>
      <xdr:rowOff>238764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CE7BDA22-3758-14C1-5067-37F77A179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745684" y="3337426"/>
          <a:ext cx="498124" cy="504273"/>
        </a:xfrm>
        <a:prstGeom prst="rect">
          <a:avLst/>
        </a:prstGeom>
      </xdr:spPr>
    </xdr:pic>
    <xdr:clientData/>
  </xdr:twoCellAnchor>
  <xdr:twoCellAnchor editAs="oneCell">
    <xdr:from>
      <xdr:col>64</xdr:col>
      <xdr:colOff>264785</xdr:colOff>
      <xdr:row>10</xdr:row>
      <xdr:rowOff>77442</xdr:rowOff>
    </xdr:from>
    <xdr:to>
      <xdr:col>65</xdr:col>
      <xdr:colOff>339331</xdr:colOff>
      <xdr:row>12</xdr:row>
      <xdr:rowOff>47024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B5A09860-C913-4D91-D208-2F800B9650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059024" y="2479399"/>
          <a:ext cx="463829" cy="449973"/>
        </a:xfrm>
        <a:prstGeom prst="rect">
          <a:avLst/>
        </a:prstGeom>
      </xdr:spPr>
    </xdr:pic>
    <xdr:clientData/>
  </xdr:twoCellAnchor>
  <xdr:twoCellAnchor editAs="oneCell">
    <xdr:from>
      <xdr:col>62</xdr:col>
      <xdr:colOff>66261</xdr:colOff>
      <xdr:row>8</xdr:row>
      <xdr:rowOff>165651</xdr:rowOff>
    </xdr:from>
    <xdr:to>
      <xdr:col>63</xdr:col>
      <xdr:colOff>142816</xdr:colOff>
      <xdr:row>10</xdr:row>
      <xdr:rowOff>153168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90D1D067-A0F6-32FE-370C-13E70CCC136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6081935" y="2087216"/>
          <a:ext cx="465838" cy="467909"/>
        </a:xfrm>
        <a:prstGeom prst="rect">
          <a:avLst/>
        </a:prstGeom>
      </xdr:spPr>
    </xdr:pic>
    <xdr:clientData/>
  </xdr:twoCellAnchor>
  <xdr:twoCellAnchor editAs="oneCell">
    <xdr:from>
      <xdr:col>64</xdr:col>
      <xdr:colOff>258832</xdr:colOff>
      <xdr:row>19</xdr:row>
      <xdr:rowOff>221818</xdr:rowOff>
    </xdr:from>
    <xdr:to>
      <xdr:col>65</xdr:col>
      <xdr:colOff>319566</xdr:colOff>
      <xdr:row>21</xdr:row>
      <xdr:rowOff>120739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7791EB39-24D3-2DD1-9DB2-573544BB31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7053071" y="4785535"/>
          <a:ext cx="450017" cy="379313"/>
        </a:xfrm>
        <a:prstGeom prst="rect">
          <a:avLst/>
        </a:prstGeom>
      </xdr:spPr>
    </xdr:pic>
    <xdr:clientData/>
  </xdr:twoCellAnchor>
  <xdr:twoCellAnchor editAs="oneCell">
    <xdr:from>
      <xdr:col>64</xdr:col>
      <xdr:colOff>313445</xdr:colOff>
      <xdr:row>23</xdr:row>
      <xdr:rowOff>221818</xdr:rowOff>
    </xdr:from>
    <xdr:to>
      <xdr:col>65</xdr:col>
      <xdr:colOff>296829</xdr:colOff>
      <xdr:row>25</xdr:row>
      <xdr:rowOff>179017</xdr:rowOff>
    </xdr:to>
    <xdr:pic>
      <xdr:nvPicPr>
        <xdr:cNvPr id="14" name="図 13">
          <a:extLst>
            <a:ext uri="{FF2B5EF4-FFF2-40B4-BE49-F238E27FC236}">
              <a16:creationId xmlns:a16="http://schemas.microsoft.com/office/drawing/2014/main" id="{34CF53A2-9134-7D1D-F7F2-036CF6B154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7107684" y="5746318"/>
          <a:ext cx="372667" cy="437590"/>
        </a:xfrm>
        <a:prstGeom prst="rect">
          <a:avLst/>
        </a:prstGeom>
      </xdr:spPr>
    </xdr:pic>
    <xdr:clientData/>
  </xdr:twoCellAnchor>
  <xdr:twoCellAnchor editAs="oneCell">
    <xdr:from>
      <xdr:col>64</xdr:col>
      <xdr:colOff>309821</xdr:colOff>
      <xdr:row>22</xdr:row>
      <xdr:rowOff>67297</xdr:rowOff>
    </xdr:from>
    <xdr:to>
      <xdr:col>65</xdr:col>
      <xdr:colOff>294158</xdr:colOff>
      <xdr:row>23</xdr:row>
      <xdr:rowOff>202769</xdr:rowOff>
    </xdr:to>
    <xdr:pic>
      <xdr:nvPicPr>
        <xdr:cNvPr id="15" name="図 14">
          <a:extLst>
            <a:ext uri="{FF2B5EF4-FFF2-40B4-BE49-F238E27FC236}">
              <a16:creationId xmlns:a16="http://schemas.microsoft.com/office/drawing/2014/main" id="{626D27F7-3202-BB0A-E4B5-AE70B3F937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7104060" y="5351601"/>
          <a:ext cx="373620" cy="375668"/>
        </a:xfrm>
        <a:prstGeom prst="rect">
          <a:avLst/>
        </a:prstGeom>
      </xdr:spPr>
    </xdr:pic>
    <xdr:clientData/>
  </xdr:twoCellAnchor>
  <xdr:twoCellAnchor editAs="oneCell">
    <xdr:from>
      <xdr:col>62</xdr:col>
      <xdr:colOff>63415</xdr:colOff>
      <xdr:row>21</xdr:row>
      <xdr:rowOff>189724</xdr:rowOff>
    </xdr:from>
    <xdr:to>
      <xdr:col>63</xdr:col>
      <xdr:colOff>108719</xdr:colOff>
      <xdr:row>23</xdr:row>
      <xdr:rowOff>6720</xdr:rowOff>
    </xdr:to>
    <xdr:pic>
      <xdr:nvPicPr>
        <xdr:cNvPr id="16" name="図 15">
          <a:extLst>
            <a:ext uri="{FF2B5EF4-FFF2-40B4-BE49-F238E27FC236}">
              <a16:creationId xmlns:a16="http://schemas.microsoft.com/office/drawing/2014/main" id="{F9D260D5-4891-253D-EC41-03A239B72F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6079089" y="5233833"/>
          <a:ext cx="434587" cy="297387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Desktop/&#21220;&#24608;/old/&#20316;&#26989;&#23436;&#20102;&#22577;&#21578;&#26360;&#20860;&#26908;&#21454;&#20381;&#38972;&#26360;_&#30000;&#21475;&#22823;&#36628;_23&#24180;9&#26376;.xlsx" TargetMode="External"/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ELI" refreshedDate="46248.93610983796" createdVersion="8" refreshedVersion="8" minRefreshableVersion="3" recordCount="217" xr:uid="{75C7160B-BF24-4317-80E9-4495343DAE82}">
  <cacheSource type="worksheet">
    <worksheetSource ref="A7:E224" sheet="Sheet2"/>
  </cacheSource>
  <cacheFields count="5">
    <cacheField name="1" numFmtId="0">
      <sharedItems containsSemiMixedTypes="0" containsString="0" containsNumber="1" containsInteger="1" minValue="1" maxValue="113"/>
    </cacheField>
    <cacheField name="12" numFmtId="0">
      <sharedItems containsSemiMixedTypes="0" containsString="0" containsNumber="1" containsInteger="1" minValue="0" maxValue="9"/>
    </cacheField>
    <cacheField name="2022/02/10" numFmtId="49">
      <sharedItems/>
    </cacheField>
    <cacheField name="2022/02" numFmtId="176">
      <sharedItems count="55">
        <s v="2022/02"/>
        <s v="2022/03"/>
        <s v="2022/04"/>
        <s v="2022/05"/>
        <s v="2022/06"/>
        <s v="2022/07"/>
        <s v="2022/08"/>
        <s v="2022/09"/>
        <s v="2022/10"/>
        <s v="2022/11"/>
        <s v="2022/12"/>
        <s v="2023/01"/>
        <s v="2023/02"/>
        <s v="2023/03"/>
        <s v="2023/04"/>
        <s v="2023/05"/>
        <s v="2023/06"/>
        <s v="2023/07"/>
        <s v="2023/08"/>
        <s v="2023/09"/>
        <s v="2023/10"/>
        <s v="2023/11"/>
        <s v="2023/12"/>
        <s v="2024/01"/>
        <s v="2024/02"/>
        <s v="2024/03"/>
        <s v="2024/04"/>
        <s v="2024/05"/>
        <s v="2024/06"/>
        <s v="2024/07"/>
        <s v="2024/08"/>
        <s v="2024/09"/>
        <s v="2024/10"/>
        <s v="2024/11"/>
        <s v="2024/12"/>
        <s v="2025/01"/>
        <s v="2025/02"/>
        <s v="2025/03"/>
        <s v="2025/04"/>
        <s v="2025/05"/>
        <s v="2025/06"/>
        <s v="2025/07"/>
        <s v="2025/08"/>
        <s v="2025/09"/>
        <s v="2025/10"/>
        <s v="2025/11"/>
        <s v="2025/12"/>
        <s v="2026/01"/>
        <s v="2026/02"/>
        <s v="2026/03"/>
        <s v="2026/04"/>
        <s v="2026/05"/>
        <s v="2026/06"/>
        <s v="2026/07"/>
        <s v="2026/08"/>
      </sharedItems>
    </cacheField>
    <cacheField name="31A" numFmtId="0">
      <sharedItems count="12">
        <s v="31A"/>
        <s v="31B"/>
        <s v="31C"/>
        <s v="30G"/>
        <s v="31D"/>
        <s v="31F"/>
        <s v="31E"/>
        <s v="31X"/>
        <s v="AB"/>
        <s v="SRP"/>
        <s v="P5R"/>
        <s v="19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7">
  <r>
    <n v="1"/>
    <n v="1"/>
    <s v="2022/02/10"/>
    <x v="0"/>
    <x v="0"/>
  </r>
  <r>
    <n v="2"/>
    <n v="1"/>
    <s v="2022/02/10"/>
    <x v="0"/>
    <x v="0"/>
  </r>
  <r>
    <n v="3"/>
    <n v="1"/>
    <s v="2022/02/10"/>
    <x v="0"/>
    <x v="0"/>
  </r>
  <r>
    <n v="4"/>
    <n v="1"/>
    <s v="2022/02/10"/>
    <x v="0"/>
    <x v="0"/>
  </r>
  <r>
    <n v="5"/>
    <n v="1"/>
    <s v="2022/02/10"/>
    <x v="0"/>
    <x v="0"/>
  </r>
  <r>
    <n v="6"/>
    <n v="1"/>
    <s v="2022/02/10"/>
    <x v="0"/>
    <x v="0"/>
  </r>
  <r>
    <n v="10"/>
    <n v="1"/>
    <s v="2022/02/10"/>
    <x v="0"/>
    <x v="1"/>
  </r>
  <r>
    <n v="12"/>
    <n v="1"/>
    <s v="2022/02/10"/>
    <x v="0"/>
    <x v="1"/>
  </r>
  <r>
    <n v="14"/>
    <n v="1"/>
    <s v="2022/02/10"/>
    <x v="0"/>
    <x v="2"/>
  </r>
  <r>
    <n v="15"/>
    <n v="1"/>
    <s v="2022/02/10"/>
    <x v="0"/>
    <x v="2"/>
  </r>
  <r>
    <n v="16"/>
    <n v="1"/>
    <s v="2022/02/10"/>
    <x v="0"/>
    <x v="2"/>
  </r>
  <r>
    <n v="46"/>
    <n v="1"/>
    <s v="2022/02/10"/>
    <x v="0"/>
    <x v="3"/>
  </r>
  <r>
    <n v="18"/>
    <n v="1"/>
    <s v="2022/02/14"/>
    <x v="0"/>
    <x v="2"/>
  </r>
  <r>
    <n v="13"/>
    <n v="1"/>
    <s v="2022/02/22"/>
    <x v="0"/>
    <x v="2"/>
  </r>
  <r>
    <n v="3"/>
    <n v="1"/>
    <s v="2022/02/28"/>
    <x v="0"/>
    <x v="0"/>
  </r>
  <r>
    <n v="44"/>
    <n v="1"/>
    <s v="2022/02/28"/>
    <x v="0"/>
    <x v="3"/>
  </r>
  <r>
    <n v="8"/>
    <n v="1"/>
    <s v="2022/03/08"/>
    <x v="1"/>
    <x v="1"/>
  </r>
  <r>
    <n v="9"/>
    <n v="1"/>
    <s v="2022/03/08"/>
    <x v="1"/>
    <x v="1"/>
  </r>
  <r>
    <n v="6"/>
    <n v="1"/>
    <s v="2022/03/18"/>
    <x v="1"/>
    <x v="0"/>
  </r>
  <r>
    <n v="19"/>
    <n v="1"/>
    <s v="2022/03/31"/>
    <x v="1"/>
    <x v="4"/>
  </r>
  <r>
    <n v="43"/>
    <n v="1"/>
    <s v="2022/04/15"/>
    <x v="2"/>
    <x v="3"/>
  </r>
  <r>
    <n v="1"/>
    <n v="1"/>
    <s v="2022/04/29"/>
    <x v="2"/>
    <x v="0"/>
  </r>
  <r>
    <n v="48"/>
    <n v="1"/>
    <s v="2022/04/29"/>
    <x v="2"/>
    <x v="3"/>
  </r>
  <r>
    <n v="47"/>
    <n v="1"/>
    <s v="2022/05/13"/>
    <x v="3"/>
    <x v="3"/>
  </r>
  <r>
    <n v="31"/>
    <n v="1"/>
    <s v="2022/05/31"/>
    <x v="3"/>
    <x v="5"/>
  </r>
  <r>
    <n v="32"/>
    <n v="1"/>
    <s v="2022/05/31"/>
    <x v="3"/>
    <x v="5"/>
  </r>
  <r>
    <n v="5"/>
    <n v="1"/>
    <s v="2022/06/14"/>
    <x v="4"/>
    <x v="0"/>
  </r>
  <r>
    <n v="11"/>
    <n v="1"/>
    <s v="2022/06/14"/>
    <x v="4"/>
    <x v="1"/>
  </r>
  <r>
    <n v="17"/>
    <n v="1"/>
    <s v="2022/06/30"/>
    <x v="4"/>
    <x v="2"/>
  </r>
  <r>
    <n v="25"/>
    <n v="1"/>
    <s v="2022/06/30"/>
    <x v="4"/>
    <x v="6"/>
  </r>
  <r>
    <n v="29"/>
    <n v="1"/>
    <s v="2022/07/15"/>
    <x v="5"/>
    <x v="6"/>
  </r>
  <r>
    <n v="2"/>
    <n v="1"/>
    <s v="2022/07/29"/>
    <x v="5"/>
    <x v="0"/>
  </r>
  <r>
    <n v="7"/>
    <n v="1"/>
    <s v="2022/07/29"/>
    <x v="5"/>
    <x v="1"/>
  </r>
  <r>
    <n v="4"/>
    <n v="1"/>
    <s v="2022/08/10"/>
    <x v="6"/>
    <x v="0"/>
  </r>
  <r>
    <n v="9"/>
    <n v="1"/>
    <s v="2022/08/10"/>
    <x v="6"/>
    <x v="1"/>
  </r>
  <r>
    <n v="37"/>
    <n v="1"/>
    <s v="2022/08/31"/>
    <x v="6"/>
    <x v="7"/>
  </r>
  <r>
    <n v="39"/>
    <n v="1"/>
    <s v="2022/08/31"/>
    <x v="6"/>
    <x v="7"/>
  </r>
  <r>
    <n v="33"/>
    <n v="1"/>
    <s v="2022/09/15"/>
    <x v="7"/>
    <x v="5"/>
  </r>
  <r>
    <n v="34"/>
    <n v="1"/>
    <s v="2022/09/15"/>
    <x v="7"/>
    <x v="5"/>
  </r>
  <r>
    <n v="43"/>
    <n v="1"/>
    <s v="2022/09/30"/>
    <x v="7"/>
    <x v="3"/>
  </r>
  <r>
    <n v="45"/>
    <n v="1"/>
    <s v="2022/09/30"/>
    <x v="7"/>
    <x v="3"/>
  </r>
  <r>
    <n v="20"/>
    <n v="1"/>
    <s v="2022/10/14"/>
    <x v="8"/>
    <x v="4"/>
  </r>
  <r>
    <n v="22"/>
    <n v="1"/>
    <s v="2022/10/14"/>
    <x v="8"/>
    <x v="4"/>
  </r>
  <r>
    <n v="10"/>
    <n v="1"/>
    <s v="2022/10/31"/>
    <x v="8"/>
    <x v="1"/>
  </r>
  <r>
    <n v="11"/>
    <n v="1"/>
    <s v="2022/10/31"/>
    <x v="8"/>
    <x v="1"/>
  </r>
  <r>
    <n v="26"/>
    <n v="1"/>
    <s v="2022/11/14"/>
    <x v="9"/>
    <x v="6"/>
  </r>
  <r>
    <n v="27"/>
    <n v="1"/>
    <s v="2022/11/14"/>
    <x v="9"/>
    <x v="6"/>
  </r>
  <r>
    <n v="35"/>
    <n v="1"/>
    <s v="2022/11/30"/>
    <x v="9"/>
    <x v="5"/>
  </r>
  <r>
    <n v="36"/>
    <n v="1"/>
    <s v="2022/11/30"/>
    <x v="9"/>
    <x v="5"/>
  </r>
  <r>
    <n v="13"/>
    <n v="1"/>
    <s v="2022/12/16"/>
    <x v="10"/>
    <x v="2"/>
  </r>
  <r>
    <n v="16"/>
    <n v="1"/>
    <s v="2022/12/16"/>
    <x v="10"/>
    <x v="2"/>
  </r>
  <r>
    <n v="6"/>
    <n v="1"/>
    <s v="2022/12/30"/>
    <x v="10"/>
    <x v="0"/>
  </r>
  <r>
    <n v="14"/>
    <n v="1"/>
    <s v="2023/01/06"/>
    <x v="11"/>
    <x v="2"/>
  </r>
  <r>
    <n v="38"/>
    <n v="1"/>
    <s v="2023/01/19"/>
    <x v="11"/>
    <x v="7"/>
  </r>
  <r>
    <n v="41"/>
    <n v="1"/>
    <s v="2023/01/19"/>
    <x v="11"/>
    <x v="7"/>
  </r>
  <r>
    <n v="1"/>
    <n v="1"/>
    <s v="2023/02/05"/>
    <x v="12"/>
    <x v="0"/>
  </r>
  <r>
    <n v="2"/>
    <n v="1"/>
    <s v="2023/02/05"/>
    <x v="12"/>
    <x v="0"/>
  </r>
  <r>
    <n v="101"/>
    <n v="1"/>
    <s v="2023/02/10"/>
    <x v="12"/>
    <x v="8"/>
  </r>
  <r>
    <n v="102"/>
    <n v="1"/>
    <s v="2023/02/10"/>
    <x v="12"/>
    <x v="8"/>
  </r>
  <r>
    <n v="28"/>
    <n v="1"/>
    <s v="2023/03/10"/>
    <x v="13"/>
    <x v="6"/>
  </r>
  <r>
    <n v="30"/>
    <n v="1"/>
    <s v="2023/03/10"/>
    <x v="13"/>
    <x v="6"/>
  </r>
  <r>
    <n v="46"/>
    <n v="1"/>
    <s v="2023/03/24"/>
    <x v="13"/>
    <x v="3"/>
  </r>
  <r>
    <n v="21"/>
    <n v="1"/>
    <s v="2023/03/24"/>
    <x v="13"/>
    <x v="4"/>
  </r>
  <r>
    <n v="17"/>
    <n v="1"/>
    <s v="2023/04/07"/>
    <x v="14"/>
    <x v="2"/>
  </r>
  <r>
    <n v="18"/>
    <n v="1"/>
    <s v="2023/04/07"/>
    <x v="14"/>
    <x v="2"/>
  </r>
  <r>
    <n v="3"/>
    <n v="1"/>
    <s v="2023/04/28"/>
    <x v="14"/>
    <x v="0"/>
  </r>
  <r>
    <n v="48"/>
    <n v="1"/>
    <s v="2023/04/28"/>
    <x v="14"/>
    <x v="3"/>
  </r>
  <r>
    <n v="7"/>
    <n v="1"/>
    <s v="2023/05/05"/>
    <x v="15"/>
    <x v="1"/>
  </r>
  <r>
    <n v="12"/>
    <n v="1"/>
    <s v="2023/05/05"/>
    <x v="15"/>
    <x v="1"/>
  </r>
  <r>
    <n v="47"/>
    <n v="1"/>
    <s v="2023/05/19"/>
    <x v="15"/>
    <x v="3"/>
  </r>
  <r>
    <n v="24"/>
    <n v="1"/>
    <s v="2023/05/19"/>
    <x v="15"/>
    <x v="4"/>
  </r>
  <r>
    <n v="40"/>
    <n v="1"/>
    <s v="2023/06/02"/>
    <x v="16"/>
    <x v="7"/>
  </r>
  <r>
    <n v="42"/>
    <n v="1"/>
    <s v="2023/06/02"/>
    <x v="16"/>
    <x v="7"/>
  </r>
  <r>
    <n v="18"/>
    <n v="1"/>
    <s v="2023/06/24"/>
    <x v="16"/>
    <x v="2"/>
  </r>
  <r>
    <n v="25"/>
    <n v="1"/>
    <s v="2023/06/24"/>
    <x v="16"/>
    <x v="6"/>
  </r>
  <r>
    <n v="15"/>
    <n v="1"/>
    <s v="2023/06/30"/>
    <x v="16"/>
    <x v="2"/>
  </r>
  <r>
    <n v="22"/>
    <n v="1"/>
    <s v="2023/06/30"/>
    <x v="16"/>
    <x v="4"/>
  </r>
  <r>
    <n v="23"/>
    <n v="1"/>
    <s v="2023/07/14"/>
    <x v="17"/>
    <x v="4"/>
  </r>
  <r>
    <n v="6"/>
    <n v="1"/>
    <s v="2023/08/06"/>
    <x v="18"/>
    <x v="0"/>
  </r>
  <r>
    <n v="43"/>
    <n v="1"/>
    <s v="2023/08/06"/>
    <x v="18"/>
    <x v="3"/>
  </r>
  <r>
    <n v="4"/>
    <n v="1"/>
    <s v="2023/08/15"/>
    <x v="18"/>
    <x v="0"/>
  </r>
  <r>
    <n v="5"/>
    <n v="1"/>
    <s v="2023/08/15"/>
    <x v="18"/>
    <x v="0"/>
  </r>
  <r>
    <n v="35"/>
    <n v="1"/>
    <s v="2023/08/31"/>
    <x v="18"/>
    <x v="5"/>
  </r>
  <r>
    <n v="45"/>
    <n v="1"/>
    <s v="2023/09/08"/>
    <x v="19"/>
    <x v="3"/>
  </r>
  <r>
    <n v="31"/>
    <n v="1"/>
    <s v="2023/09/08"/>
    <x v="19"/>
    <x v="5"/>
  </r>
  <r>
    <n v="2"/>
    <n v="1"/>
    <s v="2023/09/22"/>
    <x v="19"/>
    <x v="0"/>
  </r>
  <r>
    <n v="26"/>
    <n v="1"/>
    <s v="2023/10/06"/>
    <x v="20"/>
    <x v="6"/>
  </r>
  <r>
    <n v="29"/>
    <n v="1"/>
    <s v="2023/10/06"/>
    <x v="20"/>
    <x v="6"/>
  </r>
  <r>
    <n v="17"/>
    <n v="1"/>
    <s v="2023/10/20"/>
    <x v="20"/>
    <x v="2"/>
  </r>
  <r>
    <n v="38"/>
    <n v="1"/>
    <s v="2023/10/20"/>
    <x v="20"/>
    <x v="7"/>
  </r>
  <r>
    <n v="44"/>
    <n v="1"/>
    <s v="2023/11/03"/>
    <x v="21"/>
    <x v="3"/>
  </r>
  <r>
    <n v="47"/>
    <n v="1"/>
    <s v="2023/11/03"/>
    <x v="21"/>
    <x v="3"/>
  </r>
  <r>
    <n v="41"/>
    <n v="1"/>
    <s v="2023/11/17"/>
    <x v="21"/>
    <x v="7"/>
  </r>
  <r>
    <n v="42"/>
    <n v="1"/>
    <s v="2023/11/17"/>
    <x v="21"/>
    <x v="7"/>
  </r>
  <r>
    <n v="19"/>
    <n v="1"/>
    <s v="2023/12/01"/>
    <x v="22"/>
    <x v="4"/>
  </r>
  <r>
    <n v="23"/>
    <n v="1"/>
    <s v="2023/12/01"/>
    <x v="22"/>
    <x v="4"/>
  </r>
  <r>
    <n v="3"/>
    <n v="1"/>
    <s v="2023/12/15"/>
    <x v="22"/>
    <x v="0"/>
  </r>
  <r>
    <n v="6"/>
    <n v="1"/>
    <s v="2023/12/15"/>
    <x v="22"/>
    <x v="0"/>
  </r>
  <r>
    <n v="7"/>
    <n v="1"/>
    <s v="2023/12/29"/>
    <x v="22"/>
    <x v="1"/>
  </r>
  <r>
    <n v="8"/>
    <n v="1"/>
    <s v="2023/12/29"/>
    <x v="22"/>
    <x v="1"/>
  </r>
  <r>
    <n v="28"/>
    <n v="1"/>
    <s v="2024/01/05"/>
    <x v="23"/>
    <x v="6"/>
  </r>
  <r>
    <n v="30"/>
    <n v="1"/>
    <s v="2024/01/05"/>
    <x v="23"/>
    <x v="6"/>
  </r>
  <r>
    <n v="101"/>
    <n v="1"/>
    <s v="2024/01/20"/>
    <x v="23"/>
    <x v="8"/>
  </r>
  <r>
    <n v="102"/>
    <n v="1"/>
    <s v="2024/02/04"/>
    <x v="24"/>
    <x v="8"/>
  </r>
  <r>
    <n v="103"/>
    <n v="1"/>
    <s v="2024/02/04"/>
    <x v="24"/>
    <x v="8"/>
  </r>
  <r>
    <n v="2"/>
    <n v="1"/>
    <s v="2024/02/16"/>
    <x v="24"/>
    <x v="0"/>
  </r>
  <r>
    <n v="13"/>
    <n v="1"/>
    <s v="2024/02/16"/>
    <x v="24"/>
    <x v="2"/>
  </r>
  <r>
    <n v="1"/>
    <n v="0"/>
    <s v="2024/02/23"/>
    <x v="24"/>
    <x v="0"/>
  </r>
  <r>
    <n v="15"/>
    <n v="1"/>
    <s v="2024/03/08"/>
    <x v="25"/>
    <x v="2"/>
  </r>
  <r>
    <n v="16"/>
    <n v="1"/>
    <s v="2024/03/08"/>
    <x v="25"/>
    <x v="2"/>
  </r>
  <r>
    <n v="11"/>
    <n v="1"/>
    <s v="2024/03/22"/>
    <x v="25"/>
    <x v="1"/>
  </r>
  <r>
    <n v="4"/>
    <n v="1"/>
    <s v="2024/04/05"/>
    <x v="26"/>
    <x v="0"/>
  </r>
  <r>
    <n v="38"/>
    <n v="1"/>
    <s v="2024/04/05"/>
    <x v="26"/>
    <x v="7"/>
  </r>
  <r>
    <n v="45"/>
    <n v="1"/>
    <s v="2024/04/26"/>
    <x v="26"/>
    <x v="3"/>
  </r>
  <r>
    <n v="46"/>
    <n v="1"/>
    <s v="2024/04/26"/>
    <x v="26"/>
    <x v="3"/>
  </r>
  <r>
    <n v="24"/>
    <n v="1"/>
    <s v="2024/05/17"/>
    <x v="27"/>
    <x v="4"/>
  </r>
  <r>
    <n v="32"/>
    <n v="1"/>
    <s v="2024/05/17"/>
    <x v="27"/>
    <x v="5"/>
  </r>
  <r>
    <n v="39"/>
    <n v="1"/>
    <s v="2024/05/31"/>
    <x v="27"/>
    <x v="7"/>
  </r>
  <r>
    <n v="40"/>
    <n v="1"/>
    <s v="2024/05/31"/>
    <x v="27"/>
    <x v="7"/>
  </r>
  <r>
    <n v="14"/>
    <n v="1"/>
    <s v="2024/06/14"/>
    <x v="28"/>
    <x v="2"/>
  </r>
  <r>
    <n v="42"/>
    <n v="1"/>
    <s v="2024/06/14"/>
    <x v="28"/>
    <x v="7"/>
  </r>
  <r>
    <n v="43"/>
    <n v="0"/>
    <s v="2024/06/28"/>
    <x v="28"/>
    <x v="3"/>
  </r>
  <r>
    <n v="17"/>
    <n v="1"/>
    <s v="2024/07/05"/>
    <x v="29"/>
    <x v="2"/>
  </r>
  <r>
    <n v="18"/>
    <n v="1"/>
    <s v="2024/07/05"/>
    <x v="29"/>
    <x v="2"/>
  </r>
  <r>
    <n v="3"/>
    <n v="1"/>
    <s v="2024/07/20"/>
    <x v="29"/>
    <x v="0"/>
  </r>
  <r>
    <n v="5"/>
    <n v="1"/>
    <s v="2024/07/20"/>
    <x v="29"/>
    <x v="0"/>
  </r>
  <r>
    <n v="34"/>
    <n v="1"/>
    <s v="2024/08/23"/>
    <x v="30"/>
    <x v="5"/>
  </r>
  <r>
    <n v="36"/>
    <n v="1"/>
    <s v="2024/08/23"/>
    <x v="30"/>
    <x v="5"/>
  </r>
  <r>
    <n v="47"/>
    <n v="1"/>
    <s v="2024/09/06"/>
    <x v="31"/>
    <x v="3"/>
  </r>
  <r>
    <n v="35"/>
    <n v="1"/>
    <s v="2024/09/06"/>
    <x v="31"/>
    <x v="5"/>
  </r>
  <r>
    <n v="27"/>
    <n v="1"/>
    <s v="2024/09/20"/>
    <x v="31"/>
    <x v="6"/>
  </r>
  <r>
    <n v="29"/>
    <n v="1"/>
    <s v="2024/09/20"/>
    <x v="31"/>
    <x v="6"/>
  </r>
  <r>
    <n v="37"/>
    <n v="1"/>
    <s v="2024/10/04"/>
    <x v="32"/>
    <x v="7"/>
  </r>
  <r>
    <n v="2"/>
    <n v="0"/>
    <s v="2024/10/11"/>
    <x v="32"/>
    <x v="0"/>
  </r>
  <r>
    <n v="8"/>
    <n v="1"/>
    <s v="2024/10/25"/>
    <x v="32"/>
    <x v="1"/>
  </r>
  <r>
    <n v="9"/>
    <n v="1"/>
    <s v="2024/10/25"/>
    <x v="32"/>
    <x v="1"/>
  </r>
  <r>
    <n v="7"/>
    <n v="1"/>
    <s v="2024/11/08"/>
    <x v="33"/>
    <x v="1"/>
  </r>
  <r>
    <n v="10"/>
    <n v="1"/>
    <s v="2024/11/08"/>
    <x v="33"/>
    <x v="1"/>
  </r>
  <r>
    <n v="20"/>
    <n v="1"/>
    <s v="2024/11/22"/>
    <x v="33"/>
    <x v="4"/>
  </r>
  <r>
    <n v="24"/>
    <n v="1"/>
    <s v="2024/11/22"/>
    <x v="33"/>
    <x v="4"/>
  </r>
  <r>
    <n v="21"/>
    <n v="1"/>
    <s v="2024/12/06"/>
    <x v="34"/>
    <x v="4"/>
  </r>
  <r>
    <n v="33"/>
    <n v="1"/>
    <s v="2024/12/06"/>
    <x v="34"/>
    <x v="5"/>
  </r>
  <r>
    <n v="1"/>
    <n v="1"/>
    <s v="2024/12/13"/>
    <x v="34"/>
    <x v="0"/>
  </r>
  <r>
    <n v="106"/>
    <n v="1"/>
    <s v="2024/12/27"/>
    <x v="34"/>
    <x v="8"/>
  </r>
  <r>
    <n v="107"/>
    <n v="1"/>
    <s v="2024/12/27"/>
    <x v="34"/>
    <x v="8"/>
  </r>
  <r>
    <n v="22"/>
    <n v="1"/>
    <s v="2025/01/10"/>
    <x v="35"/>
    <x v="4"/>
  </r>
  <r>
    <n v="23"/>
    <n v="1"/>
    <s v="2025/01/10"/>
    <x v="35"/>
    <x v="4"/>
  </r>
  <r>
    <n v="43"/>
    <n v="0"/>
    <s v="2025/02/02"/>
    <x v="36"/>
    <x v="3"/>
  </r>
  <r>
    <n v="19"/>
    <n v="0"/>
    <s v="2025/02/02"/>
    <x v="36"/>
    <x v="4"/>
  </r>
  <r>
    <n v="91"/>
    <n v="0"/>
    <s v="2025/02/09"/>
    <x v="36"/>
    <x v="9"/>
  </r>
  <r>
    <n v="4"/>
    <n v="1"/>
    <s v="2025/02/21"/>
    <x v="36"/>
    <x v="0"/>
  </r>
  <r>
    <n v="13"/>
    <n v="0"/>
    <s v="2025/02/21"/>
    <x v="36"/>
    <x v="2"/>
  </r>
  <r>
    <n v="5"/>
    <n v="1"/>
    <s v="2025/02/21"/>
    <x v="36"/>
    <x v="0"/>
  </r>
  <r>
    <n v="44"/>
    <n v="1"/>
    <s v="2025/03/07"/>
    <x v="37"/>
    <x v="3"/>
  </r>
  <r>
    <n v="46"/>
    <n v="1"/>
    <s v="2025/03/07"/>
    <x v="37"/>
    <x v="3"/>
  </r>
  <r>
    <n v="25"/>
    <n v="0"/>
    <s v="2025/03/21"/>
    <x v="37"/>
    <x v="6"/>
  </r>
  <r>
    <n v="39"/>
    <n v="1"/>
    <s v="2025/04/04"/>
    <x v="38"/>
    <x v="7"/>
  </r>
  <r>
    <n v="41"/>
    <n v="1"/>
    <s v="2025/04/04"/>
    <x v="38"/>
    <x v="7"/>
  </r>
  <r>
    <n v="16"/>
    <n v="0"/>
    <s v="2025/04/25"/>
    <x v="38"/>
    <x v="2"/>
  </r>
  <r>
    <n v="14"/>
    <n v="1"/>
    <s v="2025/05/02"/>
    <x v="39"/>
    <x v="2"/>
  </r>
  <r>
    <n v="15"/>
    <n v="1"/>
    <s v="2025/05/02"/>
    <x v="39"/>
    <x v="2"/>
  </r>
  <r>
    <n v="28"/>
    <n v="1"/>
    <s v="2025/05/16"/>
    <x v="39"/>
    <x v="6"/>
  </r>
  <r>
    <n v="31"/>
    <n v="0"/>
    <s v="2025/05/30"/>
    <x v="39"/>
    <x v="5"/>
  </r>
  <r>
    <n v="34"/>
    <n v="1"/>
    <s v="2025/05/30"/>
    <x v="39"/>
    <x v="5"/>
  </r>
  <r>
    <n v="20"/>
    <n v="1"/>
    <s v="2025/06/13"/>
    <x v="40"/>
    <x v="4"/>
  </r>
  <r>
    <n v="38"/>
    <n v="1"/>
    <s v="2025/06/13"/>
    <x v="40"/>
    <x v="7"/>
  </r>
  <r>
    <n v="10"/>
    <n v="1"/>
    <s v="2025/06/27"/>
    <x v="40"/>
    <x v="1"/>
  </r>
  <r>
    <n v="11"/>
    <n v="1"/>
    <s v="2025/06/27"/>
    <x v="40"/>
    <x v="1"/>
  </r>
  <r>
    <n v="26"/>
    <n v="1"/>
    <s v="2025/07/11"/>
    <x v="41"/>
    <x v="6"/>
  </r>
  <r>
    <n v="30"/>
    <n v="1"/>
    <s v="2025/07/11"/>
    <x v="41"/>
    <x v="6"/>
  </r>
  <r>
    <n v="7"/>
    <n v="0"/>
    <s v="2025/07/18"/>
    <x v="41"/>
    <x v="1"/>
  </r>
  <r>
    <n v="45"/>
    <n v="0"/>
    <s v="2025/08/03"/>
    <x v="42"/>
    <x v="3"/>
  </r>
  <r>
    <n v="48"/>
    <n v="0"/>
    <s v="2025/08/03"/>
    <x v="42"/>
    <x v="3"/>
  </r>
  <r>
    <n v="5"/>
    <n v="0"/>
    <s v="2025/08/10"/>
    <x v="42"/>
    <x v="0"/>
  </r>
  <r>
    <n v="5"/>
    <n v="9"/>
    <s v="2025/08/10"/>
    <x v="42"/>
    <x v="0"/>
  </r>
  <r>
    <n v="18"/>
    <n v="1"/>
    <s v="2025/08/22"/>
    <x v="42"/>
    <x v="2"/>
  </r>
  <r>
    <n v="24"/>
    <n v="0"/>
    <s v="2025/08/22"/>
    <x v="42"/>
    <x v="4"/>
  </r>
  <r>
    <n v="37"/>
    <n v="0"/>
    <s v="2025/09/05"/>
    <x v="43"/>
    <x v="7"/>
  </r>
  <r>
    <n v="40"/>
    <n v="1"/>
    <s v="2025/09/05"/>
    <x v="43"/>
    <x v="7"/>
  </r>
  <r>
    <n v="42"/>
    <n v="1"/>
    <s v="2025/09/19"/>
    <x v="43"/>
    <x v="7"/>
  </r>
  <r>
    <n v="1"/>
    <n v="0"/>
    <s v="2025/10/03"/>
    <x v="44"/>
    <x v="0"/>
  </r>
  <r>
    <n v="8"/>
    <n v="0"/>
    <s v="2025/10/10"/>
    <x v="44"/>
    <x v="1"/>
  </r>
  <r>
    <n v="6"/>
    <n v="0"/>
    <s v="2025/10/17"/>
    <x v="44"/>
    <x v="0"/>
  </r>
  <r>
    <n v="9"/>
    <n v="1"/>
    <s v="2025/10/17"/>
    <x v="44"/>
    <x v="1"/>
  </r>
  <r>
    <n v="27"/>
    <n v="0"/>
    <s v="2025/10/31"/>
    <x v="44"/>
    <x v="6"/>
  </r>
  <r>
    <n v="29"/>
    <n v="1"/>
    <s v="2025/10/31"/>
    <x v="44"/>
    <x v="6"/>
  </r>
  <r>
    <n v="13"/>
    <n v="0"/>
    <s v="2025/11/14"/>
    <x v="45"/>
    <x v="2"/>
  </r>
  <r>
    <n v="32"/>
    <n v="0"/>
    <s v="2025/11/28"/>
    <x v="45"/>
    <x v="5"/>
  </r>
  <r>
    <n v="39"/>
    <n v="1"/>
    <s v="2025/11/28"/>
    <x v="45"/>
    <x v="7"/>
  </r>
  <r>
    <n v="17"/>
    <n v="0"/>
    <s v="2025/12/12"/>
    <x v="46"/>
    <x v="2"/>
  </r>
  <r>
    <n v="1"/>
    <n v="0"/>
    <s v="2025/12/26"/>
    <x v="46"/>
    <x v="0"/>
  </r>
  <r>
    <n v="43"/>
    <n v="0"/>
    <s v="2025/12/26"/>
    <x v="46"/>
    <x v="3"/>
  </r>
  <r>
    <n v="7"/>
    <n v="0"/>
    <s v="2026/01/16"/>
    <x v="47"/>
    <x v="1"/>
  </r>
  <r>
    <n v="91"/>
    <n v="0"/>
    <s v="2026/02/01"/>
    <x v="48"/>
    <x v="9"/>
  </r>
  <r>
    <n v="92"/>
    <n v="0"/>
    <s v="2026/02/13"/>
    <x v="48"/>
    <x v="9"/>
  </r>
  <r>
    <n v="3"/>
    <n v="0"/>
    <s v="2026/02/27"/>
    <x v="48"/>
    <x v="0"/>
  </r>
  <r>
    <n v="13"/>
    <n v="1"/>
    <s v="2026/02/27"/>
    <x v="48"/>
    <x v="2"/>
  </r>
  <r>
    <n v="37"/>
    <n v="1"/>
    <s v="2026/03/13"/>
    <x v="49"/>
    <x v="7"/>
  </r>
  <r>
    <n v="41"/>
    <n v="1"/>
    <s v="2026/03/13"/>
    <x v="49"/>
    <x v="7"/>
  </r>
  <r>
    <n v="47"/>
    <n v="0"/>
    <s v="2026/03/27"/>
    <x v="49"/>
    <x v="3"/>
  </r>
  <r>
    <n v="19"/>
    <n v="0"/>
    <s v="2026/04/10"/>
    <x v="50"/>
    <x v="4"/>
  </r>
  <r>
    <n v="23"/>
    <n v="0"/>
    <s v="2026/04/10"/>
    <x v="50"/>
    <x v="4"/>
  </r>
  <r>
    <n v="35"/>
    <n v="0"/>
    <s v="2026/04/24"/>
    <x v="50"/>
    <x v="5"/>
  </r>
  <r>
    <n v="36"/>
    <n v="0"/>
    <s v="2026/04/24"/>
    <x v="50"/>
    <x v="5"/>
  </r>
  <r>
    <n v="12"/>
    <n v="0"/>
    <s v="2026/05/01"/>
    <x v="51"/>
    <x v="1"/>
  </r>
  <r>
    <n v="4"/>
    <n v="0"/>
    <s v="2026/05/22"/>
    <x v="51"/>
    <x v="0"/>
  </r>
  <r>
    <n v="111"/>
    <n v="1"/>
    <s v="2026/05/22"/>
    <x v="51"/>
    <x v="10"/>
  </r>
  <r>
    <n v="112"/>
    <n v="0"/>
    <s v="2026/05/22"/>
    <x v="51"/>
    <x v="10"/>
  </r>
  <r>
    <n v="1"/>
    <n v="0"/>
    <s v="2026/06/05"/>
    <x v="52"/>
    <x v="0"/>
  </r>
  <r>
    <n v="113"/>
    <n v="0"/>
    <s v="2026/06/05"/>
    <x v="52"/>
    <x v="10"/>
  </r>
  <r>
    <n v="38"/>
    <n v="1"/>
    <s v="2026/06/19"/>
    <x v="52"/>
    <x v="7"/>
  </r>
  <r>
    <n v="42"/>
    <n v="0"/>
    <s v="2026/06/19"/>
    <x v="52"/>
    <x v="7"/>
  </r>
  <r>
    <n v="33"/>
    <n v="0"/>
    <s v="2026/07/03"/>
    <x v="53"/>
    <x v="5"/>
  </r>
  <r>
    <n v="25"/>
    <n v="0"/>
    <s v="2026/07/17"/>
    <x v="53"/>
    <x v="6"/>
  </r>
  <r>
    <n v="28"/>
    <n v="0"/>
    <s v="2026/07/17"/>
    <x v="53"/>
    <x v="6"/>
  </r>
  <r>
    <n v="50"/>
    <n v="0"/>
    <s v="2026/08/02"/>
    <x v="54"/>
    <x v="11"/>
  </r>
  <r>
    <n v="8"/>
    <n v="0"/>
    <s v="2026/08/09"/>
    <x v="54"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BFDEE4-9862-40D3-96CC-D5125E7559D6}" name="ピボットテーブル2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 chartFormat="13">
  <location ref="I3:V60" firstHeaderRow="1" firstDataRow="2" firstDataCol="1"/>
  <pivotFields count="5">
    <pivotField showAll="0"/>
    <pivotField showAll="0"/>
    <pivotField showAll="0"/>
    <pivotField axis="axisRow" showAll="0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t="default"/>
      </items>
    </pivotField>
    <pivotField axis="axisCol" dataField="1" showAll="0">
      <items count="13">
        <item x="11"/>
        <item x="3"/>
        <item x="0"/>
        <item x="1"/>
        <item x="2"/>
        <item x="4"/>
        <item x="6"/>
        <item x="5"/>
        <item x="7"/>
        <item x="8"/>
        <item x="10"/>
        <item x="9"/>
        <item t="default"/>
      </items>
    </pivotField>
  </pivotFields>
  <rowFields count="1">
    <field x="3"/>
  </rowFields>
  <rowItems count="5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 t="grand">
      <x/>
    </i>
  </rowItems>
  <colFields count="1">
    <field x="4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個数 / 31A" fld="4" subtotal="count" showDataAs="runTotal" baseField="3" baseItem="10"/>
  </dataFields>
  <chartFormats count="24">
    <chartFormat chart="1" format="24" series="1">
      <pivotArea type="data" outline="0" fieldPosition="0">
        <references count="1">
          <reference field="4" count="1" selected="0">
            <x v="0"/>
          </reference>
        </references>
      </pivotArea>
    </chartFormat>
    <chartFormat chart="1" format="25" series="1">
      <pivotArea type="data" outline="0" fieldPosition="0">
        <references count="1">
          <reference field="4" count="1" selected="0">
            <x v="1"/>
          </reference>
        </references>
      </pivotArea>
    </chartFormat>
    <chartFormat chart="1" format="26" series="1">
      <pivotArea type="data" outline="0" fieldPosition="0">
        <references count="1">
          <reference field="4" count="1" selected="0">
            <x v="2"/>
          </reference>
        </references>
      </pivotArea>
    </chartFormat>
    <chartFormat chart="1" format="27" series="1">
      <pivotArea type="data" outline="0" fieldPosition="0">
        <references count="1">
          <reference field="4" count="1" selected="0">
            <x v="3"/>
          </reference>
        </references>
      </pivotArea>
    </chartFormat>
    <chartFormat chart="1" format="28" series="1">
      <pivotArea type="data" outline="0" fieldPosition="0">
        <references count="1">
          <reference field="4" count="1" selected="0">
            <x v="4"/>
          </reference>
        </references>
      </pivotArea>
    </chartFormat>
    <chartFormat chart="1" format="29" series="1">
      <pivotArea type="data" outline="0" fieldPosition="0">
        <references count="1">
          <reference field="4" count="1" selected="0">
            <x v="5"/>
          </reference>
        </references>
      </pivotArea>
    </chartFormat>
    <chartFormat chart="1" format="30" series="1">
      <pivotArea type="data" outline="0" fieldPosition="0">
        <references count="1">
          <reference field="4" count="1" selected="0">
            <x v="6"/>
          </reference>
        </references>
      </pivotArea>
    </chartFormat>
    <chartFormat chart="1" format="31" series="1">
      <pivotArea type="data" outline="0" fieldPosition="0">
        <references count="1">
          <reference field="4" count="1" selected="0">
            <x v="7"/>
          </reference>
        </references>
      </pivotArea>
    </chartFormat>
    <chartFormat chart="1" format="32" series="1">
      <pivotArea type="data" outline="0" fieldPosition="0">
        <references count="1">
          <reference field="4" count="1" selected="0">
            <x v="8"/>
          </reference>
        </references>
      </pivotArea>
    </chartFormat>
    <chartFormat chart="1" format="33" series="1">
      <pivotArea type="data" outline="0" fieldPosition="0">
        <references count="1">
          <reference field="4" count="1" selected="0">
            <x v="9"/>
          </reference>
        </references>
      </pivotArea>
    </chartFormat>
    <chartFormat chart="1" format="34" series="1">
      <pivotArea type="data" outline="0" fieldPosition="0">
        <references count="1">
          <reference field="4" count="1" selected="0">
            <x v="10"/>
          </reference>
        </references>
      </pivotArea>
    </chartFormat>
    <chartFormat chart="1" format="35" series="1">
      <pivotArea type="data" outline="0" fieldPosition="0">
        <references count="1">
          <reference field="4" count="1" selected="0">
            <x v="11"/>
          </reference>
        </references>
      </pivotArea>
    </chartFormat>
    <chartFormat chart="1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8"/>
          </reference>
        </references>
      </pivotArea>
    </chartFormat>
    <chartFormat chart="1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9"/>
          </reference>
        </references>
      </pivotArea>
    </chartFormat>
    <chartFormat chart="1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0"/>
          </reference>
        </references>
      </pivotArea>
    </chartFormat>
    <chartFormat chart="1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28"/>
  <sheetViews>
    <sheetView workbookViewId="0">
      <selection activeCell="C6" sqref="C6"/>
    </sheetView>
  </sheetViews>
  <sheetFormatPr defaultRowHeight="18.75" x14ac:dyDescent="0.4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 x14ac:dyDescent="0.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173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 x14ac:dyDescent="0.4">
      <c r="A2" s="5" t="s">
        <v>7</v>
      </c>
      <c r="B2" s="2" t="str">
        <f>VLOOKUP(B1,I:N,2,FALSE)</f>
        <v>localhost</v>
      </c>
      <c r="F2" s="10" t="s">
        <v>19</v>
      </c>
      <c r="G2" s="10" t="s">
        <v>360</v>
      </c>
    </row>
    <row r="3" spans="1:14" x14ac:dyDescent="0.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361</v>
      </c>
    </row>
    <row r="4" spans="1:14" x14ac:dyDescent="0.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211</v>
      </c>
    </row>
    <row r="5" spans="1:14" x14ac:dyDescent="0.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357</v>
      </c>
    </row>
    <row r="6" spans="1:14" x14ac:dyDescent="0.4">
      <c r="A6" s="5" t="s">
        <v>0</v>
      </c>
      <c r="B6" s="2" t="str">
        <f>VLOOKUP(B1,I:N,6,FALSE)</f>
        <v>postgres</v>
      </c>
      <c r="C6" s="7" t="s">
        <v>587</v>
      </c>
      <c r="F6" s="10" t="s">
        <v>19</v>
      </c>
      <c r="G6" s="10" t="s">
        <v>319</v>
      </c>
    </row>
    <row r="7" spans="1:14" x14ac:dyDescent="0.4">
      <c r="A7" s="1"/>
      <c r="F7" s="10" t="s">
        <v>19</v>
      </c>
      <c r="G7" s="10" t="s">
        <v>215</v>
      </c>
    </row>
    <row r="8" spans="1:14" x14ac:dyDescent="0.4">
      <c r="F8" s="10" t="s">
        <v>19</v>
      </c>
      <c r="G8" s="10" t="s">
        <v>587</v>
      </c>
    </row>
    <row r="9" spans="1:14" x14ac:dyDescent="0.4">
      <c r="F9" s="10" t="s">
        <v>19</v>
      </c>
      <c r="G9" s="10" t="s">
        <v>588</v>
      </c>
    </row>
    <row r="10" spans="1:14" x14ac:dyDescent="0.4">
      <c r="F10" s="10" t="s">
        <v>19</v>
      </c>
      <c r="G10" s="10" t="s">
        <v>589</v>
      </c>
    </row>
    <row r="11" spans="1:14" x14ac:dyDescent="0.4">
      <c r="B11"/>
      <c r="F11" s="10" t="s">
        <v>19</v>
      </c>
      <c r="G11" s="10" t="s">
        <v>590</v>
      </c>
    </row>
    <row r="12" spans="1:14" x14ac:dyDescent="0.4">
      <c r="F12" s="10" t="s">
        <v>19</v>
      </c>
      <c r="G12" s="10" t="s">
        <v>92</v>
      </c>
    </row>
    <row r="13" spans="1:14" x14ac:dyDescent="0.4">
      <c r="F13" s="10" t="s">
        <v>19</v>
      </c>
      <c r="G13" s="10" t="s">
        <v>22</v>
      </c>
    </row>
    <row r="14" spans="1:14" x14ac:dyDescent="0.4">
      <c r="F14" s="10" t="s">
        <v>19</v>
      </c>
      <c r="G14" s="10" t="s">
        <v>153</v>
      </c>
    </row>
    <row r="15" spans="1:14" x14ac:dyDescent="0.4">
      <c r="F15" s="10" t="s">
        <v>19</v>
      </c>
      <c r="G15" s="10" t="s">
        <v>200</v>
      </c>
    </row>
    <row r="16" spans="1:14" x14ac:dyDescent="0.4">
      <c r="F16" s="10" t="s">
        <v>19</v>
      </c>
      <c r="G16" s="10" t="s">
        <v>362</v>
      </c>
    </row>
    <row r="17" spans="6:7" x14ac:dyDescent="0.4">
      <c r="F17" s="10" t="s">
        <v>19</v>
      </c>
      <c r="G17" s="10" t="s">
        <v>363</v>
      </c>
    </row>
    <row r="18" spans="6:7" x14ac:dyDescent="0.4">
      <c r="F18" s="10" t="s">
        <v>19</v>
      </c>
      <c r="G18" s="10" t="s">
        <v>356</v>
      </c>
    </row>
    <row r="19" spans="6:7" x14ac:dyDescent="0.4">
      <c r="F19" s="10" t="s">
        <v>19</v>
      </c>
      <c r="G19" s="10" t="s">
        <v>217</v>
      </c>
    </row>
    <row r="20" spans="6:7" x14ac:dyDescent="0.4">
      <c r="F20" s="10" t="s">
        <v>19</v>
      </c>
      <c r="G20" s="10" t="s">
        <v>23</v>
      </c>
    </row>
    <row r="21" spans="6:7" x14ac:dyDescent="0.4">
      <c r="F21" s="10" t="s">
        <v>19</v>
      </c>
      <c r="G21" s="10" t="s">
        <v>24</v>
      </c>
    </row>
    <row r="22" spans="6:7" x14ac:dyDescent="0.4">
      <c r="F22" s="10" t="s">
        <v>19</v>
      </c>
      <c r="G22" s="10" t="s">
        <v>586</v>
      </c>
    </row>
    <row r="23" spans="6:7" x14ac:dyDescent="0.4">
      <c r="F23" s="10" t="s">
        <v>19</v>
      </c>
      <c r="G23" s="10" t="s">
        <v>210</v>
      </c>
    </row>
    <row r="24" spans="6:7" x14ac:dyDescent="0.4">
      <c r="F24" s="10" t="s">
        <v>19</v>
      </c>
      <c r="G24" s="10" t="s">
        <v>279</v>
      </c>
    </row>
    <row r="25" spans="6:7" x14ac:dyDescent="0.4">
      <c r="F25" s="10" t="s">
        <v>19</v>
      </c>
      <c r="G25" s="10" t="s">
        <v>93</v>
      </c>
    </row>
    <row r="26" spans="6:7" x14ac:dyDescent="0.4">
      <c r="F26" s="10" t="s">
        <v>19</v>
      </c>
      <c r="G26" s="10" t="s">
        <v>94</v>
      </c>
    </row>
    <row r="27" spans="6:7" x14ac:dyDescent="0.4">
      <c r="F27" s="10" t="s">
        <v>19</v>
      </c>
      <c r="G27" s="10" t="s">
        <v>95</v>
      </c>
    </row>
    <row r="28" spans="6:7" x14ac:dyDescent="0.4">
      <c r="F28" s="10" t="s">
        <v>19</v>
      </c>
      <c r="G28" s="10" t="s">
        <v>96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3E4C8-9113-4686-9C59-2D336A74B783}">
  <sheetPr codeName="Sheet2"/>
  <dimension ref="A2:G14"/>
  <sheetViews>
    <sheetView workbookViewId="0">
      <selection activeCell="D8" sqref="D8"/>
    </sheetView>
  </sheetViews>
  <sheetFormatPr defaultRowHeight="18.75" x14ac:dyDescent="0.4"/>
  <cols>
    <col min="2" max="2" width="16.125" bestFit="1" customWidth="1"/>
    <col min="3" max="3" width="31.25" customWidth="1"/>
    <col min="4" max="4" width="16.875" bestFit="1" customWidth="1"/>
    <col min="6" max="6" width="16.875" bestFit="1" customWidth="1"/>
  </cols>
  <sheetData>
    <row r="2" spans="1:7" x14ac:dyDescent="0.4">
      <c r="B2" s="33" t="s">
        <v>652</v>
      </c>
      <c r="C2" s="33" t="s">
        <v>653</v>
      </c>
      <c r="D2" s="33" t="s">
        <v>654</v>
      </c>
      <c r="E2" s="33" t="s">
        <v>655</v>
      </c>
      <c r="F2" s="33" t="s">
        <v>656</v>
      </c>
      <c r="G2" s="33" t="s">
        <v>657</v>
      </c>
    </row>
    <row r="3" spans="1:7" x14ac:dyDescent="0.4">
      <c r="B3" s="34" t="s">
        <v>632</v>
      </c>
      <c r="C3" s="34" t="s">
        <v>653</v>
      </c>
      <c r="D3" s="34" t="s">
        <v>658</v>
      </c>
      <c r="E3" s="31" t="s">
        <v>659</v>
      </c>
      <c r="F3" s="34" t="s">
        <v>658</v>
      </c>
      <c r="G3" s="31" t="s">
        <v>660</v>
      </c>
    </row>
    <row r="4" spans="1:7" x14ac:dyDescent="0.4">
      <c r="B4" s="30" t="str">
        <f>_xlfn.XLOOKUP(B3,B8:B14,A8:A14)</f>
        <v>4</v>
      </c>
      <c r="C4" s="31" t="str">
        <f>C3</f>
        <v>イベント名</v>
      </c>
      <c r="D4" s="32" t="str">
        <f>D3&amp;" "&amp;E3</f>
        <v>2026/10/14 11:00</v>
      </c>
      <c r="E4" s="30"/>
      <c r="F4" s="32" t="str">
        <f>F3&amp;" "&amp;G3</f>
        <v>2026/10/14 10:59</v>
      </c>
      <c r="G4" s="30"/>
    </row>
    <row r="7" spans="1:7" x14ac:dyDescent="0.4">
      <c r="A7" t="s">
        <v>652</v>
      </c>
    </row>
    <row r="8" spans="1:7" x14ac:dyDescent="0.4">
      <c r="A8" s="35">
        <v>1</v>
      </c>
      <c r="B8" s="11" t="s">
        <v>620</v>
      </c>
    </row>
    <row r="9" spans="1:7" x14ac:dyDescent="0.4">
      <c r="A9" s="35">
        <v>2</v>
      </c>
      <c r="B9" s="11" t="s">
        <v>624</v>
      </c>
    </row>
    <row r="10" spans="1:7" x14ac:dyDescent="0.4">
      <c r="A10" s="35" t="s">
        <v>310</v>
      </c>
      <c r="B10" s="11" t="s">
        <v>631</v>
      </c>
    </row>
    <row r="11" spans="1:7" x14ac:dyDescent="0.4">
      <c r="A11" s="35" t="s">
        <v>320</v>
      </c>
      <c r="B11" s="11" t="s">
        <v>632</v>
      </c>
    </row>
    <row r="12" spans="1:7" x14ac:dyDescent="0.4">
      <c r="A12" s="35" t="s">
        <v>347</v>
      </c>
      <c r="B12" s="11" t="s">
        <v>622</v>
      </c>
    </row>
    <row r="13" spans="1:7" x14ac:dyDescent="0.4">
      <c r="A13" s="35" t="s">
        <v>348</v>
      </c>
      <c r="B13" s="11" t="s">
        <v>623</v>
      </c>
    </row>
    <row r="14" spans="1:7" x14ac:dyDescent="0.4">
      <c r="A14" s="35" t="s">
        <v>358</v>
      </c>
      <c r="B14" s="11" t="s">
        <v>621</v>
      </c>
    </row>
  </sheetData>
  <phoneticPr fontId="1"/>
  <dataValidations count="3">
    <dataValidation type="list" allowBlank="1" showInputMessage="1" showErrorMessage="1" sqref="E3" xr:uid="{99C4E344-E0CF-4D98-BDF5-704AD5AD8617}">
      <formula1>"11:00,00:00"</formula1>
    </dataValidation>
    <dataValidation type="list" allowBlank="1" showInputMessage="1" showErrorMessage="1" sqref="G3" xr:uid="{52165140-6283-4034-831D-43319CACC92D}">
      <formula1>"10:59,23:59"</formula1>
    </dataValidation>
    <dataValidation type="list" allowBlank="1" showInputMessage="1" showErrorMessage="1" sqref="B3" xr:uid="{8AB3639F-EC44-4434-ADE9-FAD9E93CCA46}">
      <formula1>$B$8:$B$14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019E9-6940-4FD8-9C1A-D735CA3EBA23}">
  <sheetPr codeName="Sheet9"/>
  <dimension ref="A1:F13"/>
  <sheetViews>
    <sheetView zoomScale="85" zoomScaleNormal="85" workbookViewId="0">
      <selection activeCell="D7" activeCellId="1" sqref="B7:B13 D7:D13"/>
    </sheetView>
  </sheetViews>
  <sheetFormatPr defaultRowHeight="18.75" x14ac:dyDescent="0.4"/>
  <cols>
    <col min="2" max="3" width="12.5" customWidth="1"/>
    <col min="4" max="4" width="14.875" bestFit="1" customWidth="1"/>
    <col min="5" max="6" width="12.5" customWidth="1"/>
  </cols>
  <sheetData>
    <row r="1" spans="1:6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</row>
    <row r="2" spans="1:6" x14ac:dyDescent="0.4">
      <c r="A2" t="s">
        <v>612</v>
      </c>
      <c r="B2" s="9" t="s">
        <v>593</v>
      </c>
      <c r="C2" s="9" t="s">
        <v>609</v>
      </c>
      <c r="D2" s="9" t="s">
        <v>610</v>
      </c>
      <c r="E2" s="9" t="s">
        <v>602</v>
      </c>
      <c r="F2" s="9" t="s">
        <v>611</v>
      </c>
    </row>
    <row r="3" spans="1:6" x14ac:dyDescent="0.4">
      <c r="B3" s="9" t="s">
        <v>594</v>
      </c>
      <c r="C3" s="9" t="s">
        <v>596</v>
      </c>
      <c r="D3" s="9" t="s">
        <v>596</v>
      </c>
      <c r="E3" s="9" t="s">
        <v>603</v>
      </c>
      <c r="F3" s="9" t="s">
        <v>596</v>
      </c>
    </row>
    <row r="4" spans="1:6" x14ac:dyDescent="0.4">
      <c r="B4" s="9" t="s">
        <v>201</v>
      </c>
      <c r="C4" s="9" t="s">
        <v>201</v>
      </c>
      <c r="D4" s="9" t="s">
        <v>201</v>
      </c>
      <c r="E4" s="9" t="s">
        <v>201</v>
      </c>
      <c r="F4" s="9" t="s">
        <v>201</v>
      </c>
    </row>
    <row r="5" spans="1:6" x14ac:dyDescent="0.4">
      <c r="B5" s="9">
        <v>1</v>
      </c>
      <c r="C5" s="9"/>
      <c r="D5" s="9"/>
      <c r="E5" s="9"/>
      <c r="F5" s="9"/>
    </row>
    <row r="6" spans="1:6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152</v>
      </c>
    </row>
    <row r="7" spans="1:6" x14ac:dyDescent="0.4">
      <c r="A7" s="8"/>
      <c r="B7" s="11">
        <v>1</v>
      </c>
      <c r="C7" s="11" t="s">
        <v>625</v>
      </c>
      <c r="D7" s="11" t="s">
        <v>620</v>
      </c>
      <c r="E7" s="11">
        <v>10</v>
      </c>
      <c r="F7" s="11" t="s">
        <v>613</v>
      </c>
    </row>
    <row r="8" spans="1:6" x14ac:dyDescent="0.4">
      <c r="A8" s="8"/>
      <c r="B8" s="11">
        <v>2</v>
      </c>
      <c r="C8" s="11" t="s">
        <v>626</v>
      </c>
      <c r="D8" s="11" t="s">
        <v>624</v>
      </c>
      <c r="E8" s="11">
        <v>20</v>
      </c>
      <c r="F8" s="11" t="s">
        <v>614</v>
      </c>
    </row>
    <row r="9" spans="1:6" x14ac:dyDescent="0.4">
      <c r="A9" s="8"/>
      <c r="B9" s="11" t="s">
        <v>310</v>
      </c>
      <c r="C9" s="11" t="s">
        <v>630</v>
      </c>
      <c r="D9" s="11" t="s">
        <v>631</v>
      </c>
      <c r="E9" s="11" t="s">
        <v>321</v>
      </c>
      <c r="F9" s="11" t="s">
        <v>615</v>
      </c>
    </row>
    <row r="10" spans="1:6" x14ac:dyDescent="0.4">
      <c r="A10" s="8"/>
      <c r="B10" s="11" t="s">
        <v>320</v>
      </c>
      <c r="C10" s="11" t="s">
        <v>633</v>
      </c>
      <c r="D10" s="11" t="s">
        <v>632</v>
      </c>
      <c r="E10" s="11" t="s">
        <v>642</v>
      </c>
      <c r="F10" s="11" t="s">
        <v>644</v>
      </c>
    </row>
    <row r="11" spans="1:6" x14ac:dyDescent="0.4">
      <c r="A11" s="8"/>
      <c r="B11" s="11" t="s">
        <v>347</v>
      </c>
      <c r="C11" s="11" t="s">
        <v>627</v>
      </c>
      <c r="D11" s="11" t="s">
        <v>622</v>
      </c>
      <c r="E11" s="11" t="s">
        <v>585</v>
      </c>
      <c r="F11" s="11" t="s">
        <v>645</v>
      </c>
    </row>
    <row r="12" spans="1:6" x14ac:dyDescent="0.4">
      <c r="A12" s="8"/>
      <c r="B12" s="11" t="s">
        <v>348</v>
      </c>
      <c r="C12" s="11" t="s">
        <v>628</v>
      </c>
      <c r="D12" s="11" t="s">
        <v>623</v>
      </c>
      <c r="E12" s="11" t="s">
        <v>389</v>
      </c>
      <c r="F12" s="11" t="s">
        <v>646</v>
      </c>
    </row>
    <row r="13" spans="1:6" x14ac:dyDescent="0.4">
      <c r="A13" s="8"/>
      <c r="B13" s="11" t="s">
        <v>358</v>
      </c>
      <c r="C13" s="11" t="s">
        <v>629</v>
      </c>
      <c r="D13" s="11" t="s">
        <v>621</v>
      </c>
      <c r="E13" s="11" t="s">
        <v>643</v>
      </c>
      <c r="F13" s="11" t="s">
        <v>647</v>
      </c>
    </row>
  </sheetData>
  <phoneticPr fontId="1"/>
  <dataValidations count="1">
    <dataValidation type="list" allowBlank="1" showInputMessage="1" showErrorMessage="1" sqref="A7:A13" xr:uid="{035317A5-BBF8-4CEB-A821-37A138DD16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0251A-C0F4-480C-86C7-10E08ABC1B43}">
  <sheetPr codeName="Sheet6"/>
  <dimension ref="A1:K18"/>
  <sheetViews>
    <sheetView tabSelected="1" zoomScale="85" zoomScaleNormal="85" workbookViewId="0">
      <selection activeCell="E7" sqref="E7"/>
    </sheetView>
  </sheetViews>
  <sheetFormatPr defaultRowHeight="18.75" x14ac:dyDescent="0.4"/>
  <cols>
    <col min="2" max="3" width="12.5" customWidth="1"/>
    <col min="4" max="4" width="38.25" bestFit="1" customWidth="1"/>
    <col min="5" max="6" width="25.125" bestFit="1" customWidth="1"/>
    <col min="7" max="7" width="25" bestFit="1" customWidth="1"/>
    <col min="8" max="11" width="12.5" customWidth="1"/>
  </cols>
  <sheetData>
    <row r="1" spans="1:11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</row>
    <row r="2" spans="1:11" x14ac:dyDescent="0.4">
      <c r="A2" t="s">
        <v>604</v>
      </c>
      <c r="B2" s="9" t="s">
        <v>591</v>
      </c>
      <c r="C2" s="9" t="s">
        <v>593</v>
      </c>
      <c r="D2" s="9" t="s">
        <v>595</v>
      </c>
      <c r="E2" s="9" t="s">
        <v>597</v>
      </c>
      <c r="F2" s="9" t="s">
        <v>598</v>
      </c>
      <c r="G2" s="9" t="s">
        <v>599</v>
      </c>
      <c r="H2" s="9" t="s">
        <v>600</v>
      </c>
      <c r="I2" s="9" t="s">
        <v>32</v>
      </c>
      <c r="J2" s="9" t="s">
        <v>601</v>
      </c>
      <c r="K2" s="9" t="s">
        <v>602</v>
      </c>
    </row>
    <row r="3" spans="1:11" x14ac:dyDescent="0.4">
      <c r="B3" s="9" t="s">
        <v>592</v>
      </c>
      <c r="C3" s="9" t="s">
        <v>594</v>
      </c>
      <c r="D3" s="9" t="s">
        <v>596</v>
      </c>
      <c r="E3" s="9" t="s">
        <v>617</v>
      </c>
      <c r="F3" s="9" t="s">
        <v>617</v>
      </c>
      <c r="G3" s="9" t="s">
        <v>596</v>
      </c>
      <c r="H3" s="9" t="s">
        <v>596</v>
      </c>
      <c r="I3" s="9" t="s">
        <v>596</v>
      </c>
      <c r="J3" s="9" t="s">
        <v>596</v>
      </c>
      <c r="K3" s="9" t="s">
        <v>603</v>
      </c>
    </row>
    <row r="4" spans="1:11" x14ac:dyDescent="0.4">
      <c r="B4" s="9" t="s">
        <v>201</v>
      </c>
      <c r="C4" s="9" t="s">
        <v>201</v>
      </c>
      <c r="D4" s="9" t="s">
        <v>201</v>
      </c>
      <c r="E4" s="9">
        <v>0</v>
      </c>
      <c r="F4" s="9">
        <v>0</v>
      </c>
      <c r="G4" s="9" t="s">
        <v>201</v>
      </c>
      <c r="H4" s="9" t="s">
        <v>201</v>
      </c>
      <c r="I4" s="9" t="s">
        <v>201</v>
      </c>
      <c r="J4" s="9" t="s">
        <v>201</v>
      </c>
      <c r="K4" s="9" t="s">
        <v>201</v>
      </c>
    </row>
    <row r="5" spans="1:11" x14ac:dyDescent="0.4">
      <c r="B5" s="9">
        <v>1</v>
      </c>
      <c r="C5" s="9"/>
      <c r="D5" s="9"/>
      <c r="E5" s="9"/>
      <c r="F5" s="9"/>
      <c r="G5" s="9"/>
      <c r="H5" s="9"/>
      <c r="I5" s="9"/>
      <c r="J5" s="9"/>
      <c r="K5" s="9"/>
    </row>
    <row r="6" spans="1:11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  <c r="H6" s="9" t="s">
        <v>152</v>
      </c>
      <c r="I6" s="9" t="s">
        <v>152</v>
      </c>
      <c r="J6" s="9" t="s">
        <v>152</v>
      </c>
      <c r="K6" s="9" t="s">
        <v>27</v>
      </c>
    </row>
    <row r="7" spans="1:11" x14ac:dyDescent="0.4">
      <c r="A7" s="8"/>
      <c r="B7" s="11">
        <v>1</v>
      </c>
      <c r="C7" s="11">
        <v>1</v>
      </c>
      <c r="D7" s="11" t="s">
        <v>634</v>
      </c>
      <c r="E7" s="11" t="s">
        <v>635</v>
      </c>
      <c r="F7" s="11" t="s">
        <v>640</v>
      </c>
      <c r="G7" s="11" t="s">
        <v>201</v>
      </c>
      <c r="H7" s="11" t="s">
        <v>201</v>
      </c>
      <c r="I7" s="11" t="s">
        <v>201</v>
      </c>
      <c r="J7" s="11" t="s">
        <v>201</v>
      </c>
      <c r="K7" s="11">
        <v>10</v>
      </c>
    </row>
    <row r="8" spans="1:11" x14ac:dyDescent="0.4">
      <c r="A8" s="8"/>
      <c r="B8" s="11">
        <v>2</v>
      </c>
      <c r="C8" s="11">
        <v>1</v>
      </c>
      <c r="D8" s="11" t="s">
        <v>661</v>
      </c>
      <c r="E8" s="11" t="s">
        <v>635</v>
      </c>
      <c r="F8" s="11" t="s">
        <v>619</v>
      </c>
      <c r="G8" s="11" t="s">
        <v>201</v>
      </c>
      <c r="H8" s="11" t="s">
        <v>201</v>
      </c>
      <c r="I8" s="11" t="s">
        <v>201</v>
      </c>
      <c r="J8" s="11" t="s">
        <v>201</v>
      </c>
      <c r="K8" s="11">
        <v>10</v>
      </c>
    </row>
    <row r="9" spans="1:11" x14ac:dyDescent="0.4">
      <c r="A9" s="8"/>
      <c r="B9" s="11">
        <v>3</v>
      </c>
      <c r="C9" s="11">
        <v>1</v>
      </c>
      <c r="D9" s="11" t="s">
        <v>662</v>
      </c>
      <c r="E9" s="11" t="s">
        <v>635</v>
      </c>
      <c r="F9" s="11" t="s">
        <v>619</v>
      </c>
      <c r="G9" s="11" t="s">
        <v>201</v>
      </c>
      <c r="H9" s="11" t="s">
        <v>201</v>
      </c>
      <c r="I9" s="11" t="s">
        <v>201</v>
      </c>
      <c r="J9" s="11" t="s">
        <v>201</v>
      </c>
      <c r="K9" s="11">
        <v>10</v>
      </c>
    </row>
    <row r="10" spans="1:11" x14ac:dyDescent="0.4">
      <c r="A10" s="8"/>
      <c r="B10" s="11">
        <v>4</v>
      </c>
      <c r="C10" s="11">
        <v>1</v>
      </c>
      <c r="D10" s="11" t="s">
        <v>641</v>
      </c>
      <c r="E10" s="11" t="s">
        <v>635</v>
      </c>
      <c r="F10" s="11" t="s">
        <v>619</v>
      </c>
      <c r="G10" s="11" t="s">
        <v>201</v>
      </c>
      <c r="H10" s="11" t="s">
        <v>201</v>
      </c>
      <c r="I10" s="11" t="s">
        <v>201</v>
      </c>
      <c r="J10" s="11" t="s">
        <v>201</v>
      </c>
      <c r="K10" s="11">
        <v>10</v>
      </c>
    </row>
    <row r="11" spans="1:11" x14ac:dyDescent="0.4">
      <c r="A11" s="8"/>
      <c r="B11" s="11">
        <v>5</v>
      </c>
      <c r="C11" s="11">
        <v>2</v>
      </c>
      <c r="D11" s="11" t="s">
        <v>636</v>
      </c>
      <c r="E11" s="11" t="s">
        <v>637</v>
      </c>
      <c r="F11" s="11" t="s">
        <v>616</v>
      </c>
      <c r="G11" s="11" t="s">
        <v>201</v>
      </c>
      <c r="H11" s="11" t="s">
        <v>201</v>
      </c>
      <c r="I11" s="11" t="s">
        <v>201</v>
      </c>
      <c r="J11" s="11" t="s">
        <v>201</v>
      </c>
      <c r="K11" s="11">
        <v>10</v>
      </c>
    </row>
    <row r="12" spans="1:11" x14ac:dyDescent="0.4">
      <c r="A12" s="8"/>
      <c r="B12" s="11">
        <v>6</v>
      </c>
      <c r="C12" s="11">
        <v>2</v>
      </c>
      <c r="D12" s="11" t="s">
        <v>663</v>
      </c>
      <c r="E12" s="11" t="s">
        <v>635</v>
      </c>
      <c r="F12" s="11" t="s">
        <v>619</v>
      </c>
      <c r="G12" s="11" t="s">
        <v>201</v>
      </c>
      <c r="H12" s="11" t="s">
        <v>201</v>
      </c>
      <c r="I12" s="11" t="s">
        <v>201</v>
      </c>
      <c r="J12" s="11" t="s">
        <v>201</v>
      </c>
      <c r="K12" s="11">
        <v>10</v>
      </c>
    </row>
    <row r="13" spans="1:11" x14ac:dyDescent="0.4">
      <c r="A13" s="8"/>
      <c r="B13" s="11">
        <v>7</v>
      </c>
      <c r="C13" s="11">
        <v>2</v>
      </c>
      <c r="D13" s="11" t="s">
        <v>664</v>
      </c>
      <c r="E13" s="11" t="s">
        <v>635</v>
      </c>
      <c r="F13" s="11" t="s">
        <v>619</v>
      </c>
      <c r="G13" s="11" t="s">
        <v>201</v>
      </c>
      <c r="H13" s="11" t="s">
        <v>201</v>
      </c>
      <c r="I13" s="11" t="s">
        <v>201</v>
      </c>
      <c r="J13" s="11" t="s">
        <v>201</v>
      </c>
      <c r="K13" s="11">
        <v>10</v>
      </c>
    </row>
    <row r="14" spans="1:11" x14ac:dyDescent="0.4">
      <c r="A14" s="8"/>
      <c r="B14" s="11">
        <v>8</v>
      </c>
      <c r="C14" s="11">
        <v>2</v>
      </c>
      <c r="D14" s="11" t="s">
        <v>665</v>
      </c>
      <c r="E14" s="11" t="s">
        <v>635</v>
      </c>
      <c r="F14" s="11" t="s">
        <v>619</v>
      </c>
      <c r="G14" s="11" t="s">
        <v>201</v>
      </c>
      <c r="H14" s="11" t="s">
        <v>201</v>
      </c>
      <c r="I14" s="11" t="s">
        <v>201</v>
      </c>
      <c r="J14" s="11" t="s">
        <v>201</v>
      </c>
      <c r="K14" s="11">
        <v>10</v>
      </c>
    </row>
    <row r="15" spans="1:11" x14ac:dyDescent="0.4">
      <c r="A15" s="8"/>
      <c r="B15" s="11">
        <v>9</v>
      </c>
      <c r="C15" s="11">
        <v>3</v>
      </c>
      <c r="D15" s="11" t="s">
        <v>638</v>
      </c>
      <c r="E15" s="11" t="s">
        <v>639</v>
      </c>
      <c r="F15" s="11" t="s">
        <v>616</v>
      </c>
      <c r="G15" s="11" t="s">
        <v>201</v>
      </c>
      <c r="H15" s="11" t="s">
        <v>201</v>
      </c>
      <c r="I15" s="11" t="s">
        <v>201</v>
      </c>
      <c r="J15" s="11" t="s">
        <v>201</v>
      </c>
      <c r="K15" s="11">
        <v>10</v>
      </c>
    </row>
    <row r="16" spans="1:11" x14ac:dyDescent="0.4">
      <c r="A16" s="8"/>
      <c r="B16" s="11">
        <v>10</v>
      </c>
      <c r="C16" s="11">
        <v>5</v>
      </c>
      <c r="D16" s="11" t="s">
        <v>648</v>
      </c>
      <c r="E16" s="11" t="s">
        <v>635</v>
      </c>
      <c r="F16" s="11" t="s">
        <v>618</v>
      </c>
      <c r="G16" s="11" t="s">
        <v>201</v>
      </c>
      <c r="H16" s="11" t="s">
        <v>201</v>
      </c>
      <c r="I16" s="11" t="s">
        <v>201</v>
      </c>
      <c r="J16" s="11" t="s">
        <v>201</v>
      </c>
      <c r="K16" s="11">
        <v>10</v>
      </c>
    </row>
    <row r="17" spans="1:11" x14ac:dyDescent="0.4">
      <c r="A17" s="8"/>
      <c r="B17" s="11">
        <v>11</v>
      </c>
      <c r="C17" s="11">
        <v>6</v>
      </c>
      <c r="D17" s="11" t="s">
        <v>666</v>
      </c>
      <c r="E17" s="11" t="s">
        <v>639</v>
      </c>
      <c r="F17" s="11" t="s">
        <v>651</v>
      </c>
      <c r="G17" s="11" t="s">
        <v>201</v>
      </c>
      <c r="H17" s="11" t="s">
        <v>201</v>
      </c>
      <c r="I17" s="11" t="s">
        <v>201</v>
      </c>
      <c r="J17" s="11" t="s">
        <v>201</v>
      </c>
      <c r="K17" s="11">
        <v>10</v>
      </c>
    </row>
    <row r="18" spans="1:11" x14ac:dyDescent="0.4">
      <c r="A18" s="8"/>
      <c r="B18" s="11">
        <v>12</v>
      </c>
      <c r="C18" s="11">
        <v>7</v>
      </c>
      <c r="D18" s="11" t="s">
        <v>649</v>
      </c>
      <c r="E18" s="11" t="s">
        <v>639</v>
      </c>
      <c r="F18" s="11" t="s">
        <v>650</v>
      </c>
      <c r="G18" s="11" t="s">
        <v>201</v>
      </c>
      <c r="H18" s="11" t="s">
        <v>201</v>
      </c>
      <c r="I18" s="11" t="s">
        <v>201</v>
      </c>
      <c r="J18" s="11" t="s">
        <v>201</v>
      </c>
      <c r="K18" s="11">
        <v>10</v>
      </c>
    </row>
  </sheetData>
  <phoneticPr fontId="1"/>
  <dataValidations count="1">
    <dataValidation type="list" allowBlank="1" showInputMessage="1" showErrorMessage="1" sqref="A7:A18" xr:uid="{0ED556C0-6581-4817-A87B-F189E2690A2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A826B-AA80-488F-AC87-98638834A38A}">
  <sheetPr codeName="Sheet7"/>
  <dimension ref="A1:C7"/>
  <sheetViews>
    <sheetView zoomScale="85" zoomScaleNormal="85" workbookViewId="0"/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606</v>
      </c>
      <c r="B2" s="9" t="s">
        <v>591</v>
      </c>
      <c r="C2" s="9" t="s">
        <v>605</v>
      </c>
    </row>
    <row r="3" spans="1:3" x14ac:dyDescent="0.4">
      <c r="B3" s="9" t="s">
        <v>592</v>
      </c>
      <c r="C3" s="9" t="s">
        <v>603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>
        <v>2</v>
      </c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4151E774-F719-4D30-8F81-AE568986502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D91684-B7B7-44F5-BC9B-056DD87EA797}">
  <sheetPr codeName="Sheet8"/>
  <dimension ref="A1:C7"/>
  <sheetViews>
    <sheetView zoomScale="85" zoomScaleNormal="85" workbookViewId="0">
      <selection activeCell="X9" sqref="X9"/>
    </sheetView>
  </sheetViews>
  <sheetFormatPr defaultRowHeight="18.75" x14ac:dyDescent="0.4"/>
  <cols>
    <col min="2" max="3" width="12.5" customWidth="1"/>
  </cols>
  <sheetData>
    <row r="1" spans="1:3" x14ac:dyDescent="0.4">
      <c r="A1" s="12" t="str">
        <f>MAIN!B1</f>
        <v>ローカル</v>
      </c>
      <c r="B1" s="9">
        <v>1</v>
      </c>
      <c r="C1" s="9">
        <v>2</v>
      </c>
    </row>
    <row r="2" spans="1:3" x14ac:dyDescent="0.4">
      <c r="A2" t="s">
        <v>608</v>
      </c>
      <c r="B2" s="9" t="s">
        <v>605</v>
      </c>
      <c r="C2" s="9" t="s">
        <v>607</v>
      </c>
    </row>
    <row r="3" spans="1:3" x14ac:dyDescent="0.4">
      <c r="B3" s="9" t="s">
        <v>603</v>
      </c>
      <c r="C3" s="9" t="s">
        <v>596</v>
      </c>
    </row>
    <row r="4" spans="1:3" x14ac:dyDescent="0.4">
      <c r="B4" s="9" t="s">
        <v>201</v>
      </c>
      <c r="C4" s="9" t="s">
        <v>201</v>
      </c>
    </row>
    <row r="5" spans="1:3" x14ac:dyDescent="0.4">
      <c r="B5" s="9">
        <v>1</v>
      </c>
      <c r="C5" s="9"/>
    </row>
    <row r="6" spans="1:3" x14ac:dyDescent="0.4">
      <c r="B6" s="9" t="s">
        <v>27</v>
      </c>
      <c r="C6" s="9" t="s">
        <v>27</v>
      </c>
    </row>
    <row r="7" spans="1:3" x14ac:dyDescent="0.4">
      <c r="A7" s="8"/>
      <c r="B7" s="11"/>
      <c r="C7" s="11"/>
    </row>
  </sheetData>
  <phoneticPr fontId="1"/>
  <dataValidations count="1">
    <dataValidation type="list" allowBlank="1" showInputMessage="1" showErrorMessage="1" sqref="A7" xr:uid="{66755EB3-1FC8-45C3-8F40-3BBC4DA00E4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P66"/>
  <sheetViews>
    <sheetView workbookViewId="0"/>
  </sheetViews>
  <sheetFormatPr defaultRowHeight="18.75" x14ac:dyDescent="0.4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6" x14ac:dyDescent="0.4">
      <c r="A1">
        <v>0</v>
      </c>
      <c r="B1" t="s">
        <v>37</v>
      </c>
      <c r="C1">
        <v>1</v>
      </c>
      <c r="D1" t="s">
        <v>38</v>
      </c>
      <c r="E1">
        <v>0</v>
      </c>
      <c r="F1" t="s">
        <v>174</v>
      </c>
      <c r="G1">
        <v>1</v>
      </c>
      <c r="H1" t="s">
        <v>225</v>
      </c>
      <c r="I1">
        <v>1</v>
      </c>
      <c r="J1" t="s">
        <v>232</v>
      </c>
      <c r="K1">
        <v>0</v>
      </c>
      <c r="L1" t="s">
        <v>240</v>
      </c>
      <c r="O1">
        <v>1</v>
      </c>
      <c r="P1" t="s">
        <v>272</v>
      </c>
    </row>
    <row r="2" spans="1:16" x14ac:dyDescent="0.4">
      <c r="A2">
        <v>1</v>
      </c>
      <c r="B2" t="s">
        <v>39</v>
      </c>
      <c r="C2">
        <v>2</v>
      </c>
      <c r="D2" t="s">
        <v>40</v>
      </c>
      <c r="E2">
        <v>1</v>
      </c>
      <c r="F2" t="s">
        <v>177</v>
      </c>
      <c r="G2">
        <v>2</v>
      </c>
      <c r="H2" t="s">
        <v>226</v>
      </c>
      <c r="I2">
        <v>2</v>
      </c>
      <c r="J2" t="s">
        <v>349</v>
      </c>
      <c r="K2">
        <v>1</v>
      </c>
      <c r="L2" t="s">
        <v>241</v>
      </c>
      <c r="O2">
        <v>2</v>
      </c>
      <c r="P2" t="s">
        <v>212</v>
      </c>
    </row>
    <row r="3" spans="1:16" x14ac:dyDescent="0.4">
      <c r="A3">
        <v>2</v>
      </c>
      <c r="B3" t="s">
        <v>41</v>
      </c>
      <c r="C3">
        <v>3</v>
      </c>
      <c r="D3" t="s">
        <v>42</v>
      </c>
      <c r="E3">
        <v>2</v>
      </c>
      <c r="F3" t="s">
        <v>178</v>
      </c>
      <c r="G3">
        <v>3</v>
      </c>
      <c r="H3" t="s">
        <v>227</v>
      </c>
      <c r="I3">
        <v>3</v>
      </c>
      <c r="J3" t="s">
        <v>350</v>
      </c>
      <c r="K3">
        <v>2</v>
      </c>
      <c r="L3" t="s">
        <v>242</v>
      </c>
      <c r="O3">
        <v>3</v>
      </c>
      <c r="P3" t="s">
        <v>214</v>
      </c>
    </row>
    <row r="4" spans="1:16" x14ac:dyDescent="0.4">
      <c r="A4">
        <v>3</v>
      </c>
      <c r="B4" t="s">
        <v>43</v>
      </c>
      <c r="C4">
        <v>4</v>
      </c>
      <c r="D4" t="s">
        <v>44</v>
      </c>
      <c r="E4">
        <v>3</v>
      </c>
      <c r="F4" t="s">
        <v>179</v>
      </c>
      <c r="G4">
        <v>4</v>
      </c>
      <c r="H4" t="s">
        <v>228</v>
      </c>
      <c r="I4">
        <v>4</v>
      </c>
      <c r="J4" t="s">
        <v>351</v>
      </c>
      <c r="K4">
        <v>3</v>
      </c>
      <c r="L4" t="s">
        <v>243</v>
      </c>
      <c r="O4">
        <v>4</v>
      </c>
      <c r="P4" t="s">
        <v>309</v>
      </c>
    </row>
    <row r="5" spans="1:16" x14ac:dyDescent="0.4">
      <c r="A5">
        <v>4</v>
      </c>
      <c r="B5" t="s">
        <v>45</v>
      </c>
      <c r="C5">
        <v>5</v>
      </c>
      <c r="D5" t="s">
        <v>46</v>
      </c>
      <c r="E5">
        <v>4</v>
      </c>
      <c r="F5" t="s">
        <v>180</v>
      </c>
      <c r="G5">
        <v>5</v>
      </c>
      <c r="H5" t="s">
        <v>229</v>
      </c>
      <c r="I5">
        <v>5</v>
      </c>
      <c r="J5" t="s">
        <v>352</v>
      </c>
      <c r="K5">
        <v>4</v>
      </c>
      <c r="L5" t="s">
        <v>244</v>
      </c>
      <c r="O5">
        <v>5</v>
      </c>
      <c r="P5" t="s">
        <v>275</v>
      </c>
    </row>
    <row r="6" spans="1:16" x14ac:dyDescent="0.4">
      <c r="A6">
        <v>5</v>
      </c>
      <c r="B6" t="s">
        <v>47</v>
      </c>
      <c r="C6">
        <v>6</v>
      </c>
      <c r="D6" t="s">
        <v>48</v>
      </c>
      <c r="E6">
        <v>5</v>
      </c>
      <c r="F6" t="s">
        <v>181</v>
      </c>
      <c r="G6">
        <v>6</v>
      </c>
      <c r="H6" t="s">
        <v>230</v>
      </c>
      <c r="I6">
        <v>6</v>
      </c>
      <c r="J6" t="s">
        <v>353</v>
      </c>
      <c r="K6">
        <v>5</v>
      </c>
      <c r="L6" t="s">
        <v>245</v>
      </c>
      <c r="O6">
        <v>6</v>
      </c>
      <c r="P6" t="s">
        <v>300</v>
      </c>
    </row>
    <row r="7" spans="1:16" x14ac:dyDescent="0.4">
      <c r="A7">
        <v>6</v>
      </c>
      <c r="B7" t="s">
        <v>49</v>
      </c>
      <c r="C7">
        <v>7</v>
      </c>
      <c r="D7" t="s">
        <v>50</v>
      </c>
      <c r="E7">
        <v>6</v>
      </c>
      <c r="F7" t="s">
        <v>182</v>
      </c>
      <c r="G7">
        <v>7</v>
      </c>
      <c r="H7" t="s">
        <v>231</v>
      </c>
      <c r="I7">
        <v>7</v>
      </c>
      <c r="J7" t="s">
        <v>354</v>
      </c>
      <c r="K7">
        <v>6</v>
      </c>
      <c r="L7" t="s">
        <v>246</v>
      </c>
      <c r="O7">
        <v>7</v>
      </c>
      <c r="P7" t="s">
        <v>306</v>
      </c>
    </row>
    <row r="8" spans="1:16" x14ac:dyDescent="0.4">
      <c r="C8">
        <v>8</v>
      </c>
      <c r="D8" t="s">
        <v>51</v>
      </c>
      <c r="E8">
        <v>7</v>
      </c>
      <c r="F8" t="s">
        <v>183</v>
      </c>
      <c r="G8">
        <v>8</v>
      </c>
      <c r="H8" t="s">
        <v>280</v>
      </c>
      <c r="K8">
        <v>7</v>
      </c>
      <c r="L8" t="s">
        <v>247</v>
      </c>
      <c r="O8">
        <v>8</v>
      </c>
      <c r="P8" t="s">
        <v>307</v>
      </c>
    </row>
    <row r="9" spans="1:16" x14ac:dyDescent="0.4">
      <c r="A9">
        <v>0</v>
      </c>
      <c r="B9" t="s">
        <v>233</v>
      </c>
      <c r="C9">
        <v>9</v>
      </c>
      <c r="D9" t="s">
        <v>52</v>
      </c>
      <c r="E9">
        <v>8</v>
      </c>
      <c r="F9" t="s">
        <v>184</v>
      </c>
      <c r="G9">
        <v>9</v>
      </c>
      <c r="H9" t="s">
        <v>314</v>
      </c>
      <c r="K9">
        <v>8</v>
      </c>
      <c r="L9" t="s">
        <v>248</v>
      </c>
      <c r="O9">
        <v>9</v>
      </c>
      <c r="P9" t="s">
        <v>305</v>
      </c>
    </row>
    <row r="10" spans="1:16" x14ac:dyDescent="0.4">
      <c r="A10">
        <v>1</v>
      </c>
      <c r="B10" t="s">
        <v>234</v>
      </c>
      <c r="C10">
        <v>10</v>
      </c>
      <c r="D10" t="s">
        <v>53</v>
      </c>
      <c r="E10">
        <v>9</v>
      </c>
      <c r="F10" t="s">
        <v>185</v>
      </c>
      <c r="K10">
        <v>9</v>
      </c>
      <c r="L10" t="s">
        <v>249</v>
      </c>
    </row>
    <row r="11" spans="1:16" x14ac:dyDescent="0.4">
      <c r="A11">
        <v>2</v>
      </c>
      <c r="B11" t="s">
        <v>235</v>
      </c>
      <c r="C11">
        <v>11</v>
      </c>
      <c r="D11" t="s">
        <v>54</v>
      </c>
      <c r="E11">
        <v>10</v>
      </c>
      <c r="F11" t="s">
        <v>190</v>
      </c>
      <c r="K11">
        <v>10</v>
      </c>
      <c r="L11" t="s">
        <v>213</v>
      </c>
      <c r="O11">
        <v>11</v>
      </c>
      <c r="P11" t="s">
        <v>243</v>
      </c>
    </row>
    <row r="12" spans="1:16" x14ac:dyDescent="0.4">
      <c r="A12">
        <v>3</v>
      </c>
      <c r="B12" t="s">
        <v>236</v>
      </c>
      <c r="C12">
        <v>12</v>
      </c>
      <c r="D12" t="s">
        <v>55</v>
      </c>
      <c r="E12">
        <v>11</v>
      </c>
      <c r="F12" t="s">
        <v>186</v>
      </c>
      <c r="K12">
        <v>11</v>
      </c>
      <c r="L12" t="s">
        <v>250</v>
      </c>
      <c r="O12">
        <v>12</v>
      </c>
      <c r="P12" t="s">
        <v>245</v>
      </c>
    </row>
    <row r="13" spans="1:16" x14ac:dyDescent="0.4">
      <c r="A13">
        <v>4</v>
      </c>
      <c r="B13" t="s">
        <v>237</v>
      </c>
      <c r="C13">
        <v>13</v>
      </c>
      <c r="D13" t="s">
        <v>56</v>
      </c>
      <c r="E13">
        <v>12</v>
      </c>
      <c r="F13" t="s">
        <v>188</v>
      </c>
      <c r="K13">
        <v>12</v>
      </c>
      <c r="L13" t="s">
        <v>251</v>
      </c>
      <c r="O13">
        <v>13</v>
      </c>
      <c r="P13" t="s">
        <v>301</v>
      </c>
    </row>
    <row r="14" spans="1:16" x14ac:dyDescent="0.4">
      <c r="A14">
        <v>5</v>
      </c>
      <c r="B14" t="s">
        <v>238</v>
      </c>
      <c r="C14">
        <v>14</v>
      </c>
      <c r="D14" t="s">
        <v>57</v>
      </c>
      <c r="E14">
        <v>13</v>
      </c>
      <c r="K14">
        <v>13</v>
      </c>
      <c r="L14" t="s">
        <v>252</v>
      </c>
    </row>
    <row r="15" spans="1:16" x14ac:dyDescent="0.4">
      <c r="A15">
        <v>6</v>
      </c>
      <c r="B15" t="s">
        <v>388</v>
      </c>
      <c r="C15">
        <v>15</v>
      </c>
      <c r="D15" t="s">
        <v>58</v>
      </c>
      <c r="E15">
        <v>14</v>
      </c>
      <c r="F15" t="s">
        <v>191</v>
      </c>
      <c r="K15">
        <v>14</v>
      </c>
      <c r="L15" t="s">
        <v>253</v>
      </c>
      <c r="O15">
        <v>21</v>
      </c>
      <c r="P15" t="s">
        <v>213</v>
      </c>
    </row>
    <row r="16" spans="1:16" x14ac:dyDescent="0.4">
      <c r="C16">
        <v>16</v>
      </c>
      <c r="D16" t="s">
        <v>59</v>
      </c>
      <c r="E16">
        <v>15</v>
      </c>
      <c r="F16" t="s">
        <v>192</v>
      </c>
      <c r="K16">
        <v>15</v>
      </c>
      <c r="L16" t="s">
        <v>254</v>
      </c>
      <c r="O16">
        <v>22</v>
      </c>
      <c r="P16" t="s">
        <v>302</v>
      </c>
    </row>
    <row r="17" spans="1:16" x14ac:dyDescent="0.4">
      <c r="A17">
        <v>0</v>
      </c>
      <c r="B17" t="s">
        <v>355</v>
      </c>
      <c r="C17">
        <v>17</v>
      </c>
      <c r="D17" t="s">
        <v>60</v>
      </c>
      <c r="E17">
        <v>16</v>
      </c>
      <c r="F17" t="s">
        <v>193</v>
      </c>
      <c r="K17">
        <v>16</v>
      </c>
      <c r="L17" t="s">
        <v>255</v>
      </c>
    </row>
    <row r="18" spans="1:16" x14ac:dyDescent="0.4">
      <c r="A18">
        <v>1</v>
      </c>
      <c r="B18" t="s">
        <v>270</v>
      </c>
      <c r="C18">
        <v>18</v>
      </c>
      <c r="D18" t="s">
        <v>61</v>
      </c>
      <c r="E18">
        <v>17</v>
      </c>
      <c r="F18" t="s">
        <v>175</v>
      </c>
      <c r="K18">
        <v>17</v>
      </c>
      <c r="L18" t="s">
        <v>256</v>
      </c>
      <c r="O18">
        <v>31</v>
      </c>
      <c r="P18" t="s">
        <v>273</v>
      </c>
    </row>
    <row r="19" spans="1:16" x14ac:dyDescent="0.4">
      <c r="A19">
        <v>2</v>
      </c>
      <c r="B19" t="s">
        <v>239</v>
      </c>
      <c r="C19">
        <v>19</v>
      </c>
      <c r="D19" t="s">
        <v>62</v>
      </c>
      <c r="E19">
        <v>18</v>
      </c>
      <c r="F19" t="s">
        <v>187</v>
      </c>
      <c r="K19">
        <v>18</v>
      </c>
      <c r="L19" t="s">
        <v>257</v>
      </c>
      <c r="O19">
        <v>35</v>
      </c>
      <c r="P19" t="s">
        <v>274</v>
      </c>
    </row>
    <row r="20" spans="1:16" x14ac:dyDescent="0.4">
      <c r="A20">
        <v>3</v>
      </c>
      <c r="B20" t="s">
        <v>271</v>
      </c>
      <c r="C20">
        <v>20</v>
      </c>
      <c r="D20" t="s">
        <v>63</v>
      </c>
      <c r="E20">
        <v>19</v>
      </c>
      <c r="F20" t="s">
        <v>189</v>
      </c>
      <c r="K20">
        <v>19</v>
      </c>
      <c r="L20" t="s">
        <v>258</v>
      </c>
    </row>
    <row r="21" spans="1:16" x14ac:dyDescent="0.4">
      <c r="C21">
        <v>21</v>
      </c>
      <c r="D21" t="s">
        <v>64</v>
      </c>
      <c r="E21">
        <v>20</v>
      </c>
      <c r="F21" t="s">
        <v>195</v>
      </c>
      <c r="K21">
        <v>20</v>
      </c>
      <c r="L21" t="s">
        <v>259</v>
      </c>
      <c r="O21">
        <v>41</v>
      </c>
      <c r="P21" t="s">
        <v>303</v>
      </c>
    </row>
    <row r="22" spans="1:16" x14ac:dyDescent="0.4">
      <c r="C22">
        <v>22</v>
      </c>
      <c r="D22" t="s">
        <v>65</v>
      </c>
      <c r="E22">
        <v>21</v>
      </c>
      <c r="F22" t="s">
        <v>198</v>
      </c>
      <c r="K22">
        <v>21</v>
      </c>
      <c r="L22" t="s">
        <v>260</v>
      </c>
      <c r="O22">
        <v>42</v>
      </c>
      <c r="P22" t="s">
        <v>281</v>
      </c>
    </row>
    <row r="23" spans="1:16" x14ac:dyDescent="0.4">
      <c r="C23">
        <v>23</v>
      </c>
      <c r="D23" t="s">
        <v>66</v>
      </c>
      <c r="E23">
        <v>22</v>
      </c>
      <c r="F23" t="s">
        <v>199</v>
      </c>
      <c r="K23">
        <v>22</v>
      </c>
      <c r="L23" t="s">
        <v>261</v>
      </c>
      <c r="O23">
        <v>43</v>
      </c>
      <c r="P23" t="s">
        <v>304</v>
      </c>
    </row>
    <row r="24" spans="1:16" x14ac:dyDescent="0.4">
      <c r="C24">
        <v>24</v>
      </c>
      <c r="D24" t="s">
        <v>67</v>
      </c>
      <c r="K24">
        <v>23</v>
      </c>
      <c r="L24" t="s">
        <v>262</v>
      </c>
      <c r="O24">
        <v>44</v>
      </c>
      <c r="P24" t="s">
        <v>308</v>
      </c>
    </row>
    <row r="25" spans="1:16" x14ac:dyDescent="0.4">
      <c r="C25">
        <v>25</v>
      </c>
      <c r="D25" t="s">
        <v>68</v>
      </c>
      <c r="K25">
        <v>24</v>
      </c>
      <c r="L25" t="s">
        <v>263</v>
      </c>
    </row>
    <row r="26" spans="1:16" x14ac:dyDescent="0.4">
      <c r="C26">
        <v>26</v>
      </c>
      <c r="D26" t="s">
        <v>69</v>
      </c>
      <c r="K26">
        <v>25</v>
      </c>
      <c r="L26" t="s">
        <v>264</v>
      </c>
      <c r="O26">
        <v>51</v>
      </c>
      <c r="P26" t="s">
        <v>276</v>
      </c>
    </row>
    <row r="27" spans="1:16" x14ac:dyDescent="0.4">
      <c r="C27">
        <v>27</v>
      </c>
      <c r="D27" t="s">
        <v>70</v>
      </c>
      <c r="K27">
        <v>26</v>
      </c>
      <c r="L27" t="s">
        <v>265</v>
      </c>
      <c r="O27">
        <v>52</v>
      </c>
      <c r="P27" t="s">
        <v>277</v>
      </c>
    </row>
    <row r="28" spans="1:16" x14ac:dyDescent="0.4">
      <c r="C28">
        <v>28</v>
      </c>
      <c r="D28" t="s">
        <v>71</v>
      </c>
      <c r="K28">
        <v>27</v>
      </c>
      <c r="L28" t="s">
        <v>266</v>
      </c>
      <c r="O28">
        <v>53</v>
      </c>
      <c r="P28" t="s">
        <v>278</v>
      </c>
    </row>
    <row r="29" spans="1:16" x14ac:dyDescent="0.4">
      <c r="C29">
        <v>29</v>
      </c>
      <c r="D29" t="s">
        <v>72</v>
      </c>
      <c r="K29">
        <v>28</v>
      </c>
      <c r="L29" t="s">
        <v>267</v>
      </c>
    </row>
    <row r="30" spans="1:16" x14ac:dyDescent="0.4">
      <c r="C30">
        <v>30</v>
      </c>
      <c r="D30" t="s">
        <v>73</v>
      </c>
      <c r="K30">
        <v>29</v>
      </c>
      <c r="L30" t="s">
        <v>268</v>
      </c>
    </row>
    <row r="31" spans="1:16" x14ac:dyDescent="0.4">
      <c r="C31">
        <v>31</v>
      </c>
      <c r="D31" t="s">
        <v>74</v>
      </c>
      <c r="K31">
        <v>30</v>
      </c>
      <c r="L31" t="s">
        <v>269</v>
      </c>
    </row>
    <row r="32" spans="1:16" x14ac:dyDescent="0.4">
      <c r="C32">
        <v>32</v>
      </c>
      <c r="D32" t="s">
        <v>75</v>
      </c>
      <c r="K32">
        <v>31</v>
      </c>
      <c r="L32" t="s">
        <v>220</v>
      </c>
    </row>
    <row r="33" spans="3:4" x14ac:dyDescent="0.4">
      <c r="C33">
        <v>33</v>
      </c>
      <c r="D33" t="s">
        <v>76</v>
      </c>
    </row>
    <row r="34" spans="3:4" x14ac:dyDescent="0.4">
      <c r="C34">
        <v>34</v>
      </c>
      <c r="D34" t="s">
        <v>77</v>
      </c>
    </row>
    <row r="35" spans="3:4" x14ac:dyDescent="0.4">
      <c r="C35">
        <v>35</v>
      </c>
      <c r="D35" t="s">
        <v>78</v>
      </c>
    </row>
    <row r="36" spans="3:4" x14ac:dyDescent="0.4">
      <c r="C36">
        <v>36</v>
      </c>
      <c r="D36" t="s">
        <v>79</v>
      </c>
    </row>
    <row r="37" spans="3:4" x14ac:dyDescent="0.4">
      <c r="C37">
        <v>37</v>
      </c>
      <c r="D37" t="s">
        <v>80</v>
      </c>
    </row>
    <row r="38" spans="3:4" x14ac:dyDescent="0.4">
      <c r="C38">
        <v>38</v>
      </c>
      <c r="D38" t="s">
        <v>81</v>
      </c>
    </row>
    <row r="39" spans="3:4" x14ac:dyDescent="0.4">
      <c r="C39">
        <v>39</v>
      </c>
      <c r="D39" t="s">
        <v>82</v>
      </c>
    </row>
    <row r="40" spans="3:4" x14ac:dyDescent="0.4">
      <c r="C40">
        <v>40</v>
      </c>
      <c r="D40" t="s">
        <v>83</v>
      </c>
    </row>
    <row r="41" spans="3:4" x14ac:dyDescent="0.4">
      <c r="C41">
        <v>41</v>
      </c>
      <c r="D41" t="s">
        <v>84</v>
      </c>
    </row>
    <row r="42" spans="3:4" x14ac:dyDescent="0.4">
      <c r="C42">
        <v>42</v>
      </c>
      <c r="D42" t="s">
        <v>85</v>
      </c>
    </row>
    <row r="43" spans="3:4" x14ac:dyDescent="0.4">
      <c r="C43">
        <v>43</v>
      </c>
      <c r="D43" t="s">
        <v>86</v>
      </c>
    </row>
    <row r="44" spans="3:4" x14ac:dyDescent="0.4">
      <c r="C44">
        <v>44</v>
      </c>
      <c r="D44" t="s">
        <v>87</v>
      </c>
    </row>
    <row r="45" spans="3:4" x14ac:dyDescent="0.4">
      <c r="C45">
        <v>45</v>
      </c>
      <c r="D45" t="s">
        <v>88</v>
      </c>
    </row>
    <row r="46" spans="3:4" x14ac:dyDescent="0.4">
      <c r="C46">
        <v>46</v>
      </c>
      <c r="D46" t="s">
        <v>89</v>
      </c>
    </row>
    <row r="47" spans="3:4" x14ac:dyDescent="0.4">
      <c r="C47">
        <v>47</v>
      </c>
      <c r="D47" t="s">
        <v>90</v>
      </c>
    </row>
    <row r="48" spans="3:4" x14ac:dyDescent="0.4">
      <c r="C48">
        <v>48</v>
      </c>
      <c r="D48" t="s">
        <v>91</v>
      </c>
    </row>
    <row r="49" spans="3:4" x14ac:dyDescent="0.4">
      <c r="C49">
        <v>49</v>
      </c>
      <c r="D49" t="s">
        <v>375</v>
      </c>
    </row>
    <row r="50" spans="3:4" x14ac:dyDescent="0.4">
      <c r="C50">
        <v>50</v>
      </c>
      <c r="D50" t="s">
        <v>378</v>
      </c>
    </row>
    <row r="51" spans="3:4" x14ac:dyDescent="0.4">
      <c r="C51">
        <v>51</v>
      </c>
      <c r="D51" t="s">
        <v>379</v>
      </c>
    </row>
    <row r="52" spans="3:4" x14ac:dyDescent="0.4">
      <c r="C52">
        <v>52</v>
      </c>
      <c r="D52" t="s">
        <v>382</v>
      </c>
    </row>
    <row r="53" spans="3:4" x14ac:dyDescent="0.4">
      <c r="C53">
        <v>53</v>
      </c>
      <c r="D53" t="s">
        <v>385</v>
      </c>
    </row>
    <row r="54" spans="3:4" x14ac:dyDescent="0.4">
      <c r="C54">
        <v>91</v>
      </c>
      <c r="D54" t="s">
        <v>313</v>
      </c>
    </row>
    <row r="55" spans="3:4" x14ac:dyDescent="0.4">
      <c r="C55">
        <v>92</v>
      </c>
      <c r="D55" t="s">
        <v>315</v>
      </c>
    </row>
    <row r="56" spans="3:4" x14ac:dyDescent="0.4">
      <c r="C56">
        <v>93</v>
      </c>
      <c r="D56" t="s">
        <v>359</v>
      </c>
    </row>
    <row r="57" spans="3:4" x14ac:dyDescent="0.4">
      <c r="C57">
        <v>101</v>
      </c>
      <c r="D57" t="s">
        <v>148</v>
      </c>
    </row>
    <row r="58" spans="3:4" x14ac:dyDescent="0.4">
      <c r="C58">
        <v>102</v>
      </c>
      <c r="D58" t="s">
        <v>146</v>
      </c>
    </row>
    <row r="59" spans="3:4" x14ac:dyDescent="0.4">
      <c r="C59">
        <v>103</v>
      </c>
      <c r="D59" t="s">
        <v>150</v>
      </c>
    </row>
    <row r="60" spans="3:4" x14ac:dyDescent="0.4">
      <c r="C60">
        <v>104</v>
      </c>
      <c r="D60" t="s">
        <v>204</v>
      </c>
    </row>
    <row r="61" spans="3:4" x14ac:dyDescent="0.4">
      <c r="C61">
        <v>105</v>
      </c>
      <c r="D61" t="s">
        <v>282</v>
      </c>
    </row>
    <row r="62" spans="3:4" x14ac:dyDescent="0.4">
      <c r="C62">
        <v>106</v>
      </c>
      <c r="D62" t="s">
        <v>286</v>
      </c>
    </row>
    <row r="63" spans="3:4" x14ac:dyDescent="0.4">
      <c r="C63">
        <v>107</v>
      </c>
      <c r="D63" t="s">
        <v>289</v>
      </c>
    </row>
    <row r="64" spans="3:4" x14ac:dyDescent="0.4">
      <c r="C64">
        <v>111</v>
      </c>
      <c r="D64" t="s">
        <v>365</v>
      </c>
    </row>
    <row r="65" spans="3:4" x14ac:dyDescent="0.4">
      <c r="C65">
        <v>112</v>
      </c>
      <c r="D65" t="s">
        <v>367</v>
      </c>
    </row>
    <row r="66" spans="3:4" x14ac:dyDescent="0.4">
      <c r="C66">
        <v>113</v>
      </c>
      <c r="D66" t="s">
        <v>371</v>
      </c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35"/>
  <sheetViews>
    <sheetView topLeftCell="A4" zoomScale="85" zoomScaleNormal="85" workbookViewId="0">
      <selection activeCell="Q7" sqref="M6:Q7"/>
    </sheetView>
  </sheetViews>
  <sheetFormatPr defaultRowHeight="18.75" x14ac:dyDescent="0.4"/>
  <cols>
    <col min="2" max="7" width="12.5" customWidth="1"/>
  </cols>
  <sheetData>
    <row r="1" spans="1:20" x14ac:dyDescent="0.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 x14ac:dyDescent="0.4">
      <c r="A2" t="s">
        <v>98</v>
      </c>
      <c r="B2" s="9" t="s">
        <v>29</v>
      </c>
      <c r="C2" s="9" t="s">
        <v>31</v>
      </c>
      <c r="D2" s="9" t="s">
        <v>97</v>
      </c>
      <c r="E2" s="9" t="s">
        <v>33</v>
      </c>
      <c r="F2" s="9" t="s">
        <v>216</v>
      </c>
      <c r="G2" s="9" t="s">
        <v>218</v>
      </c>
    </row>
    <row r="3" spans="1:20" x14ac:dyDescent="0.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 x14ac:dyDescent="0.4">
      <c r="B4" s="9" t="s">
        <v>26</v>
      </c>
      <c r="C4" s="9">
        <v>32</v>
      </c>
      <c r="D4" s="9">
        <v>64</v>
      </c>
      <c r="E4" s="9">
        <v>3</v>
      </c>
      <c r="F4" s="9" t="s">
        <v>34</v>
      </c>
      <c r="G4" s="9" t="s">
        <v>30</v>
      </c>
    </row>
    <row r="5" spans="1:20" x14ac:dyDescent="0.4">
      <c r="B5" s="9">
        <v>1</v>
      </c>
      <c r="C5" s="9"/>
      <c r="D5" s="9"/>
      <c r="E5" s="9"/>
      <c r="F5" s="9"/>
      <c r="G5" s="9"/>
    </row>
    <row r="6" spans="1:20" x14ac:dyDescent="0.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152</v>
      </c>
    </row>
    <row r="7" spans="1:20" x14ac:dyDescent="0.4">
      <c r="A7" s="8"/>
      <c r="B7" s="13">
        <v>1</v>
      </c>
      <c r="C7" s="11" t="s">
        <v>38</v>
      </c>
      <c r="D7" s="11" t="s">
        <v>99</v>
      </c>
      <c r="E7" s="11" t="s">
        <v>197</v>
      </c>
      <c r="F7" s="13">
        <v>1</v>
      </c>
      <c r="G7" s="13">
        <v>2</v>
      </c>
      <c r="H7" t="s">
        <v>292</v>
      </c>
      <c r="T7" s="16"/>
    </row>
    <row r="8" spans="1:20" x14ac:dyDescent="0.4">
      <c r="A8" s="8"/>
      <c r="B8" s="13">
        <v>2</v>
      </c>
      <c r="C8" s="11" t="s">
        <v>40</v>
      </c>
      <c r="D8" s="11" t="s">
        <v>100</v>
      </c>
      <c r="E8" s="11" t="s">
        <v>197</v>
      </c>
      <c r="F8" s="13">
        <v>2</v>
      </c>
      <c r="G8" s="13">
        <v>3</v>
      </c>
      <c r="H8" t="s">
        <v>222</v>
      </c>
      <c r="O8" s="15"/>
    </row>
    <row r="9" spans="1:20" x14ac:dyDescent="0.4">
      <c r="A9" s="8"/>
      <c r="B9" s="13">
        <v>3</v>
      </c>
      <c r="C9" s="11" t="s">
        <v>42</v>
      </c>
      <c r="D9" s="11" t="s">
        <v>101</v>
      </c>
      <c r="E9" s="11" t="s">
        <v>197</v>
      </c>
      <c r="F9" s="13">
        <v>3</v>
      </c>
      <c r="G9" s="13">
        <v>2</v>
      </c>
      <c r="H9" t="s">
        <v>224</v>
      </c>
    </row>
    <row r="10" spans="1:20" x14ac:dyDescent="0.4">
      <c r="A10" s="8"/>
      <c r="B10" s="13">
        <v>4</v>
      </c>
      <c r="C10" s="11" t="s">
        <v>44</v>
      </c>
      <c r="D10" s="11" t="s">
        <v>102</v>
      </c>
      <c r="E10" s="11" t="s">
        <v>197</v>
      </c>
      <c r="F10" s="13">
        <v>2</v>
      </c>
      <c r="G10" s="13">
        <v>1</v>
      </c>
      <c r="H10" t="s">
        <v>293</v>
      </c>
    </row>
    <row r="11" spans="1:20" x14ac:dyDescent="0.4">
      <c r="A11" s="8"/>
      <c r="B11" s="13">
        <v>5</v>
      </c>
      <c r="C11" s="11" t="s">
        <v>46</v>
      </c>
      <c r="D11" s="11" t="s">
        <v>103</v>
      </c>
      <c r="E11" s="11" t="s">
        <v>197</v>
      </c>
      <c r="F11" s="13">
        <v>1</v>
      </c>
      <c r="G11" s="13">
        <v>4</v>
      </c>
      <c r="H11" t="s">
        <v>285</v>
      </c>
      <c r="T11" s="16"/>
    </row>
    <row r="12" spans="1:20" x14ac:dyDescent="0.4">
      <c r="A12" s="8"/>
      <c r="B12" s="13">
        <v>6</v>
      </c>
      <c r="C12" s="11" t="s">
        <v>48</v>
      </c>
      <c r="D12" s="11" t="s">
        <v>104</v>
      </c>
      <c r="E12" s="11" t="s">
        <v>197</v>
      </c>
      <c r="F12" s="13">
        <v>1</v>
      </c>
      <c r="G12" s="13">
        <v>4</v>
      </c>
      <c r="H12" t="s">
        <v>288</v>
      </c>
      <c r="O12" s="15"/>
    </row>
    <row r="13" spans="1:20" x14ac:dyDescent="0.4">
      <c r="A13" s="8"/>
      <c r="B13" s="13">
        <v>7</v>
      </c>
      <c r="C13" s="11" t="s">
        <v>50</v>
      </c>
      <c r="D13" s="11" t="s">
        <v>105</v>
      </c>
      <c r="E13" s="11" t="s">
        <v>202</v>
      </c>
      <c r="F13" s="13">
        <v>3</v>
      </c>
      <c r="G13" s="13">
        <v>3</v>
      </c>
      <c r="H13" t="s">
        <v>221</v>
      </c>
    </row>
    <row r="14" spans="1:20" x14ac:dyDescent="0.4">
      <c r="A14" s="8"/>
      <c r="B14" s="13">
        <v>8</v>
      </c>
      <c r="C14" s="11" t="s">
        <v>51</v>
      </c>
      <c r="D14" s="11" t="s">
        <v>106</v>
      </c>
      <c r="E14" s="11" t="s">
        <v>202</v>
      </c>
      <c r="F14" s="13">
        <v>2</v>
      </c>
      <c r="G14" s="13">
        <v>2</v>
      </c>
      <c r="H14" t="s">
        <v>293</v>
      </c>
    </row>
    <row r="15" spans="1:20" x14ac:dyDescent="0.4">
      <c r="A15" s="8"/>
      <c r="B15" s="13">
        <v>9</v>
      </c>
      <c r="C15" s="11" t="s">
        <v>52</v>
      </c>
      <c r="D15" s="11" t="s">
        <v>107</v>
      </c>
      <c r="E15" s="11" t="s">
        <v>202</v>
      </c>
      <c r="F15" s="13">
        <v>1</v>
      </c>
      <c r="G15" s="13">
        <v>4</v>
      </c>
      <c r="H15" t="s">
        <v>288</v>
      </c>
      <c r="T15" s="16"/>
    </row>
    <row r="16" spans="1:20" x14ac:dyDescent="0.4">
      <c r="A16" s="8"/>
      <c r="B16" s="13">
        <v>10</v>
      </c>
      <c r="C16" s="11" t="s">
        <v>53</v>
      </c>
      <c r="D16" s="11" t="s">
        <v>108</v>
      </c>
      <c r="E16" s="11" t="s">
        <v>202</v>
      </c>
      <c r="F16" s="13">
        <v>2</v>
      </c>
      <c r="G16" s="13">
        <v>3</v>
      </c>
      <c r="H16" t="s">
        <v>222</v>
      </c>
      <c r="O16" s="15"/>
    </row>
    <row r="17" spans="1:20" x14ac:dyDescent="0.4">
      <c r="A17" s="8"/>
      <c r="B17" s="13">
        <v>11</v>
      </c>
      <c r="C17" s="11" t="s">
        <v>54</v>
      </c>
      <c r="D17" s="11" t="s">
        <v>109</v>
      </c>
      <c r="E17" s="11" t="s">
        <v>202</v>
      </c>
      <c r="F17" s="13">
        <v>1</v>
      </c>
      <c r="G17" s="13">
        <v>4</v>
      </c>
      <c r="H17" t="s">
        <v>285</v>
      </c>
    </row>
    <row r="18" spans="1:20" x14ac:dyDescent="0.4">
      <c r="A18" s="8"/>
      <c r="B18" s="13">
        <v>12</v>
      </c>
      <c r="C18" s="11" t="s">
        <v>55</v>
      </c>
      <c r="D18" s="11" t="s">
        <v>55</v>
      </c>
      <c r="E18" s="11" t="s">
        <v>202</v>
      </c>
      <c r="F18" s="13">
        <v>2</v>
      </c>
      <c r="G18" s="13">
        <v>3</v>
      </c>
      <c r="H18" t="s">
        <v>296</v>
      </c>
    </row>
    <row r="19" spans="1:20" x14ac:dyDescent="0.4">
      <c r="A19" s="8"/>
      <c r="B19" s="13">
        <v>13</v>
      </c>
      <c r="C19" s="11" t="s">
        <v>56</v>
      </c>
      <c r="D19" s="11" t="s">
        <v>110</v>
      </c>
      <c r="E19" s="11" t="s">
        <v>171</v>
      </c>
      <c r="F19" s="13">
        <v>1</v>
      </c>
      <c r="G19" s="13">
        <v>3</v>
      </c>
      <c r="H19" t="s">
        <v>285</v>
      </c>
      <c r="T19" s="16"/>
    </row>
    <row r="20" spans="1:20" x14ac:dyDescent="0.4">
      <c r="A20" s="8"/>
      <c r="B20" s="13">
        <v>14</v>
      </c>
      <c r="C20" s="11" t="s">
        <v>57</v>
      </c>
      <c r="D20" s="11" t="s">
        <v>111</v>
      </c>
      <c r="E20" s="11" t="s">
        <v>171</v>
      </c>
      <c r="F20" s="13">
        <v>3</v>
      </c>
      <c r="G20" s="13">
        <v>3</v>
      </c>
      <c r="H20" t="s">
        <v>221</v>
      </c>
      <c r="O20" s="15"/>
    </row>
    <row r="21" spans="1:20" x14ac:dyDescent="0.4">
      <c r="A21" s="8"/>
      <c r="B21" s="13">
        <v>15</v>
      </c>
      <c r="C21" s="11" t="s">
        <v>58</v>
      </c>
      <c r="D21" s="11" t="s">
        <v>112</v>
      </c>
      <c r="E21" s="11" t="s">
        <v>171</v>
      </c>
      <c r="F21" s="13">
        <v>2</v>
      </c>
      <c r="G21" s="13">
        <v>1</v>
      </c>
      <c r="H21" t="s">
        <v>223</v>
      </c>
    </row>
    <row r="22" spans="1:20" x14ac:dyDescent="0.4">
      <c r="A22" s="8"/>
      <c r="B22" s="13">
        <v>16</v>
      </c>
      <c r="C22" s="11" t="s">
        <v>59</v>
      </c>
      <c r="D22" s="11" t="s">
        <v>113</v>
      </c>
      <c r="E22" s="11" t="s">
        <v>171</v>
      </c>
      <c r="F22" s="13">
        <v>2</v>
      </c>
      <c r="G22" s="13">
        <v>1</v>
      </c>
      <c r="H22" t="s">
        <v>223</v>
      </c>
    </row>
    <row r="23" spans="1:20" x14ac:dyDescent="0.4">
      <c r="A23" s="8"/>
      <c r="B23" s="13">
        <v>17</v>
      </c>
      <c r="C23" s="11" t="s">
        <v>60</v>
      </c>
      <c r="D23" s="11" t="s">
        <v>114</v>
      </c>
      <c r="E23" s="11" t="s">
        <v>171</v>
      </c>
      <c r="F23" s="13">
        <v>1</v>
      </c>
      <c r="G23" s="13">
        <v>4</v>
      </c>
      <c r="H23" t="s">
        <v>288</v>
      </c>
      <c r="T23" s="16"/>
    </row>
    <row r="24" spans="1:20" x14ac:dyDescent="0.4">
      <c r="A24" s="8"/>
      <c r="B24" s="13">
        <v>18</v>
      </c>
      <c r="C24" s="11" t="s">
        <v>61</v>
      </c>
      <c r="D24" s="11" t="s">
        <v>115</v>
      </c>
      <c r="E24" s="11" t="s">
        <v>171</v>
      </c>
      <c r="F24" s="13">
        <v>2</v>
      </c>
      <c r="G24" s="13">
        <v>3</v>
      </c>
      <c r="H24" t="s">
        <v>222</v>
      </c>
      <c r="O24" s="15"/>
    </row>
    <row r="25" spans="1:20" x14ac:dyDescent="0.4">
      <c r="A25" s="8"/>
      <c r="B25" s="13">
        <v>19</v>
      </c>
      <c r="C25" s="11" t="s">
        <v>62</v>
      </c>
      <c r="D25" s="11" t="s">
        <v>116</v>
      </c>
      <c r="E25" s="11" t="s">
        <v>196</v>
      </c>
      <c r="F25" s="13">
        <v>3</v>
      </c>
      <c r="G25" s="13">
        <v>3</v>
      </c>
      <c r="H25" t="s">
        <v>221</v>
      </c>
    </row>
    <row r="26" spans="1:20" x14ac:dyDescent="0.4">
      <c r="A26" s="8"/>
      <c r="B26" s="13">
        <v>20</v>
      </c>
      <c r="C26" s="11" t="s">
        <v>63</v>
      </c>
      <c r="D26" s="11" t="s">
        <v>117</v>
      </c>
      <c r="E26" s="11" t="s">
        <v>196</v>
      </c>
      <c r="F26" s="13">
        <v>2</v>
      </c>
      <c r="G26" s="13">
        <v>1</v>
      </c>
      <c r="H26" t="s">
        <v>293</v>
      </c>
    </row>
    <row r="27" spans="1:20" x14ac:dyDescent="0.4">
      <c r="A27" s="8"/>
      <c r="B27" s="13">
        <v>21</v>
      </c>
      <c r="C27" s="11" t="s">
        <v>64</v>
      </c>
      <c r="D27" s="11" t="s">
        <v>118</v>
      </c>
      <c r="E27" s="11" t="s">
        <v>196</v>
      </c>
      <c r="F27" s="13">
        <v>1</v>
      </c>
      <c r="G27" s="13">
        <v>4</v>
      </c>
      <c r="H27" t="s">
        <v>288</v>
      </c>
      <c r="T27" s="16"/>
    </row>
    <row r="28" spans="1:20" x14ac:dyDescent="0.4">
      <c r="A28" s="8"/>
      <c r="B28" s="13">
        <v>22</v>
      </c>
      <c r="C28" s="11" t="s">
        <v>65</v>
      </c>
      <c r="D28" s="11" t="s">
        <v>119</v>
      </c>
      <c r="E28" s="11" t="s">
        <v>196</v>
      </c>
      <c r="F28" s="13">
        <v>2</v>
      </c>
      <c r="G28" s="13">
        <v>3</v>
      </c>
      <c r="H28" t="s">
        <v>222</v>
      </c>
      <c r="O28" s="15"/>
    </row>
    <row r="29" spans="1:20" x14ac:dyDescent="0.4">
      <c r="A29" s="8"/>
      <c r="B29" s="13">
        <v>23</v>
      </c>
      <c r="C29" s="11" t="s">
        <v>66</v>
      </c>
      <c r="D29" s="11" t="s">
        <v>120</v>
      </c>
      <c r="E29" s="11" t="s">
        <v>196</v>
      </c>
      <c r="F29" s="13">
        <v>3</v>
      </c>
      <c r="G29" s="13">
        <v>2</v>
      </c>
      <c r="H29" t="s">
        <v>224</v>
      </c>
    </row>
    <row r="30" spans="1:20" x14ac:dyDescent="0.4">
      <c r="A30" s="8"/>
      <c r="B30" s="13">
        <v>24</v>
      </c>
      <c r="C30" s="11" t="s">
        <v>219</v>
      </c>
      <c r="D30" s="11" t="s">
        <v>121</v>
      </c>
      <c r="E30" s="11" t="s">
        <v>196</v>
      </c>
      <c r="F30" s="13">
        <v>3</v>
      </c>
      <c r="G30" s="13">
        <v>2</v>
      </c>
      <c r="H30" t="s">
        <v>224</v>
      </c>
    </row>
    <row r="31" spans="1:20" x14ac:dyDescent="0.4">
      <c r="A31" s="8"/>
      <c r="B31" s="13">
        <v>25</v>
      </c>
      <c r="C31" s="11" t="s">
        <v>68</v>
      </c>
      <c r="D31" s="11" t="s">
        <v>122</v>
      </c>
      <c r="E31" s="11" t="s">
        <v>203</v>
      </c>
      <c r="F31" s="13">
        <v>3</v>
      </c>
      <c r="G31" s="14">
        <v>3</v>
      </c>
      <c r="H31" t="s">
        <v>221</v>
      </c>
      <c r="T31" s="16"/>
    </row>
    <row r="32" spans="1:20" x14ac:dyDescent="0.4">
      <c r="A32" s="8"/>
      <c r="B32" s="13">
        <v>26</v>
      </c>
      <c r="C32" s="11" t="s">
        <v>69</v>
      </c>
      <c r="D32" s="11" t="s">
        <v>123</v>
      </c>
      <c r="E32" s="11" t="s">
        <v>203</v>
      </c>
      <c r="F32" s="13">
        <v>1</v>
      </c>
      <c r="G32" s="14">
        <v>4</v>
      </c>
      <c r="H32" t="s">
        <v>294</v>
      </c>
      <c r="O32" s="15"/>
    </row>
    <row r="33" spans="1:20" x14ac:dyDescent="0.4">
      <c r="A33" s="8"/>
      <c r="B33" s="13">
        <v>27</v>
      </c>
      <c r="C33" s="11" t="s">
        <v>70</v>
      </c>
      <c r="D33" s="11" t="s">
        <v>124</v>
      </c>
      <c r="E33" s="11" t="s">
        <v>203</v>
      </c>
      <c r="F33" s="13">
        <v>3</v>
      </c>
      <c r="G33" s="14">
        <v>2</v>
      </c>
      <c r="H33" t="s">
        <v>224</v>
      </c>
    </row>
    <row r="34" spans="1:20" x14ac:dyDescent="0.4">
      <c r="A34" s="8"/>
      <c r="B34" s="13">
        <v>28</v>
      </c>
      <c r="C34" s="11" t="s">
        <v>71</v>
      </c>
      <c r="D34" s="11" t="s">
        <v>125</v>
      </c>
      <c r="E34" s="11" t="s">
        <v>203</v>
      </c>
      <c r="F34" s="13">
        <v>2</v>
      </c>
      <c r="G34" s="14">
        <v>1</v>
      </c>
      <c r="H34" t="s">
        <v>223</v>
      </c>
    </row>
    <row r="35" spans="1:20" x14ac:dyDescent="0.4">
      <c r="A35" s="8"/>
      <c r="B35" s="13">
        <v>29</v>
      </c>
      <c r="C35" s="11" t="s">
        <v>72</v>
      </c>
      <c r="D35" s="11" t="s">
        <v>126</v>
      </c>
      <c r="E35" s="11" t="s">
        <v>203</v>
      </c>
      <c r="F35" s="13">
        <v>1</v>
      </c>
      <c r="G35" s="14">
        <v>4</v>
      </c>
      <c r="H35" t="s">
        <v>285</v>
      </c>
      <c r="T35" s="16"/>
    </row>
    <row r="36" spans="1:20" x14ac:dyDescent="0.4">
      <c r="A36" s="8"/>
      <c r="B36" s="13">
        <v>30</v>
      </c>
      <c r="C36" s="11" t="s">
        <v>73</v>
      </c>
      <c r="D36" s="11" t="s">
        <v>127</v>
      </c>
      <c r="E36" s="11" t="s">
        <v>203</v>
      </c>
      <c r="F36" s="13">
        <v>2</v>
      </c>
      <c r="G36" s="14">
        <v>3</v>
      </c>
      <c r="H36" t="s">
        <v>222</v>
      </c>
      <c r="O36" s="15"/>
    </row>
    <row r="37" spans="1:20" x14ac:dyDescent="0.4">
      <c r="A37" s="8"/>
      <c r="B37" s="13">
        <v>31</v>
      </c>
      <c r="C37" s="11" t="s">
        <v>74</v>
      </c>
      <c r="D37" s="11" t="s">
        <v>128</v>
      </c>
      <c r="E37" s="11" t="s">
        <v>207</v>
      </c>
      <c r="F37" s="13">
        <v>2</v>
      </c>
      <c r="G37" s="14">
        <v>1</v>
      </c>
      <c r="H37" t="s">
        <v>293</v>
      </c>
    </row>
    <row r="38" spans="1:20" x14ac:dyDescent="0.4">
      <c r="A38" s="8"/>
      <c r="B38" s="13">
        <v>32</v>
      </c>
      <c r="C38" s="11" t="s">
        <v>75</v>
      </c>
      <c r="D38" s="11" t="s">
        <v>129</v>
      </c>
      <c r="E38" s="11" t="s">
        <v>207</v>
      </c>
      <c r="F38" s="13">
        <v>2</v>
      </c>
      <c r="G38" s="14">
        <v>3</v>
      </c>
      <c r="H38" t="s">
        <v>222</v>
      </c>
    </row>
    <row r="39" spans="1:20" x14ac:dyDescent="0.4">
      <c r="A39" s="8"/>
      <c r="B39" s="13">
        <v>33</v>
      </c>
      <c r="C39" s="11" t="s">
        <v>76</v>
      </c>
      <c r="D39" s="11" t="s">
        <v>130</v>
      </c>
      <c r="E39" s="11" t="s">
        <v>207</v>
      </c>
      <c r="F39" s="13">
        <v>1</v>
      </c>
      <c r="G39" s="14">
        <v>4</v>
      </c>
      <c r="H39" t="s">
        <v>285</v>
      </c>
      <c r="T39" s="16"/>
    </row>
    <row r="40" spans="1:20" x14ac:dyDescent="0.4">
      <c r="A40" s="8"/>
      <c r="B40" s="13">
        <v>34</v>
      </c>
      <c r="C40" s="11" t="s">
        <v>77</v>
      </c>
      <c r="D40" s="11" t="s">
        <v>131</v>
      </c>
      <c r="E40" s="11" t="s">
        <v>207</v>
      </c>
      <c r="F40" s="13">
        <v>3</v>
      </c>
      <c r="G40" s="14">
        <v>3</v>
      </c>
      <c r="H40" t="s">
        <v>221</v>
      </c>
      <c r="O40" s="15"/>
    </row>
    <row r="41" spans="1:20" x14ac:dyDescent="0.4">
      <c r="A41" s="8"/>
      <c r="B41" s="13">
        <v>35</v>
      </c>
      <c r="C41" s="11" t="s">
        <v>78</v>
      </c>
      <c r="D41" s="11" t="s">
        <v>132</v>
      </c>
      <c r="E41" s="11" t="s">
        <v>207</v>
      </c>
      <c r="F41" s="13">
        <v>1</v>
      </c>
      <c r="G41" s="14">
        <v>4</v>
      </c>
      <c r="H41" t="s">
        <v>294</v>
      </c>
    </row>
    <row r="42" spans="1:20" x14ac:dyDescent="0.4">
      <c r="A42" s="8"/>
      <c r="B42" s="13">
        <v>36</v>
      </c>
      <c r="C42" s="11" t="s">
        <v>79</v>
      </c>
      <c r="D42" s="11" t="s">
        <v>133</v>
      </c>
      <c r="E42" s="11" t="s">
        <v>207</v>
      </c>
      <c r="F42" s="13">
        <v>3</v>
      </c>
      <c r="G42" s="14">
        <v>2</v>
      </c>
      <c r="H42" t="s">
        <v>224</v>
      </c>
    </row>
    <row r="43" spans="1:20" x14ac:dyDescent="0.4">
      <c r="A43" s="8"/>
      <c r="B43" s="13">
        <v>37</v>
      </c>
      <c r="C43" s="11" t="s">
        <v>80</v>
      </c>
      <c r="D43" s="11" t="s">
        <v>134</v>
      </c>
      <c r="E43" s="11" t="s">
        <v>172</v>
      </c>
      <c r="F43" s="13">
        <v>1</v>
      </c>
      <c r="G43" s="13">
        <v>4</v>
      </c>
      <c r="H43" t="s">
        <v>285</v>
      </c>
      <c r="T43" s="16"/>
    </row>
    <row r="44" spans="1:20" x14ac:dyDescent="0.4">
      <c r="A44" s="8"/>
      <c r="B44" s="13">
        <v>38</v>
      </c>
      <c r="C44" s="11" t="s">
        <v>81</v>
      </c>
      <c r="D44" s="11" t="s">
        <v>135</v>
      </c>
      <c r="E44" s="11" t="s">
        <v>172</v>
      </c>
      <c r="F44" s="13">
        <v>1</v>
      </c>
      <c r="G44" s="13">
        <v>4</v>
      </c>
      <c r="H44" t="s">
        <v>288</v>
      </c>
      <c r="O44" s="15"/>
    </row>
    <row r="45" spans="1:20" x14ac:dyDescent="0.4">
      <c r="A45" s="8"/>
      <c r="B45" s="13">
        <v>39</v>
      </c>
      <c r="C45" s="11" t="s">
        <v>82</v>
      </c>
      <c r="D45" s="11" t="s">
        <v>136</v>
      </c>
      <c r="E45" s="11" t="s">
        <v>172</v>
      </c>
      <c r="F45" s="13">
        <v>2</v>
      </c>
      <c r="G45" s="13">
        <v>1</v>
      </c>
      <c r="H45" t="s">
        <v>293</v>
      </c>
    </row>
    <row r="46" spans="1:20" x14ac:dyDescent="0.4">
      <c r="A46" s="8"/>
      <c r="B46" s="13">
        <v>40</v>
      </c>
      <c r="C46" s="11" t="s">
        <v>83</v>
      </c>
      <c r="D46" s="11" t="s">
        <v>137</v>
      </c>
      <c r="E46" s="11" t="s">
        <v>172</v>
      </c>
      <c r="F46" s="13">
        <v>3</v>
      </c>
      <c r="G46" s="13">
        <v>3</v>
      </c>
      <c r="H46" t="s">
        <v>221</v>
      </c>
    </row>
    <row r="47" spans="1:20" x14ac:dyDescent="0.4">
      <c r="A47" s="8"/>
      <c r="B47" s="13">
        <v>41</v>
      </c>
      <c r="C47" s="11" t="s">
        <v>84</v>
      </c>
      <c r="D47" s="11" t="s">
        <v>138</v>
      </c>
      <c r="E47" s="11" t="s">
        <v>172</v>
      </c>
      <c r="F47" s="13">
        <v>3</v>
      </c>
      <c r="G47" s="13">
        <v>2</v>
      </c>
      <c r="H47" t="s">
        <v>224</v>
      </c>
      <c r="T47" s="16"/>
    </row>
    <row r="48" spans="1:20" x14ac:dyDescent="0.4">
      <c r="A48" s="8"/>
      <c r="B48" s="13">
        <v>42</v>
      </c>
      <c r="C48" s="11" t="s">
        <v>85</v>
      </c>
      <c r="D48" s="11" t="s">
        <v>139</v>
      </c>
      <c r="E48" s="11" t="s">
        <v>172</v>
      </c>
      <c r="F48" s="13">
        <v>2</v>
      </c>
      <c r="G48" s="13">
        <v>3</v>
      </c>
      <c r="H48" t="s">
        <v>222</v>
      </c>
      <c r="O48" s="15"/>
    </row>
    <row r="49" spans="1:20" x14ac:dyDescent="0.4">
      <c r="A49" s="8"/>
      <c r="B49" s="13">
        <v>43</v>
      </c>
      <c r="C49" s="11" t="s">
        <v>86</v>
      </c>
      <c r="D49" s="11" t="s">
        <v>140</v>
      </c>
      <c r="E49" s="11" t="s">
        <v>176</v>
      </c>
      <c r="F49" s="13">
        <v>1</v>
      </c>
      <c r="G49" s="13">
        <v>4</v>
      </c>
      <c r="H49" t="s">
        <v>288</v>
      </c>
    </row>
    <row r="50" spans="1:20" x14ac:dyDescent="0.4">
      <c r="A50" s="8"/>
      <c r="B50" s="13">
        <v>44</v>
      </c>
      <c r="C50" s="11" t="s">
        <v>87</v>
      </c>
      <c r="D50" s="11" t="s">
        <v>141</v>
      </c>
      <c r="E50" s="11" t="s">
        <v>176</v>
      </c>
      <c r="F50" s="13">
        <v>3</v>
      </c>
      <c r="G50" s="13">
        <v>2</v>
      </c>
      <c r="H50" t="s">
        <v>224</v>
      </c>
    </row>
    <row r="51" spans="1:20" x14ac:dyDescent="0.4">
      <c r="A51" s="8"/>
      <c r="B51" s="13">
        <v>45</v>
      </c>
      <c r="C51" s="11" t="s">
        <v>88</v>
      </c>
      <c r="D51" s="11" t="s">
        <v>142</v>
      </c>
      <c r="E51" s="11" t="s">
        <v>176</v>
      </c>
      <c r="F51" s="13">
        <v>2</v>
      </c>
      <c r="G51" s="13">
        <v>1</v>
      </c>
      <c r="H51" t="s">
        <v>223</v>
      </c>
      <c r="T51" s="16"/>
    </row>
    <row r="52" spans="1:20" x14ac:dyDescent="0.4">
      <c r="A52" s="8"/>
      <c r="B52" s="13">
        <v>46</v>
      </c>
      <c r="C52" s="11" t="s">
        <v>89</v>
      </c>
      <c r="D52" s="11" t="s">
        <v>143</v>
      </c>
      <c r="E52" s="11" t="s">
        <v>176</v>
      </c>
      <c r="F52" s="13">
        <v>3</v>
      </c>
      <c r="G52" s="13">
        <v>3</v>
      </c>
      <c r="H52" t="s">
        <v>221</v>
      </c>
      <c r="O52" s="15"/>
    </row>
    <row r="53" spans="1:20" x14ac:dyDescent="0.4">
      <c r="A53" s="8"/>
      <c r="B53" s="13">
        <v>47</v>
      </c>
      <c r="C53" s="11" t="s">
        <v>90</v>
      </c>
      <c r="D53" s="11" t="s">
        <v>144</v>
      </c>
      <c r="E53" s="11" t="s">
        <v>176</v>
      </c>
      <c r="F53" s="13">
        <v>2</v>
      </c>
      <c r="G53" s="13">
        <v>1</v>
      </c>
      <c r="H53" t="s">
        <v>293</v>
      </c>
    </row>
    <row r="54" spans="1:20" x14ac:dyDescent="0.4">
      <c r="A54" s="8"/>
      <c r="B54" s="13">
        <v>48</v>
      </c>
      <c r="C54" s="11" t="s">
        <v>91</v>
      </c>
      <c r="D54" s="11" t="s">
        <v>145</v>
      </c>
      <c r="E54" s="11" t="s">
        <v>176</v>
      </c>
      <c r="F54" s="13">
        <v>1</v>
      </c>
      <c r="G54" s="13">
        <v>4</v>
      </c>
      <c r="H54" t="s">
        <v>295</v>
      </c>
    </row>
    <row r="55" spans="1:20" x14ac:dyDescent="0.4">
      <c r="A55" s="8"/>
      <c r="B55" s="13">
        <v>49</v>
      </c>
      <c r="C55" s="11" t="s">
        <v>376</v>
      </c>
      <c r="D55" s="11" t="s">
        <v>377</v>
      </c>
      <c r="E55" s="11" t="s">
        <v>374</v>
      </c>
      <c r="F55" s="13">
        <v>0</v>
      </c>
      <c r="G55" s="13">
        <v>0</v>
      </c>
    </row>
    <row r="56" spans="1:20" x14ac:dyDescent="0.4">
      <c r="A56" s="8"/>
      <c r="B56" s="13">
        <v>50</v>
      </c>
      <c r="C56" s="11" t="s">
        <v>378</v>
      </c>
      <c r="D56" s="11" t="s">
        <v>373</v>
      </c>
      <c r="E56" s="11" t="s">
        <v>374</v>
      </c>
      <c r="F56" s="13">
        <v>2</v>
      </c>
      <c r="G56" s="13">
        <v>3</v>
      </c>
      <c r="H56" t="s">
        <v>222</v>
      </c>
    </row>
    <row r="57" spans="1:20" x14ac:dyDescent="0.4">
      <c r="A57" s="8"/>
      <c r="B57" s="13">
        <v>51</v>
      </c>
      <c r="C57" s="11" t="s">
        <v>380</v>
      </c>
      <c r="D57" s="11" t="s">
        <v>381</v>
      </c>
      <c r="E57" s="11" t="s">
        <v>374</v>
      </c>
      <c r="F57" s="13">
        <v>0</v>
      </c>
      <c r="G57" s="13">
        <v>0</v>
      </c>
    </row>
    <row r="58" spans="1:20" x14ac:dyDescent="0.4">
      <c r="A58" s="8"/>
      <c r="B58" s="13">
        <v>52</v>
      </c>
      <c r="C58" s="11" t="s">
        <v>383</v>
      </c>
      <c r="D58" s="11" t="s">
        <v>384</v>
      </c>
      <c r="E58" s="11" t="s">
        <v>374</v>
      </c>
      <c r="F58" s="13">
        <v>0</v>
      </c>
      <c r="G58" s="13">
        <v>0</v>
      </c>
    </row>
    <row r="59" spans="1:20" x14ac:dyDescent="0.4">
      <c r="A59" s="8"/>
      <c r="B59" s="13">
        <v>53</v>
      </c>
      <c r="C59" s="11" t="s">
        <v>386</v>
      </c>
      <c r="D59" s="11" t="s">
        <v>387</v>
      </c>
      <c r="E59" s="11" t="s">
        <v>374</v>
      </c>
      <c r="F59" s="13">
        <v>0</v>
      </c>
      <c r="G59" s="13">
        <v>0</v>
      </c>
    </row>
    <row r="60" spans="1:20" x14ac:dyDescent="0.4">
      <c r="A60" s="8"/>
      <c r="B60" s="13">
        <v>91</v>
      </c>
      <c r="C60" s="11" t="s">
        <v>297</v>
      </c>
      <c r="D60" s="11" t="s">
        <v>298</v>
      </c>
      <c r="E60" s="11" t="s">
        <v>311</v>
      </c>
      <c r="F60" s="13">
        <v>2</v>
      </c>
      <c r="G60" s="14">
        <v>1</v>
      </c>
      <c r="H60" t="s">
        <v>312</v>
      </c>
    </row>
    <row r="61" spans="1:20" x14ac:dyDescent="0.4">
      <c r="A61" s="8"/>
      <c r="B61" s="13">
        <v>92</v>
      </c>
      <c r="C61" s="11" t="s">
        <v>315</v>
      </c>
      <c r="D61" s="11" t="s">
        <v>316</v>
      </c>
      <c r="E61" s="11" t="s">
        <v>311</v>
      </c>
      <c r="F61" s="13">
        <v>2</v>
      </c>
      <c r="G61" s="14">
        <v>3</v>
      </c>
    </row>
    <row r="62" spans="1:20" x14ac:dyDescent="0.4">
      <c r="A62" s="8"/>
      <c r="B62" s="13">
        <v>93</v>
      </c>
      <c r="C62" s="11" t="s">
        <v>317</v>
      </c>
      <c r="D62" s="11" t="s">
        <v>318</v>
      </c>
      <c r="E62" s="11" t="s">
        <v>311</v>
      </c>
      <c r="F62" s="13">
        <v>0</v>
      </c>
      <c r="G62" s="14">
        <v>0</v>
      </c>
    </row>
    <row r="63" spans="1:20" x14ac:dyDescent="0.4">
      <c r="A63" s="8"/>
      <c r="B63" s="13">
        <v>101</v>
      </c>
      <c r="C63" s="11" t="s">
        <v>148</v>
      </c>
      <c r="D63" s="11" t="s">
        <v>149</v>
      </c>
      <c r="E63" s="11" t="s">
        <v>208</v>
      </c>
      <c r="F63" s="13">
        <v>1</v>
      </c>
      <c r="G63" s="14">
        <v>2</v>
      </c>
      <c r="H63" t="s">
        <v>288</v>
      </c>
      <c r="T63" s="16"/>
    </row>
    <row r="64" spans="1:20" x14ac:dyDescent="0.4">
      <c r="A64" s="8"/>
      <c r="B64" s="13">
        <v>102</v>
      </c>
      <c r="C64" s="11" t="s">
        <v>146</v>
      </c>
      <c r="D64" s="11" t="s">
        <v>147</v>
      </c>
      <c r="E64" s="11" t="s">
        <v>208</v>
      </c>
      <c r="F64" s="13">
        <v>2</v>
      </c>
      <c r="G64" s="14">
        <v>1</v>
      </c>
      <c r="H64" t="s">
        <v>223</v>
      </c>
      <c r="O64" s="15"/>
    </row>
    <row r="65" spans="1:20" x14ac:dyDescent="0.4">
      <c r="A65" s="8"/>
      <c r="B65" s="13">
        <v>103</v>
      </c>
      <c r="C65" s="11" t="s">
        <v>150</v>
      </c>
      <c r="D65" s="11" t="s">
        <v>151</v>
      </c>
      <c r="E65" s="11" t="s">
        <v>208</v>
      </c>
      <c r="F65" s="13">
        <v>3</v>
      </c>
      <c r="G65" s="14">
        <v>3</v>
      </c>
      <c r="H65" t="s">
        <v>221</v>
      </c>
    </row>
    <row r="66" spans="1:20" x14ac:dyDescent="0.4">
      <c r="A66" s="8"/>
      <c r="B66" s="13">
        <v>104</v>
      </c>
      <c r="C66" s="11" t="s">
        <v>204</v>
      </c>
      <c r="D66" s="11" t="s">
        <v>205</v>
      </c>
      <c r="E66" s="11" t="s">
        <v>208</v>
      </c>
      <c r="F66" s="13">
        <v>3</v>
      </c>
      <c r="G66" s="14">
        <v>2</v>
      </c>
      <c r="H66" t="s">
        <v>224</v>
      </c>
    </row>
    <row r="67" spans="1:20" x14ac:dyDescent="0.4">
      <c r="A67" s="8"/>
      <c r="B67" s="13">
        <v>105</v>
      </c>
      <c r="C67" s="11" t="s">
        <v>283</v>
      </c>
      <c r="D67" s="11" t="s">
        <v>284</v>
      </c>
      <c r="E67" s="11" t="s">
        <v>208</v>
      </c>
      <c r="F67" s="13">
        <v>1</v>
      </c>
      <c r="G67" s="14">
        <v>4</v>
      </c>
      <c r="H67" t="s">
        <v>295</v>
      </c>
    </row>
    <row r="68" spans="1:20" x14ac:dyDescent="0.4">
      <c r="A68" s="8"/>
      <c r="B68" s="13">
        <v>106</v>
      </c>
      <c r="C68" s="11" t="s">
        <v>286</v>
      </c>
      <c r="D68" s="11" t="s">
        <v>287</v>
      </c>
      <c r="E68" s="11" t="s">
        <v>208</v>
      </c>
      <c r="F68" s="13">
        <v>1</v>
      </c>
      <c r="G68" s="14">
        <v>4</v>
      </c>
      <c r="H68" t="s">
        <v>288</v>
      </c>
    </row>
    <row r="69" spans="1:20" x14ac:dyDescent="0.4">
      <c r="A69" s="8"/>
      <c r="B69" s="13">
        <v>107</v>
      </c>
      <c r="C69" s="11" t="s">
        <v>290</v>
      </c>
      <c r="D69" s="11" t="s">
        <v>291</v>
      </c>
      <c r="E69" s="11" t="s">
        <v>208</v>
      </c>
      <c r="F69" s="13">
        <v>2</v>
      </c>
      <c r="G69" s="14">
        <v>3</v>
      </c>
      <c r="H69" t="s">
        <v>222</v>
      </c>
    </row>
    <row r="70" spans="1:20" x14ac:dyDescent="0.4">
      <c r="A70" s="8"/>
      <c r="B70" s="13">
        <v>111</v>
      </c>
      <c r="C70" s="11" t="s">
        <v>366</v>
      </c>
      <c r="D70" s="11" t="s">
        <v>366</v>
      </c>
      <c r="E70" s="11" t="s">
        <v>364</v>
      </c>
      <c r="F70" s="13">
        <v>1</v>
      </c>
      <c r="G70" s="14">
        <v>2</v>
      </c>
      <c r="H70" t="s">
        <v>370</v>
      </c>
    </row>
    <row r="71" spans="1:20" x14ac:dyDescent="0.4">
      <c r="A71" s="8"/>
      <c r="B71" s="13">
        <v>112</v>
      </c>
      <c r="C71" s="11" t="s">
        <v>368</v>
      </c>
      <c r="D71" s="11" t="s">
        <v>368</v>
      </c>
      <c r="E71" s="11" t="s">
        <v>364</v>
      </c>
      <c r="F71" s="13">
        <v>3</v>
      </c>
      <c r="G71" s="14">
        <v>2</v>
      </c>
      <c r="H71" t="s">
        <v>369</v>
      </c>
    </row>
    <row r="72" spans="1:20" x14ac:dyDescent="0.4">
      <c r="A72" s="8"/>
      <c r="B72" s="13">
        <v>113</v>
      </c>
      <c r="C72" s="11" t="s">
        <v>371</v>
      </c>
      <c r="D72" s="11" t="s">
        <v>371</v>
      </c>
      <c r="E72" s="11" t="s">
        <v>364</v>
      </c>
      <c r="F72" s="13">
        <v>1</v>
      </c>
      <c r="G72" s="14">
        <v>2</v>
      </c>
      <c r="H72" t="s">
        <v>372</v>
      </c>
    </row>
    <row r="73" spans="1:20" x14ac:dyDescent="0.4">
      <c r="A73" s="8"/>
      <c r="B73" s="13">
        <v>501</v>
      </c>
      <c r="C73" s="11" t="s">
        <v>297</v>
      </c>
      <c r="D73" s="11" t="s">
        <v>298</v>
      </c>
      <c r="E73" s="11" t="s">
        <v>299</v>
      </c>
      <c r="F73" s="13">
        <v>0</v>
      </c>
      <c r="G73" s="14">
        <v>0</v>
      </c>
    </row>
    <row r="74" spans="1:20" x14ac:dyDescent="0.4">
      <c r="T74" s="16"/>
    </row>
    <row r="75" spans="1:20" x14ac:dyDescent="0.4">
      <c r="O75" s="15"/>
    </row>
    <row r="78" spans="1:20" x14ac:dyDescent="0.4">
      <c r="T78" s="16"/>
    </row>
    <row r="79" spans="1:20" x14ac:dyDescent="0.4">
      <c r="O79" s="15"/>
    </row>
    <row r="82" spans="15:20" x14ac:dyDescent="0.4">
      <c r="T82" s="16"/>
    </row>
    <row r="83" spans="15:20" x14ac:dyDescent="0.4">
      <c r="O83" s="15"/>
    </row>
    <row r="86" spans="15:20" x14ac:dyDescent="0.4">
      <c r="T86" s="16"/>
    </row>
    <row r="87" spans="15:20" x14ac:dyDescent="0.4">
      <c r="O87" s="15"/>
    </row>
    <row r="90" spans="15:20" x14ac:dyDescent="0.4">
      <c r="T90" s="16"/>
    </row>
    <row r="91" spans="15:20" x14ac:dyDescent="0.4">
      <c r="O91" s="15"/>
    </row>
    <row r="94" spans="15:20" x14ac:dyDescent="0.4">
      <c r="T94" s="16"/>
    </row>
    <row r="95" spans="15:20" x14ac:dyDescent="0.4">
      <c r="O95" s="15"/>
    </row>
    <row r="98" spans="15:20" x14ac:dyDescent="0.4">
      <c r="T98" s="16"/>
    </row>
    <row r="99" spans="15:20" x14ac:dyDescent="0.4">
      <c r="O99" s="15"/>
    </row>
    <row r="102" spans="15:20" x14ac:dyDescent="0.4">
      <c r="T102" s="16"/>
    </row>
    <row r="103" spans="15:20" x14ac:dyDescent="0.4">
      <c r="O103" s="15"/>
    </row>
    <row r="106" spans="15:20" x14ac:dyDescent="0.4">
      <c r="T106" s="16"/>
    </row>
    <row r="107" spans="15:20" x14ac:dyDescent="0.4">
      <c r="O107" s="15"/>
    </row>
    <row r="110" spans="15:20" x14ac:dyDescent="0.4">
      <c r="T110" s="16"/>
    </row>
    <row r="111" spans="15:20" x14ac:dyDescent="0.4">
      <c r="O111" s="15"/>
    </row>
    <row r="114" spans="15:20" x14ac:dyDescent="0.4">
      <c r="T114" s="16"/>
    </row>
    <row r="115" spans="15:20" x14ac:dyDescent="0.4">
      <c r="O115" s="15"/>
    </row>
    <row r="118" spans="15:20" x14ac:dyDescent="0.4">
      <c r="T118" s="16"/>
    </row>
    <row r="119" spans="15:20" x14ac:dyDescent="0.4">
      <c r="O119" s="15"/>
    </row>
    <row r="122" spans="15:20" x14ac:dyDescent="0.4">
      <c r="T122" s="16"/>
    </row>
    <row r="123" spans="15:20" x14ac:dyDescent="0.4">
      <c r="O123" s="15"/>
    </row>
    <row r="126" spans="15:20" x14ac:dyDescent="0.4">
      <c r="T126" s="16"/>
    </row>
    <row r="127" spans="15:20" x14ac:dyDescent="0.4">
      <c r="O127" s="15"/>
    </row>
    <row r="130" spans="15:20" x14ac:dyDescent="0.4">
      <c r="T130" s="16"/>
    </row>
    <row r="131" spans="15:20" x14ac:dyDescent="0.4">
      <c r="O131" s="15"/>
    </row>
    <row r="134" spans="15:20" x14ac:dyDescent="0.4">
      <c r="T134" s="16"/>
    </row>
    <row r="135" spans="15:20" x14ac:dyDescent="0.4">
      <c r="O135" s="15"/>
    </row>
  </sheetData>
  <phoneticPr fontId="1"/>
  <dataValidations count="1">
    <dataValidation type="list" allowBlank="1" showInputMessage="1" showErrorMessage="1" sqref="A7:A73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AFABB-FAB4-4937-8DD6-B3A9B340D2EF}">
  <sheetPr codeName="Sheet19"/>
  <dimension ref="A1:S22"/>
  <sheetViews>
    <sheetView workbookViewId="0">
      <selection activeCell="H30" sqref="H30"/>
    </sheetView>
  </sheetViews>
  <sheetFormatPr defaultRowHeight="16.5" x14ac:dyDescent="0.35"/>
  <cols>
    <col min="1" max="1" width="9" style="17"/>
    <col min="2" max="2" width="14.375" style="17" bestFit="1" customWidth="1"/>
    <col min="3" max="3" width="9" style="17"/>
    <col min="4" max="4" width="28.875" style="17" bestFit="1" customWidth="1"/>
    <col min="5" max="5" width="9.5" style="17" bestFit="1" customWidth="1"/>
    <col min="6" max="6" width="9" style="17"/>
    <col min="7" max="7" width="13.25" style="17" customWidth="1"/>
    <col min="8" max="17" width="9" style="17"/>
    <col min="18" max="19" width="19.125" style="17" customWidth="1"/>
    <col min="20" max="16384" width="9" style="17"/>
  </cols>
  <sheetData>
    <row r="1" spans="1:19" x14ac:dyDescent="0.35">
      <c r="A1" s="17" t="s">
        <v>168</v>
      </c>
      <c r="B1" s="18" t="s">
        <v>154</v>
      </c>
      <c r="C1" s="18" t="s">
        <v>155</v>
      </c>
      <c r="D1" s="18" t="s">
        <v>156</v>
      </c>
      <c r="E1" s="18" t="s">
        <v>160</v>
      </c>
      <c r="F1" s="18" t="s">
        <v>169</v>
      </c>
      <c r="G1" s="18" t="s">
        <v>170</v>
      </c>
      <c r="H1" s="18" t="s">
        <v>36</v>
      </c>
      <c r="I1" s="18" t="s">
        <v>161</v>
      </c>
      <c r="J1" s="18" t="s">
        <v>163</v>
      </c>
      <c r="K1" s="18" t="s">
        <v>164</v>
      </c>
      <c r="L1" s="18" t="s">
        <v>165</v>
      </c>
      <c r="M1" s="18" t="s">
        <v>166</v>
      </c>
      <c r="N1" s="18" t="s">
        <v>167</v>
      </c>
      <c r="O1" s="18" t="s">
        <v>157</v>
      </c>
      <c r="P1" s="18" t="s">
        <v>158</v>
      </c>
      <c r="Q1" s="18" t="s">
        <v>159</v>
      </c>
      <c r="R1" s="18" t="s">
        <v>162</v>
      </c>
      <c r="S1" s="21"/>
    </row>
    <row r="2" spans="1:19" x14ac:dyDescent="0.35">
      <c r="A2" s="17" t="s">
        <v>194</v>
      </c>
      <c r="B2" s="19">
        <v>1</v>
      </c>
      <c r="C2" s="19">
        <v>1</v>
      </c>
      <c r="D2" s="19" t="s">
        <v>206</v>
      </c>
      <c r="E2" s="19">
        <v>290</v>
      </c>
      <c r="F2" s="19">
        <v>66000</v>
      </c>
      <c r="G2" s="19">
        <v>300000</v>
      </c>
      <c r="H2" s="19">
        <v>5</v>
      </c>
      <c r="I2" s="19">
        <v>300</v>
      </c>
      <c r="J2" s="19">
        <v>100</v>
      </c>
      <c r="K2" s="19">
        <v>100</v>
      </c>
      <c r="L2" s="19">
        <v>100</v>
      </c>
      <c r="M2" s="19">
        <v>100</v>
      </c>
      <c r="N2" s="19">
        <v>100</v>
      </c>
      <c r="O2" s="19">
        <v>100</v>
      </c>
      <c r="P2" s="19">
        <v>100</v>
      </c>
      <c r="Q2" s="19">
        <v>100</v>
      </c>
      <c r="R2" s="19">
        <v>100</v>
      </c>
      <c r="S2" s="22"/>
    </row>
    <row r="3" spans="1:19" x14ac:dyDescent="0.35">
      <c r="A3" s="17" t="s">
        <v>343</v>
      </c>
      <c r="B3" s="20" t="s">
        <v>337</v>
      </c>
      <c r="C3" s="24">
        <v>1</v>
      </c>
      <c r="D3" s="20" t="s">
        <v>329</v>
      </c>
      <c r="E3" s="20">
        <v>530</v>
      </c>
      <c r="F3" s="20">
        <v>26000</v>
      </c>
      <c r="G3" s="20">
        <v>227500</v>
      </c>
      <c r="H3" s="20">
        <v>10</v>
      </c>
      <c r="I3" s="20">
        <v>999</v>
      </c>
      <c r="J3" s="20">
        <v>100</v>
      </c>
      <c r="K3" s="20">
        <v>100</v>
      </c>
      <c r="L3" s="20">
        <v>100</v>
      </c>
      <c r="M3" s="20">
        <v>100</v>
      </c>
      <c r="N3" s="20">
        <v>100</v>
      </c>
      <c r="O3" s="20">
        <v>100</v>
      </c>
      <c r="P3" s="20">
        <v>150</v>
      </c>
      <c r="Q3" s="20">
        <v>50</v>
      </c>
      <c r="R3" s="20">
        <v>100</v>
      </c>
      <c r="S3" s="23" t="s">
        <v>341</v>
      </c>
    </row>
    <row r="4" spans="1:19" x14ac:dyDescent="0.35">
      <c r="A4" s="17" t="s">
        <v>343</v>
      </c>
      <c r="B4" s="20" t="s">
        <v>336</v>
      </c>
      <c r="C4" s="24">
        <v>1</v>
      </c>
      <c r="D4" s="20" t="s">
        <v>329</v>
      </c>
      <c r="E4" s="20">
        <v>628</v>
      </c>
      <c r="F4" s="20">
        <v>130000</v>
      </c>
      <c r="G4" s="20">
        <v>1137500</v>
      </c>
      <c r="H4" s="20">
        <v>10</v>
      </c>
      <c r="I4" s="20">
        <v>999</v>
      </c>
      <c r="J4" s="20">
        <v>100</v>
      </c>
      <c r="K4" s="20">
        <v>100</v>
      </c>
      <c r="L4" s="20">
        <v>100</v>
      </c>
      <c r="M4" s="20">
        <v>100</v>
      </c>
      <c r="N4" s="20">
        <v>100</v>
      </c>
      <c r="O4" s="20">
        <v>100</v>
      </c>
      <c r="P4" s="20">
        <v>150</v>
      </c>
      <c r="Q4" s="20">
        <v>50</v>
      </c>
      <c r="R4" s="20">
        <v>100</v>
      </c>
      <c r="S4" s="23" t="s">
        <v>341</v>
      </c>
    </row>
    <row r="5" spans="1:19" x14ac:dyDescent="0.35">
      <c r="A5" s="17" t="s">
        <v>343</v>
      </c>
      <c r="B5" s="20" t="s">
        <v>338</v>
      </c>
      <c r="C5" s="24">
        <v>1</v>
      </c>
      <c r="D5" s="20" t="s">
        <v>329</v>
      </c>
      <c r="E5" s="20">
        <v>741</v>
      </c>
      <c r="F5" s="20">
        <v>260000</v>
      </c>
      <c r="G5" s="20">
        <v>2275000</v>
      </c>
      <c r="H5" s="20">
        <v>10</v>
      </c>
      <c r="I5" s="20">
        <v>999</v>
      </c>
      <c r="J5" s="20">
        <v>100</v>
      </c>
      <c r="K5" s="20">
        <v>100</v>
      </c>
      <c r="L5" s="20">
        <v>100</v>
      </c>
      <c r="M5" s="20">
        <v>100</v>
      </c>
      <c r="N5" s="20">
        <v>100</v>
      </c>
      <c r="O5" s="20">
        <v>100</v>
      </c>
      <c r="P5" s="20">
        <v>150</v>
      </c>
      <c r="Q5" s="20">
        <v>50</v>
      </c>
      <c r="R5" s="20">
        <v>100</v>
      </c>
      <c r="S5" s="23" t="s">
        <v>341</v>
      </c>
    </row>
    <row r="6" spans="1:19" x14ac:dyDescent="0.35">
      <c r="A6" s="17" t="s">
        <v>343</v>
      </c>
      <c r="B6" s="20" t="s">
        <v>337</v>
      </c>
      <c r="C6" s="24">
        <v>2</v>
      </c>
      <c r="D6" s="20" t="s">
        <v>325</v>
      </c>
      <c r="E6" s="20">
        <v>576</v>
      </c>
      <c r="F6" s="20">
        <v>76800</v>
      </c>
      <c r="G6" s="20">
        <v>48000</v>
      </c>
      <c r="H6" s="20">
        <v>10</v>
      </c>
      <c r="I6" s="20">
        <v>999</v>
      </c>
      <c r="J6" s="20">
        <v>100</v>
      </c>
      <c r="K6" s="20">
        <v>100</v>
      </c>
      <c r="L6" s="20">
        <v>100</v>
      </c>
      <c r="M6" s="20">
        <v>100</v>
      </c>
      <c r="N6" s="20">
        <v>100</v>
      </c>
      <c r="O6" s="20">
        <v>100</v>
      </c>
      <c r="P6" s="20">
        <v>100</v>
      </c>
      <c r="Q6" s="20">
        <v>150</v>
      </c>
      <c r="R6" s="20">
        <v>100</v>
      </c>
      <c r="S6" s="23" t="s">
        <v>342</v>
      </c>
    </row>
    <row r="7" spans="1:19" x14ac:dyDescent="0.35">
      <c r="A7" s="17" t="s">
        <v>343</v>
      </c>
      <c r="B7" s="20" t="s">
        <v>336</v>
      </c>
      <c r="C7" s="24">
        <v>2</v>
      </c>
      <c r="D7" s="20" t="s">
        <v>325</v>
      </c>
      <c r="E7" s="20">
        <v>674</v>
      </c>
      <c r="F7" s="20">
        <v>384000</v>
      </c>
      <c r="G7" s="20">
        <v>240000</v>
      </c>
      <c r="H7" s="20">
        <v>10</v>
      </c>
      <c r="I7" s="20">
        <v>999</v>
      </c>
      <c r="J7" s="20">
        <v>100</v>
      </c>
      <c r="K7" s="20">
        <v>100</v>
      </c>
      <c r="L7" s="20">
        <v>100</v>
      </c>
      <c r="M7" s="20">
        <v>100</v>
      </c>
      <c r="N7" s="20">
        <v>100</v>
      </c>
      <c r="O7" s="20">
        <v>100</v>
      </c>
      <c r="P7" s="20">
        <v>100</v>
      </c>
      <c r="Q7" s="20">
        <v>150</v>
      </c>
      <c r="R7" s="20">
        <v>100</v>
      </c>
      <c r="S7" s="23" t="s">
        <v>342</v>
      </c>
    </row>
    <row r="8" spans="1:19" x14ac:dyDescent="0.35">
      <c r="A8" s="17" t="s">
        <v>343</v>
      </c>
      <c r="B8" s="20" t="s">
        <v>338</v>
      </c>
      <c r="C8" s="24">
        <v>2</v>
      </c>
      <c r="D8" s="20" t="s">
        <v>325</v>
      </c>
      <c r="E8" s="20">
        <v>787</v>
      </c>
      <c r="F8" s="20">
        <v>768000</v>
      </c>
      <c r="G8" s="20">
        <v>480000</v>
      </c>
      <c r="H8" s="20">
        <v>10</v>
      </c>
      <c r="I8" s="20">
        <v>999</v>
      </c>
      <c r="J8" s="20">
        <v>100</v>
      </c>
      <c r="K8" s="20">
        <v>100</v>
      </c>
      <c r="L8" s="20">
        <v>100</v>
      </c>
      <c r="M8" s="20">
        <v>100</v>
      </c>
      <c r="N8" s="20">
        <v>100</v>
      </c>
      <c r="O8" s="20">
        <v>100</v>
      </c>
      <c r="P8" s="20">
        <v>100</v>
      </c>
      <c r="Q8" s="20">
        <v>150</v>
      </c>
      <c r="R8" s="20">
        <v>100</v>
      </c>
      <c r="S8" s="23" t="s">
        <v>342</v>
      </c>
    </row>
    <row r="9" spans="1:19" x14ac:dyDescent="0.35">
      <c r="A9" s="17" t="s">
        <v>343</v>
      </c>
      <c r="B9" s="20" t="s">
        <v>336</v>
      </c>
      <c r="C9" s="24" t="s">
        <v>339</v>
      </c>
      <c r="D9" s="20" t="s">
        <v>334</v>
      </c>
      <c r="E9" s="20">
        <v>686</v>
      </c>
      <c r="F9" s="20">
        <v>422500</v>
      </c>
      <c r="G9" s="20">
        <v>218000</v>
      </c>
      <c r="H9" s="20">
        <v>10</v>
      </c>
      <c r="I9" s="20">
        <v>999</v>
      </c>
      <c r="J9" s="20">
        <v>100</v>
      </c>
      <c r="K9" s="20">
        <v>100</v>
      </c>
      <c r="L9" s="20">
        <v>100</v>
      </c>
      <c r="M9" s="20">
        <v>100</v>
      </c>
      <c r="N9" s="20">
        <v>100</v>
      </c>
      <c r="O9" s="20">
        <v>100</v>
      </c>
      <c r="P9" s="20">
        <v>100</v>
      </c>
      <c r="Q9" s="20">
        <v>150</v>
      </c>
      <c r="R9" s="20">
        <v>100</v>
      </c>
      <c r="S9" s="23" t="s">
        <v>342</v>
      </c>
    </row>
    <row r="10" spans="1:19" x14ac:dyDescent="0.35">
      <c r="A10" s="17" t="s">
        <v>343</v>
      </c>
      <c r="B10" s="20" t="s">
        <v>338</v>
      </c>
      <c r="C10" s="24" t="s">
        <v>339</v>
      </c>
      <c r="D10" s="20" t="s">
        <v>334</v>
      </c>
      <c r="E10" s="20">
        <v>799</v>
      </c>
      <c r="F10" s="20">
        <v>845000</v>
      </c>
      <c r="G10" s="20">
        <v>436000</v>
      </c>
      <c r="H10" s="20">
        <v>10</v>
      </c>
      <c r="I10" s="20">
        <v>999</v>
      </c>
      <c r="J10" s="20">
        <v>100</v>
      </c>
      <c r="K10" s="20">
        <v>100</v>
      </c>
      <c r="L10" s="20">
        <v>100</v>
      </c>
      <c r="M10" s="20">
        <v>100</v>
      </c>
      <c r="N10" s="20">
        <v>100</v>
      </c>
      <c r="O10" s="20">
        <v>100</v>
      </c>
      <c r="P10" s="20">
        <v>100</v>
      </c>
      <c r="Q10" s="20">
        <v>150</v>
      </c>
      <c r="R10" s="20">
        <v>100</v>
      </c>
      <c r="S10" s="23" t="s">
        <v>342</v>
      </c>
    </row>
    <row r="11" spans="1:19" x14ac:dyDescent="0.35">
      <c r="A11" s="17" t="s">
        <v>343</v>
      </c>
      <c r="B11" s="20" t="s">
        <v>338</v>
      </c>
      <c r="C11" s="24" t="s">
        <v>340</v>
      </c>
      <c r="D11" s="20" t="s">
        <v>335</v>
      </c>
      <c r="E11" s="20">
        <v>811</v>
      </c>
      <c r="F11" s="20">
        <v>1190000</v>
      </c>
      <c r="G11" s="20">
        <v>6460000</v>
      </c>
      <c r="H11" s="20">
        <v>10</v>
      </c>
      <c r="I11" s="20">
        <v>999</v>
      </c>
      <c r="J11" s="20">
        <v>100</v>
      </c>
      <c r="K11" s="20">
        <v>100</v>
      </c>
      <c r="L11" s="20">
        <v>100</v>
      </c>
      <c r="M11" s="20">
        <v>100</v>
      </c>
      <c r="N11" s="20">
        <v>100</v>
      </c>
      <c r="O11" s="20">
        <v>150</v>
      </c>
      <c r="P11" s="20">
        <v>50</v>
      </c>
      <c r="Q11" s="20">
        <v>100</v>
      </c>
      <c r="R11" s="20">
        <v>100</v>
      </c>
      <c r="S11" s="23" t="s">
        <v>342</v>
      </c>
    </row>
    <row r="12" spans="1:19" x14ac:dyDescent="0.35">
      <c r="A12" s="17" t="s">
        <v>344</v>
      </c>
      <c r="B12" s="20" t="s">
        <v>337</v>
      </c>
      <c r="C12" s="24">
        <v>1</v>
      </c>
      <c r="D12" s="20" t="s">
        <v>327</v>
      </c>
      <c r="E12" s="20">
        <v>552</v>
      </c>
      <c r="F12" s="20">
        <v>62400</v>
      </c>
      <c r="G12" s="20">
        <v>546000</v>
      </c>
      <c r="H12" s="20">
        <v>10</v>
      </c>
      <c r="I12" s="20">
        <v>999</v>
      </c>
      <c r="J12" s="20">
        <v>100</v>
      </c>
      <c r="K12" s="20">
        <v>250</v>
      </c>
      <c r="L12" s="20">
        <v>100</v>
      </c>
      <c r="M12" s="20">
        <v>100</v>
      </c>
      <c r="N12" s="20">
        <v>250</v>
      </c>
      <c r="O12" s="20">
        <v>100</v>
      </c>
      <c r="P12" s="20">
        <v>100</v>
      </c>
      <c r="Q12" s="20">
        <v>100</v>
      </c>
      <c r="R12" s="20">
        <v>10</v>
      </c>
      <c r="S12" s="23" t="s">
        <v>341</v>
      </c>
    </row>
    <row r="13" spans="1:19" x14ac:dyDescent="0.35">
      <c r="A13" s="17" t="s">
        <v>344</v>
      </c>
      <c r="B13" s="20" t="s">
        <v>336</v>
      </c>
      <c r="C13" s="24">
        <v>1</v>
      </c>
      <c r="D13" s="20" t="s">
        <v>327</v>
      </c>
      <c r="E13" s="20">
        <v>650</v>
      </c>
      <c r="F13" s="20">
        <v>312000</v>
      </c>
      <c r="G13" s="20">
        <v>2730000</v>
      </c>
      <c r="H13" s="20">
        <v>10</v>
      </c>
      <c r="I13" s="20">
        <v>999</v>
      </c>
      <c r="J13" s="20">
        <v>100</v>
      </c>
      <c r="K13" s="20">
        <v>250</v>
      </c>
      <c r="L13" s="20">
        <v>100</v>
      </c>
      <c r="M13" s="20">
        <v>100</v>
      </c>
      <c r="N13" s="20">
        <v>250</v>
      </c>
      <c r="O13" s="20">
        <v>100</v>
      </c>
      <c r="P13" s="20">
        <v>100</v>
      </c>
      <c r="Q13" s="20">
        <v>100</v>
      </c>
      <c r="R13" s="20">
        <v>10</v>
      </c>
      <c r="S13" s="23" t="s">
        <v>341</v>
      </c>
    </row>
    <row r="14" spans="1:19" x14ac:dyDescent="0.35">
      <c r="A14" s="17" t="s">
        <v>344</v>
      </c>
      <c r="B14" s="20" t="s">
        <v>338</v>
      </c>
      <c r="C14" s="24">
        <v>1</v>
      </c>
      <c r="D14" s="20" t="s">
        <v>327</v>
      </c>
      <c r="E14" s="20">
        <v>763</v>
      </c>
      <c r="F14" s="20">
        <v>624000</v>
      </c>
      <c r="G14" s="20">
        <v>5460000</v>
      </c>
      <c r="H14" s="20">
        <v>10</v>
      </c>
      <c r="I14" s="20">
        <v>999</v>
      </c>
      <c r="J14" s="20">
        <v>100</v>
      </c>
      <c r="K14" s="20">
        <v>250</v>
      </c>
      <c r="L14" s="20">
        <v>100</v>
      </c>
      <c r="M14" s="20">
        <v>100</v>
      </c>
      <c r="N14" s="20">
        <v>250</v>
      </c>
      <c r="O14" s="20">
        <v>100</v>
      </c>
      <c r="P14" s="20">
        <v>100</v>
      </c>
      <c r="Q14" s="20">
        <v>100</v>
      </c>
      <c r="R14" s="20">
        <v>10</v>
      </c>
      <c r="S14" s="23" t="s">
        <v>341</v>
      </c>
    </row>
    <row r="15" spans="1:19" x14ac:dyDescent="0.35">
      <c r="A15" s="17" t="s">
        <v>322</v>
      </c>
      <c r="B15" s="20" t="s">
        <v>337</v>
      </c>
      <c r="C15" s="24" t="s">
        <v>339</v>
      </c>
      <c r="D15" s="20" t="s">
        <v>323</v>
      </c>
      <c r="E15" s="20">
        <v>624</v>
      </c>
      <c r="F15" s="20">
        <v>68400</v>
      </c>
      <c r="G15" s="20">
        <v>167000</v>
      </c>
      <c r="H15" s="20">
        <v>10</v>
      </c>
      <c r="I15" s="20">
        <v>999</v>
      </c>
      <c r="J15" s="20">
        <v>100</v>
      </c>
      <c r="K15" s="20">
        <v>100</v>
      </c>
      <c r="L15" s="20">
        <v>100</v>
      </c>
      <c r="M15" s="20">
        <v>100</v>
      </c>
      <c r="N15" s="20">
        <v>100</v>
      </c>
      <c r="O15" s="20">
        <v>100</v>
      </c>
      <c r="P15" s="20">
        <v>150</v>
      </c>
      <c r="Q15" s="20">
        <v>100</v>
      </c>
      <c r="R15" s="20">
        <v>100</v>
      </c>
      <c r="S15" s="23"/>
    </row>
    <row r="16" spans="1:19" x14ac:dyDescent="0.35">
      <c r="A16" s="17" t="s">
        <v>324</v>
      </c>
      <c r="B16" s="20" t="s">
        <v>336</v>
      </c>
      <c r="C16" s="24" t="s">
        <v>339</v>
      </c>
      <c r="D16" s="20" t="s">
        <v>323</v>
      </c>
      <c r="E16" s="20">
        <v>722</v>
      </c>
      <c r="F16" s="20">
        <v>342000</v>
      </c>
      <c r="G16" s="20">
        <v>835000</v>
      </c>
      <c r="H16" s="20">
        <v>10</v>
      </c>
      <c r="I16" s="20">
        <v>999</v>
      </c>
      <c r="J16" s="20">
        <v>100</v>
      </c>
      <c r="K16" s="20">
        <v>100</v>
      </c>
      <c r="L16" s="20">
        <v>100</v>
      </c>
      <c r="M16" s="20">
        <v>100</v>
      </c>
      <c r="N16" s="20">
        <v>100</v>
      </c>
      <c r="O16" s="20">
        <v>100</v>
      </c>
      <c r="P16" s="20">
        <v>150</v>
      </c>
      <c r="Q16" s="20">
        <v>100</v>
      </c>
      <c r="R16" s="20">
        <v>100</v>
      </c>
      <c r="S16" s="23"/>
    </row>
    <row r="17" spans="1:19" x14ac:dyDescent="0.35">
      <c r="A17" s="17" t="s">
        <v>326</v>
      </c>
      <c r="B17" s="20" t="s">
        <v>338</v>
      </c>
      <c r="C17" s="24" t="s">
        <v>339</v>
      </c>
      <c r="D17" s="20" t="s">
        <v>323</v>
      </c>
      <c r="E17" s="20">
        <v>835</v>
      </c>
      <c r="F17" s="20">
        <v>684000</v>
      </c>
      <c r="G17" s="20">
        <v>1670000</v>
      </c>
      <c r="H17" s="20">
        <v>10</v>
      </c>
      <c r="I17" s="20">
        <v>999</v>
      </c>
      <c r="J17" s="20">
        <v>100</v>
      </c>
      <c r="K17" s="20">
        <v>100</v>
      </c>
      <c r="L17" s="20">
        <v>100</v>
      </c>
      <c r="M17" s="20">
        <v>100</v>
      </c>
      <c r="N17" s="20">
        <v>100</v>
      </c>
      <c r="O17" s="20">
        <v>100</v>
      </c>
      <c r="P17" s="20">
        <v>150</v>
      </c>
      <c r="Q17" s="20">
        <v>100</v>
      </c>
      <c r="R17" s="20">
        <v>100</v>
      </c>
      <c r="S17" s="23"/>
    </row>
    <row r="18" spans="1:19" x14ac:dyDescent="0.35">
      <c r="A18" s="17" t="s">
        <v>331</v>
      </c>
      <c r="B18" s="20" t="s">
        <v>336</v>
      </c>
      <c r="C18" s="24" t="s">
        <v>339</v>
      </c>
      <c r="D18" s="20" t="s">
        <v>333</v>
      </c>
      <c r="E18" s="20">
        <v>722</v>
      </c>
      <c r="F18" s="20">
        <v>274500</v>
      </c>
      <c r="G18" s="20">
        <v>1055000</v>
      </c>
      <c r="H18" s="20">
        <v>10</v>
      </c>
      <c r="I18" s="20">
        <v>999</v>
      </c>
      <c r="J18" s="20">
        <v>100</v>
      </c>
      <c r="K18" s="20">
        <v>100</v>
      </c>
      <c r="L18" s="20">
        <v>100</v>
      </c>
      <c r="M18" s="20">
        <v>100</v>
      </c>
      <c r="N18" s="20">
        <v>100</v>
      </c>
      <c r="O18" s="20">
        <v>150</v>
      </c>
      <c r="P18" s="20">
        <v>100</v>
      </c>
      <c r="Q18" s="20">
        <v>100</v>
      </c>
      <c r="R18" s="20">
        <v>100</v>
      </c>
      <c r="S18" s="23"/>
    </row>
    <row r="19" spans="1:19" x14ac:dyDescent="0.35">
      <c r="A19" s="17" t="s">
        <v>331</v>
      </c>
      <c r="B19" s="20" t="s">
        <v>338</v>
      </c>
      <c r="C19" s="24" t="s">
        <v>339</v>
      </c>
      <c r="D19" s="20" t="s">
        <v>333</v>
      </c>
      <c r="E19" s="20">
        <v>835</v>
      </c>
      <c r="F19" s="20">
        <v>549000</v>
      </c>
      <c r="G19" s="20">
        <v>2110000</v>
      </c>
      <c r="H19" s="20">
        <v>10</v>
      </c>
      <c r="I19" s="20">
        <v>999</v>
      </c>
      <c r="J19" s="20">
        <v>100</v>
      </c>
      <c r="K19" s="20">
        <v>100</v>
      </c>
      <c r="L19" s="20">
        <v>100</v>
      </c>
      <c r="M19" s="20">
        <v>100</v>
      </c>
      <c r="N19" s="20">
        <v>100</v>
      </c>
      <c r="O19" s="20">
        <v>150</v>
      </c>
      <c r="P19" s="20">
        <v>100</v>
      </c>
      <c r="Q19" s="20">
        <v>100</v>
      </c>
      <c r="R19" s="20">
        <v>100</v>
      </c>
      <c r="S19" s="23"/>
    </row>
    <row r="20" spans="1:19" x14ac:dyDescent="0.35">
      <c r="A20" s="17" t="s">
        <v>322</v>
      </c>
      <c r="B20" s="20" t="s">
        <v>338</v>
      </c>
      <c r="C20" s="24" t="s">
        <v>340</v>
      </c>
      <c r="D20" s="20" t="s">
        <v>345</v>
      </c>
      <c r="E20" s="20">
        <v>846</v>
      </c>
      <c r="F20" s="20">
        <v>1390000</v>
      </c>
      <c r="G20" s="20">
        <v>4980000</v>
      </c>
      <c r="H20" s="20">
        <v>10</v>
      </c>
      <c r="I20" s="20">
        <v>999</v>
      </c>
      <c r="J20" s="20">
        <v>100</v>
      </c>
      <c r="K20" s="20">
        <v>100</v>
      </c>
      <c r="L20" s="20">
        <v>100</v>
      </c>
      <c r="M20" s="20">
        <v>100</v>
      </c>
      <c r="N20" s="20">
        <v>100</v>
      </c>
      <c r="O20" s="20">
        <v>100</v>
      </c>
      <c r="P20" s="20">
        <v>150</v>
      </c>
      <c r="Q20" s="20">
        <v>50</v>
      </c>
      <c r="R20" s="20">
        <v>100</v>
      </c>
      <c r="S20" s="23"/>
    </row>
    <row r="21" spans="1:19" x14ac:dyDescent="0.35">
      <c r="A21" s="17" t="s">
        <v>328</v>
      </c>
      <c r="B21" s="20" t="s">
        <v>336</v>
      </c>
      <c r="C21" s="24" t="s">
        <v>340</v>
      </c>
      <c r="D21" s="20" t="s">
        <v>332</v>
      </c>
      <c r="E21" s="20">
        <v>745</v>
      </c>
      <c r="F21" s="20">
        <v>775000</v>
      </c>
      <c r="G21" s="20">
        <v>4200000</v>
      </c>
      <c r="H21" s="20">
        <v>10</v>
      </c>
      <c r="I21" s="20">
        <v>999</v>
      </c>
      <c r="J21" s="20">
        <v>100</v>
      </c>
      <c r="K21" s="20">
        <v>100</v>
      </c>
      <c r="L21" s="20">
        <v>100</v>
      </c>
      <c r="M21" s="20">
        <v>100</v>
      </c>
      <c r="N21" s="20">
        <v>100</v>
      </c>
      <c r="O21" s="20">
        <v>100</v>
      </c>
      <c r="P21" s="20">
        <v>150</v>
      </c>
      <c r="Q21" s="20">
        <v>50</v>
      </c>
      <c r="R21" s="20">
        <v>100</v>
      </c>
      <c r="S21" s="23"/>
    </row>
    <row r="22" spans="1:19" x14ac:dyDescent="0.35">
      <c r="A22" s="17" t="s">
        <v>330</v>
      </c>
      <c r="B22" s="20" t="s">
        <v>338</v>
      </c>
      <c r="C22" s="24" t="s">
        <v>340</v>
      </c>
      <c r="D22" s="20" t="s">
        <v>346</v>
      </c>
      <c r="E22" s="20">
        <v>858</v>
      </c>
      <c r="F22" s="20">
        <v>1550000</v>
      </c>
      <c r="G22" s="20">
        <v>8400000</v>
      </c>
      <c r="H22" s="20">
        <v>10</v>
      </c>
      <c r="I22" s="20">
        <v>999</v>
      </c>
      <c r="J22" s="20">
        <v>100</v>
      </c>
      <c r="K22" s="20">
        <v>100</v>
      </c>
      <c r="L22" s="20">
        <v>100</v>
      </c>
      <c r="M22" s="20">
        <v>100</v>
      </c>
      <c r="N22" s="20">
        <v>100</v>
      </c>
      <c r="O22" s="20">
        <v>100</v>
      </c>
      <c r="P22" s="20">
        <v>150</v>
      </c>
      <c r="Q22" s="20">
        <v>50</v>
      </c>
      <c r="R22" s="20">
        <v>100</v>
      </c>
      <c r="S22" s="23"/>
    </row>
  </sheetData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07418-9EFF-49E7-8A5B-782DB82851DD}">
  <sheetPr codeName="Sheet3"/>
  <dimension ref="A1:V374"/>
  <sheetViews>
    <sheetView topLeftCell="A205" zoomScale="115" zoomScaleNormal="115" workbookViewId="0">
      <selection activeCell="BQ29" sqref="AB1:BQ29"/>
    </sheetView>
  </sheetViews>
  <sheetFormatPr defaultRowHeight="18.75" x14ac:dyDescent="0.4"/>
  <cols>
    <col min="1" max="1" width="8.875" bestFit="1" customWidth="1"/>
    <col min="2" max="2" width="8.5" bestFit="1" customWidth="1"/>
    <col min="3" max="3" width="12.625" bestFit="1" customWidth="1"/>
    <col min="4" max="4" width="12.625" customWidth="1"/>
    <col min="5" max="8" width="12.5" customWidth="1"/>
    <col min="9" max="10" width="11.25" bestFit="1" customWidth="1"/>
    <col min="11" max="11" width="5.375" bestFit="1" customWidth="1"/>
    <col min="12" max="12" width="5.25" bestFit="1" customWidth="1"/>
    <col min="13" max="14" width="5.375" bestFit="1" customWidth="1"/>
    <col min="15" max="15" width="5.5" bestFit="1" customWidth="1"/>
    <col min="16" max="18" width="5.25" bestFit="1" customWidth="1"/>
    <col min="19" max="19" width="4.375" bestFit="1" customWidth="1"/>
    <col min="20" max="20" width="5.375" bestFit="1" customWidth="1"/>
    <col min="21" max="22" width="5.5" bestFit="1" customWidth="1"/>
    <col min="23" max="60" width="4" bestFit="1" customWidth="1"/>
    <col min="61" max="70" width="5.125" bestFit="1" customWidth="1"/>
    <col min="71" max="71" width="5.5" bestFit="1" customWidth="1"/>
    <col min="72" max="72" width="8.25" bestFit="1" customWidth="1"/>
    <col min="73" max="73" width="6.25" bestFit="1" customWidth="1"/>
    <col min="74" max="75" width="2.875" bestFit="1" customWidth="1"/>
    <col min="76" max="76" width="8.25" bestFit="1" customWidth="1"/>
    <col min="77" max="77" width="6.25" bestFit="1" customWidth="1"/>
    <col min="78" max="79" width="2.875" bestFit="1" customWidth="1"/>
    <col min="80" max="80" width="8.25" bestFit="1" customWidth="1"/>
    <col min="81" max="81" width="6.25" bestFit="1" customWidth="1"/>
    <col min="82" max="84" width="2.875" bestFit="1" customWidth="1"/>
    <col min="85" max="85" width="8.25" bestFit="1" customWidth="1"/>
    <col min="86" max="86" width="6.25" bestFit="1" customWidth="1"/>
    <col min="87" max="89" width="2.875" bestFit="1" customWidth="1"/>
    <col min="90" max="90" width="8.25" bestFit="1" customWidth="1"/>
    <col min="91" max="91" width="6.25" bestFit="1" customWidth="1"/>
    <col min="92" max="93" width="2.875" bestFit="1" customWidth="1"/>
    <col min="94" max="94" width="8.25" bestFit="1" customWidth="1"/>
    <col min="95" max="95" width="6.25" bestFit="1" customWidth="1"/>
    <col min="96" max="98" width="2.875" bestFit="1" customWidth="1"/>
    <col min="99" max="99" width="8.25" bestFit="1" customWidth="1"/>
    <col min="100" max="100" width="6.25" bestFit="1" customWidth="1"/>
    <col min="101" max="102" width="2.875" bestFit="1" customWidth="1"/>
    <col min="103" max="103" width="8.25" bestFit="1" customWidth="1"/>
    <col min="104" max="104" width="6.25" bestFit="1" customWidth="1"/>
    <col min="105" max="106" width="2.875" bestFit="1" customWidth="1"/>
    <col min="107" max="107" width="8.25" bestFit="1" customWidth="1"/>
    <col min="108" max="108" width="6.25" bestFit="1" customWidth="1"/>
    <col min="109" max="110" width="2.875" bestFit="1" customWidth="1"/>
    <col min="111" max="111" width="8.25" bestFit="1" customWidth="1"/>
    <col min="112" max="112" width="6.25" bestFit="1" customWidth="1"/>
    <col min="113" max="115" width="2.875" bestFit="1" customWidth="1"/>
    <col min="116" max="116" width="8.25" bestFit="1" customWidth="1"/>
    <col min="117" max="117" width="6.25" bestFit="1" customWidth="1"/>
    <col min="118" max="120" width="2.875" bestFit="1" customWidth="1"/>
    <col min="121" max="121" width="8.25" bestFit="1" customWidth="1"/>
    <col min="122" max="122" width="6.25" bestFit="1" customWidth="1"/>
    <col min="123" max="125" width="2.875" bestFit="1" customWidth="1"/>
    <col min="126" max="126" width="8.25" bestFit="1" customWidth="1"/>
    <col min="127" max="127" width="6.25" bestFit="1" customWidth="1"/>
    <col min="128" max="129" width="2.875" bestFit="1" customWidth="1"/>
    <col min="130" max="130" width="8.25" bestFit="1" customWidth="1"/>
    <col min="131" max="131" width="6.25" bestFit="1" customWidth="1"/>
    <col min="132" max="134" width="2.875" bestFit="1" customWidth="1"/>
    <col min="135" max="135" width="8.25" bestFit="1" customWidth="1"/>
    <col min="136" max="136" width="6.25" bestFit="1" customWidth="1"/>
    <col min="137" max="139" width="2.875" bestFit="1" customWidth="1"/>
    <col min="140" max="140" width="8.25" bestFit="1" customWidth="1"/>
    <col min="141" max="141" width="6.25" bestFit="1" customWidth="1"/>
    <col min="142" max="143" width="2.875" bestFit="1" customWidth="1"/>
    <col min="144" max="144" width="8.25" bestFit="1" customWidth="1"/>
    <col min="145" max="145" width="6.25" bestFit="1" customWidth="1"/>
    <col min="146" max="147" width="2.875" bestFit="1" customWidth="1"/>
    <col min="148" max="148" width="8.25" bestFit="1" customWidth="1"/>
    <col min="149" max="149" width="6.25" bestFit="1" customWidth="1"/>
    <col min="150" max="152" width="2.875" bestFit="1" customWidth="1"/>
    <col min="153" max="153" width="8.25" bestFit="1" customWidth="1"/>
    <col min="154" max="154" width="6.25" bestFit="1" customWidth="1"/>
    <col min="155" max="157" width="2.875" bestFit="1" customWidth="1"/>
    <col min="158" max="158" width="8.25" bestFit="1" customWidth="1"/>
    <col min="159" max="159" width="6.25" bestFit="1" customWidth="1"/>
    <col min="160" max="162" width="2.875" bestFit="1" customWidth="1"/>
    <col min="163" max="163" width="8.25" bestFit="1" customWidth="1"/>
    <col min="164" max="164" width="6.25" bestFit="1" customWidth="1"/>
    <col min="165" max="166" width="2.875" bestFit="1" customWidth="1"/>
    <col min="167" max="167" width="8.25" bestFit="1" customWidth="1"/>
    <col min="168" max="168" width="6.25" bestFit="1" customWidth="1"/>
    <col min="169" max="171" width="2.875" bestFit="1" customWidth="1"/>
    <col min="172" max="172" width="8.25" bestFit="1" customWidth="1"/>
    <col min="173" max="173" width="6.25" bestFit="1" customWidth="1"/>
    <col min="174" max="176" width="2.875" bestFit="1" customWidth="1"/>
    <col min="177" max="177" width="8.25" bestFit="1" customWidth="1"/>
    <col min="178" max="178" width="6.25" bestFit="1" customWidth="1"/>
    <col min="179" max="181" width="2.875" bestFit="1" customWidth="1"/>
    <col min="182" max="182" width="8.25" bestFit="1" customWidth="1"/>
    <col min="183" max="183" width="6.25" bestFit="1" customWidth="1"/>
    <col min="184" max="185" width="2.875" bestFit="1" customWidth="1"/>
    <col min="186" max="186" width="8.25" bestFit="1" customWidth="1"/>
    <col min="187" max="187" width="6.25" bestFit="1" customWidth="1"/>
    <col min="188" max="189" width="2.875" bestFit="1" customWidth="1"/>
    <col min="190" max="190" width="8.25" bestFit="1" customWidth="1"/>
    <col min="191" max="191" width="6.25" bestFit="1" customWidth="1"/>
    <col min="192" max="193" width="2.875" bestFit="1" customWidth="1"/>
    <col min="194" max="194" width="8.25" bestFit="1" customWidth="1"/>
    <col min="195" max="195" width="6.25" bestFit="1" customWidth="1"/>
    <col min="196" max="197" width="2.875" bestFit="1" customWidth="1"/>
    <col min="198" max="198" width="8.25" bestFit="1" customWidth="1"/>
    <col min="199" max="199" width="6.25" bestFit="1" customWidth="1"/>
    <col min="200" max="202" width="2.875" bestFit="1" customWidth="1"/>
    <col min="203" max="203" width="8.25" bestFit="1" customWidth="1"/>
    <col min="204" max="204" width="6.25" bestFit="1" customWidth="1"/>
    <col min="205" max="207" width="2.875" bestFit="1" customWidth="1"/>
    <col min="208" max="208" width="8.25" bestFit="1" customWidth="1"/>
    <col min="209" max="209" width="6.25" bestFit="1" customWidth="1"/>
    <col min="210" max="211" width="2.875" bestFit="1" customWidth="1"/>
    <col min="212" max="212" width="8.25" bestFit="1" customWidth="1"/>
    <col min="213" max="213" width="6.25" bestFit="1" customWidth="1"/>
    <col min="214" max="216" width="2.875" bestFit="1" customWidth="1"/>
    <col min="217" max="217" width="8.25" bestFit="1" customWidth="1"/>
    <col min="218" max="218" width="6.25" bestFit="1" customWidth="1"/>
    <col min="219" max="220" width="2.875" bestFit="1" customWidth="1"/>
    <col min="221" max="221" width="8.25" bestFit="1" customWidth="1"/>
    <col min="222" max="222" width="6.25" bestFit="1" customWidth="1"/>
    <col min="223" max="225" width="2.875" bestFit="1" customWidth="1"/>
    <col min="226" max="226" width="8.25" bestFit="1" customWidth="1"/>
    <col min="227" max="227" width="6.25" bestFit="1" customWidth="1"/>
    <col min="228" max="230" width="2.875" bestFit="1" customWidth="1"/>
    <col min="231" max="231" width="8.25" bestFit="1" customWidth="1"/>
    <col min="232" max="232" width="6.25" bestFit="1" customWidth="1"/>
    <col min="233" max="233" width="8.25" bestFit="1" customWidth="1"/>
    <col min="234" max="234" width="6.25" bestFit="1" customWidth="1"/>
    <col min="235" max="235" width="8.25" bestFit="1" customWidth="1"/>
    <col min="236" max="236" width="6.25" bestFit="1" customWidth="1"/>
    <col min="237" max="237" width="8.25" bestFit="1" customWidth="1"/>
    <col min="238" max="238" width="7.375" bestFit="1" customWidth="1"/>
    <col min="239" max="239" width="9.375" bestFit="1" customWidth="1"/>
    <col min="240" max="240" width="7.375" bestFit="1" customWidth="1"/>
    <col min="241" max="241" width="9.375" bestFit="1" customWidth="1"/>
    <col min="242" max="242" width="7.375" bestFit="1" customWidth="1"/>
    <col min="243" max="243" width="2.875" bestFit="1" customWidth="1"/>
    <col min="244" max="244" width="9.375" bestFit="1" customWidth="1"/>
    <col min="245" max="245" width="7.375" bestFit="1" customWidth="1"/>
    <col min="246" max="246" width="9.375" bestFit="1" customWidth="1"/>
    <col min="247" max="247" width="7.375" bestFit="1" customWidth="1"/>
    <col min="248" max="248" width="9.375" bestFit="1" customWidth="1"/>
    <col min="249" max="249" width="7.375" bestFit="1" customWidth="1"/>
    <col min="250" max="250" width="9.375" bestFit="1" customWidth="1"/>
    <col min="251" max="251" width="7.375" bestFit="1" customWidth="1"/>
    <col min="252" max="252" width="9.375" bestFit="1" customWidth="1"/>
    <col min="253" max="253" width="7.375" bestFit="1" customWidth="1"/>
    <col min="254" max="254" width="9.375" bestFit="1" customWidth="1"/>
    <col min="255" max="255" width="7.375" bestFit="1" customWidth="1"/>
    <col min="256" max="256" width="9.375" bestFit="1" customWidth="1"/>
    <col min="257" max="257" width="7.375" bestFit="1" customWidth="1"/>
    <col min="258" max="258" width="9.375" bestFit="1" customWidth="1"/>
    <col min="259" max="259" width="5.5" bestFit="1" customWidth="1"/>
  </cols>
  <sheetData>
    <row r="1" spans="1:22" x14ac:dyDescent="0.4">
      <c r="A1" s="9">
        <v>2</v>
      </c>
      <c r="B1" s="9">
        <v>3</v>
      </c>
      <c r="C1" s="9">
        <v>22</v>
      </c>
      <c r="D1" s="4"/>
      <c r="E1" s="1"/>
      <c r="F1">
        <v>1</v>
      </c>
      <c r="G1" t="s">
        <v>197</v>
      </c>
    </row>
    <row r="2" spans="1:22" x14ac:dyDescent="0.4">
      <c r="A2" s="9" t="s">
        <v>29</v>
      </c>
      <c r="B2" s="9" t="s">
        <v>209</v>
      </c>
      <c r="C2" s="9" t="s">
        <v>390</v>
      </c>
      <c r="D2" s="4"/>
      <c r="E2" s="1"/>
      <c r="F2">
        <v>2</v>
      </c>
      <c r="G2" t="s">
        <v>197</v>
      </c>
    </row>
    <row r="3" spans="1:22" x14ac:dyDescent="0.4">
      <c r="A3" s="9" t="s">
        <v>25</v>
      </c>
      <c r="B3" s="9" t="s">
        <v>25</v>
      </c>
      <c r="C3" s="9" t="s">
        <v>391</v>
      </c>
      <c r="D3" s="4"/>
      <c r="E3" s="1"/>
      <c r="F3">
        <v>3</v>
      </c>
      <c r="G3" t="s">
        <v>197</v>
      </c>
      <c r="I3" s="25" t="s">
        <v>529</v>
      </c>
      <c r="J3" s="25" t="s">
        <v>513</v>
      </c>
    </row>
    <row r="4" spans="1:22" x14ac:dyDescent="0.4">
      <c r="A4" s="9" t="s">
        <v>35</v>
      </c>
      <c r="B4" s="9" t="s">
        <v>34</v>
      </c>
      <c r="C4" s="9">
        <v>0</v>
      </c>
      <c r="D4" s="4"/>
      <c r="E4" s="1"/>
      <c r="F4">
        <v>4</v>
      </c>
      <c r="G4" t="s">
        <v>197</v>
      </c>
      <c r="I4" s="25" t="s">
        <v>515</v>
      </c>
      <c r="J4" t="s">
        <v>524</v>
      </c>
      <c r="K4" t="s">
        <v>523</v>
      </c>
      <c r="L4" t="s">
        <v>516</v>
      </c>
      <c r="M4" t="s">
        <v>517</v>
      </c>
      <c r="N4" t="s">
        <v>518</v>
      </c>
      <c r="O4" t="s">
        <v>519</v>
      </c>
      <c r="P4" t="s">
        <v>520</v>
      </c>
      <c r="Q4" t="s">
        <v>521</v>
      </c>
      <c r="R4" t="s">
        <v>522</v>
      </c>
      <c r="S4" t="s">
        <v>526</v>
      </c>
      <c r="T4" t="s">
        <v>528</v>
      </c>
      <c r="U4" t="s">
        <v>525</v>
      </c>
      <c r="V4" t="s">
        <v>514</v>
      </c>
    </row>
    <row r="5" spans="1:22" x14ac:dyDescent="0.4">
      <c r="A5" s="9"/>
      <c r="B5" s="9"/>
      <c r="C5" s="9"/>
      <c r="D5" s="4"/>
      <c r="E5" s="1"/>
      <c r="F5">
        <v>5</v>
      </c>
      <c r="G5" t="s">
        <v>197</v>
      </c>
      <c r="I5" s="26" t="s">
        <v>530</v>
      </c>
      <c r="J5">
        <v>0</v>
      </c>
      <c r="K5">
        <v>2</v>
      </c>
      <c r="L5">
        <v>7</v>
      </c>
      <c r="M5">
        <v>2</v>
      </c>
      <c r="N5">
        <v>5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16</v>
      </c>
    </row>
    <row r="6" spans="1:22" x14ac:dyDescent="0.4">
      <c r="A6" s="9" t="s">
        <v>27</v>
      </c>
      <c r="B6" s="9" t="s">
        <v>27</v>
      </c>
      <c r="C6" s="9" t="s">
        <v>27</v>
      </c>
      <c r="D6" s="4"/>
      <c r="E6" s="1"/>
      <c r="F6">
        <v>6</v>
      </c>
      <c r="G6" t="s">
        <v>197</v>
      </c>
      <c r="I6" s="26" t="s">
        <v>531</v>
      </c>
      <c r="J6">
        <v>0</v>
      </c>
      <c r="K6">
        <v>2</v>
      </c>
      <c r="L6">
        <v>8</v>
      </c>
      <c r="M6">
        <v>4</v>
      </c>
      <c r="N6">
        <v>5</v>
      </c>
      <c r="O6">
        <v>1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20</v>
      </c>
    </row>
    <row r="7" spans="1:22" x14ac:dyDescent="0.4">
      <c r="A7" s="14">
        <v>1</v>
      </c>
      <c r="B7" s="14">
        <v>1</v>
      </c>
      <c r="C7" s="11" t="s">
        <v>414</v>
      </c>
      <c r="D7" s="29" t="str">
        <f>LEFT(C7,7)</f>
        <v>2022/02</v>
      </c>
      <c r="E7" s="28" t="str">
        <f>VLOOKUP(A7,F:G,2)</f>
        <v>31A</v>
      </c>
      <c r="F7" s="28">
        <v>7</v>
      </c>
      <c r="G7" s="28" t="s">
        <v>202</v>
      </c>
      <c r="H7" s="28"/>
      <c r="I7" s="26" t="s">
        <v>532</v>
      </c>
      <c r="J7">
        <v>0</v>
      </c>
      <c r="K7">
        <v>4</v>
      </c>
      <c r="L7">
        <v>9</v>
      </c>
      <c r="M7">
        <v>4</v>
      </c>
      <c r="N7">
        <v>5</v>
      </c>
      <c r="O7">
        <v>1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23</v>
      </c>
    </row>
    <row r="8" spans="1:22" x14ac:dyDescent="0.4">
      <c r="A8" s="14">
        <v>1</v>
      </c>
      <c r="B8" s="14">
        <v>1</v>
      </c>
      <c r="C8" s="11" t="s">
        <v>414</v>
      </c>
      <c r="D8" s="29" t="str">
        <f t="shared" ref="D8:D71" si="0">LEFT(C8,7)</f>
        <v>2022/02</v>
      </c>
      <c r="E8" s="28" t="str">
        <f t="shared" ref="E8:E71" si="1">VLOOKUP(A8,F:G,2)</f>
        <v>31A</v>
      </c>
      <c r="F8" s="28">
        <v>8</v>
      </c>
      <c r="G8" s="28" t="s">
        <v>202</v>
      </c>
      <c r="H8" s="28"/>
      <c r="I8" s="26" t="s">
        <v>533</v>
      </c>
      <c r="J8">
        <v>0</v>
      </c>
      <c r="K8">
        <v>5</v>
      </c>
      <c r="L8">
        <v>9</v>
      </c>
      <c r="M8">
        <v>4</v>
      </c>
      <c r="N8">
        <v>5</v>
      </c>
      <c r="O8">
        <v>1</v>
      </c>
      <c r="P8">
        <v>0</v>
      </c>
      <c r="Q8">
        <v>2</v>
      </c>
      <c r="R8">
        <v>0</v>
      </c>
      <c r="S8">
        <v>0</v>
      </c>
      <c r="T8">
        <v>0</v>
      </c>
      <c r="U8">
        <v>0</v>
      </c>
      <c r="V8">
        <v>26</v>
      </c>
    </row>
    <row r="9" spans="1:22" x14ac:dyDescent="0.4">
      <c r="A9" s="14">
        <v>2</v>
      </c>
      <c r="B9" s="14">
        <v>1</v>
      </c>
      <c r="C9" s="11" t="s">
        <v>414</v>
      </c>
      <c r="D9" s="29" t="str">
        <f t="shared" si="0"/>
        <v>2022/02</v>
      </c>
      <c r="E9" s="28" t="str">
        <f t="shared" si="1"/>
        <v>31A</v>
      </c>
      <c r="F9" s="28">
        <v>9</v>
      </c>
      <c r="G9" s="28" t="s">
        <v>202</v>
      </c>
      <c r="H9" s="28"/>
      <c r="I9" s="26" t="s">
        <v>534</v>
      </c>
      <c r="J9">
        <v>0</v>
      </c>
      <c r="K9">
        <v>5</v>
      </c>
      <c r="L9">
        <v>10</v>
      </c>
      <c r="M9">
        <v>5</v>
      </c>
      <c r="N9">
        <v>6</v>
      </c>
      <c r="O9">
        <v>1</v>
      </c>
      <c r="P9">
        <v>1</v>
      </c>
      <c r="Q9">
        <v>2</v>
      </c>
      <c r="R9">
        <v>0</v>
      </c>
      <c r="S9">
        <v>0</v>
      </c>
      <c r="T9">
        <v>0</v>
      </c>
      <c r="U9">
        <v>0</v>
      </c>
      <c r="V9">
        <v>30</v>
      </c>
    </row>
    <row r="10" spans="1:22" x14ac:dyDescent="0.4">
      <c r="A10" s="14">
        <v>3</v>
      </c>
      <c r="B10" s="14">
        <v>1</v>
      </c>
      <c r="C10" s="11" t="s">
        <v>414</v>
      </c>
      <c r="D10" s="29" t="str">
        <f t="shared" si="0"/>
        <v>2022/02</v>
      </c>
      <c r="E10" s="28" t="str">
        <f t="shared" si="1"/>
        <v>31A</v>
      </c>
      <c r="F10" s="28">
        <v>10</v>
      </c>
      <c r="G10" s="28" t="s">
        <v>202</v>
      </c>
      <c r="H10" s="28"/>
      <c r="I10" s="26" t="s">
        <v>535</v>
      </c>
      <c r="J10">
        <v>0</v>
      </c>
      <c r="K10">
        <v>5</v>
      </c>
      <c r="L10">
        <v>11</v>
      </c>
      <c r="M10">
        <v>6</v>
      </c>
      <c r="N10">
        <v>6</v>
      </c>
      <c r="O10">
        <v>1</v>
      </c>
      <c r="P10">
        <v>2</v>
      </c>
      <c r="Q10">
        <v>2</v>
      </c>
      <c r="R10">
        <v>0</v>
      </c>
      <c r="S10">
        <v>0</v>
      </c>
      <c r="T10">
        <v>0</v>
      </c>
      <c r="U10">
        <v>0</v>
      </c>
      <c r="V10">
        <v>33</v>
      </c>
    </row>
    <row r="11" spans="1:22" x14ac:dyDescent="0.4">
      <c r="A11" s="14">
        <v>4</v>
      </c>
      <c r="B11" s="14">
        <v>1</v>
      </c>
      <c r="C11" s="11" t="s">
        <v>414</v>
      </c>
      <c r="D11" s="29" t="str">
        <f t="shared" si="0"/>
        <v>2022/02</v>
      </c>
      <c r="E11" s="28" t="str">
        <f t="shared" si="1"/>
        <v>31A</v>
      </c>
      <c r="F11" s="28">
        <v>11</v>
      </c>
      <c r="G11" s="28" t="s">
        <v>202</v>
      </c>
      <c r="H11" s="28"/>
      <c r="I11" s="26" t="s">
        <v>536</v>
      </c>
      <c r="J11">
        <v>0</v>
      </c>
      <c r="K11">
        <v>5</v>
      </c>
      <c r="L11">
        <v>12</v>
      </c>
      <c r="M11">
        <v>7</v>
      </c>
      <c r="N11">
        <v>6</v>
      </c>
      <c r="O11">
        <v>1</v>
      </c>
      <c r="P11">
        <v>2</v>
      </c>
      <c r="Q11">
        <v>2</v>
      </c>
      <c r="R11">
        <v>2</v>
      </c>
      <c r="S11">
        <v>0</v>
      </c>
      <c r="T11">
        <v>0</v>
      </c>
      <c r="U11">
        <v>0</v>
      </c>
      <c r="V11">
        <v>37</v>
      </c>
    </row>
    <row r="12" spans="1:22" x14ac:dyDescent="0.4">
      <c r="A12" s="14">
        <v>5</v>
      </c>
      <c r="B12" s="14">
        <v>1</v>
      </c>
      <c r="C12" s="11" t="s">
        <v>414</v>
      </c>
      <c r="D12" s="29" t="str">
        <f t="shared" si="0"/>
        <v>2022/02</v>
      </c>
      <c r="E12" s="28" t="str">
        <f t="shared" si="1"/>
        <v>31A</v>
      </c>
      <c r="F12" s="28">
        <v>12</v>
      </c>
      <c r="G12" s="28" t="s">
        <v>202</v>
      </c>
      <c r="H12" s="28"/>
      <c r="I12" s="26" t="s">
        <v>537</v>
      </c>
      <c r="J12">
        <v>0</v>
      </c>
      <c r="K12">
        <v>7</v>
      </c>
      <c r="L12">
        <v>12</v>
      </c>
      <c r="M12">
        <v>7</v>
      </c>
      <c r="N12">
        <v>6</v>
      </c>
      <c r="O12">
        <v>1</v>
      </c>
      <c r="P12">
        <v>2</v>
      </c>
      <c r="Q12">
        <v>4</v>
      </c>
      <c r="R12">
        <v>2</v>
      </c>
      <c r="S12">
        <v>0</v>
      </c>
      <c r="T12">
        <v>0</v>
      </c>
      <c r="U12">
        <v>0</v>
      </c>
      <c r="V12">
        <v>41</v>
      </c>
    </row>
    <row r="13" spans="1:22" x14ac:dyDescent="0.4">
      <c r="A13" s="14">
        <v>6</v>
      </c>
      <c r="B13" s="14">
        <v>1</v>
      </c>
      <c r="C13" s="11" t="s">
        <v>414</v>
      </c>
      <c r="D13" s="29" t="str">
        <f t="shared" si="0"/>
        <v>2022/02</v>
      </c>
      <c r="E13" s="28" t="str">
        <f t="shared" si="1"/>
        <v>31A</v>
      </c>
      <c r="F13" s="28">
        <v>13</v>
      </c>
      <c r="G13" s="28" t="s">
        <v>171</v>
      </c>
      <c r="H13" s="28"/>
      <c r="I13" s="26" t="s">
        <v>538</v>
      </c>
      <c r="J13">
        <v>0</v>
      </c>
      <c r="K13">
        <v>7</v>
      </c>
      <c r="L13">
        <v>12</v>
      </c>
      <c r="M13">
        <v>9</v>
      </c>
      <c r="N13">
        <v>6</v>
      </c>
      <c r="O13">
        <v>3</v>
      </c>
      <c r="P13">
        <v>2</v>
      </c>
      <c r="Q13">
        <v>4</v>
      </c>
      <c r="R13">
        <v>2</v>
      </c>
      <c r="S13">
        <v>0</v>
      </c>
      <c r="T13">
        <v>0</v>
      </c>
      <c r="U13">
        <v>0</v>
      </c>
      <c r="V13">
        <v>45</v>
      </c>
    </row>
    <row r="14" spans="1:22" x14ac:dyDescent="0.4">
      <c r="A14" s="14">
        <v>10</v>
      </c>
      <c r="B14" s="14">
        <v>1</v>
      </c>
      <c r="C14" s="11" t="s">
        <v>414</v>
      </c>
      <c r="D14" s="29" t="str">
        <f t="shared" si="0"/>
        <v>2022/02</v>
      </c>
      <c r="E14" s="28" t="str">
        <f t="shared" si="1"/>
        <v>31B</v>
      </c>
      <c r="F14" s="28">
        <v>14</v>
      </c>
      <c r="G14" s="28" t="s">
        <v>171</v>
      </c>
      <c r="H14" s="28"/>
      <c r="I14" s="26" t="s">
        <v>539</v>
      </c>
      <c r="J14">
        <v>0</v>
      </c>
      <c r="K14">
        <v>7</v>
      </c>
      <c r="L14">
        <v>12</v>
      </c>
      <c r="M14">
        <v>9</v>
      </c>
      <c r="N14">
        <v>6</v>
      </c>
      <c r="O14">
        <v>3</v>
      </c>
      <c r="P14">
        <v>4</v>
      </c>
      <c r="Q14">
        <v>6</v>
      </c>
      <c r="R14">
        <v>2</v>
      </c>
      <c r="S14">
        <v>0</v>
      </c>
      <c r="T14">
        <v>0</v>
      </c>
      <c r="U14">
        <v>0</v>
      </c>
      <c r="V14">
        <v>49</v>
      </c>
    </row>
    <row r="15" spans="1:22" x14ac:dyDescent="0.4">
      <c r="A15" s="14">
        <v>12</v>
      </c>
      <c r="B15" s="14">
        <v>1</v>
      </c>
      <c r="C15" s="11" t="s">
        <v>414</v>
      </c>
      <c r="D15" s="29" t="str">
        <f t="shared" si="0"/>
        <v>2022/02</v>
      </c>
      <c r="E15" s="28" t="str">
        <f t="shared" si="1"/>
        <v>31B</v>
      </c>
      <c r="F15" s="28">
        <v>15</v>
      </c>
      <c r="G15" s="28" t="s">
        <v>171</v>
      </c>
      <c r="H15" s="28"/>
      <c r="I15" s="26" t="s">
        <v>540</v>
      </c>
      <c r="J15">
        <v>0</v>
      </c>
      <c r="K15">
        <v>7</v>
      </c>
      <c r="L15">
        <v>13</v>
      </c>
      <c r="M15">
        <v>9</v>
      </c>
      <c r="N15">
        <v>8</v>
      </c>
      <c r="O15">
        <v>3</v>
      </c>
      <c r="P15">
        <v>4</v>
      </c>
      <c r="Q15">
        <v>6</v>
      </c>
      <c r="R15">
        <v>2</v>
      </c>
      <c r="S15">
        <v>0</v>
      </c>
      <c r="T15">
        <v>0</v>
      </c>
      <c r="U15">
        <v>0</v>
      </c>
      <c r="V15">
        <v>52</v>
      </c>
    </row>
    <row r="16" spans="1:22" x14ac:dyDescent="0.4">
      <c r="A16" s="14">
        <v>14</v>
      </c>
      <c r="B16" s="14">
        <v>1</v>
      </c>
      <c r="C16" s="11" t="s">
        <v>414</v>
      </c>
      <c r="D16" s="29" t="str">
        <f t="shared" si="0"/>
        <v>2022/02</v>
      </c>
      <c r="E16" s="28" t="str">
        <f t="shared" si="1"/>
        <v>31C</v>
      </c>
      <c r="F16" s="28">
        <v>16</v>
      </c>
      <c r="G16" s="28" t="s">
        <v>171</v>
      </c>
      <c r="H16" s="28"/>
      <c r="I16" s="26" t="s">
        <v>541</v>
      </c>
      <c r="J16">
        <v>0</v>
      </c>
      <c r="K16">
        <v>7</v>
      </c>
      <c r="L16">
        <v>13</v>
      </c>
      <c r="M16">
        <v>9</v>
      </c>
      <c r="N16">
        <v>9</v>
      </c>
      <c r="O16">
        <v>3</v>
      </c>
      <c r="P16">
        <v>4</v>
      </c>
      <c r="Q16">
        <v>6</v>
      </c>
      <c r="R16">
        <v>4</v>
      </c>
      <c r="S16">
        <v>0</v>
      </c>
      <c r="T16">
        <v>0</v>
      </c>
      <c r="U16">
        <v>0</v>
      </c>
      <c r="V16">
        <v>55</v>
      </c>
    </row>
    <row r="17" spans="1:22" x14ac:dyDescent="0.4">
      <c r="A17" s="14">
        <v>15</v>
      </c>
      <c r="B17" s="14">
        <v>1</v>
      </c>
      <c r="C17" s="11" t="s">
        <v>414</v>
      </c>
      <c r="D17" s="29" t="str">
        <f t="shared" si="0"/>
        <v>2022/02</v>
      </c>
      <c r="E17" s="28" t="str">
        <f t="shared" si="1"/>
        <v>31C</v>
      </c>
      <c r="F17" s="28">
        <v>17</v>
      </c>
      <c r="G17" s="28" t="s">
        <v>171</v>
      </c>
      <c r="H17" s="28"/>
      <c r="I17" s="26" t="s">
        <v>542</v>
      </c>
      <c r="J17">
        <v>0</v>
      </c>
      <c r="K17">
        <v>7</v>
      </c>
      <c r="L17">
        <v>15</v>
      </c>
      <c r="M17">
        <v>9</v>
      </c>
      <c r="N17">
        <v>9</v>
      </c>
      <c r="O17">
        <v>3</v>
      </c>
      <c r="P17">
        <v>4</v>
      </c>
      <c r="Q17">
        <v>6</v>
      </c>
      <c r="R17">
        <v>4</v>
      </c>
      <c r="S17">
        <v>2</v>
      </c>
      <c r="T17">
        <v>0</v>
      </c>
      <c r="U17">
        <v>0</v>
      </c>
      <c r="V17">
        <v>59</v>
      </c>
    </row>
    <row r="18" spans="1:22" x14ac:dyDescent="0.4">
      <c r="A18" s="14">
        <v>16</v>
      </c>
      <c r="B18" s="14">
        <v>1</v>
      </c>
      <c r="C18" s="11" t="s">
        <v>414</v>
      </c>
      <c r="D18" s="29" t="str">
        <f t="shared" si="0"/>
        <v>2022/02</v>
      </c>
      <c r="E18" s="28" t="str">
        <f t="shared" si="1"/>
        <v>31C</v>
      </c>
      <c r="F18" s="28">
        <v>18</v>
      </c>
      <c r="G18" s="28" t="s">
        <v>171</v>
      </c>
      <c r="H18" s="28"/>
      <c r="I18" s="26" t="s">
        <v>543</v>
      </c>
      <c r="J18">
        <v>0</v>
      </c>
      <c r="K18">
        <v>8</v>
      </c>
      <c r="L18">
        <v>15</v>
      </c>
      <c r="M18">
        <v>9</v>
      </c>
      <c r="N18">
        <v>9</v>
      </c>
      <c r="O18">
        <v>4</v>
      </c>
      <c r="P18">
        <v>6</v>
      </c>
      <c r="Q18">
        <v>6</v>
      </c>
      <c r="R18">
        <v>4</v>
      </c>
      <c r="S18">
        <v>2</v>
      </c>
      <c r="T18">
        <v>0</v>
      </c>
      <c r="U18">
        <v>0</v>
      </c>
      <c r="V18">
        <v>63</v>
      </c>
    </row>
    <row r="19" spans="1:22" x14ac:dyDescent="0.4">
      <c r="A19" s="14">
        <v>46</v>
      </c>
      <c r="B19" s="14">
        <v>1</v>
      </c>
      <c r="C19" s="11" t="s">
        <v>414</v>
      </c>
      <c r="D19" s="29" t="str">
        <f t="shared" si="0"/>
        <v>2022/02</v>
      </c>
      <c r="E19" s="28" t="str">
        <f t="shared" si="1"/>
        <v>30G</v>
      </c>
      <c r="F19" s="28">
        <v>19</v>
      </c>
      <c r="G19" s="28" t="s">
        <v>196</v>
      </c>
      <c r="H19" s="28"/>
      <c r="I19" s="26" t="s">
        <v>544</v>
      </c>
      <c r="J19">
        <v>0</v>
      </c>
      <c r="K19">
        <v>9</v>
      </c>
      <c r="L19">
        <v>16</v>
      </c>
      <c r="M19">
        <v>9</v>
      </c>
      <c r="N19">
        <v>11</v>
      </c>
      <c r="O19">
        <v>4</v>
      </c>
      <c r="P19">
        <v>6</v>
      </c>
      <c r="Q19">
        <v>6</v>
      </c>
      <c r="R19">
        <v>4</v>
      </c>
      <c r="S19">
        <v>2</v>
      </c>
      <c r="T19">
        <v>0</v>
      </c>
      <c r="U19">
        <v>0</v>
      </c>
      <c r="V19">
        <v>67</v>
      </c>
    </row>
    <row r="20" spans="1:22" x14ac:dyDescent="0.4">
      <c r="A20" s="14">
        <v>18</v>
      </c>
      <c r="B20" s="14">
        <v>1</v>
      </c>
      <c r="C20" s="11" t="s">
        <v>415</v>
      </c>
      <c r="D20" s="29" t="str">
        <f t="shared" si="0"/>
        <v>2022/02</v>
      </c>
      <c r="E20" s="28" t="str">
        <f t="shared" si="1"/>
        <v>31C</v>
      </c>
      <c r="F20" s="28">
        <v>20</v>
      </c>
      <c r="G20" s="28" t="s">
        <v>196</v>
      </c>
      <c r="H20" s="28"/>
      <c r="I20" s="26" t="s">
        <v>545</v>
      </c>
      <c r="J20">
        <v>0</v>
      </c>
      <c r="K20">
        <v>10</v>
      </c>
      <c r="L20">
        <v>16</v>
      </c>
      <c r="M20">
        <v>11</v>
      </c>
      <c r="N20">
        <v>11</v>
      </c>
      <c r="O20">
        <v>5</v>
      </c>
      <c r="P20">
        <v>6</v>
      </c>
      <c r="Q20">
        <v>6</v>
      </c>
      <c r="R20">
        <v>4</v>
      </c>
      <c r="S20">
        <v>2</v>
      </c>
      <c r="T20">
        <v>0</v>
      </c>
      <c r="U20">
        <v>0</v>
      </c>
      <c r="V20">
        <v>71</v>
      </c>
    </row>
    <row r="21" spans="1:22" x14ac:dyDescent="0.4">
      <c r="A21" s="14">
        <v>13</v>
      </c>
      <c r="B21" s="14">
        <v>1</v>
      </c>
      <c r="C21" s="11" t="s">
        <v>416</v>
      </c>
      <c r="D21" s="29" t="str">
        <f t="shared" si="0"/>
        <v>2022/02</v>
      </c>
      <c r="E21" s="28" t="str">
        <f t="shared" si="1"/>
        <v>31C</v>
      </c>
      <c r="F21" s="28">
        <v>21</v>
      </c>
      <c r="G21" s="28" t="s">
        <v>196</v>
      </c>
      <c r="H21" s="28"/>
      <c r="I21" s="26" t="s">
        <v>546</v>
      </c>
      <c r="J21">
        <v>0</v>
      </c>
      <c r="K21">
        <v>10</v>
      </c>
      <c r="L21">
        <v>16</v>
      </c>
      <c r="M21">
        <v>11</v>
      </c>
      <c r="N21">
        <v>13</v>
      </c>
      <c r="O21">
        <v>6</v>
      </c>
      <c r="P21">
        <v>7</v>
      </c>
      <c r="Q21">
        <v>6</v>
      </c>
      <c r="R21">
        <v>6</v>
      </c>
      <c r="S21">
        <v>2</v>
      </c>
      <c r="T21">
        <v>0</v>
      </c>
      <c r="U21">
        <v>0</v>
      </c>
      <c r="V21">
        <v>77</v>
      </c>
    </row>
    <row r="22" spans="1:22" x14ac:dyDescent="0.4">
      <c r="A22" s="14">
        <v>3</v>
      </c>
      <c r="B22" s="14">
        <v>1</v>
      </c>
      <c r="C22" s="11" t="s">
        <v>417</v>
      </c>
      <c r="D22" s="29" t="str">
        <f t="shared" si="0"/>
        <v>2022/02</v>
      </c>
      <c r="E22" s="28" t="str">
        <f t="shared" si="1"/>
        <v>31A</v>
      </c>
      <c r="F22" s="28">
        <v>22</v>
      </c>
      <c r="G22" s="28" t="s">
        <v>196</v>
      </c>
      <c r="H22" s="28"/>
      <c r="I22" s="26" t="s">
        <v>547</v>
      </c>
      <c r="J22">
        <v>0</v>
      </c>
      <c r="K22">
        <v>10</v>
      </c>
      <c r="L22">
        <v>16</v>
      </c>
      <c r="M22">
        <v>11</v>
      </c>
      <c r="N22">
        <v>13</v>
      </c>
      <c r="O22">
        <v>7</v>
      </c>
      <c r="P22">
        <v>7</v>
      </c>
      <c r="Q22">
        <v>6</v>
      </c>
      <c r="R22">
        <v>6</v>
      </c>
      <c r="S22">
        <v>2</v>
      </c>
      <c r="T22">
        <v>0</v>
      </c>
      <c r="U22">
        <v>0</v>
      </c>
      <c r="V22">
        <v>78</v>
      </c>
    </row>
    <row r="23" spans="1:22" x14ac:dyDescent="0.4">
      <c r="A23" s="14">
        <v>44</v>
      </c>
      <c r="B23" s="14">
        <v>1</v>
      </c>
      <c r="C23" s="11" t="s">
        <v>417</v>
      </c>
      <c r="D23" s="29" t="str">
        <f t="shared" si="0"/>
        <v>2022/02</v>
      </c>
      <c r="E23" s="28" t="str">
        <f t="shared" si="1"/>
        <v>30G</v>
      </c>
      <c r="F23" s="28">
        <v>23</v>
      </c>
      <c r="G23" s="28" t="s">
        <v>196</v>
      </c>
      <c r="H23" s="28"/>
      <c r="I23" s="26" t="s">
        <v>548</v>
      </c>
      <c r="J23">
        <v>0</v>
      </c>
      <c r="K23">
        <v>11</v>
      </c>
      <c r="L23">
        <v>19</v>
      </c>
      <c r="M23">
        <v>11</v>
      </c>
      <c r="N23">
        <v>13</v>
      </c>
      <c r="O23">
        <v>7</v>
      </c>
      <c r="P23">
        <v>7</v>
      </c>
      <c r="Q23">
        <v>7</v>
      </c>
      <c r="R23">
        <v>6</v>
      </c>
      <c r="S23">
        <v>2</v>
      </c>
      <c r="T23">
        <v>0</v>
      </c>
      <c r="U23">
        <v>0</v>
      </c>
      <c r="V23">
        <v>83</v>
      </c>
    </row>
    <row r="24" spans="1:22" x14ac:dyDescent="0.4">
      <c r="A24" s="14">
        <v>8</v>
      </c>
      <c r="B24" s="14">
        <v>1</v>
      </c>
      <c r="C24" s="11" t="s">
        <v>418</v>
      </c>
      <c r="D24" s="29" t="str">
        <f t="shared" si="0"/>
        <v>2022/03</v>
      </c>
      <c r="E24" s="28" t="str">
        <f t="shared" si="1"/>
        <v>31B</v>
      </c>
      <c r="F24" s="28">
        <v>24</v>
      </c>
      <c r="G24" s="28" t="s">
        <v>196</v>
      </c>
      <c r="H24" s="28"/>
      <c r="I24" s="26" t="s">
        <v>549</v>
      </c>
      <c r="J24">
        <v>0</v>
      </c>
      <c r="K24">
        <v>12</v>
      </c>
      <c r="L24">
        <v>20</v>
      </c>
      <c r="M24">
        <v>11</v>
      </c>
      <c r="N24">
        <v>13</v>
      </c>
      <c r="O24">
        <v>7</v>
      </c>
      <c r="P24">
        <v>7</v>
      </c>
      <c r="Q24">
        <v>8</v>
      </c>
      <c r="R24">
        <v>6</v>
      </c>
      <c r="S24">
        <v>2</v>
      </c>
      <c r="T24">
        <v>0</v>
      </c>
      <c r="U24">
        <v>0</v>
      </c>
      <c r="V24">
        <v>86</v>
      </c>
    </row>
    <row r="25" spans="1:22" x14ac:dyDescent="0.4">
      <c r="A25" s="14">
        <v>9</v>
      </c>
      <c r="B25" s="14">
        <v>1</v>
      </c>
      <c r="C25" s="11" t="s">
        <v>418</v>
      </c>
      <c r="D25" s="29" t="str">
        <f t="shared" si="0"/>
        <v>2022/03</v>
      </c>
      <c r="E25" s="28" t="str">
        <f t="shared" si="1"/>
        <v>31B</v>
      </c>
      <c r="F25" s="28">
        <v>25</v>
      </c>
      <c r="G25" s="28" t="s">
        <v>203</v>
      </c>
      <c r="H25" s="28"/>
      <c r="I25" s="26" t="s">
        <v>550</v>
      </c>
      <c r="J25">
        <v>0</v>
      </c>
      <c r="K25">
        <v>12</v>
      </c>
      <c r="L25">
        <v>20</v>
      </c>
      <c r="M25">
        <v>11</v>
      </c>
      <c r="N25">
        <v>14</v>
      </c>
      <c r="O25">
        <v>7</v>
      </c>
      <c r="P25">
        <v>9</v>
      </c>
      <c r="Q25">
        <v>8</v>
      </c>
      <c r="R25">
        <v>7</v>
      </c>
      <c r="S25">
        <v>2</v>
      </c>
      <c r="T25">
        <v>0</v>
      </c>
      <c r="U25">
        <v>0</v>
      </c>
      <c r="V25">
        <v>90</v>
      </c>
    </row>
    <row r="26" spans="1:22" x14ac:dyDescent="0.4">
      <c r="A26" s="14">
        <v>6</v>
      </c>
      <c r="B26" s="14">
        <v>1</v>
      </c>
      <c r="C26" s="11" t="s">
        <v>419</v>
      </c>
      <c r="D26" s="29" t="str">
        <f t="shared" si="0"/>
        <v>2022/03</v>
      </c>
      <c r="E26" s="28" t="str">
        <f t="shared" si="1"/>
        <v>31A</v>
      </c>
      <c r="F26" s="28">
        <v>26</v>
      </c>
      <c r="G26" s="28" t="s">
        <v>203</v>
      </c>
      <c r="H26" s="28"/>
      <c r="I26" s="26" t="s">
        <v>551</v>
      </c>
      <c r="J26">
        <v>0</v>
      </c>
      <c r="K26">
        <v>14</v>
      </c>
      <c r="L26">
        <v>20</v>
      </c>
      <c r="M26">
        <v>11</v>
      </c>
      <c r="N26">
        <v>14</v>
      </c>
      <c r="O26">
        <v>7</v>
      </c>
      <c r="P26">
        <v>9</v>
      </c>
      <c r="Q26">
        <v>8</v>
      </c>
      <c r="R26">
        <v>9</v>
      </c>
      <c r="S26">
        <v>2</v>
      </c>
      <c r="T26">
        <v>0</v>
      </c>
      <c r="U26">
        <v>0</v>
      </c>
      <c r="V26">
        <v>94</v>
      </c>
    </row>
    <row r="27" spans="1:22" x14ac:dyDescent="0.4">
      <c r="A27" s="14">
        <v>19</v>
      </c>
      <c r="B27" s="14">
        <v>1</v>
      </c>
      <c r="C27" s="11" t="s">
        <v>420</v>
      </c>
      <c r="D27" s="29" t="str">
        <f t="shared" si="0"/>
        <v>2022/03</v>
      </c>
      <c r="E27" s="28" t="str">
        <f t="shared" si="1"/>
        <v>31D</v>
      </c>
      <c r="F27" s="28">
        <v>27</v>
      </c>
      <c r="G27" s="28" t="s">
        <v>203</v>
      </c>
      <c r="H27" s="28"/>
      <c r="I27" s="26" t="s">
        <v>552</v>
      </c>
      <c r="J27">
        <v>0</v>
      </c>
      <c r="K27">
        <v>14</v>
      </c>
      <c r="L27">
        <v>22</v>
      </c>
      <c r="M27">
        <v>13</v>
      </c>
      <c r="N27">
        <v>14</v>
      </c>
      <c r="O27">
        <v>9</v>
      </c>
      <c r="P27">
        <v>9</v>
      </c>
      <c r="Q27">
        <v>8</v>
      </c>
      <c r="R27">
        <v>9</v>
      </c>
      <c r="S27">
        <v>2</v>
      </c>
      <c r="T27">
        <v>0</v>
      </c>
      <c r="U27">
        <v>0</v>
      </c>
      <c r="V27">
        <v>100</v>
      </c>
    </row>
    <row r="28" spans="1:22" x14ac:dyDescent="0.4">
      <c r="A28" s="14">
        <v>43</v>
      </c>
      <c r="B28" s="14">
        <v>1</v>
      </c>
      <c r="C28" s="11" t="s">
        <v>421</v>
      </c>
      <c r="D28" s="29" t="str">
        <f t="shared" si="0"/>
        <v>2022/04</v>
      </c>
      <c r="E28" s="28" t="str">
        <f t="shared" si="1"/>
        <v>30G</v>
      </c>
      <c r="F28" s="28">
        <v>28</v>
      </c>
      <c r="G28" s="28" t="s">
        <v>203</v>
      </c>
      <c r="H28" s="28"/>
      <c r="I28" s="26" t="s">
        <v>553</v>
      </c>
      <c r="J28">
        <v>0</v>
      </c>
      <c r="K28">
        <v>14</v>
      </c>
      <c r="L28">
        <v>22</v>
      </c>
      <c r="M28">
        <v>13</v>
      </c>
      <c r="N28">
        <v>14</v>
      </c>
      <c r="O28">
        <v>9</v>
      </c>
      <c r="P28">
        <v>11</v>
      </c>
      <c r="Q28">
        <v>8</v>
      </c>
      <c r="R28">
        <v>9</v>
      </c>
      <c r="S28">
        <v>3</v>
      </c>
      <c r="T28">
        <v>0</v>
      </c>
      <c r="U28">
        <v>0</v>
      </c>
      <c r="V28">
        <v>103</v>
      </c>
    </row>
    <row r="29" spans="1:22" x14ac:dyDescent="0.4">
      <c r="A29" s="14">
        <v>1</v>
      </c>
      <c r="B29" s="14">
        <v>1</v>
      </c>
      <c r="C29" s="11" t="s">
        <v>422</v>
      </c>
      <c r="D29" s="29" t="str">
        <f t="shared" si="0"/>
        <v>2022/04</v>
      </c>
      <c r="E29" s="28" t="str">
        <f t="shared" si="1"/>
        <v>31A</v>
      </c>
      <c r="F29" s="28">
        <v>29</v>
      </c>
      <c r="G29" s="28" t="s">
        <v>203</v>
      </c>
      <c r="H29" s="28"/>
      <c r="I29" s="26" t="s">
        <v>554</v>
      </c>
      <c r="J29">
        <v>0</v>
      </c>
      <c r="K29">
        <v>14</v>
      </c>
      <c r="L29">
        <v>24</v>
      </c>
      <c r="M29">
        <v>13</v>
      </c>
      <c r="N29">
        <v>15</v>
      </c>
      <c r="O29">
        <v>9</v>
      </c>
      <c r="P29">
        <v>11</v>
      </c>
      <c r="Q29">
        <v>8</v>
      </c>
      <c r="R29">
        <v>9</v>
      </c>
      <c r="S29">
        <v>5</v>
      </c>
      <c r="T29">
        <v>0</v>
      </c>
      <c r="U29">
        <v>0</v>
      </c>
      <c r="V29">
        <v>108</v>
      </c>
    </row>
    <row r="30" spans="1:22" x14ac:dyDescent="0.4">
      <c r="A30" s="14">
        <v>48</v>
      </c>
      <c r="B30" s="14">
        <v>1</v>
      </c>
      <c r="C30" s="11" t="s">
        <v>422</v>
      </c>
      <c r="D30" s="29" t="str">
        <f t="shared" si="0"/>
        <v>2022/04</v>
      </c>
      <c r="E30" s="28" t="str">
        <f t="shared" si="1"/>
        <v>30G</v>
      </c>
      <c r="F30" s="28">
        <v>30</v>
      </c>
      <c r="G30" s="28" t="s">
        <v>203</v>
      </c>
      <c r="H30" s="28"/>
      <c r="I30" s="26" t="s">
        <v>555</v>
      </c>
      <c r="J30">
        <v>0</v>
      </c>
      <c r="K30">
        <v>14</v>
      </c>
      <c r="L30">
        <v>24</v>
      </c>
      <c r="M30">
        <v>14</v>
      </c>
      <c r="N30">
        <v>17</v>
      </c>
      <c r="O30">
        <v>9</v>
      </c>
      <c r="P30">
        <v>11</v>
      </c>
      <c r="Q30">
        <v>8</v>
      </c>
      <c r="R30">
        <v>9</v>
      </c>
      <c r="S30">
        <v>5</v>
      </c>
      <c r="T30">
        <v>0</v>
      </c>
      <c r="U30">
        <v>0</v>
      </c>
      <c r="V30">
        <v>111</v>
      </c>
    </row>
    <row r="31" spans="1:22" x14ac:dyDescent="0.4">
      <c r="A31" s="14">
        <v>47</v>
      </c>
      <c r="B31" s="14">
        <v>1</v>
      </c>
      <c r="C31" s="11" t="s">
        <v>423</v>
      </c>
      <c r="D31" s="29" t="str">
        <f t="shared" si="0"/>
        <v>2022/05</v>
      </c>
      <c r="E31" s="28" t="str">
        <f t="shared" si="1"/>
        <v>30G</v>
      </c>
      <c r="F31" s="28">
        <v>31</v>
      </c>
      <c r="G31" s="28" t="s">
        <v>207</v>
      </c>
      <c r="H31" s="28"/>
      <c r="I31" s="26" t="s">
        <v>556</v>
      </c>
      <c r="J31">
        <v>0</v>
      </c>
      <c r="K31">
        <v>16</v>
      </c>
      <c r="L31">
        <v>25</v>
      </c>
      <c r="M31">
        <v>14</v>
      </c>
      <c r="N31">
        <v>17</v>
      </c>
      <c r="O31">
        <v>9</v>
      </c>
      <c r="P31">
        <v>11</v>
      </c>
      <c r="Q31">
        <v>8</v>
      </c>
      <c r="R31">
        <v>10</v>
      </c>
      <c r="S31">
        <v>5</v>
      </c>
      <c r="T31">
        <v>0</v>
      </c>
      <c r="U31">
        <v>0</v>
      </c>
      <c r="V31">
        <v>115</v>
      </c>
    </row>
    <row r="32" spans="1:22" x14ac:dyDescent="0.4">
      <c r="A32" s="14">
        <v>31</v>
      </c>
      <c r="B32" s="14">
        <v>1</v>
      </c>
      <c r="C32" s="11" t="s">
        <v>424</v>
      </c>
      <c r="D32" s="29" t="str">
        <f t="shared" si="0"/>
        <v>2022/05</v>
      </c>
      <c r="E32" s="28" t="str">
        <f t="shared" si="1"/>
        <v>31F</v>
      </c>
      <c r="F32" s="28">
        <v>32</v>
      </c>
      <c r="G32" s="28" t="s">
        <v>207</v>
      </c>
      <c r="H32" s="28"/>
      <c r="I32" s="26" t="s">
        <v>557</v>
      </c>
      <c r="J32">
        <v>0</v>
      </c>
      <c r="K32">
        <v>16</v>
      </c>
      <c r="L32">
        <v>25</v>
      </c>
      <c r="M32">
        <v>14</v>
      </c>
      <c r="N32">
        <v>17</v>
      </c>
      <c r="O32">
        <v>10</v>
      </c>
      <c r="P32">
        <v>11</v>
      </c>
      <c r="Q32">
        <v>9</v>
      </c>
      <c r="R32">
        <v>12</v>
      </c>
      <c r="S32">
        <v>5</v>
      </c>
      <c r="T32">
        <v>0</v>
      </c>
      <c r="U32">
        <v>0</v>
      </c>
      <c r="V32">
        <v>119</v>
      </c>
    </row>
    <row r="33" spans="1:22" x14ac:dyDescent="0.4">
      <c r="A33" s="14">
        <v>32</v>
      </c>
      <c r="B33" s="14">
        <v>1</v>
      </c>
      <c r="C33" s="11" t="s">
        <v>424</v>
      </c>
      <c r="D33" s="29" t="str">
        <f t="shared" si="0"/>
        <v>2022/05</v>
      </c>
      <c r="E33" s="28" t="str">
        <f t="shared" si="1"/>
        <v>31F</v>
      </c>
      <c r="F33" s="28">
        <v>33</v>
      </c>
      <c r="G33" s="28" t="s">
        <v>207</v>
      </c>
      <c r="H33" s="28"/>
      <c r="I33" s="26" t="s">
        <v>558</v>
      </c>
      <c r="J33">
        <v>0</v>
      </c>
      <c r="K33">
        <v>17</v>
      </c>
      <c r="L33">
        <v>25</v>
      </c>
      <c r="M33">
        <v>14</v>
      </c>
      <c r="N33">
        <v>18</v>
      </c>
      <c r="O33">
        <v>10</v>
      </c>
      <c r="P33">
        <v>11</v>
      </c>
      <c r="Q33">
        <v>9</v>
      </c>
      <c r="R33">
        <v>13</v>
      </c>
      <c r="S33">
        <v>5</v>
      </c>
      <c r="T33">
        <v>0</v>
      </c>
      <c r="U33">
        <v>0</v>
      </c>
      <c r="V33">
        <v>122</v>
      </c>
    </row>
    <row r="34" spans="1:22" x14ac:dyDescent="0.4">
      <c r="A34" s="14">
        <v>5</v>
      </c>
      <c r="B34" s="14">
        <v>1</v>
      </c>
      <c r="C34" s="11" t="s">
        <v>425</v>
      </c>
      <c r="D34" s="29" t="str">
        <f t="shared" si="0"/>
        <v>2022/06</v>
      </c>
      <c r="E34" s="28" t="str">
        <f t="shared" si="1"/>
        <v>31A</v>
      </c>
      <c r="F34" s="28">
        <v>34</v>
      </c>
      <c r="G34" s="28" t="s">
        <v>207</v>
      </c>
      <c r="H34" s="28"/>
      <c r="I34" s="26" t="s">
        <v>559</v>
      </c>
      <c r="J34">
        <v>0</v>
      </c>
      <c r="K34">
        <v>17</v>
      </c>
      <c r="L34">
        <v>27</v>
      </c>
      <c r="M34">
        <v>14</v>
      </c>
      <c r="N34">
        <v>20</v>
      </c>
      <c r="O34">
        <v>10</v>
      </c>
      <c r="P34">
        <v>11</v>
      </c>
      <c r="Q34">
        <v>9</v>
      </c>
      <c r="R34">
        <v>13</v>
      </c>
      <c r="S34">
        <v>5</v>
      </c>
      <c r="T34">
        <v>0</v>
      </c>
      <c r="U34">
        <v>0</v>
      </c>
      <c r="V34">
        <v>126</v>
      </c>
    </row>
    <row r="35" spans="1:22" x14ac:dyDescent="0.4">
      <c r="A35" s="14">
        <v>11</v>
      </c>
      <c r="B35" s="14">
        <v>1</v>
      </c>
      <c r="C35" s="11" t="s">
        <v>425</v>
      </c>
      <c r="D35" s="29" t="str">
        <f t="shared" si="0"/>
        <v>2022/06</v>
      </c>
      <c r="E35" s="28" t="str">
        <f t="shared" si="1"/>
        <v>31B</v>
      </c>
      <c r="F35" s="28">
        <v>35</v>
      </c>
      <c r="G35" s="28" t="s">
        <v>207</v>
      </c>
      <c r="H35" s="28"/>
      <c r="I35" s="26" t="s">
        <v>560</v>
      </c>
      <c r="J35">
        <v>0</v>
      </c>
      <c r="K35">
        <v>17</v>
      </c>
      <c r="L35">
        <v>27</v>
      </c>
      <c r="M35">
        <v>14</v>
      </c>
      <c r="N35">
        <v>20</v>
      </c>
      <c r="O35">
        <v>10</v>
      </c>
      <c r="P35">
        <v>11</v>
      </c>
      <c r="Q35">
        <v>11</v>
      </c>
      <c r="R35">
        <v>13</v>
      </c>
      <c r="S35">
        <v>5</v>
      </c>
      <c r="T35">
        <v>0</v>
      </c>
      <c r="U35">
        <v>0</v>
      </c>
      <c r="V35">
        <v>128</v>
      </c>
    </row>
    <row r="36" spans="1:22" x14ac:dyDescent="0.4">
      <c r="A36" s="14">
        <v>17</v>
      </c>
      <c r="B36" s="14">
        <v>1</v>
      </c>
      <c r="C36" s="11" t="s">
        <v>426</v>
      </c>
      <c r="D36" s="29" t="str">
        <f t="shared" si="0"/>
        <v>2022/06</v>
      </c>
      <c r="E36" s="28" t="str">
        <f t="shared" si="1"/>
        <v>31C</v>
      </c>
      <c r="F36" s="28">
        <v>36</v>
      </c>
      <c r="G36" s="28" t="s">
        <v>207</v>
      </c>
      <c r="H36" s="28"/>
      <c r="I36" s="26" t="s">
        <v>561</v>
      </c>
      <c r="J36">
        <v>0</v>
      </c>
      <c r="K36">
        <v>18</v>
      </c>
      <c r="L36">
        <v>27</v>
      </c>
      <c r="M36">
        <v>14</v>
      </c>
      <c r="N36">
        <v>20</v>
      </c>
      <c r="O36">
        <v>10</v>
      </c>
      <c r="P36">
        <v>13</v>
      </c>
      <c r="Q36">
        <v>12</v>
      </c>
      <c r="R36">
        <v>13</v>
      </c>
      <c r="S36">
        <v>5</v>
      </c>
      <c r="T36">
        <v>0</v>
      </c>
      <c r="U36">
        <v>0</v>
      </c>
      <c r="V36">
        <v>132</v>
      </c>
    </row>
    <row r="37" spans="1:22" x14ac:dyDescent="0.4">
      <c r="A37" s="14">
        <v>25</v>
      </c>
      <c r="B37" s="14">
        <v>1</v>
      </c>
      <c r="C37" s="11" t="s">
        <v>426</v>
      </c>
      <c r="D37" s="29" t="str">
        <f t="shared" si="0"/>
        <v>2022/06</v>
      </c>
      <c r="E37" s="28" t="str">
        <f t="shared" si="1"/>
        <v>31E</v>
      </c>
      <c r="F37" s="28">
        <v>37</v>
      </c>
      <c r="G37" s="28" t="s">
        <v>172</v>
      </c>
      <c r="H37" s="28"/>
      <c r="I37" s="26" t="s">
        <v>562</v>
      </c>
      <c r="J37">
        <v>0</v>
      </c>
      <c r="K37">
        <v>18</v>
      </c>
      <c r="L37">
        <v>28</v>
      </c>
      <c r="M37">
        <v>16</v>
      </c>
      <c r="N37">
        <v>20</v>
      </c>
      <c r="O37">
        <v>10</v>
      </c>
      <c r="P37">
        <v>13</v>
      </c>
      <c r="Q37">
        <v>12</v>
      </c>
      <c r="R37">
        <v>14</v>
      </c>
      <c r="S37">
        <v>5</v>
      </c>
      <c r="T37">
        <v>0</v>
      </c>
      <c r="U37">
        <v>0</v>
      </c>
      <c r="V37">
        <v>136</v>
      </c>
    </row>
    <row r="38" spans="1:22" x14ac:dyDescent="0.4">
      <c r="A38" s="14">
        <v>29</v>
      </c>
      <c r="B38" s="14">
        <v>1</v>
      </c>
      <c r="C38" s="11" t="s">
        <v>427</v>
      </c>
      <c r="D38" s="29" t="str">
        <f t="shared" si="0"/>
        <v>2022/07</v>
      </c>
      <c r="E38" s="28" t="str">
        <f t="shared" si="1"/>
        <v>31E</v>
      </c>
      <c r="F38" s="28">
        <v>38</v>
      </c>
      <c r="G38" s="28" t="s">
        <v>172</v>
      </c>
      <c r="H38" s="28"/>
      <c r="I38" s="26" t="s">
        <v>563</v>
      </c>
      <c r="J38">
        <v>0</v>
      </c>
      <c r="K38">
        <v>18</v>
      </c>
      <c r="L38">
        <v>28</v>
      </c>
      <c r="M38">
        <v>18</v>
      </c>
      <c r="N38">
        <v>20</v>
      </c>
      <c r="O38">
        <v>12</v>
      </c>
      <c r="P38">
        <v>13</v>
      </c>
      <c r="Q38">
        <v>12</v>
      </c>
      <c r="R38">
        <v>14</v>
      </c>
      <c r="S38">
        <v>5</v>
      </c>
      <c r="T38">
        <v>0</v>
      </c>
      <c r="U38">
        <v>0</v>
      </c>
      <c r="V38">
        <v>140</v>
      </c>
    </row>
    <row r="39" spans="1:22" x14ac:dyDescent="0.4">
      <c r="A39" s="14">
        <v>2</v>
      </c>
      <c r="B39" s="14">
        <v>1</v>
      </c>
      <c r="C39" s="11" t="s">
        <v>428</v>
      </c>
      <c r="D39" s="29" t="str">
        <f t="shared" si="0"/>
        <v>2022/07</v>
      </c>
      <c r="E39" s="28" t="str">
        <f t="shared" si="1"/>
        <v>31A</v>
      </c>
      <c r="F39" s="28">
        <v>39</v>
      </c>
      <c r="G39" s="28" t="s">
        <v>172</v>
      </c>
      <c r="H39" s="28"/>
      <c r="I39" s="26" t="s">
        <v>564</v>
      </c>
      <c r="J39">
        <v>0</v>
      </c>
      <c r="K39">
        <v>18</v>
      </c>
      <c r="L39">
        <v>29</v>
      </c>
      <c r="M39">
        <v>18</v>
      </c>
      <c r="N39">
        <v>20</v>
      </c>
      <c r="O39">
        <v>13</v>
      </c>
      <c r="P39">
        <v>13</v>
      </c>
      <c r="Q39">
        <v>13</v>
      </c>
      <c r="R39">
        <v>14</v>
      </c>
      <c r="S39">
        <v>7</v>
      </c>
      <c r="T39">
        <v>0</v>
      </c>
      <c r="U39">
        <v>0</v>
      </c>
      <c r="V39">
        <v>145</v>
      </c>
    </row>
    <row r="40" spans="1:22" x14ac:dyDescent="0.4">
      <c r="A40" s="14">
        <v>7</v>
      </c>
      <c r="B40" s="14">
        <v>1</v>
      </c>
      <c r="C40" s="11" t="s">
        <v>428</v>
      </c>
      <c r="D40" s="29" t="str">
        <f t="shared" si="0"/>
        <v>2022/07</v>
      </c>
      <c r="E40" s="28" t="str">
        <f t="shared" si="1"/>
        <v>31B</v>
      </c>
      <c r="F40" s="28">
        <v>40</v>
      </c>
      <c r="G40" s="28" t="s">
        <v>172</v>
      </c>
      <c r="H40" s="28"/>
      <c r="I40" s="26" t="s">
        <v>565</v>
      </c>
      <c r="J40">
        <v>0</v>
      </c>
      <c r="K40">
        <v>18</v>
      </c>
      <c r="L40">
        <v>29</v>
      </c>
      <c r="M40">
        <v>18</v>
      </c>
      <c r="N40">
        <v>20</v>
      </c>
      <c r="O40">
        <v>15</v>
      </c>
      <c r="P40">
        <v>13</v>
      </c>
      <c r="Q40">
        <v>13</v>
      </c>
      <c r="R40">
        <v>14</v>
      </c>
      <c r="S40">
        <v>7</v>
      </c>
      <c r="T40">
        <v>0</v>
      </c>
      <c r="U40">
        <v>0</v>
      </c>
      <c r="V40">
        <v>147</v>
      </c>
    </row>
    <row r="41" spans="1:22" x14ac:dyDescent="0.4">
      <c r="A41" s="14">
        <v>4</v>
      </c>
      <c r="B41" s="14">
        <v>1</v>
      </c>
      <c r="C41" s="11" t="s">
        <v>429</v>
      </c>
      <c r="D41" s="29" t="str">
        <f t="shared" si="0"/>
        <v>2022/08</v>
      </c>
      <c r="E41" s="28" t="str">
        <f t="shared" si="1"/>
        <v>31A</v>
      </c>
      <c r="F41" s="28">
        <v>41</v>
      </c>
      <c r="G41" s="28" t="s">
        <v>172</v>
      </c>
      <c r="H41" s="28"/>
      <c r="I41" s="26" t="s">
        <v>566</v>
      </c>
      <c r="J41">
        <v>0</v>
      </c>
      <c r="K41">
        <v>19</v>
      </c>
      <c r="L41">
        <v>31</v>
      </c>
      <c r="M41">
        <v>18</v>
      </c>
      <c r="N41">
        <v>21</v>
      </c>
      <c r="O41">
        <v>16</v>
      </c>
      <c r="P41">
        <v>13</v>
      </c>
      <c r="Q41">
        <v>13</v>
      </c>
      <c r="R41">
        <v>14</v>
      </c>
      <c r="S41">
        <v>7</v>
      </c>
      <c r="T41">
        <v>0</v>
      </c>
      <c r="U41">
        <v>1</v>
      </c>
      <c r="V41">
        <v>153</v>
      </c>
    </row>
    <row r="42" spans="1:22" x14ac:dyDescent="0.4">
      <c r="A42" s="14">
        <v>9</v>
      </c>
      <c r="B42" s="14">
        <v>1</v>
      </c>
      <c r="C42" s="11" t="s">
        <v>429</v>
      </c>
      <c r="D42" s="29" t="str">
        <f t="shared" si="0"/>
        <v>2022/08</v>
      </c>
      <c r="E42" s="28" t="str">
        <f t="shared" si="1"/>
        <v>31B</v>
      </c>
      <c r="F42" s="28">
        <v>42</v>
      </c>
      <c r="G42" s="28" t="s">
        <v>172</v>
      </c>
      <c r="H42" s="28"/>
      <c r="I42" s="26" t="s">
        <v>567</v>
      </c>
      <c r="J42">
        <v>0</v>
      </c>
      <c r="K42">
        <v>21</v>
      </c>
      <c r="L42">
        <v>31</v>
      </c>
      <c r="M42">
        <v>18</v>
      </c>
      <c r="N42">
        <v>21</v>
      </c>
      <c r="O42">
        <v>16</v>
      </c>
      <c r="P42">
        <v>14</v>
      </c>
      <c r="Q42">
        <v>13</v>
      </c>
      <c r="R42">
        <v>14</v>
      </c>
      <c r="S42">
        <v>7</v>
      </c>
      <c r="T42">
        <v>0</v>
      </c>
      <c r="U42">
        <v>1</v>
      </c>
      <c r="V42">
        <v>156</v>
      </c>
    </row>
    <row r="43" spans="1:22" x14ac:dyDescent="0.4">
      <c r="A43" s="14">
        <v>37</v>
      </c>
      <c r="B43" s="14">
        <v>1</v>
      </c>
      <c r="C43" s="11" t="s">
        <v>430</v>
      </c>
      <c r="D43" s="29" t="str">
        <f t="shared" si="0"/>
        <v>2022/08</v>
      </c>
      <c r="E43" s="28" t="str">
        <f t="shared" si="1"/>
        <v>31X</v>
      </c>
      <c r="F43" s="28">
        <v>43</v>
      </c>
      <c r="G43" s="28" t="s">
        <v>176</v>
      </c>
      <c r="H43" s="28"/>
      <c r="I43" s="26" t="s">
        <v>568</v>
      </c>
      <c r="J43">
        <v>0</v>
      </c>
      <c r="K43">
        <v>21</v>
      </c>
      <c r="L43">
        <v>31</v>
      </c>
      <c r="M43">
        <v>18</v>
      </c>
      <c r="N43">
        <v>22</v>
      </c>
      <c r="O43">
        <v>16</v>
      </c>
      <c r="P43">
        <v>14</v>
      </c>
      <c r="Q43">
        <v>13</v>
      </c>
      <c r="R43">
        <v>16</v>
      </c>
      <c r="S43">
        <v>7</v>
      </c>
      <c r="T43">
        <v>0</v>
      </c>
      <c r="U43">
        <v>1</v>
      </c>
      <c r="V43">
        <v>159</v>
      </c>
    </row>
    <row r="44" spans="1:22" x14ac:dyDescent="0.4">
      <c r="A44" s="14">
        <v>39</v>
      </c>
      <c r="B44" s="14">
        <v>1</v>
      </c>
      <c r="C44" s="11" t="s">
        <v>430</v>
      </c>
      <c r="D44" s="29" t="str">
        <f t="shared" si="0"/>
        <v>2022/08</v>
      </c>
      <c r="E44" s="28" t="str">
        <f t="shared" si="1"/>
        <v>31X</v>
      </c>
      <c r="F44" s="28">
        <v>44</v>
      </c>
      <c r="G44" s="28" t="s">
        <v>176</v>
      </c>
      <c r="H44" s="28"/>
      <c r="I44" s="26" t="s">
        <v>569</v>
      </c>
      <c r="J44">
        <v>0</v>
      </c>
      <c r="K44">
        <v>21</v>
      </c>
      <c r="L44">
        <v>31</v>
      </c>
      <c r="M44">
        <v>18</v>
      </c>
      <c r="N44">
        <v>24</v>
      </c>
      <c r="O44">
        <v>16</v>
      </c>
      <c r="P44">
        <v>15</v>
      </c>
      <c r="Q44">
        <v>15</v>
      </c>
      <c r="R44">
        <v>16</v>
      </c>
      <c r="S44">
        <v>7</v>
      </c>
      <c r="T44">
        <v>0</v>
      </c>
      <c r="U44">
        <v>1</v>
      </c>
      <c r="V44">
        <v>164</v>
      </c>
    </row>
    <row r="45" spans="1:22" x14ac:dyDescent="0.4">
      <c r="A45" s="14">
        <v>33</v>
      </c>
      <c r="B45" s="14">
        <v>1</v>
      </c>
      <c r="C45" s="11" t="s">
        <v>431</v>
      </c>
      <c r="D45" s="29" t="str">
        <f t="shared" si="0"/>
        <v>2022/09</v>
      </c>
      <c r="E45" s="28" t="str">
        <f t="shared" si="1"/>
        <v>31F</v>
      </c>
      <c r="F45" s="28">
        <v>45</v>
      </c>
      <c r="G45" s="28" t="s">
        <v>176</v>
      </c>
      <c r="H45" s="28"/>
      <c r="I45" s="26" t="s">
        <v>570</v>
      </c>
      <c r="J45">
        <v>0</v>
      </c>
      <c r="K45">
        <v>21</v>
      </c>
      <c r="L45">
        <v>31</v>
      </c>
      <c r="M45">
        <v>20</v>
      </c>
      <c r="N45">
        <v>24</v>
      </c>
      <c r="O45">
        <v>17</v>
      </c>
      <c r="P45">
        <v>15</v>
      </c>
      <c r="Q45">
        <v>15</v>
      </c>
      <c r="R45">
        <v>17</v>
      </c>
      <c r="S45">
        <v>7</v>
      </c>
      <c r="T45">
        <v>0</v>
      </c>
      <c r="U45">
        <v>1</v>
      </c>
      <c r="V45">
        <v>168</v>
      </c>
    </row>
    <row r="46" spans="1:22" x14ac:dyDescent="0.4">
      <c r="A46" s="14">
        <v>34</v>
      </c>
      <c r="B46" s="14">
        <v>1</v>
      </c>
      <c r="C46" s="11" t="s">
        <v>431</v>
      </c>
      <c r="D46" s="29" t="str">
        <f t="shared" si="0"/>
        <v>2022/09</v>
      </c>
      <c r="E46" s="28" t="str">
        <f t="shared" si="1"/>
        <v>31F</v>
      </c>
      <c r="F46" s="28">
        <v>46</v>
      </c>
      <c r="G46" s="28" t="s">
        <v>176</v>
      </c>
      <c r="H46" s="28"/>
      <c r="I46" s="26" t="s">
        <v>571</v>
      </c>
      <c r="J46">
        <v>0</v>
      </c>
      <c r="K46">
        <v>21</v>
      </c>
      <c r="L46">
        <v>31</v>
      </c>
      <c r="M46">
        <v>21</v>
      </c>
      <c r="N46">
        <v>24</v>
      </c>
      <c r="O46">
        <v>17</v>
      </c>
      <c r="P46">
        <v>17</v>
      </c>
      <c r="Q46">
        <v>15</v>
      </c>
      <c r="R46">
        <v>17</v>
      </c>
      <c r="S46">
        <v>7</v>
      </c>
      <c r="T46">
        <v>0</v>
      </c>
      <c r="U46">
        <v>1</v>
      </c>
      <c r="V46">
        <v>171</v>
      </c>
    </row>
    <row r="47" spans="1:22" x14ac:dyDescent="0.4">
      <c r="A47" s="14">
        <v>43</v>
      </c>
      <c r="B47" s="14">
        <v>1</v>
      </c>
      <c r="C47" s="11" t="s">
        <v>432</v>
      </c>
      <c r="D47" s="29" t="str">
        <f t="shared" si="0"/>
        <v>2022/09</v>
      </c>
      <c r="E47" s="28" t="str">
        <f t="shared" si="1"/>
        <v>30G</v>
      </c>
      <c r="F47" s="28">
        <v>47</v>
      </c>
      <c r="G47" s="28" t="s">
        <v>176</v>
      </c>
      <c r="H47" s="28"/>
      <c r="I47" s="26" t="s">
        <v>572</v>
      </c>
      <c r="J47">
        <v>0</v>
      </c>
      <c r="K47">
        <v>23</v>
      </c>
      <c r="L47">
        <v>33</v>
      </c>
      <c r="M47">
        <v>21</v>
      </c>
      <c r="N47">
        <v>25</v>
      </c>
      <c r="O47">
        <v>18</v>
      </c>
      <c r="P47">
        <v>17</v>
      </c>
      <c r="Q47">
        <v>15</v>
      </c>
      <c r="R47">
        <v>17</v>
      </c>
      <c r="S47">
        <v>7</v>
      </c>
      <c r="T47">
        <v>0</v>
      </c>
      <c r="U47">
        <v>1</v>
      </c>
      <c r="V47">
        <v>177</v>
      </c>
    </row>
    <row r="48" spans="1:22" x14ac:dyDescent="0.4">
      <c r="A48" s="14">
        <v>45</v>
      </c>
      <c r="B48" s="14">
        <v>1</v>
      </c>
      <c r="C48" s="11" t="s">
        <v>432</v>
      </c>
      <c r="D48" s="29" t="str">
        <f t="shared" si="0"/>
        <v>2022/09</v>
      </c>
      <c r="E48" s="28" t="str">
        <f t="shared" si="1"/>
        <v>30G</v>
      </c>
      <c r="F48" s="28">
        <v>48</v>
      </c>
      <c r="G48" s="28" t="s">
        <v>176</v>
      </c>
      <c r="H48" s="28"/>
      <c r="I48" s="26" t="s">
        <v>573</v>
      </c>
      <c r="J48">
        <v>0</v>
      </c>
      <c r="K48">
        <v>23</v>
      </c>
      <c r="L48">
        <v>33</v>
      </c>
      <c r="M48">
        <v>21</v>
      </c>
      <c r="N48">
        <v>25</v>
      </c>
      <c r="O48">
        <v>18</v>
      </c>
      <c r="P48">
        <v>17</v>
      </c>
      <c r="Q48">
        <v>15</v>
      </c>
      <c r="R48">
        <v>20</v>
      </c>
      <c r="S48">
        <v>7</v>
      </c>
      <c r="T48">
        <v>0</v>
      </c>
      <c r="U48">
        <v>1</v>
      </c>
      <c r="V48">
        <v>180</v>
      </c>
    </row>
    <row r="49" spans="1:22" x14ac:dyDescent="0.4">
      <c r="A49" s="14">
        <v>20</v>
      </c>
      <c r="B49" s="14">
        <v>1</v>
      </c>
      <c r="C49" s="11" t="s">
        <v>392</v>
      </c>
      <c r="D49" s="29" t="str">
        <f t="shared" si="0"/>
        <v>2022/10</v>
      </c>
      <c r="E49" s="28" t="str">
        <f t="shared" si="1"/>
        <v>31D</v>
      </c>
      <c r="F49" s="28">
        <v>49</v>
      </c>
      <c r="G49" s="28" t="s">
        <v>374</v>
      </c>
      <c r="H49" s="28"/>
      <c r="I49" s="26" t="s">
        <v>574</v>
      </c>
      <c r="J49">
        <v>0</v>
      </c>
      <c r="K49">
        <v>23</v>
      </c>
      <c r="L49">
        <v>35</v>
      </c>
      <c r="M49">
        <v>23</v>
      </c>
      <c r="N49">
        <v>25</v>
      </c>
      <c r="O49">
        <v>18</v>
      </c>
      <c r="P49">
        <v>19</v>
      </c>
      <c r="Q49">
        <v>15</v>
      </c>
      <c r="R49">
        <v>20</v>
      </c>
      <c r="S49">
        <v>7</v>
      </c>
      <c r="T49">
        <v>0</v>
      </c>
      <c r="U49">
        <v>1</v>
      </c>
      <c r="V49">
        <v>186</v>
      </c>
    </row>
    <row r="50" spans="1:22" x14ac:dyDescent="0.4">
      <c r="A50" s="14">
        <v>22</v>
      </c>
      <c r="B50" s="14">
        <v>1</v>
      </c>
      <c r="C50" s="11" t="s">
        <v>392</v>
      </c>
      <c r="D50" s="29" t="str">
        <f t="shared" si="0"/>
        <v>2022/10</v>
      </c>
      <c r="E50" s="28" t="str">
        <f t="shared" si="1"/>
        <v>31D</v>
      </c>
      <c r="F50" s="28">
        <v>50</v>
      </c>
      <c r="G50" s="28" t="s">
        <v>374</v>
      </c>
      <c r="H50" s="28"/>
      <c r="I50" s="26" t="s">
        <v>575</v>
      </c>
      <c r="J50">
        <v>0</v>
      </c>
      <c r="K50">
        <v>23</v>
      </c>
      <c r="L50">
        <v>35</v>
      </c>
      <c r="M50">
        <v>23</v>
      </c>
      <c r="N50">
        <v>26</v>
      </c>
      <c r="O50">
        <v>18</v>
      </c>
      <c r="P50">
        <v>19</v>
      </c>
      <c r="Q50">
        <v>16</v>
      </c>
      <c r="R50">
        <v>21</v>
      </c>
      <c r="S50">
        <v>7</v>
      </c>
      <c r="T50">
        <v>0</v>
      </c>
      <c r="U50">
        <v>1</v>
      </c>
      <c r="V50">
        <v>189</v>
      </c>
    </row>
    <row r="51" spans="1:22" x14ac:dyDescent="0.4">
      <c r="A51" s="14">
        <v>10</v>
      </c>
      <c r="B51" s="14">
        <v>1</v>
      </c>
      <c r="C51" s="11" t="s">
        <v>393</v>
      </c>
      <c r="D51" s="29" t="str">
        <f t="shared" si="0"/>
        <v>2022/10</v>
      </c>
      <c r="E51" s="28" t="str">
        <f t="shared" si="1"/>
        <v>31B</v>
      </c>
      <c r="F51" s="28">
        <v>51</v>
      </c>
      <c r="G51" s="28" t="s">
        <v>374</v>
      </c>
      <c r="H51" s="28"/>
      <c r="I51" s="26" t="s">
        <v>576</v>
      </c>
      <c r="J51">
        <v>0</v>
      </c>
      <c r="K51">
        <v>24</v>
      </c>
      <c r="L51">
        <v>36</v>
      </c>
      <c r="M51">
        <v>23</v>
      </c>
      <c r="N51">
        <v>27</v>
      </c>
      <c r="O51">
        <v>18</v>
      </c>
      <c r="P51">
        <v>19</v>
      </c>
      <c r="Q51">
        <v>16</v>
      </c>
      <c r="R51">
        <v>21</v>
      </c>
      <c r="S51">
        <v>7</v>
      </c>
      <c r="T51">
        <v>0</v>
      </c>
      <c r="U51">
        <v>1</v>
      </c>
      <c r="V51">
        <v>192</v>
      </c>
    </row>
    <row r="52" spans="1:22" x14ac:dyDescent="0.4">
      <c r="A52" s="14">
        <v>11</v>
      </c>
      <c r="B52" s="14">
        <v>1</v>
      </c>
      <c r="C52" s="11" t="s">
        <v>393</v>
      </c>
      <c r="D52" s="29" t="str">
        <f t="shared" si="0"/>
        <v>2022/10</v>
      </c>
      <c r="E52" s="28" t="str">
        <f t="shared" si="1"/>
        <v>31B</v>
      </c>
      <c r="F52" s="28">
        <v>52</v>
      </c>
      <c r="G52" s="28" t="s">
        <v>374</v>
      </c>
      <c r="H52" s="28"/>
      <c r="I52" s="26" t="s">
        <v>577</v>
      </c>
      <c r="J52">
        <v>0</v>
      </c>
      <c r="K52">
        <v>24</v>
      </c>
      <c r="L52">
        <v>36</v>
      </c>
      <c r="M52">
        <v>24</v>
      </c>
      <c r="N52">
        <v>27</v>
      </c>
      <c r="O52">
        <v>18</v>
      </c>
      <c r="P52">
        <v>19</v>
      </c>
      <c r="Q52">
        <v>16</v>
      </c>
      <c r="R52">
        <v>21</v>
      </c>
      <c r="S52">
        <v>7</v>
      </c>
      <c r="T52">
        <v>0</v>
      </c>
      <c r="U52">
        <v>1</v>
      </c>
      <c r="V52">
        <v>193</v>
      </c>
    </row>
    <row r="53" spans="1:22" x14ac:dyDescent="0.4">
      <c r="A53" s="14">
        <v>26</v>
      </c>
      <c r="B53" s="14">
        <v>1</v>
      </c>
      <c r="C53" s="11" t="s">
        <v>394</v>
      </c>
      <c r="D53" s="29" t="str">
        <f t="shared" si="0"/>
        <v>2022/11</v>
      </c>
      <c r="E53" s="28" t="str">
        <f t="shared" si="1"/>
        <v>31E</v>
      </c>
      <c r="F53" s="28">
        <v>53</v>
      </c>
      <c r="G53" s="28" t="s">
        <v>374</v>
      </c>
      <c r="H53" s="28"/>
      <c r="I53" s="26" t="s">
        <v>578</v>
      </c>
      <c r="J53">
        <v>0</v>
      </c>
      <c r="K53">
        <v>24</v>
      </c>
      <c r="L53">
        <v>37</v>
      </c>
      <c r="M53">
        <v>24</v>
      </c>
      <c r="N53">
        <v>28</v>
      </c>
      <c r="O53">
        <v>18</v>
      </c>
      <c r="P53">
        <v>19</v>
      </c>
      <c r="Q53">
        <v>16</v>
      </c>
      <c r="R53">
        <v>21</v>
      </c>
      <c r="S53">
        <v>7</v>
      </c>
      <c r="T53">
        <v>0</v>
      </c>
      <c r="U53">
        <v>3</v>
      </c>
      <c r="V53">
        <v>197</v>
      </c>
    </row>
    <row r="54" spans="1:22" x14ac:dyDescent="0.4">
      <c r="A54" s="14">
        <v>27</v>
      </c>
      <c r="B54" s="14">
        <v>1</v>
      </c>
      <c r="C54" s="11" t="s">
        <v>394</v>
      </c>
      <c r="D54" s="29" t="str">
        <f t="shared" si="0"/>
        <v>2022/11</v>
      </c>
      <c r="E54" s="28" t="str">
        <f t="shared" si="1"/>
        <v>31E</v>
      </c>
      <c r="F54" s="28">
        <v>91</v>
      </c>
      <c r="G54" s="28" t="s">
        <v>311</v>
      </c>
      <c r="H54" s="28"/>
      <c r="I54" s="26" t="s">
        <v>579</v>
      </c>
      <c r="J54">
        <v>0</v>
      </c>
      <c r="K54">
        <v>25</v>
      </c>
      <c r="L54">
        <v>37</v>
      </c>
      <c r="M54">
        <v>24</v>
      </c>
      <c r="N54">
        <v>28</v>
      </c>
      <c r="O54">
        <v>18</v>
      </c>
      <c r="P54">
        <v>19</v>
      </c>
      <c r="Q54">
        <v>16</v>
      </c>
      <c r="R54">
        <v>23</v>
      </c>
      <c r="S54">
        <v>7</v>
      </c>
      <c r="T54">
        <v>0</v>
      </c>
      <c r="U54">
        <v>3</v>
      </c>
      <c r="V54">
        <v>200</v>
      </c>
    </row>
    <row r="55" spans="1:22" x14ac:dyDescent="0.4">
      <c r="A55" s="14">
        <v>35</v>
      </c>
      <c r="B55" s="14">
        <v>1</v>
      </c>
      <c r="C55" s="11" t="s">
        <v>395</v>
      </c>
      <c r="D55" s="29" t="str">
        <f t="shared" si="0"/>
        <v>2022/11</v>
      </c>
      <c r="E55" s="28" t="str">
        <f t="shared" si="1"/>
        <v>31F</v>
      </c>
      <c r="F55" s="28">
        <v>92</v>
      </c>
      <c r="G55" s="28" t="s">
        <v>311</v>
      </c>
      <c r="H55" s="28"/>
      <c r="I55" s="26" t="s">
        <v>580</v>
      </c>
      <c r="J55">
        <v>0</v>
      </c>
      <c r="K55">
        <v>25</v>
      </c>
      <c r="L55">
        <v>37</v>
      </c>
      <c r="M55">
        <v>24</v>
      </c>
      <c r="N55">
        <v>28</v>
      </c>
      <c r="O55">
        <v>20</v>
      </c>
      <c r="P55">
        <v>19</v>
      </c>
      <c r="Q55">
        <v>18</v>
      </c>
      <c r="R55">
        <v>23</v>
      </c>
      <c r="S55">
        <v>7</v>
      </c>
      <c r="T55">
        <v>0</v>
      </c>
      <c r="U55">
        <v>3</v>
      </c>
      <c r="V55">
        <v>204</v>
      </c>
    </row>
    <row r="56" spans="1:22" x14ac:dyDescent="0.4">
      <c r="A56" s="14">
        <v>36</v>
      </c>
      <c r="B56" s="14">
        <v>1</v>
      </c>
      <c r="C56" s="11" t="s">
        <v>395</v>
      </c>
      <c r="D56" s="29" t="str">
        <f t="shared" si="0"/>
        <v>2022/11</v>
      </c>
      <c r="E56" s="28" t="str">
        <f t="shared" si="1"/>
        <v>31F</v>
      </c>
      <c r="F56" s="28">
        <v>93</v>
      </c>
      <c r="G56" s="28" t="s">
        <v>311</v>
      </c>
      <c r="H56" s="28"/>
      <c r="I56" s="26" t="s">
        <v>581</v>
      </c>
      <c r="J56">
        <v>0</v>
      </c>
      <c r="K56">
        <v>25</v>
      </c>
      <c r="L56">
        <v>38</v>
      </c>
      <c r="M56">
        <v>25</v>
      </c>
      <c r="N56">
        <v>28</v>
      </c>
      <c r="O56">
        <v>20</v>
      </c>
      <c r="P56">
        <v>19</v>
      </c>
      <c r="Q56">
        <v>18</v>
      </c>
      <c r="R56">
        <v>23</v>
      </c>
      <c r="S56">
        <v>7</v>
      </c>
      <c r="T56">
        <v>2</v>
      </c>
      <c r="U56">
        <v>3</v>
      </c>
      <c r="V56">
        <v>208</v>
      </c>
    </row>
    <row r="57" spans="1:22" x14ac:dyDescent="0.4">
      <c r="A57" s="14">
        <v>13</v>
      </c>
      <c r="B57" s="14">
        <v>1</v>
      </c>
      <c r="C57" s="11" t="s">
        <v>396</v>
      </c>
      <c r="D57" s="29" t="str">
        <f t="shared" si="0"/>
        <v>2022/12</v>
      </c>
      <c r="E57" s="28" t="str">
        <f t="shared" si="1"/>
        <v>31C</v>
      </c>
      <c r="F57" s="28">
        <v>101</v>
      </c>
      <c r="G57" s="28" t="s">
        <v>527</v>
      </c>
      <c r="H57" s="28"/>
      <c r="I57" s="26" t="s">
        <v>582</v>
      </c>
      <c r="J57">
        <v>0</v>
      </c>
      <c r="K57">
        <v>25</v>
      </c>
      <c r="L57">
        <v>39</v>
      </c>
      <c r="M57">
        <v>25</v>
      </c>
      <c r="N57">
        <v>28</v>
      </c>
      <c r="O57">
        <v>20</v>
      </c>
      <c r="P57">
        <v>19</v>
      </c>
      <c r="Q57">
        <v>18</v>
      </c>
      <c r="R57">
        <v>25</v>
      </c>
      <c r="S57">
        <v>7</v>
      </c>
      <c r="T57">
        <v>3</v>
      </c>
      <c r="U57">
        <v>3</v>
      </c>
      <c r="V57">
        <v>212</v>
      </c>
    </row>
    <row r="58" spans="1:22" x14ac:dyDescent="0.4">
      <c r="A58" s="14">
        <v>16</v>
      </c>
      <c r="B58" s="14">
        <v>1</v>
      </c>
      <c r="C58" s="11" t="s">
        <v>396</v>
      </c>
      <c r="D58" s="29" t="str">
        <f t="shared" si="0"/>
        <v>2022/12</v>
      </c>
      <c r="E58" s="28" t="str">
        <f t="shared" si="1"/>
        <v>31C</v>
      </c>
      <c r="F58" s="28">
        <v>102</v>
      </c>
      <c r="G58" s="28" t="s">
        <v>527</v>
      </c>
      <c r="H58" s="28"/>
      <c r="I58" s="26" t="s">
        <v>583</v>
      </c>
      <c r="J58">
        <v>0</v>
      </c>
      <c r="K58">
        <v>25</v>
      </c>
      <c r="L58">
        <v>39</v>
      </c>
      <c r="M58">
        <v>25</v>
      </c>
      <c r="N58">
        <v>28</v>
      </c>
      <c r="O58">
        <v>20</v>
      </c>
      <c r="P58">
        <v>21</v>
      </c>
      <c r="Q58">
        <v>19</v>
      </c>
      <c r="R58">
        <v>25</v>
      </c>
      <c r="S58">
        <v>7</v>
      </c>
      <c r="T58">
        <v>3</v>
      </c>
      <c r="U58">
        <v>3</v>
      </c>
      <c r="V58">
        <v>215</v>
      </c>
    </row>
    <row r="59" spans="1:22" x14ac:dyDescent="0.4">
      <c r="A59" s="14">
        <v>6</v>
      </c>
      <c r="B59" s="14">
        <v>1</v>
      </c>
      <c r="C59" s="11" t="s">
        <v>397</v>
      </c>
      <c r="D59" s="29" t="str">
        <f t="shared" si="0"/>
        <v>2022/12</v>
      </c>
      <c r="E59" s="28" t="str">
        <f t="shared" si="1"/>
        <v>31A</v>
      </c>
      <c r="F59" s="28">
        <v>103</v>
      </c>
      <c r="G59" s="28" t="s">
        <v>527</v>
      </c>
      <c r="H59" s="28"/>
      <c r="I59" s="26" t="s">
        <v>584</v>
      </c>
      <c r="J59">
        <v>1</v>
      </c>
      <c r="K59">
        <v>25</v>
      </c>
      <c r="L59">
        <v>39</v>
      </c>
      <c r="M59">
        <v>26</v>
      </c>
      <c r="N59">
        <v>28</v>
      </c>
      <c r="O59">
        <v>20</v>
      </c>
      <c r="P59">
        <v>21</v>
      </c>
      <c r="Q59">
        <v>19</v>
      </c>
      <c r="R59">
        <v>25</v>
      </c>
      <c r="S59">
        <v>7</v>
      </c>
      <c r="T59">
        <v>3</v>
      </c>
      <c r="U59">
        <v>3</v>
      </c>
      <c r="V59">
        <v>217</v>
      </c>
    </row>
    <row r="60" spans="1:22" x14ac:dyDescent="0.4">
      <c r="A60" s="14">
        <v>14</v>
      </c>
      <c r="B60" s="14">
        <v>1</v>
      </c>
      <c r="C60" s="11" t="s">
        <v>433</v>
      </c>
      <c r="D60" s="29" t="str">
        <f t="shared" si="0"/>
        <v>2023/01</v>
      </c>
      <c r="E60" s="28" t="str">
        <f t="shared" si="1"/>
        <v>31C</v>
      </c>
      <c r="F60" s="28">
        <v>104</v>
      </c>
      <c r="G60" s="28" t="s">
        <v>527</v>
      </c>
      <c r="H60" s="28"/>
      <c r="I60" s="26" t="s">
        <v>514</v>
      </c>
    </row>
    <row r="61" spans="1:22" x14ac:dyDescent="0.4">
      <c r="A61" s="14">
        <v>38</v>
      </c>
      <c r="B61" s="14">
        <v>1</v>
      </c>
      <c r="C61" s="11" t="s">
        <v>434</v>
      </c>
      <c r="D61" s="29" t="str">
        <f t="shared" si="0"/>
        <v>2023/01</v>
      </c>
      <c r="E61" s="28" t="str">
        <f t="shared" si="1"/>
        <v>31X</v>
      </c>
      <c r="F61" s="28">
        <v>105</v>
      </c>
      <c r="G61" s="28" t="s">
        <v>527</v>
      </c>
      <c r="H61" s="28"/>
    </row>
    <row r="62" spans="1:22" x14ac:dyDescent="0.4">
      <c r="A62" s="14">
        <v>41</v>
      </c>
      <c r="B62" s="14">
        <v>1</v>
      </c>
      <c r="C62" s="11" t="s">
        <v>434</v>
      </c>
      <c r="D62" s="29" t="str">
        <f t="shared" si="0"/>
        <v>2023/01</v>
      </c>
      <c r="E62" s="28" t="str">
        <f t="shared" si="1"/>
        <v>31X</v>
      </c>
      <c r="F62" s="28">
        <v>106</v>
      </c>
      <c r="G62" s="28" t="s">
        <v>527</v>
      </c>
      <c r="H62" s="28"/>
    </row>
    <row r="63" spans="1:22" x14ac:dyDescent="0.4">
      <c r="A63" s="14">
        <v>1</v>
      </c>
      <c r="B63" s="14">
        <v>1</v>
      </c>
      <c r="C63" s="11" t="s">
        <v>435</v>
      </c>
      <c r="D63" s="29" t="str">
        <f t="shared" si="0"/>
        <v>2023/02</v>
      </c>
      <c r="E63" s="28" t="str">
        <f t="shared" si="1"/>
        <v>31A</v>
      </c>
      <c r="F63" s="28">
        <v>107</v>
      </c>
      <c r="G63" s="28" t="s">
        <v>527</v>
      </c>
      <c r="H63" s="28"/>
    </row>
    <row r="64" spans="1:22" x14ac:dyDescent="0.4">
      <c r="A64" s="14">
        <v>2</v>
      </c>
      <c r="B64" s="14">
        <v>1</v>
      </c>
      <c r="C64" s="11" t="s">
        <v>435</v>
      </c>
      <c r="D64" s="29" t="str">
        <f t="shared" si="0"/>
        <v>2023/02</v>
      </c>
      <c r="E64" s="28" t="str">
        <f t="shared" si="1"/>
        <v>31A</v>
      </c>
      <c r="F64" s="28">
        <v>111</v>
      </c>
      <c r="G64" s="28" t="s">
        <v>364</v>
      </c>
      <c r="H64" s="28"/>
    </row>
    <row r="65" spans="1:8" x14ac:dyDescent="0.4">
      <c r="A65" s="14">
        <v>101</v>
      </c>
      <c r="B65" s="14">
        <v>1</v>
      </c>
      <c r="C65" s="11" t="s">
        <v>436</v>
      </c>
      <c r="D65" s="29" t="str">
        <f t="shared" si="0"/>
        <v>2023/02</v>
      </c>
      <c r="E65" s="28" t="str">
        <f t="shared" si="1"/>
        <v>AB</v>
      </c>
      <c r="F65" s="28">
        <v>112</v>
      </c>
      <c r="G65" s="28" t="s">
        <v>364</v>
      </c>
      <c r="H65" s="28"/>
    </row>
    <row r="66" spans="1:8" x14ac:dyDescent="0.4">
      <c r="A66" s="14">
        <v>102</v>
      </c>
      <c r="B66" s="14">
        <v>1</v>
      </c>
      <c r="C66" s="11" t="s">
        <v>436</v>
      </c>
      <c r="D66" s="29" t="str">
        <f t="shared" si="0"/>
        <v>2023/02</v>
      </c>
      <c r="E66" s="28" t="str">
        <f t="shared" si="1"/>
        <v>AB</v>
      </c>
      <c r="F66" s="28">
        <v>113</v>
      </c>
      <c r="G66" s="28" t="s">
        <v>364</v>
      </c>
      <c r="H66" s="28"/>
    </row>
    <row r="67" spans="1:8" x14ac:dyDescent="0.4">
      <c r="A67" s="14">
        <v>28</v>
      </c>
      <c r="B67" s="14">
        <v>1</v>
      </c>
      <c r="C67" s="11" t="s">
        <v>437</v>
      </c>
      <c r="D67" s="29" t="str">
        <f t="shared" si="0"/>
        <v>2023/03</v>
      </c>
      <c r="E67" s="28" t="str">
        <f t="shared" si="1"/>
        <v>31E</v>
      </c>
      <c r="F67" s="28"/>
      <c r="G67" s="28"/>
      <c r="H67" s="28"/>
    </row>
    <row r="68" spans="1:8" x14ac:dyDescent="0.4">
      <c r="A68" s="14">
        <v>30</v>
      </c>
      <c r="B68" s="14">
        <v>1</v>
      </c>
      <c r="C68" s="11" t="s">
        <v>437</v>
      </c>
      <c r="D68" s="29" t="str">
        <f t="shared" si="0"/>
        <v>2023/03</v>
      </c>
      <c r="E68" s="28" t="str">
        <f t="shared" si="1"/>
        <v>31E</v>
      </c>
      <c r="F68" s="28"/>
      <c r="G68" s="28"/>
      <c r="H68" s="28"/>
    </row>
    <row r="69" spans="1:8" x14ac:dyDescent="0.4">
      <c r="A69" s="14">
        <v>46</v>
      </c>
      <c r="B69" s="14">
        <v>1</v>
      </c>
      <c r="C69" s="11" t="s">
        <v>438</v>
      </c>
      <c r="D69" s="29" t="str">
        <f t="shared" si="0"/>
        <v>2023/03</v>
      </c>
      <c r="E69" s="28" t="str">
        <f t="shared" si="1"/>
        <v>30G</v>
      </c>
      <c r="F69" s="28"/>
      <c r="G69" s="28"/>
      <c r="H69" s="28"/>
    </row>
    <row r="70" spans="1:8" x14ac:dyDescent="0.4">
      <c r="A70" s="14">
        <v>21</v>
      </c>
      <c r="B70" s="14">
        <v>1</v>
      </c>
      <c r="C70" s="11" t="s">
        <v>438</v>
      </c>
      <c r="D70" s="29" t="str">
        <f t="shared" si="0"/>
        <v>2023/03</v>
      </c>
      <c r="E70" s="28" t="str">
        <f t="shared" si="1"/>
        <v>31D</v>
      </c>
      <c r="F70" s="28"/>
      <c r="G70" s="28"/>
      <c r="H70" s="28"/>
    </row>
    <row r="71" spans="1:8" x14ac:dyDescent="0.4">
      <c r="A71" s="14">
        <v>17</v>
      </c>
      <c r="B71" s="14">
        <v>1</v>
      </c>
      <c r="C71" s="11" t="s">
        <v>439</v>
      </c>
      <c r="D71" s="29" t="str">
        <f t="shared" si="0"/>
        <v>2023/04</v>
      </c>
      <c r="E71" s="28" t="str">
        <f t="shared" si="1"/>
        <v>31C</v>
      </c>
      <c r="F71" s="28"/>
      <c r="G71" s="28"/>
      <c r="H71" s="28"/>
    </row>
    <row r="72" spans="1:8" x14ac:dyDescent="0.4">
      <c r="A72" s="14">
        <v>18</v>
      </c>
      <c r="B72" s="14">
        <v>1</v>
      </c>
      <c r="C72" s="11" t="s">
        <v>439</v>
      </c>
      <c r="D72" s="29" t="str">
        <f t="shared" ref="D72:D135" si="2">LEFT(C72,7)</f>
        <v>2023/04</v>
      </c>
      <c r="E72" s="28" t="str">
        <f t="shared" ref="E72:E135" si="3">VLOOKUP(A72,F:G,2)</f>
        <v>31C</v>
      </c>
      <c r="F72" s="28"/>
      <c r="G72" s="28"/>
      <c r="H72" s="28"/>
    </row>
    <row r="73" spans="1:8" x14ac:dyDescent="0.4">
      <c r="A73" s="14">
        <v>3</v>
      </c>
      <c r="B73" s="14">
        <v>1</v>
      </c>
      <c r="C73" s="11" t="s">
        <v>440</v>
      </c>
      <c r="D73" s="29" t="str">
        <f t="shared" si="2"/>
        <v>2023/04</v>
      </c>
      <c r="E73" s="28" t="str">
        <f t="shared" si="3"/>
        <v>31A</v>
      </c>
      <c r="F73" s="28"/>
      <c r="G73" s="28"/>
      <c r="H73" s="28"/>
    </row>
    <row r="74" spans="1:8" x14ac:dyDescent="0.4">
      <c r="A74" s="14">
        <v>48</v>
      </c>
      <c r="B74" s="14">
        <v>1</v>
      </c>
      <c r="C74" s="11" t="s">
        <v>440</v>
      </c>
      <c r="D74" s="29" t="str">
        <f t="shared" si="2"/>
        <v>2023/04</v>
      </c>
      <c r="E74" s="28" t="str">
        <f t="shared" si="3"/>
        <v>30G</v>
      </c>
      <c r="F74" s="28"/>
      <c r="G74" s="28"/>
      <c r="H74" s="28"/>
    </row>
    <row r="75" spans="1:8" x14ac:dyDescent="0.4">
      <c r="A75" s="14">
        <v>7</v>
      </c>
      <c r="B75" s="14">
        <v>1</v>
      </c>
      <c r="C75" s="11" t="s">
        <v>441</v>
      </c>
      <c r="D75" s="29" t="str">
        <f t="shared" si="2"/>
        <v>2023/05</v>
      </c>
      <c r="E75" s="28" t="str">
        <f t="shared" si="3"/>
        <v>31B</v>
      </c>
      <c r="F75" s="28"/>
      <c r="G75" s="28"/>
      <c r="H75" s="28"/>
    </row>
    <row r="76" spans="1:8" x14ac:dyDescent="0.4">
      <c r="A76" s="14">
        <v>12</v>
      </c>
      <c r="B76" s="14">
        <v>1</v>
      </c>
      <c r="C76" s="11" t="s">
        <v>441</v>
      </c>
      <c r="D76" s="29" t="str">
        <f t="shared" si="2"/>
        <v>2023/05</v>
      </c>
      <c r="E76" s="28" t="str">
        <f t="shared" si="3"/>
        <v>31B</v>
      </c>
      <c r="F76" s="28"/>
      <c r="G76" s="28"/>
      <c r="H76" s="28"/>
    </row>
    <row r="77" spans="1:8" x14ac:dyDescent="0.4">
      <c r="A77" s="14">
        <v>47</v>
      </c>
      <c r="B77" s="14">
        <v>1</v>
      </c>
      <c r="C77" s="11" t="s">
        <v>442</v>
      </c>
      <c r="D77" s="29" t="str">
        <f t="shared" si="2"/>
        <v>2023/05</v>
      </c>
      <c r="E77" s="28" t="str">
        <f t="shared" si="3"/>
        <v>30G</v>
      </c>
      <c r="F77" s="28"/>
      <c r="G77" s="28"/>
      <c r="H77" s="28"/>
    </row>
    <row r="78" spans="1:8" x14ac:dyDescent="0.4">
      <c r="A78" s="14">
        <v>24</v>
      </c>
      <c r="B78" s="14">
        <v>1</v>
      </c>
      <c r="C78" s="11" t="s">
        <v>442</v>
      </c>
      <c r="D78" s="29" t="str">
        <f t="shared" si="2"/>
        <v>2023/05</v>
      </c>
      <c r="E78" s="28" t="str">
        <f t="shared" si="3"/>
        <v>31D</v>
      </c>
      <c r="F78" s="28"/>
      <c r="G78" s="28"/>
      <c r="H78" s="28"/>
    </row>
    <row r="79" spans="1:8" x14ac:dyDescent="0.4">
      <c r="A79" s="14">
        <v>40</v>
      </c>
      <c r="B79" s="14">
        <v>1</v>
      </c>
      <c r="C79" s="11" t="s">
        <v>443</v>
      </c>
      <c r="D79" s="29" t="str">
        <f t="shared" si="2"/>
        <v>2023/06</v>
      </c>
      <c r="E79" s="28" t="str">
        <f t="shared" si="3"/>
        <v>31X</v>
      </c>
      <c r="F79" s="28"/>
      <c r="G79" s="28"/>
      <c r="H79" s="28"/>
    </row>
    <row r="80" spans="1:8" x14ac:dyDescent="0.4">
      <c r="A80" s="14">
        <v>42</v>
      </c>
      <c r="B80" s="14">
        <v>1</v>
      </c>
      <c r="C80" s="11" t="s">
        <v>443</v>
      </c>
      <c r="D80" s="29" t="str">
        <f t="shared" si="2"/>
        <v>2023/06</v>
      </c>
      <c r="E80" s="28" t="str">
        <f t="shared" si="3"/>
        <v>31X</v>
      </c>
      <c r="F80" s="28"/>
      <c r="G80" s="28"/>
      <c r="H80" s="28"/>
    </row>
    <row r="81" spans="1:8" x14ac:dyDescent="0.4">
      <c r="A81" s="14">
        <v>18</v>
      </c>
      <c r="B81" s="14">
        <v>1</v>
      </c>
      <c r="C81" s="11" t="s">
        <v>444</v>
      </c>
      <c r="D81" s="29" t="str">
        <f t="shared" si="2"/>
        <v>2023/06</v>
      </c>
      <c r="E81" s="28" t="str">
        <f t="shared" si="3"/>
        <v>31C</v>
      </c>
      <c r="F81" s="28"/>
      <c r="G81" s="28"/>
      <c r="H81" s="28"/>
    </row>
    <row r="82" spans="1:8" x14ac:dyDescent="0.4">
      <c r="A82" s="14">
        <v>25</v>
      </c>
      <c r="B82" s="14">
        <v>1</v>
      </c>
      <c r="C82" s="11" t="s">
        <v>444</v>
      </c>
      <c r="D82" s="29" t="str">
        <f t="shared" si="2"/>
        <v>2023/06</v>
      </c>
      <c r="E82" s="28" t="str">
        <f t="shared" si="3"/>
        <v>31E</v>
      </c>
      <c r="F82" s="28"/>
      <c r="G82" s="28"/>
      <c r="H82" s="28"/>
    </row>
    <row r="83" spans="1:8" x14ac:dyDescent="0.4">
      <c r="A83" s="14">
        <v>15</v>
      </c>
      <c r="B83" s="14">
        <v>1</v>
      </c>
      <c r="C83" s="11" t="s">
        <v>445</v>
      </c>
      <c r="D83" s="29" t="str">
        <f t="shared" si="2"/>
        <v>2023/06</v>
      </c>
      <c r="E83" s="28" t="str">
        <f t="shared" si="3"/>
        <v>31C</v>
      </c>
      <c r="F83" s="28"/>
      <c r="G83" s="28"/>
      <c r="H83" s="28"/>
    </row>
    <row r="84" spans="1:8" x14ac:dyDescent="0.4">
      <c r="A84" s="14">
        <v>22</v>
      </c>
      <c r="B84" s="14">
        <v>1</v>
      </c>
      <c r="C84" s="11" t="s">
        <v>445</v>
      </c>
      <c r="D84" s="29" t="str">
        <f t="shared" si="2"/>
        <v>2023/06</v>
      </c>
      <c r="E84" s="28" t="str">
        <f t="shared" si="3"/>
        <v>31D</v>
      </c>
      <c r="F84" s="28"/>
      <c r="G84" s="28"/>
      <c r="H84" s="28"/>
    </row>
    <row r="85" spans="1:8" x14ac:dyDescent="0.4">
      <c r="A85" s="14">
        <v>23</v>
      </c>
      <c r="B85" s="14">
        <v>1</v>
      </c>
      <c r="C85" s="11" t="s">
        <v>446</v>
      </c>
      <c r="D85" s="29" t="str">
        <f t="shared" si="2"/>
        <v>2023/07</v>
      </c>
      <c r="E85" s="28" t="str">
        <f t="shared" si="3"/>
        <v>31D</v>
      </c>
      <c r="F85" s="28"/>
      <c r="G85" s="28"/>
      <c r="H85" s="28"/>
    </row>
    <row r="86" spans="1:8" x14ac:dyDescent="0.4">
      <c r="A86" s="14">
        <v>6</v>
      </c>
      <c r="B86" s="14">
        <v>1</v>
      </c>
      <c r="C86" s="11" t="s">
        <v>447</v>
      </c>
      <c r="D86" s="29" t="str">
        <f t="shared" si="2"/>
        <v>2023/08</v>
      </c>
      <c r="E86" s="28" t="str">
        <f t="shared" si="3"/>
        <v>31A</v>
      </c>
      <c r="F86" s="28"/>
      <c r="G86" s="28"/>
      <c r="H86" s="28"/>
    </row>
    <row r="87" spans="1:8" x14ac:dyDescent="0.4">
      <c r="A87" s="14">
        <v>43</v>
      </c>
      <c r="B87" s="14">
        <v>1</v>
      </c>
      <c r="C87" s="11" t="s">
        <v>447</v>
      </c>
      <c r="D87" s="29" t="str">
        <f t="shared" si="2"/>
        <v>2023/08</v>
      </c>
      <c r="E87" s="28" t="str">
        <f t="shared" si="3"/>
        <v>30G</v>
      </c>
      <c r="F87" s="28"/>
      <c r="G87" s="28"/>
      <c r="H87" s="28"/>
    </row>
    <row r="88" spans="1:8" x14ac:dyDescent="0.4">
      <c r="A88" s="14">
        <v>4</v>
      </c>
      <c r="B88" s="14">
        <v>1</v>
      </c>
      <c r="C88" s="11" t="s">
        <v>448</v>
      </c>
      <c r="D88" s="29" t="str">
        <f t="shared" si="2"/>
        <v>2023/08</v>
      </c>
      <c r="E88" s="28" t="str">
        <f t="shared" si="3"/>
        <v>31A</v>
      </c>
      <c r="F88" s="28"/>
      <c r="G88" s="28"/>
      <c r="H88" s="28"/>
    </row>
    <row r="89" spans="1:8" x14ac:dyDescent="0.4">
      <c r="A89" s="14">
        <v>5</v>
      </c>
      <c r="B89" s="14">
        <v>1</v>
      </c>
      <c r="C89" s="11" t="s">
        <v>448</v>
      </c>
      <c r="D89" s="29" t="str">
        <f t="shared" si="2"/>
        <v>2023/08</v>
      </c>
      <c r="E89" s="28" t="str">
        <f t="shared" si="3"/>
        <v>31A</v>
      </c>
      <c r="F89" s="28"/>
      <c r="G89" s="28"/>
      <c r="H89" s="28"/>
    </row>
    <row r="90" spans="1:8" x14ac:dyDescent="0.4">
      <c r="A90" s="14">
        <v>35</v>
      </c>
      <c r="B90" s="14">
        <v>1</v>
      </c>
      <c r="C90" s="11" t="s">
        <v>449</v>
      </c>
      <c r="D90" s="29" t="str">
        <f t="shared" si="2"/>
        <v>2023/08</v>
      </c>
      <c r="E90" s="28" t="str">
        <f t="shared" si="3"/>
        <v>31F</v>
      </c>
      <c r="F90" s="28"/>
      <c r="G90" s="28"/>
      <c r="H90" s="28"/>
    </row>
    <row r="91" spans="1:8" x14ac:dyDescent="0.4">
      <c r="A91" s="14">
        <v>45</v>
      </c>
      <c r="B91" s="14">
        <v>1</v>
      </c>
      <c r="C91" s="11" t="s">
        <v>450</v>
      </c>
      <c r="D91" s="29" t="str">
        <f t="shared" si="2"/>
        <v>2023/09</v>
      </c>
      <c r="E91" s="28" t="str">
        <f t="shared" si="3"/>
        <v>30G</v>
      </c>
      <c r="F91" s="28"/>
      <c r="G91" s="28"/>
      <c r="H91" s="28"/>
    </row>
    <row r="92" spans="1:8" x14ac:dyDescent="0.4">
      <c r="A92" s="14">
        <v>31</v>
      </c>
      <c r="B92" s="14">
        <v>1</v>
      </c>
      <c r="C92" s="11" t="s">
        <v>450</v>
      </c>
      <c r="D92" s="29" t="str">
        <f t="shared" si="2"/>
        <v>2023/09</v>
      </c>
      <c r="E92" s="28" t="str">
        <f t="shared" si="3"/>
        <v>31F</v>
      </c>
      <c r="F92" s="28"/>
      <c r="G92" s="28"/>
      <c r="H92" s="28"/>
    </row>
    <row r="93" spans="1:8" x14ac:dyDescent="0.4">
      <c r="A93" s="14">
        <v>2</v>
      </c>
      <c r="B93" s="14">
        <v>1</v>
      </c>
      <c r="C93" s="11" t="s">
        <v>451</v>
      </c>
      <c r="D93" s="29" t="str">
        <f t="shared" si="2"/>
        <v>2023/09</v>
      </c>
      <c r="E93" s="28" t="str">
        <f t="shared" si="3"/>
        <v>31A</v>
      </c>
      <c r="F93" s="28"/>
      <c r="G93" s="28"/>
      <c r="H93" s="28"/>
    </row>
    <row r="94" spans="1:8" x14ac:dyDescent="0.4">
      <c r="A94" s="14">
        <v>26</v>
      </c>
      <c r="B94" s="14">
        <v>1</v>
      </c>
      <c r="C94" s="11" t="s">
        <v>452</v>
      </c>
      <c r="D94" s="29" t="str">
        <f t="shared" si="2"/>
        <v>2023/10</v>
      </c>
      <c r="E94" s="28" t="str">
        <f t="shared" si="3"/>
        <v>31E</v>
      </c>
      <c r="F94" s="28"/>
      <c r="G94" s="28"/>
      <c r="H94" s="28"/>
    </row>
    <row r="95" spans="1:8" x14ac:dyDescent="0.4">
      <c r="A95" s="14">
        <v>29</v>
      </c>
      <c r="B95" s="14">
        <v>1</v>
      </c>
      <c r="C95" s="11" t="s">
        <v>452</v>
      </c>
      <c r="D95" s="29" t="str">
        <f t="shared" si="2"/>
        <v>2023/10</v>
      </c>
      <c r="E95" s="28" t="str">
        <f t="shared" si="3"/>
        <v>31E</v>
      </c>
      <c r="F95" s="28"/>
      <c r="G95" s="28"/>
      <c r="H95" s="28"/>
    </row>
    <row r="96" spans="1:8" x14ac:dyDescent="0.4">
      <c r="A96" s="14">
        <v>17</v>
      </c>
      <c r="B96" s="14">
        <v>1</v>
      </c>
      <c r="C96" s="11" t="s">
        <v>398</v>
      </c>
      <c r="D96" s="29" t="str">
        <f t="shared" si="2"/>
        <v>2023/10</v>
      </c>
      <c r="E96" s="28" t="str">
        <f t="shared" si="3"/>
        <v>31C</v>
      </c>
      <c r="F96" s="28"/>
      <c r="G96" s="28"/>
      <c r="H96" s="28"/>
    </row>
    <row r="97" spans="1:8" x14ac:dyDescent="0.4">
      <c r="A97" s="14">
        <v>38</v>
      </c>
      <c r="B97" s="14">
        <v>1</v>
      </c>
      <c r="C97" s="11" t="s">
        <v>398</v>
      </c>
      <c r="D97" s="29" t="str">
        <f t="shared" si="2"/>
        <v>2023/10</v>
      </c>
      <c r="E97" s="28" t="str">
        <f t="shared" si="3"/>
        <v>31X</v>
      </c>
      <c r="F97" s="28"/>
      <c r="G97" s="28"/>
      <c r="H97" s="28"/>
    </row>
    <row r="98" spans="1:8" x14ac:dyDescent="0.4">
      <c r="A98" s="14">
        <v>44</v>
      </c>
      <c r="B98" s="14">
        <v>1</v>
      </c>
      <c r="C98" s="11" t="s">
        <v>453</v>
      </c>
      <c r="D98" s="29" t="str">
        <f t="shared" si="2"/>
        <v>2023/11</v>
      </c>
      <c r="E98" s="28" t="str">
        <f t="shared" si="3"/>
        <v>30G</v>
      </c>
      <c r="F98" s="28"/>
      <c r="G98" s="28"/>
      <c r="H98" s="28"/>
    </row>
    <row r="99" spans="1:8" x14ac:dyDescent="0.4">
      <c r="A99" s="14">
        <v>47</v>
      </c>
      <c r="B99" s="14">
        <v>1</v>
      </c>
      <c r="C99" s="11" t="s">
        <v>453</v>
      </c>
      <c r="D99" s="29" t="str">
        <f t="shared" si="2"/>
        <v>2023/11</v>
      </c>
      <c r="E99" s="28" t="str">
        <f t="shared" si="3"/>
        <v>30G</v>
      </c>
      <c r="F99" s="28"/>
      <c r="G99" s="28"/>
      <c r="H99" s="28"/>
    </row>
    <row r="100" spans="1:8" x14ac:dyDescent="0.4">
      <c r="A100" s="14">
        <v>41</v>
      </c>
      <c r="B100" s="14">
        <v>1</v>
      </c>
      <c r="C100" s="11" t="s">
        <v>399</v>
      </c>
      <c r="D100" s="29" t="str">
        <f t="shared" si="2"/>
        <v>2023/11</v>
      </c>
      <c r="E100" s="28" t="str">
        <f t="shared" si="3"/>
        <v>31X</v>
      </c>
      <c r="F100" s="28"/>
      <c r="G100" s="28"/>
      <c r="H100" s="28"/>
    </row>
    <row r="101" spans="1:8" x14ac:dyDescent="0.4">
      <c r="A101" s="14">
        <v>42</v>
      </c>
      <c r="B101" s="14">
        <v>1</v>
      </c>
      <c r="C101" s="11" t="s">
        <v>399</v>
      </c>
      <c r="D101" s="29" t="str">
        <f t="shared" si="2"/>
        <v>2023/11</v>
      </c>
      <c r="E101" s="28" t="str">
        <f t="shared" si="3"/>
        <v>31X</v>
      </c>
      <c r="F101" s="28"/>
      <c r="G101" s="28"/>
      <c r="H101" s="28"/>
    </row>
    <row r="102" spans="1:8" x14ac:dyDescent="0.4">
      <c r="A102" s="14">
        <v>19</v>
      </c>
      <c r="B102" s="14">
        <v>1</v>
      </c>
      <c r="C102" s="11" t="s">
        <v>454</v>
      </c>
      <c r="D102" s="29" t="str">
        <f t="shared" si="2"/>
        <v>2023/12</v>
      </c>
      <c r="E102" s="28" t="str">
        <f t="shared" si="3"/>
        <v>31D</v>
      </c>
      <c r="F102" s="28"/>
      <c r="G102" s="28"/>
      <c r="H102" s="28"/>
    </row>
    <row r="103" spans="1:8" x14ac:dyDescent="0.4">
      <c r="A103" s="14">
        <v>23</v>
      </c>
      <c r="B103" s="14">
        <v>1</v>
      </c>
      <c r="C103" s="11" t="s">
        <v>454</v>
      </c>
      <c r="D103" s="29" t="str">
        <f t="shared" si="2"/>
        <v>2023/12</v>
      </c>
      <c r="E103" s="28" t="str">
        <f t="shared" si="3"/>
        <v>31D</v>
      </c>
      <c r="F103" s="28"/>
      <c r="G103" s="28"/>
      <c r="H103" s="28"/>
    </row>
    <row r="104" spans="1:8" x14ac:dyDescent="0.4">
      <c r="A104" s="14">
        <v>3</v>
      </c>
      <c r="B104" s="14">
        <v>1</v>
      </c>
      <c r="C104" s="11" t="s">
        <v>400</v>
      </c>
      <c r="D104" s="29" t="str">
        <f t="shared" si="2"/>
        <v>2023/12</v>
      </c>
      <c r="E104" s="28" t="str">
        <f t="shared" si="3"/>
        <v>31A</v>
      </c>
      <c r="F104" s="28"/>
      <c r="G104" s="28"/>
      <c r="H104" s="28"/>
    </row>
    <row r="105" spans="1:8" x14ac:dyDescent="0.4">
      <c r="A105" s="14">
        <v>6</v>
      </c>
      <c r="B105" s="14">
        <v>1</v>
      </c>
      <c r="C105" s="11" t="s">
        <v>400</v>
      </c>
      <c r="D105" s="29" t="str">
        <f t="shared" si="2"/>
        <v>2023/12</v>
      </c>
      <c r="E105" s="28" t="str">
        <f t="shared" si="3"/>
        <v>31A</v>
      </c>
      <c r="F105" s="28"/>
      <c r="G105" s="28"/>
      <c r="H105" s="28"/>
    </row>
    <row r="106" spans="1:8" x14ac:dyDescent="0.4">
      <c r="A106" s="14">
        <v>7</v>
      </c>
      <c r="B106" s="14">
        <v>1</v>
      </c>
      <c r="C106" s="11" t="s">
        <v>401</v>
      </c>
      <c r="D106" s="29" t="str">
        <f t="shared" si="2"/>
        <v>2023/12</v>
      </c>
      <c r="E106" s="28" t="str">
        <f t="shared" si="3"/>
        <v>31B</v>
      </c>
      <c r="F106" s="28"/>
      <c r="G106" s="28"/>
      <c r="H106" s="28"/>
    </row>
    <row r="107" spans="1:8" x14ac:dyDescent="0.4">
      <c r="A107" s="14">
        <v>8</v>
      </c>
      <c r="B107" s="14">
        <v>1</v>
      </c>
      <c r="C107" s="11" t="s">
        <v>401</v>
      </c>
      <c r="D107" s="29" t="str">
        <f t="shared" si="2"/>
        <v>2023/12</v>
      </c>
      <c r="E107" s="28" t="str">
        <f t="shared" si="3"/>
        <v>31B</v>
      </c>
      <c r="F107" s="28"/>
      <c r="G107" s="28"/>
      <c r="H107" s="28"/>
    </row>
    <row r="108" spans="1:8" x14ac:dyDescent="0.4">
      <c r="A108" s="14">
        <v>28</v>
      </c>
      <c r="B108" s="14">
        <v>1</v>
      </c>
      <c r="C108" s="11" t="s">
        <v>455</v>
      </c>
      <c r="D108" s="29" t="str">
        <f t="shared" si="2"/>
        <v>2024/01</v>
      </c>
      <c r="E108" s="28" t="str">
        <f t="shared" si="3"/>
        <v>31E</v>
      </c>
      <c r="F108" s="28"/>
      <c r="G108" s="28"/>
      <c r="H108" s="28"/>
    </row>
    <row r="109" spans="1:8" x14ac:dyDescent="0.4">
      <c r="A109" s="14">
        <v>30</v>
      </c>
      <c r="B109" s="14">
        <v>1</v>
      </c>
      <c r="C109" s="11" t="s">
        <v>455</v>
      </c>
      <c r="D109" s="29" t="str">
        <f t="shared" si="2"/>
        <v>2024/01</v>
      </c>
      <c r="E109" s="28" t="str">
        <f t="shared" si="3"/>
        <v>31E</v>
      </c>
      <c r="F109" s="28"/>
      <c r="G109" s="28"/>
      <c r="H109" s="28"/>
    </row>
    <row r="110" spans="1:8" x14ac:dyDescent="0.4">
      <c r="A110" s="14">
        <v>101</v>
      </c>
      <c r="B110" s="14">
        <v>1</v>
      </c>
      <c r="C110" s="11" t="s">
        <v>456</v>
      </c>
      <c r="D110" s="29" t="str">
        <f t="shared" si="2"/>
        <v>2024/01</v>
      </c>
      <c r="E110" s="28" t="str">
        <f t="shared" si="3"/>
        <v>AB</v>
      </c>
      <c r="F110" s="28"/>
      <c r="G110" s="28"/>
      <c r="H110" s="28"/>
    </row>
    <row r="111" spans="1:8" x14ac:dyDescent="0.4">
      <c r="A111" s="14">
        <v>102</v>
      </c>
      <c r="B111" s="14">
        <v>1</v>
      </c>
      <c r="C111" s="11" t="s">
        <v>457</v>
      </c>
      <c r="D111" s="29" t="str">
        <f t="shared" si="2"/>
        <v>2024/02</v>
      </c>
      <c r="E111" s="28" t="str">
        <f t="shared" si="3"/>
        <v>AB</v>
      </c>
      <c r="F111" s="28"/>
      <c r="G111" s="28"/>
      <c r="H111" s="28"/>
    </row>
    <row r="112" spans="1:8" x14ac:dyDescent="0.4">
      <c r="A112" s="14">
        <v>103</v>
      </c>
      <c r="B112" s="14">
        <v>1</v>
      </c>
      <c r="C112" s="11" t="s">
        <v>457</v>
      </c>
      <c r="D112" s="29" t="str">
        <f t="shared" si="2"/>
        <v>2024/02</v>
      </c>
      <c r="E112" s="28" t="str">
        <f t="shared" si="3"/>
        <v>AB</v>
      </c>
      <c r="F112" s="28"/>
      <c r="G112" s="28"/>
      <c r="H112" s="28"/>
    </row>
    <row r="113" spans="1:8" x14ac:dyDescent="0.4">
      <c r="A113" s="14">
        <v>2</v>
      </c>
      <c r="B113" s="14">
        <v>1</v>
      </c>
      <c r="C113" s="11" t="s">
        <v>458</v>
      </c>
      <c r="D113" s="29" t="str">
        <f t="shared" si="2"/>
        <v>2024/02</v>
      </c>
      <c r="E113" s="28" t="str">
        <f t="shared" si="3"/>
        <v>31A</v>
      </c>
      <c r="F113" s="28"/>
      <c r="G113" s="28"/>
      <c r="H113" s="28"/>
    </row>
    <row r="114" spans="1:8" x14ac:dyDescent="0.4">
      <c r="A114" s="14">
        <v>13</v>
      </c>
      <c r="B114" s="14">
        <v>1</v>
      </c>
      <c r="C114" s="11" t="s">
        <v>458</v>
      </c>
      <c r="D114" s="29" t="str">
        <f t="shared" si="2"/>
        <v>2024/02</v>
      </c>
      <c r="E114" s="28" t="str">
        <f t="shared" si="3"/>
        <v>31C</v>
      </c>
      <c r="F114" s="28"/>
      <c r="G114" s="28"/>
      <c r="H114" s="28"/>
    </row>
    <row r="115" spans="1:8" x14ac:dyDescent="0.4">
      <c r="A115" s="14">
        <v>1</v>
      </c>
      <c r="B115" s="14">
        <v>0</v>
      </c>
      <c r="C115" s="11" t="s">
        <v>459</v>
      </c>
      <c r="D115" s="29" t="str">
        <f t="shared" si="2"/>
        <v>2024/02</v>
      </c>
      <c r="E115" s="28" t="str">
        <f t="shared" si="3"/>
        <v>31A</v>
      </c>
      <c r="F115" s="28"/>
      <c r="G115" s="28"/>
      <c r="H115" s="28"/>
    </row>
    <row r="116" spans="1:8" x14ac:dyDescent="0.4">
      <c r="A116" s="14">
        <v>15</v>
      </c>
      <c r="B116" s="14">
        <v>1</v>
      </c>
      <c r="C116" s="11" t="s">
        <v>460</v>
      </c>
      <c r="D116" s="29" t="str">
        <f t="shared" si="2"/>
        <v>2024/03</v>
      </c>
      <c r="E116" s="28" t="str">
        <f t="shared" si="3"/>
        <v>31C</v>
      </c>
      <c r="F116" s="28"/>
      <c r="G116" s="28"/>
      <c r="H116" s="28"/>
    </row>
    <row r="117" spans="1:8" x14ac:dyDescent="0.4">
      <c r="A117" s="14">
        <v>16</v>
      </c>
      <c r="B117" s="14">
        <v>1</v>
      </c>
      <c r="C117" s="11" t="s">
        <v>460</v>
      </c>
      <c r="D117" s="29" t="str">
        <f t="shared" si="2"/>
        <v>2024/03</v>
      </c>
      <c r="E117" s="28" t="str">
        <f t="shared" si="3"/>
        <v>31C</v>
      </c>
      <c r="F117" s="28"/>
      <c r="G117" s="28"/>
      <c r="H117" s="28"/>
    </row>
    <row r="118" spans="1:8" x14ac:dyDescent="0.4">
      <c r="A118" s="14">
        <v>11</v>
      </c>
      <c r="B118" s="14">
        <v>1</v>
      </c>
      <c r="C118" s="11" t="s">
        <v>461</v>
      </c>
      <c r="D118" s="29" t="str">
        <f t="shared" si="2"/>
        <v>2024/03</v>
      </c>
      <c r="E118" s="28" t="str">
        <f t="shared" si="3"/>
        <v>31B</v>
      </c>
      <c r="F118" s="28"/>
      <c r="G118" s="28"/>
      <c r="H118" s="28"/>
    </row>
    <row r="119" spans="1:8" x14ac:dyDescent="0.4">
      <c r="A119" s="14">
        <v>4</v>
      </c>
      <c r="B119" s="14">
        <v>1</v>
      </c>
      <c r="C119" s="11" t="s">
        <v>462</v>
      </c>
      <c r="D119" s="29" t="str">
        <f t="shared" si="2"/>
        <v>2024/04</v>
      </c>
      <c r="E119" s="28" t="str">
        <f t="shared" si="3"/>
        <v>31A</v>
      </c>
      <c r="F119" s="28"/>
      <c r="G119" s="28"/>
      <c r="H119" s="28"/>
    </row>
    <row r="120" spans="1:8" x14ac:dyDescent="0.4">
      <c r="A120" s="14">
        <v>38</v>
      </c>
      <c r="B120" s="14">
        <v>1</v>
      </c>
      <c r="C120" s="11" t="s">
        <v>462</v>
      </c>
      <c r="D120" s="29" t="str">
        <f t="shared" si="2"/>
        <v>2024/04</v>
      </c>
      <c r="E120" s="28" t="str">
        <f t="shared" si="3"/>
        <v>31X</v>
      </c>
      <c r="F120" s="28"/>
      <c r="G120" s="28"/>
      <c r="H120" s="28"/>
    </row>
    <row r="121" spans="1:8" x14ac:dyDescent="0.4">
      <c r="A121" s="14">
        <v>45</v>
      </c>
      <c r="B121" s="14">
        <v>1</v>
      </c>
      <c r="C121" s="11" t="s">
        <v>463</v>
      </c>
      <c r="D121" s="29" t="str">
        <f t="shared" si="2"/>
        <v>2024/04</v>
      </c>
      <c r="E121" s="28" t="str">
        <f t="shared" si="3"/>
        <v>30G</v>
      </c>
      <c r="F121" s="28"/>
      <c r="G121" s="28"/>
      <c r="H121" s="28"/>
    </row>
    <row r="122" spans="1:8" x14ac:dyDescent="0.4">
      <c r="A122" s="14">
        <v>46</v>
      </c>
      <c r="B122" s="14">
        <v>1</v>
      </c>
      <c r="C122" s="11" t="s">
        <v>463</v>
      </c>
      <c r="D122" s="29" t="str">
        <f t="shared" si="2"/>
        <v>2024/04</v>
      </c>
      <c r="E122" s="28" t="str">
        <f t="shared" si="3"/>
        <v>30G</v>
      </c>
      <c r="F122" s="28"/>
      <c r="G122" s="28"/>
      <c r="H122" s="28"/>
    </row>
    <row r="123" spans="1:8" x14ac:dyDescent="0.4">
      <c r="A123" s="14">
        <v>24</v>
      </c>
      <c r="B123" s="14">
        <v>1</v>
      </c>
      <c r="C123" s="11" t="s">
        <v>464</v>
      </c>
      <c r="D123" s="29" t="str">
        <f t="shared" si="2"/>
        <v>2024/05</v>
      </c>
      <c r="E123" s="28" t="str">
        <f t="shared" si="3"/>
        <v>31D</v>
      </c>
      <c r="F123" s="28"/>
      <c r="G123" s="28"/>
      <c r="H123" s="28"/>
    </row>
    <row r="124" spans="1:8" x14ac:dyDescent="0.4">
      <c r="A124" s="14">
        <v>32</v>
      </c>
      <c r="B124" s="14">
        <v>1</v>
      </c>
      <c r="C124" s="11" t="s">
        <v>464</v>
      </c>
      <c r="D124" s="29" t="str">
        <f t="shared" si="2"/>
        <v>2024/05</v>
      </c>
      <c r="E124" s="28" t="str">
        <f t="shared" si="3"/>
        <v>31F</v>
      </c>
      <c r="F124" s="28"/>
      <c r="G124" s="28"/>
      <c r="H124" s="28"/>
    </row>
    <row r="125" spans="1:8" x14ac:dyDescent="0.4">
      <c r="A125" s="14">
        <v>39</v>
      </c>
      <c r="B125" s="14">
        <v>1</v>
      </c>
      <c r="C125" s="11" t="s">
        <v>465</v>
      </c>
      <c r="D125" s="29" t="str">
        <f t="shared" si="2"/>
        <v>2024/05</v>
      </c>
      <c r="E125" s="28" t="str">
        <f t="shared" si="3"/>
        <v>31X</v>
      </c>
      <c r="F125" s="28"/>
      <c r="G125" s="28"/>
      <c r="H125" s="28"/>
    </row>
    <row r="126" spans="1:8" x14ac:dyDescent="0.4">
      <c r="A126" s="14">
        <v>40</v>
      </c>
      <c r="B126" s="14">
        <v>1</v>
      </c>
      <c r="C126" s="11" t="s">
        <v>465</v>
      </c>
      <c r="D126" s="29" t="str">
        <f t="shared" si="2"/>
        <v>2024/05</v>
      </c>
      <c r="E126" s="28" t="str">
        <f t="shared" si="3"/>
        <v>31X</v>
      </c>
      <c r="F126" s="28"/>
      <c r="G126" s="28"/>
      <c r="H126" s="28"/>
    </row>
    <row r="127" spans="1:8" x14ac:dyDescent="0.4">
      <c r="A127" s="14">
        <v>14</v>
      </c>
      <c r="B127" s="14">
        <v>1</v>
      </c>
      <c r="C127" s="11" t="s">
        <v>466</v>
      </c>
      <c r="D127" s="29" t="str">
        <f t="shared" si="2"/>
        <v>2024/06</v>
      </c>
      <c r="E127" s="28" t="str">
        <f t="shared" si="3"/>
        <v>31C</v>
      </c>
      <c r="F127" s="28"/>
      <c r="G127" s="28"/>
      <c r="H127" s="28"/>
    </row>
    <row r="128" spans="1:8" x14ac:dyDescent="0.4">
      <c r="A128" s="14">
        <v>42</v>
      </c>
      <c r="B128" s="14">
        <v>1</v>
      </c>
      <c r="C128" s="11" t="s">
        <v>466</v>
      </c>
      <c r="D128" s="29" t="str">
        <f t="shared" si="2"/>
        <v>2024/06</v>
      </c>
      <c r="E128" s="28" t="str">
        <f t="shared" si="3"/>
        <v>31X</v>
      </c>
      <c r="F128" s="28"/>
      <c r="G128" s="28"/>
      <c r="H128" s="28"/>
    </row>
    <row r="129" spans="1:8" x14ac:dyDescent="0.4">
      <c r="A129" s="14">
        <v>43</v>
      </c>
      <c r="B129" s="14">
        <v>0</v>
      </c>
      <c r="C129" s="11" t="s">
        <v>467</v>
      </c>
      <c r="D129" s="29" t="str">
        <f t="shared" si="2"/>
        <v>2024/06</v>
      </c>
      <c r="E129" s="28" t="str">
        <f t="shared" si="3"/>
        <v>30G</v>
      </c>
      <c r="F129" s="28"/>
      <c r="G129" s="28"/>
      <c r="H129" s="28"/>
    </row>
    <row r="130" spans="1:8" x14ac:dyDescent="0.4">
      <c r="A130" s="14">
        <v>17</v>
      </c>
      <c r="B130" s="14">
        <v>1</v>
      </c>
      <c r="C130" s="11" t="s">
        <v>468</v>
      </c>
      <c r="D130" s="29" t="str">
        <f t="shared" si="2"/>
        <v>2024/07</v>
      </c>
      <c r="E130" s="28" t="str">
        <f t="shared" si="3"/>
        <v>31C</v>
      </c>
      <c r="F130" s="28"/>
      <c r="G130" s="28"/>
      <c r="H130" s="28"/>
    </row>
    <row r="131" spans="1:8" x14ac:dyDescent="0.4">
      <c r="A131" s="14">
        <v>18</v>
      </c>
      <c r="B131" s="14">
        <v>1</v>
      </c>
      <c r="C131" s="11" t="s">
        <v>468</v>
      </c>
      <c r="D131" s="29" t="str">
        <f t="shared" si="2"/>
        <v>2024/07</v>
      </c>
      <c r="E131" s="28" t="str">
        <f t="shared" si="3"/>
        <v>31C</v>
      </c>
      <c r="F131" s="28"/>
      <c r="G131" s="28"/>
      <c r="H131" s="28"/>
    </row>
    <row r="132" spans="1:8" x14ac:dyDescent="0.4">
      <c r="A132" s="14">
        <v>3</v>
      </c>
      <c r="B132" s="14">
        <v>1</v>
      </c>
      <c r="C132" s="11" t="s">
        <v>469</v>
      </c>
      <c r="D132" s="29" t="str">
        <f t="shared" si="2"/>
        <v>2024/07</v>
      </c>
      <c r="E132" s="28" t="str">
        <f t="shared" si="3"/>
        <v>31A</v>
      </c>
      <c r="F132" s="28"/>
      <c r="G132" s="28"/>
      <c r="H132" s="28"/>
    </row>
    <row r="133" spans="1:8" x14ac:dyDescent="0.4">
      <c r="A133" s="14">
        <v>5</v>
      </c>
      <c r="B133" s="14">
        <v>1</v>
      </c>
      <c r="C133" s="11" t="s">
        <v>469</v>
      </c>
      <c r="D133" s="29" t="str">
        <f t="shared" si="2"/>
        <v>2024/07</v>
      </c>
      <c r="E133" s="28" t="str">
        <f t="shared" si="3"/>
        <v>31A</v>
      </c>
      <c r="F133" s="28"/>
      <c r="G133" s="28"/>
      <c r="H133" s="28"/>
    </row>
    <row r="134" spans="1:8" x14ac:dyDescent="0.4">
      <c r="A134" s="14">
        <v>34</v>
      </c>
      <c r="B134" s="14">
        <v>1</v>
      </c>
      <c r="C134" s="11" t="s">
        <v>470</v>
      </c>
      <c r="D134" s="29" t="str">
        <f t="shared" si="2"/>
        <v>2024/08</v>
      </c>
      <c r="E134" s="28" t="str">
        <f t="shared" si="3"/>
        <v>31F</v>
      </c>
      <c r="F134" s="28"/>
      <c r="G134" s="28"/>
      <c r="H134" s="28"/>
    </row>
    <row r="135" spans="1:8" x14ac:dyDescent="0.4">
      <c r="A135" s="14">
        <v>36</v>
      </c>
      <c r="B135" s="14">
        <v>1</v>
      </c>
      <c r="C135" s="11" t="s">
        <v>470</v>
      </c>
      <c r="D135" s="29" t="str">
        <f t="shared" si="2"/>
        <v>2024/08</v>
      </c>
      <c r="E135" s="28" t="str">
        <f t="shared" si="3"/>
        <v>31F</v>
      </c>
      <c r="F135" s="28"/>
      <c r="G135" s="28"/>
      <c r="H135" s="28"/>
    </row>
    <row r="136" spans="1:8" x14ac:dyDescent="0.4">
      <c r="A136" s="14">
        <v>47</v>
      </c>
      <c r="B136" s="14">
        <v>1</v>
      </c>
      <c r="C136" s="11" t="s">
        <v>471</v>
      </c>
      <c r="D136" s="29" t="str">
        <f t="shared" ref="D136:D199" si="4">LEFT(C136,7)</f>
        <v>2024/09</v>
      </c>
      <c r="E136" s="28" t="str">
        <f t="shared" ref="E136:E199" si="5">VLOOKUP(A136,F:G,2)</f>
        <v>30G</v>
      </c>
      <c r="F136" s="28"/>
      <c r="G136" s="28"/>
      <c r="H136" s="28"/>
    </row>
    <row r="137" spans="1:8" x14ac:dyDescent="0.4">
      <c r="A137" s="14">
        <v>35</v>
      </c>
      <c r="B137" s="14">
        <v>1</v>
      </c>
      <c r="C137" s="11" t="s">
        <v>471</v>
      </c>
      <c r="D137" s="29" t="str">
        <f t="shared" si="4"/>
        <v>2024/09</v>
      </c>
      <c r="E137" s="28" t="str">
        <f t="shared" si="5"/>
        <v>31F</v>
      </c>
      <c r="F137" s="28"/>
      <c r="G137" s="28"/>
      <c r="H137" s="28"/>
    </row>
    <row r="138" spans="1:8" x14ac:dyDescent="0.4">
      <c r="A138" s="14">
        <v>27</v>
      </c>
      <c r="B138" s="14">
        <v>1</v>
      </c>
      <c r="C138" s="11" t="s">
        <v>472</v>
      </c>
      <c r="D138" s="29" t="str">
        <f t="shared" si="4"/>
        <v>2024/09</v>
      </c>
      <c r="E138" s="28" t="str">
        <f t="shared" si="5"/>
        <v>31E</v>
      </c>
      <c r="F138" s="28"/>
      <c r="G138" s="28"/>
      <c r="H138" s="28"/>
    </row>
    <row r="139" spans="1:8" x14ac:dyDescent="0.4">
      <c r="A139" s="14">
        <v>29</v>
      </c>
      <c r="B139" s="14">
        <v>1</v>
      </c>
      <c r="C139" s="11" t="s">
        <v>472</v>
      </c>
      <c r="D139" s="29" t="str">
        <f t="shared" si="4"/>
        <v>2024/09</v>
      </c>
      <c r="E139" s="28" t="str">
        <f t="shared" si="5"/>
        <v>31E</v>
      </c>
      <c r="F139" s="28"/>
      <c r="G139" s="28"/>
      <c r="H139" s="28"/>
    </row>
    <row r="140" spans="1:8" x14ac:dyDescent="0.4">
      <c r="A140" s="14">
        <v>37</v>
      </c>
      <c r="B140" s="14">
        <v>1</v>
      </c>
      <c r="C140" s="11" t="s">
        <v>473</v>
      </c>
      <c r="D140" s="29" t="str">
        <f t="shared" si="4"/>
        <v>2024/10</v>
      </c>
      <c r="E140" s="28" t="str">
        <f t="shared" si="5"/>
        <v>31X</v>
      </c>
      <c r="F140" s="28"/>
      <c r="G140" s="28"/>
      <c r="H140" s="28"/>
    </row>
    <row r="141" spans="1:8" x14ac:dyDescent="0.4">
      <c r="A141" s="14">
        <v>2</v>
      </c>
      <c r="B141" s="14">
        <v>0</v>
      </c>
      <c r="C141" s="11" t="s">
        <v>402</v>
      </c>
      <c r="D141" s="29" t="str">
        <f t="shared" si="4"/>
        <v>2024/10</v>
      </c>
      <c r="E141" s="28" t="str">
        <f t="shared" si="5"/>
        <v>31A</v>
      </c>
      <c r="F141" s="28"/>
      <c r="G141" s="28"/>
      <c r="H141" s="28"/>
    </row>
    <row r="142" spans="1:8" x14ac:dyDescent="0.4">
      <c r="A142" s="14">
        <v>8</v>
      </c>
      <c r="B142" s="14">
        <v>1</v>
      </c>
      <c r="C142" s="11" t="s">
        <v>403</v>
      </c>
      <c r="D142" s="29" t="str">
        <f t="shared" si="4"/>
        <v>2024/10</v>
      </c>
      <c r="E142" s="28" t="str">
        <f t="shared" si="5"/>
        <v>31B</v>
      </c>
      <c r="F142" s="28"/>
      <c r="G142" s="28"/>
      <c r="H142" s="28"/>
    </row>
    <row r="143" spans="1:8" x14ac:dyDescent="0.4">
      <c r="A143" s="14">
        <v>9</v>
      </c>
      <c r="B143" s="14">
        <v>1</v>
      </c>
      <c r="C143" s="11" t="s">
        <v>403</v>
      </c>
      <c r="D143" s="29" t="str">
        <f t="shared" si="4"/>
        <v>2024/10</v>
      </c>
      <c r="E143" s="28" t="str">
        <f t="shared" si="5"/>
        <v>31B</v>
      </c>
      <c r="F143" s="28"/>
      <c r="G143" s="28"/>
      <c r="H143" s="28"/>
    </row>
    <row r="144" spans="1:8" x14ac:dyDescent="0.4">
      <c r="A144" s="14">
        <v>7</v>
      </c>
      <c r="B144" s="14">
        <v>1</v>
      </c>
      <c r="C144" s="11" t="s">
        <v>474</v>
      </c>
      <c r="D144" s="29" t="str">
        <f t="shared" si="4"/>
        <v>2024/11</v>
      </c>
      <c r="E144" s="28" t="str">
        <f t="shared" si="5"/>
        <v>31B</v>
      </c>
      <c r="F144" s="28"/>
      <c r="G144" s="28"/>
      <c r="H144" s="28"/>
    </row>
    <row r="145" spans="1:8" x14ac:dyDescent="0.4">
      <c r="A145" s="14">
        <v>10</v>
      </c>
      <c r="B145" s="14">
        <v>1</v>
      </c>
      <c r="C145" s="11" t="s">
        <v>474</v>
      </c>
      <c r="D145" s="29" t="str">
        <f t="shared" si="4"/>
        <v>2024/11</v>
      </c>
      <c r="E145" s="28" t="str">
        <f t="shared" si="5"/>
        <v>31B</v>
      </c>
      <c r="F145" s="28"/>
      <c r="G145" s="28"/>
      <c r="H145" s="28"/>
    </row>
    <row r="146" spans="1:8" x14ac:dyDescent="0.4">
      <c r="A146" s="14">
        <v>20</v>
      </c>
      <c r="B146" s="14">
        <v>1</v>
      </c>
      <c r="C146" s="11" t="s">
        <v>404</v>
      </c>
      <c r="D146" s="29" t="str">
        <f t="shared" si="4"/>
        <v>2024/11</v>
      </c>
      <c r="E146" s="28" t="str">
        <f t="shared" si="5"/>
        <v>31D</v>
      </c>
      <c r="F146" s="28"/>
      <c r="G146" s="28"/>
      <c r="H146" s="28"/>
    </row>
    <row r="147" spans="1:8" x14ac:dyDescent="0.4">
      <c r="A147" s="14">
        <v>24</v>
      </c>
      <c r="B147" s="14">
        <v>1</v>
      </c>
      <c r="C147" s="11" t="s">
        <v>404</v>
      </c>
      <c r="D147" s="29" t="str">
        <f t="shared" si="4"/>
        <v>2024/11</v>
      </c>
      <c r="E147" s="28" t="str">
        <f t="shared" si="5"/>
        <v>31D</v>
      </c>
      <c r="F147" s="28"/>
      <c r="G147" s="28"/>
      <c r="H147" s="28"/>
    </row>
    <row r="148" spans="1:8" x14ac:dyDescent="0.4">
      <c r="A148" s="14">
        <v>21</v>
      </c>
      <c r="B148" s="14">
        <v>1</v>
      </c>
      <c r="C148" s="11" t="s">
        <v>475</v>
      </c>
      <c r="D148" s="29" t="str">
        <f t="shared" si="4"/>
        <v>2024/12</v>
      </c>
      <c r="E148" s="28" t="str">
        <f t="shared" si="5"/>
        <v>31D</v>
      </c>
      <c r="F148" s="28"/>
      <c r="G148" s="28"/>
      <c r="H148" s="28"/>
    </row>
    <row r="149" spans="1:8" x14ac:dyDescent="0.4">
      <c r="A149" s="14">
        <v>33</v>
      </c>
      <c r="B149" s="14">
        <v>1</v>
      </c>
      <c r="C149" s="11" t="s">
        <v>475</v>
      </c>
      <c r="D149" s="29" t="str">
        <f t="shared" si="4"/>
        <v>2024/12</v>
      </c>
      <c r="E149" s="28" t="str">
        <f t="shared" si="5"/>
        <v>31F</v>
      </c>
      <c r="F149" s="28"/>
      <c r="G149" s="28"/>
      <c r="H149" s="28"/>
    </row>
    <row r="150" spans="1:8" x14ac:dyDescent="0.4">
      <c r="A150" s="14">
        <v>1</v>
      </c>
      <c r="B150" s="14">
        <v>1</v>
      </c>
      <c r="C150" s="11" t="s">
        <v>405</v>
      </c>
      <c r="D150" s="29" t="str">
        <f t="shared" si="4"/>
        <v>2024/12</v>
      </c>
      <c r="E150" s="28" t="str">
        <f t="shared" si="5"/>
        <v>31A</v>
      </c>
      <c r="F150" s="28"/>
      <c r="G150" s="28"/>
      <c r="H150" s="28"/>
    </row>
    <row r="151" spans="1:8" x14ac:dyDescent="0.4">
      <c r="A151" s="14">
        <v>106</v>
      </c>
      <c r="B151" s="14">
        <v>1</v>
      </c>
      <c r="C151" s="11" t="s">
        <v>406</v>
      </c>
      <c r="D151" s="29" t="str">
        <f t="shared" si="4"/>
        <v>2024/12</v>
      </c>
      <c r="E151" s="28" t="str">
        <f t="shared" si="5"/>
        <v>AB</v>
      </c>
      <c r="F151" s="28"/>
      <c r="G151" s="28"/>
      <c r="H151" s="28"/>
    </row>
    <row r="152" spans="1:8" x14ac:dyDescent="0.4">
      <c r="A152" s="14">
        <v>107</v>
      </c>
      <c r="B152" s="14">
        <v>1</v>
      </c>
      <c r="C152" s="11" t="s">
        <v>406</v>
      </c>
      <c r="D152" s="29" t="str">
        <f t="shared" si="4"/>
        <v>2024/12</v>
      </c>
      <c r="E152" s="28" t="str">
        <f t="shared" si="5"/>
        <v>AB</v>
      </c>
      <c r="F152" s="28"/>
      <c r="G152" s="28"/>
      <c r="H152" s="28"/>
    </row>
    <row r="153" spans="1:8" x14ac:dyDescent="0.4">
      <c r="A153" s="14">
        <v>22</v>
      </c>
      <c r="B153" s="14">
        <v>1</v>
      </c>
      <c r="C153" s="11" t="s">
        <v>476</v>
      </c>
      <c r="D153" s="29" t="str">
        <f t="shared" si="4"/>
        <v>2025/01</v>
      </c>
      <c r="E153" s="28" t="str">
        <f t="shared" si="5"/>
        <v>31D</v>
      </c>
      <c r="F153" s="28"/>
      <c r="G153" s="28"/>
      <c r="H153" s="28"/>
    </row>
    <row r="154" spans="1:8" x14ac:dyDescent="0.4">
      <c r="A154" s="14">
        <v>23</v>
      </c>
      <c r="B154" s="14">
        <v>1</v>
      </c>
      <c r="C154" s="11" t="s">
        <v>476</v>
      </c>
      <c r="D154" s="29" t="str">
        <f t="shared" si="4"/>
        <v>2025/01</v>
      </c>
      <c r="E154" s="28" t="str">
        <f t="shared" si="5"/>
        <v>31D</v>
      </c>
      <c r="F154" s="28"/>
      <c r="G154" s="28"/>
      <c r="H154" s="28"/>
    </row>
    <row r="155" spans="1:8" x14ac:dyDescent="0.4">
      <c r="A155" s="14">
        <v>43</v>
      </c>
      <c r="B155" s="14">
        <v>0</v>
      </c>
      <c r="C155" s="11" t="s">
        <v>477</v>
      </c>
      <c r="D155" s="29" t="str">
        <f t="shared" si="4"/>
        <v>2025/02</v>
      </c>
      <c r="E155" s="28" t="str">
        <f t="shared" si="5"/>
        <v>30G</v>
      </c>
      <c r="F155" s="28"/>
      <c r="G155" s="28"/>
      <c r="H155" s="28"/>
    </row>
    <row r="156" spans="1:8" x14ac:dyDescent="0.4">
      <c r="A156" s="14">
        <v>19</v>
      </c>
      <c r="B156" s="14">
        <v>0</v>
      </c>
      <c r="C156" s="11" t="s">
        <v>477</v>
      </c>
      <c r="D156" s="29" t="str">
        <f t="shared" si="4"/>
        <v>2025/02</v>
      </c>
      <c r="E156" s="28" t="str">
        <f t="shared" si="5"/>
        <v>31D</v>
      </c>
      <c r="F156" s="28"/>
      <c r="G156" s="28"/>
      <c r="H156" s="28"/>
    </row>
    <row r="157" spans="1:8" x14ac:dyDescent="0.4">
      <c r="A157" s="14">
        <v>91</v>
      </c>
      <c r="B157" s="14">
        <v>0</v>
      </c>
      <c r="C157" s="11" t="s">
        <v>478</v>
      </c>
      <c r="D157" s="29" t="str">
        <f t="shared" si="4"/>
        <v>2025/02</v>
      </c>
      <c r="E157" s="28" t="str">
        <f t="shared" si="5"/>
        <v>SRP</v>
      </c>
      <c r="F157" s="28"/>
      <c r="G157" s="28"/>
      <c r="H157" s="28"/>
    </row>
    <row r="158" spans="1:8" x14ac:dyDescent="0.4">
      <c r="A158" s="14">
        <v>4</v>
      </c>
      <c r="B158" s="14">
        <v>1</v>
      </c>
      <c r="C158" s="11" t="s">
        <v>479</v>
      </c>
      <c r="D158" s="29" t="str">
        <f t="shared" si="4"/>
        <v>2025/02</v>
      </c>
      <c r="E158" s="28" t="str">
        <f t="shared" si="5"/>
        <v>31A</v>
      </c>
      <c r="F158" s="28"/>
      <c r="G158" s="28"/>
      <c r="H158" s="28"/>
    </row>
    <row r="159" spans="1:8" x14ac:dyDescent="0.4">
      <c r="A159" s="14">
        <v>13</v>
      </c>
      <c r="B159" s="14">
        <v>0</v>
      </c>
      <c r="C159" s="11" t="s">
        <v>479</v>
      </c>
      <c r="D159" s="29" t="str">
        <f t="shared" si="4"/>
        <v>2025/02</v>
      </c>
      <c r="E159" s="28" t="str">
        <f t="shared" si="5"/>
        <v>31C</v>
      </c>
      <c r="F159" s="28"/>
      <c r="G159" s="28"/>
      <c r="H159" s="28"/>
    </row>
    <row r="160" spans="1:8" x14ac:dyDescent="0.4">
      <c r="A160" s="14">
        <v>5</v>
      </c>
      <c r="B160" s="14">
        <v>1</v>
      </c>
      <c r="C160" s="11" t="s">
        <v>479</v>
      </c>
      <c r="D160" s="29" t="str">
        <f t="shared" si="4"/>
        <v>2025/02</v>
      </c>
      <c r="E160" s="28" t="str">
        <f t="shared" si="5"/>
        <v>31A</v>
      </c>
      <c r="F160" s="28"/>
      <c r="G160" s="28"/>
      <c r="H160" s="28"/>
    </row>
    <row r="161" spans="1:8" x14ac:dyDescent="0.4">
      <c r="A161" s="14">
        <v>44</v>
      </c>
      <c r="B161" s="14">
        <v>1</v>
      </c>
      <c r="C161" s="11" t="s">
        <v>480</v>
      </c>
      <c r="D161" s="29" t="str">
        <f t="shared" si="4"/>
        <v>2025/03</v>
      </c>
      <c r="E161" s="28" t="str">
        <f t="shared" si="5"/>
        <v>30G</v>
      </c>
      <c r="F161" s="28"/>
      <c r="G161" s="28"/>
      <c r="H161" s="28"/>
    </row>
    <row r="162" spans="1:8" x14ac:dyDescent="0.4">
      <c r="A162" s="14">
        <v>46</v>
      </c>
      <c r="B162" s="14">
        <v>1</v>
      </c>
      <c r="C162" s="11" t="s">
        <v>480</v>
      </c>
      <c r="D162" s="29" t="str">
        <f t="shared" si="4"/>
        <v>2025/03</v>
      </c>
      <c r="E162" s="28" t="str">
        <f t="shared" si="5"/>
        <v>30G</v>
      </c>
      <c r="F162" s="28"/>
      <c r="G162" s="28"/>
      <c r="H162" s="28"/>
    </row>
    <row r="163" spans="1:8" x14ac:dyDescent="0.4">
      <c r="A163" s="14">
        <v>25</v>
      </c>
      <c r="B163" s="14">
        <v>0</v>
      </c>
      <c r="C163" s="11" t="s">
        <v>481</v>
      </c>
      <c r="D163" s="29" t="str">
        <f t="shared" si="4"/>
        <v>2025/03</v>
      </c>
      <c r="E163" s="28" t="str">
        <f t="shared" si="5"/>
        <v>31E</v>
      </c>
      <c r="F163" s="28"/>
      <c r="G163" s="28"/>
      <c r="H163" s="28"/>
    </row>
    <row r="164" spans="1:8" x14ac:dyDescent="0.4">
      <c r="A164" s="14">
        <v>39</v>
      </c>
      <c r="B164" s="14">
        <v>1</v>
      </c>
      <c r="C164" s="11" t="s">
        <v>482</v>
      </c>
      <c r="D164" s="29" t="str">
        <f t="shared" si="4"/>
        <v>2025/04</v>
      </c>
      <c r="E164" s="28" t="str">
        <f t="shared" si="5"/>
        <v>31X</v>
      </c>
      <c r="F164" s="28"/>
      <c r="G164" s="28"/>
      <c r="H164" s="28"/>
    </row>
    <row r="165" spans="1:8" x14ac:dyDescent="0.4">
      <c r="A165" s="14">
        <v>41</v>
      </c>
      <c r="B165" s="14">
        <v>1</v>
      </c>
      <c r="C165" s="11" t="s">
        <v>482</v>
      </c>
      <c r="D165" s="29" t="str">
        <f t="shared" si="4"/>
        <v>2025/04</v>
      </c>
      <c r="E165" s="28" t="str">
        <f t="shared" si="5"/>
        <v>31X</v>
      </c>
      <c r="F165" s="28"/>
      <c r="G165" s="28"/>
      <c r="H165" s="28"/>
    </row>
    <row r="166" spans="1:8" x14ac:dyDescent="0.4">
      <c r="A166" s="14">
        <v>16</v>
      </c>
      <c r="B166" s="14">
        <v>0</v>
      </c>
      <c r="C166" s="11" t="s">
        <v>483</v>
      </c>
      <c r="D166" s="29" t="str">
        <f t="shared" si="4"/>
        <v>2025/04</v>
      </c>
      <c r="E166" s="28" t="str">
        <f t="shared" si="5"/>
        <v>31C</v>
      </c>
      <c r="F166" s="28"/>
      <c r="G166" s="28"/>
      <c r="H166" s="28"/>
    </row>
    <row r="167" spans="1:8" x14ac:dyDescent="0.4">
      <c r="A167" s="14">
        <v>14</v>
      </c>
      <c r="B167" s="14">
        <v>1</v>
      </c>
      <c r="C167" s="11" t="s">
        <v>484</v>
      </c>
      <c r="D167" s="29" t="str">
        <f t="shared" si="4"/>
        <v>2025/05</v>
      </c>
      <c r="E167" s="28" t="str">
        <f t="shared" si="5"/>
        <v>31C</v>
      </c>
      <c r="F167" s="28"/>
      <c r="G167" s="28"/>
      <c r="H167" s="28"/>
    </row>
    <row r="168" spans="1:8" x14ac:dyDescent="0.4">
      <c r="A168" s="14">
        <v>15</v>
      </c>
      <c r="B168" s="14">
        <v>1</v>
      </c>
      <c r="C168" s="11" t="s">
        <v>484</v>
      </c>
      <c r="D168" s="29" t="str">
        <f t="shared" si="4"/>
        <v>2025/05</v>
      </c>
      <c r="E168" s="28" t="str">
        <f t="shared" si="5"/>
        <v>31C</v>
      </c>
      <c r="F168" s="28"/>
      <c r="G168" s="28"/>
      <c r="H168" s="28"/>
    </row>
    <row r="169" spans="1:8" x14ac:dyDescent="0.4">
      <c r="A169" s="14">
        <v>28</v>
      </c>
      <c r="B169" s="14">
        <v>1</v>
      </c>
      <c r="C169" s="11" t="s">
        <v>485</v>
      </c>
      <c r="D169" s="29" t="str">
        <f t="shared" si="4"/>
        <v>2025/05</v>
      </c>
      <c r="E169" s="28" t="str">
        <f t="shared" si="5"/>
        <v>31E</v>
      </c>
      <c r="F169" s="28"/>
      <c r="G169" s="28"/>
      <c r="H169" s="28"/>
    </row>
    <row r="170" spans="1:8" x14ac:dyDescent="0.4">
      <c r="A170" s="14">
        <v>31</v>
      </c>
      <c r="B170" s="14">
        <v>0</v>
      </c>
      <c r="C170" s="11" t="s">
        <v>486</v>
      </c>
      <c r="D170" s="29" t="str">
        <f t="shared" si="4"/>
        <v>2025/05</v>
      </c>
      <c r="E170" s="28" t="str">
        <f t="shared" si="5"/>
        <v>31F</v>
      </c>
      <c r="F170" s="28"/>
      <c r="G170" s="28"/>
      <c r="H170" s="28"/>
    </row>
    <row r="171" spans="1:8" x14ac:dyDescent="0.4">
      <c r="A171" s="14">
        <v>34</v>
      </c>
      <c r="B171" s="14">
        <v>1</v>
      </c>
      <c r="C171" s="11" t="s">
        <v>486</v>
      </c>
      <c r="D171" s="29" t="str">
        <f t="shared" si="4"/>
        <v>2025/05</v>
      </c>
      <c r="E171" s="28" t="str">
        <f t="shared" si="5"/>
        <v>31F</v>
      </c>
      <c r="F171" s="28"/>
      <c r="G171" s="28"/>
      <c r="H171" s="28"/>
    </row>
    <row r="172" spans="1:8" x14ac:dyDescent="0.4">
      <c r="A172" s="14">
        <v>20</v>
      </c>
      <c r="B172" s="14">
        <v>1</v>
      </c>
      <c r="C172" s="11" t="s">
        <v>487</v>
      </c>
      <c r="D172" s="29" t="str">
        <f t="shared" si="4"/>
        <v>2025/06</v>
      </c>
      <c r="E172" s="28" t="str">
        <f t="shared" si="5"/>
        <v>31D</v>
      </c>
      <c r="F172" s="28"/>
      <c r="G172" s="28"/>
      <c r="H172" s="28"/>
    </row>
    <row r="173" spans="1:8" x14ac:dyDescent="0.4">
      <c r="A173" s="14">
        <v>38</v>
      </c>
      <c r="B173" s="14">
        <v>1</v>
      </c>
      <c r="C173" s="11" t="s">
        <v>487</v>
      </c>
      <c r="D173" s="29" t="str">
        <f t="shared" si="4"/>
        <v>2025/06</v>
      </c>
      <c r="E173" s="28" t="str">
        <f t="shared" si="5"/>
        <v>31X</v>
      </c>
      <c r="F173" s="28"/>
      <c r="G173" s="28"/>
      <c r="H173" s="28"/>
    </row>
    <row r="174" spans="1:8" x14ac:dyDescent="0.4">
      <c r="A174" s="14">
        <v>10</v>
      </c>
      <c r="B174" s="14">
        <v>1</v>
      </c>
      <c r="C174" s="11" t="s">
        <v>488</v>
      </c>
      <c r="D174" s="29" t="str">
        <f t="shared" si="4"/>
        <v>2025/06</v>
      </c>
      <c r="E174" s="28" t="str">
        <f t="shared" si="5"/>
        <v>31B</v>
      </c>
      <c r="F174" s="28"/>
      <c r="G174" s="28"/>
      <c r="H174" s="28"/>
    </row>
    <row r="175" spans="1:8" x14ac:dyDescent="0.4">
      <c r="A175" s="14">
        <v>11</v>
      </c>
      <c r="B175" s="14">
        <v>1</v>
      </c>
      <c r="C175" s="11" t="s">
        <v>488</v>
      </c>
      <c r="D175" s="29" t="str">
        <f t="shared" si="4"/>
        <v>2025/06</v>
      </c>
      <c r="E175" s="28" t="str">
        <f t="shared" si="5"/>
        <v>31B</v>
      </c>
      <c r="F175" s="28"/>
      <c r="G175" s="28"/>
      <c r="H175" s="28"/>
    </row>
    <row r="176" spans="1:8" x14ac:dyDescent="0.4">
      <c r="A176" s="14">
        <v>26</v>
      </c>
      <c r="B176" s="14">
        <v>1</v>
      </c>
      <c r="C176" s="11" t="s">
        <v>489</v>
      </c>
      <c r="D176" s="29" t="str">
        <f t="shared" si="4"/>
        <v>2025/07</v>
      </c>
      <c r="E176" s="28" t="str">
        <f t="shared" si="5"/>
        <v>31E</v>
      </c>
      <c r="F176" s="28"/>
      <c r="G176" s="28"/>
      <c r="H176" s="28"/>
    </row>
    <row r="177" spans="1:8" x14ac:dyDescent="0.4">
      <c r="A177" s="14">
        <v>30</v>
      </c>
      <c r="B177" s="14">
        <v>1</v>
      </c>
      <c r="C177" s="11" t="s">
        <v>489</v>
      </c>
      <c r="D177" s="29" t="str">
        <f t="shared" si="4"/>
        <v>2025/07</v>
      </c>
      <c r="E177" s="28" t="str">
        <f t="shared" si="5"/>
        <v>31E</v>
      </c>
      <c r="F177" s="28"/>
      <c r="G177" s="28"/>
      <c r="H177" s="28"/>
    </row>
    <row r="178" spans="1:8" x14ac:dyDescent="0.4">
      <c r="A178" s="14">
        <v>7</v>
      </c>
      <c r="B178" s="14">
        <v>0</v>
      </c>
      <c r="C178" s="11" t="s">
        <v>490</v>
      </c>
      <c r="D178" s="29" t="str">
        <f t="shared" si="4"/>
        <v>2025/07</v>
      </c>
      <c r="E178" s="28" t="str">
        <f t="shared" si="5"/>
        <v>31B</v>
      </c>
      <c r="F178" s="28"/>
      <c r="G178" s="28"/>
      <c r="H178" s="28"/>
    </row>
    <row r="179" spans="1:8" x14ac:dyDescent="0.4">
      <c r="A179" s="14">
        <v>45</v>
      </c>
      <c r="B179" s="14">
        <v>0</v>
      </c>
      <c r="C179" s="11" t="s">
        <v>491</v>
      </c>
      <c r="D179" s="29" t="str">
        <f t="shared" si="4"/>
        <v>2025/08</v>
      </c>
      <c r="E179" s="28" t="str">
        <f t="shared" si="5"/>
        <v>30G</v>
      </c>
      <c r="F179" s="28"/>
      <c r="G179" s="28"/>
      <c r="H179" s="28"/>
    </row>
    <row r="180" spans="1:8" x14ac:dyDescent="0.4">
      <c r="A180" s="14">
        <v>48</v>
      </c>
      <c r="B180" s="14">
        <v>0</v>
      </c>
      <c r="C180" s="11" t="s">
        <v>491</v>
      </c>
      <c r="D180" s="29" t="str">
        <f t="shared" si="4"/>
        <v>2025/08</v>
      </c>
      <c r="E180" s="28" t="str">
        <f t="shared" si="5"/>
        <v>30G</v>
      </c>
      <c r="F180" s="28"/>
      <c r="G180" s="28"/>
      <c r="H180" s="28"/>
    </row>
    <row r="181" spans="1:8" x14ac:dyDescent="0.4">
      <c r="A181" s="14">
        <v>5</v>
      </c>
      <c r="B181" s="14">
        <v>0</v>
      </c>
      <c r="C181" s="11" t="s">
        <v>492</v>
      </c>
      <c r="D181" s="29" t="str">
        <f t="shared" si="4"/>
        <v>2025/08</v>
      </c>
      <c r="E181" s="28" t="str">
        <f t="shared" si="5"/>
        <v>31A</v>
      </c>
      <c r="F181" s="28"/>
      <c r="G181" s="28"/>
      <c r="H181" s="28"/>
    </row>
    <row r="182" spans="1:8" x14ac:dyDescent="0.4">
      <c r="A182" s="14">
        <v>5</v>
      </c>
      <c r="B182" s="14">
        <v>9</v>
      </c>
      <c r="C182" s="11" t="s">
        <v>492</v>
      </c>
      <c r="D182" s="29" t="str">
        <f t="shared" si="4"/>
        <v>2025/08</v>
      </c>
      <c r="E182" s="28" t="str">
        <f t="shared" si="5"/>
        <v>31A</v>
      </c>
      <c r="F182" s="28"/>
      <c r="G182" s="28"/>
      <c r="H182" s="28"/>
    </row>
    <row r="183" spans="1:8" x14ac:dyDescent="0.4">
      <c r="A183" s="14">
        <v>18</v>
      </c>
      <c r="B183" s="14">
        <v>1</v>
      </c>
      <c r="C183" s="11" t="s">
        <v>493</v>
      </c>
      <c r="D183" s="29" t="str">
        <f t="shared" si="4"/>
        <v>2025/08</v>
      </c>
      <c r="E183" s="28" t="str">
        <f t="shared" si="5"/>
        <v>31C</v>
      </c>
      <c r="F183" s="28"/>
      <c r="G183" s="28"/>
      <c r="H183" s="28"/>
    </row>
    <row r="184" spans="1:8" x14ac:dyDescent="0.4">
      <c r="A184" s="14">
        <v>24</v>
      </c>
      <c r="B184" s="14">
        <v>0</v>
      </c>
      <c r="C184" s="11" t="s">
        <v>493</v>
      </c>
      <c r="D184" s="29" t="str">
        <f t="shared" si="4"/>
        <v>2025/08</v>
      </c>
      <c r="E184" s="28" t="str">
        <f t="shared" si="5"/>
        <v>31D</v>
      </c>
      <c r="F184" s="28"/>
      <c r="G184" s="28"/>
      <c r="H184" s="28"/>
    </row>
    <row r="185" spans="1:8" x14ac:dyDescent="0.4">
      <c r="A185" s="14">
        <v>37</v>
      </c>
      <c r="B185" s="14">
        <v>0</v>
      </c>
      <c r="C185" s="11" t="s">
        <v>494</v>
      </c>
      <c r="D185" s="29" t="str">
        <f t="shared" si="4"/>
        <v>2025/09</v>
      </c>
      <c r="E185" s="28" t="str">
        <f t="shared" si="5"/>
        <v>31X</v>
      </c>
      <c r="F185" s="28"/>
      <c r="G185" s="28"/>
      <c r="H185" s="28"/>
    </row>
    <row r="186" spans="1:8" x14ac:dyDescent="0.4">
      <c r="A186" s="14">
        <v>40</v>
      </c>
      <c r="B186" s="14">
        <v>1</v>
      </c>
      <c r="C186" s="11" t="s">
        <v>494</v>
      </c>
      <c r="D186" s="29" t="str">
        <f t="shared" si="4"/>
        <v>2025/09</v>
      </c>
      <c r="E186" s="28" t="str">
        <f t="shared" si="5"/>
        <v>31X</v>
      </c>
      <c r="F186" s="28"/>
      <c r="G186" s="28"/>
      <c r="H186" s="28"/>
    </row>
    <row r="187" spans="1:8" x14ac:dyDescent="0.4">
      <c r="A187" s="14">
        <v>42</v>
      </c>
      <c r="B187" s="14">
        <v>1</v>
      </c>
      <c r="C187" s="11" t="s">
        <v>495</v>
      </c>
      <c r="D187" s="29" t="str">
        <f t="shared" si="4"/>
        <v>2025/09</v>
      </c>
      <c r="E187" s="28" t="str">
        <f t="shared" si="5"/>
        <v>31X</v>
      </c>
      <c r="F187" s="28"/>
      <c r="G187" s="28"/>
      <c r="H187" s="28"/>
    </row>
    <row r="188" spans="1:8" x14ac:dyDescent="0.4">
      <c r="A188" s="14">
        <v>1</v>
      </c>
      <c r="B188" s="14">
        <v>0</v>
      </c>
      <c r="C188" s="11" t="s">
        <v>496</v>
      </c>
      <c r="D188" s="29" t="str">
        <f t="shared" si="4"/>
        <v>2025/10</v>
      </c>
      <c r="E188" s="28" t="str">
        <f t="shared" si="5"/>
        <v>31A</v>
      </c>
      <c r="F188" s="28"/>
      <c r="G188" s="28"/>
      <c r="H188" s="28"/>
    </row>
    <row r="189" spans="1:8" x14ac:dyDescent="0.4">
      <c r="A189" s="14">
        <v>8</v>
      </c>
      <c r="B189" s="14">
        <v>0</v>
      </c>
      <c r="C189" s="11" t="s">
        <v>407</v>
      </c>
      <c r="D189" s="29" t="str">
        <f t="shared" si="4"/>
        <v>2025/10</v>
      </c>
      <c r="E189" s="28" t="str">
        <f t="shared" si="5"/>
        <v>31B</v>
      </c>
      <c r="F189" s="28"/>
      <c r="G189" s="28"/>
      <c r="H189" s="28"/>
    </row>
    <row r="190" spans="1:8" x14ac:dyDescent="0.4">
      <c r="A190" s="14">
        <v>6</v>
      </c>
      <c r="B190" s="14">
        <v>0</v>
      </c>
      <c r="C190" s="11" t="s">
        <v>408</v>
      </c>
      <c r="D190" s="29" t="str">
        <f t="shared" si="4"/>
        <v>2025/10</v>
      </c>
      <c r="E190" s="28" t="str">
        <f t="shared" si="5"/>
        <v>31A</v>
      </c>
      <c r="F190" s="28"/>
      <c r="G190" s="28"/>
      <c r="H190" s="28"/>
    </row>
    <row r="191" spans="1:8" x14ac:dyDescent="0.4">
      <c r="A191" s="14">
        <v>9</v>
      </c>
      <c r="B191" s="14">
        <v>1</v>
      </c>
      <c r="C191" s="11" t="s">
        <v>408</v>
      </c>
      <c r="D191" s="29" t="str">
        <f t="shared" si="4"/>
        <v>2025/10</v>
      </c>
      <c r="E191" s="28" t="str">
        <f t="shared" si="5"/>
        <v>31B</v>
      </c>
      <c r="F191" s="28"/>
      <c r="G191" s="28"/>
      <c r="H191" s="28"/>
    </row>
    <row r="192" spans="1:8" x14ac:dyDescent="0.4">
      <c r="A192" s="14">
        <v>27</v>
      </c>
      <c r="B192" s="14">
        <v>0</v>
      </c>
      <c r="C192" s="11" t="s">
        <v>409</v>
      </c>
      <c r="D192" s="29" t="str">
        <f t="shared" si="4"/>
        <v>2025/10</v>
      </c>
      <c r="E192" s="28" t="str">
        <f t="shared" si="5"/>
        <v>31E</v>
      </c>
      <c r="F192" s="28"/>
      <c r="G192" s="28"/>
      <c r="H192" s="28"/>
    </row>
    <row r="193" spans="1:8" x14ac:dyDescent="0.4">
      <c r="A193" s="14">
        <v>29</v>
      </c>
      <c r="B193" s="14">
        <v>1</v>
      </c>
      <c r="C193" s="11" t="s">
        <v>409</v>
      </c>
      <c r="D193" s="29" t="str">
        <f t="shared" si="4"/>
        <v>2025/10</v>
      </c>
      <c r="E193" s="28" t="str">
        <f t="shared" si="5"/>
        <v>31E</v>
      </c>
      <c r="F193" s="28"/>
      <c r="G193" s="28"/>
      <c r="H193" s="28"/>
    </row>
    <row r="194" spans="1:8" x14ac:dyDescent="0.4">
      <c r="A194" s="14">
        <v>13</v>
      </c>
      <c r="B194" s="14">
        <v>0</v>
      </c>
      <c r="C194" s="11" t="s">
        <v>410</v>
      </c>
      <c r="D194" s="29" t="str">
        <f t="shared" si="4"/>
        <v>2025/11</v>
      </c>
      <c r="E194" s="28" t="str">
        <f t="shared" si="5"/>
        <v>31C</v>
      </c>
      <c r="F194" s="28"/>
      <c r="G194" s="28"/>
      <c r="H194" s="28"/>
    </row>
    <row r="195" spans="1:8" x14ac:dyDescent="0.4">
      <c r="A195" s="14">
        <v>32</v>
      </c>
      <c r="B195" s="14">
        <v>0</v>
      </c>
      <c r="C195" s="11" t="s">
        <v>411</v>
      </c>
      <c r="D195" s="29" t="str">
        <f t="shared" si="4"/>
        <v>2025/11</v>
      </c>
      <c r="E195" s="28" t="str">
        <f t="shared" si="5"/>
        <v>31F</v>
      </c>
      <c r="F195" s="28"/>
      <c r="G195" s="28"/>
      <c r="H195" s="28"/>
    </row>
    <row r="196" spans="1:8" x14ac:dyDescent="0.4">
      <c r="A196" s="14">
        <v>39</v>
      </c>
      <c r="B196" s="14">
        <v>1</v>
      </c>
      <c r="C196" s="11" t="s">
        <v>411</v>
      </c>
      <c r="D196" s="29" t="str">
        <f t="shared" si="4"/>
        <v>2025/11</v>
      </c>
      <c r="E196" s="28" t="str">
        <f t="shared" si="5"/>
        <v>31X</v>
      </c>
      <c r="F196" s="28"/>
      <c r="G196" s="28"/>
      <c r="H196" s="28"/>
    </row>
    <row r="197" spans="1:8" x14ac:dyDescent="0.4">
      <c r="A197" s="14">
        <v>17</v>
      </c>
      <c r="B197" s="14">
        <v>0</v>
      </c>
      <c r="C197" s="11" t="s">
        <v>412</v>
      </c>
      <c r="D197" s="29" t="str">
        <f t="shared" si="4"/>
        <v>2025/12</v>
      </c>
      <c r="E197" s="28" t="str">
        <f t="shared" si="5"/>
        <v>31C</v>
      </c>
      <c r="F197" s="28"/>
      <c r="G197" s="28"/>
      <c r="H197" s="28"/>
    </row>
    <row r="198" spans="1:8" x14ac:dyDescent="0.4">
      <c r="A198" s="14">
        <v>1</v>
      </c>
      <c r="B198" s="14">
        <v>0</v>
      </c>
      <c r="C198" s="11" t="s">
        <v>413</v>
      </c>
      <c r="D198" s="29" t="str">
        <f t="shared" si="4"/>
        <v>2025/12</v>
      </c>
      <c r="E198" s="28" t="str">
        <f t="shared" si="5"/>
        <v>31A</v>
      </c>
      <c r="F198" s="28"/>
      <c r="G198" s="28"/>
      <c r="H198" s="28"/>
    </row>
    <row r="199" spans="1:8" x14ac:dyDescent="0.4">
      <c r="A199" s="14">
        <v>43</v>
      </c>
      <c r="B199" s="14">
        <v>0</v>
      </c>
      <c r="C199" s="11" t="s">
        <v>413</v>
      </c>
      <c r="D199" s="29" t="str">
        <f t="shared" si="4"/>
        <v>2025/12</v>
      </c>
      <c r="E199" s="28" t="str">
        <f t="shared" si="5"/>
        <v>30G</v>
      </c>
      <c r="F199" s="28"/>
      <c r="G199" s="28"/>
      <c r="H199" s="28"/>
    </row>
    <row r="200" spans="1:8" x14ac:dyDescent="0.4">
      <c r="A200" s="14">
        <v>7</v>
      </c>
      <c r="B200" s="14">
        <v>0</v>
      </c>
      <c r="C200" s="11" t="s">
        <v>497</v>
      </c>
      <c r="D200" s="29" t="str">
        <f t="shared" ref="D200:D224" si="6">LEFT(C200,7)</f>
        <v>2026/01</v>
      </c>
      <c r="E200" s="28" t="str">
        <f t="shared" ref="E200:E224" si="7">VLOOKUP(A200,F:G,2)</f>
        <v>31B</v>
      </c>
      <c r="F200" s="28"/>
      <c r="G200" s="28"/>
      <c r="H200" s="28"/>
    </row>
    <row r="201" spans="1:8" x14ac:dyDescent="0.4">
      <c r="A201" s="14">
        <v>91</v>
      </c>
      <c r="B201" s="14">
        <v>0</v>
      </c>
      <c r="C201" s="11" t="s">
        <v>498</v>
      </c>
      <c r="D201" s="29" t="str">
        <f t="shared" si="6"/>
        <v>2026/02</v>
      </c>
      <c r="E201" s="28" t="str">
        <f t="shared" si="7"/>
        <v>SRP</v>
      </c>
      <c r="F201" s="28"/>
      <c r="G201" s="28"/>
      <c r="H201" s="28"/>
    </row>
    <row r="202" spans="1:8" x14ac:dyDescent="0.4">
      <c r="A202" s="14">
        <v>92</v>
      </c>
      <c r="B202" s="14">
        <v>0</v>
      </c>
      <c r="C202" s="11" t="s">
        <v>499</v>
      </c>
      <c r="D202" s="29" t="str">
        <f t="shared" si="6"/>
        <v>2026/02</v>
      </c>
      <c r="E202" s="28" t="str">
        <f t="shared" si="7"/>
        <v>SRP</v>
      </c>
      <c r="F202" s="28"/>
      <c r="G202" s="28"/>
      <c r="H202" s="28"/>
    </row>
    <row r="203" spans="1:8" x14ac:dyDescent="0.4">
      <c r="A203" s="14">
        <v>3</v>
      </c>
      <c r="B203" s="14">
        <v>0</v>
      </c>
      <c r="C203" s="11" t="s">
        <v>500</v>
      </c>
      <c r="D203" s="29" t="str">
        <f t="shared" si="6"/>
        <v>2026/02</v>
      </c>
      <c r="E203" s="28" t="str">
        <f t="shared" si="7"/>
        <v>31A</v>
      </c>
      <c r="F203" s="28"/>
      <c r="G203" s="28"/>
      <c r="H203" s="28"/>
    </row>
    <row r="204" spans="1:8" x14ac:dyDescent="0.4">
      <c r="A204" s="14">
        <v>13</v>
      </c>
      <c r="B204" s="14">
        <v>1</v>
      </c>
      <c r="C204" s="11" t="s">
        <v>500</v>
      </c>
      <c r="D204" s="29" t="str">
        <f t="shared" si="6"/>
        <v>2026/02</v>
      </c>
      <c r="E204" s="28" t="str">
        <f t="shared" si="7"/>
        <v>31C</v>
      </c>
      <c r="F204" s="28"/>
      <c r="G204" s="28"/>
      <c r="H204" s="28"/>
    </row>
    <row r="205" spans="1:8" x14ac:dyDescent="0.4">
      <c r="A205" s="14">
        <v>37</v>
      </c>
      <c r="B205" s="14">
        <v>1</v>
      </c>
      <c r="C205" s="11" t="s">
        <v>501</v>
      </c>
      <c r="D205" s="29" t="str">
        <f t="shared" si="6"/>
        <v>2026/03</v>
      </c>
      <c r="E205" s="28" t="str">
        <f t="shared" si="7"/>
        <v>31X</v>
      </c>
      <c r="F205" s="28"/>
      <c r="G205" s="28"/>
      <c r="H205" s="28"/>
    </row>
    <row r="206" spans="1:8" x14ac:dyDescent="0.4">
      <c r="A206" s="14">
        <v>41</v>
      </c>
      <c r="B206" s="14">
        <v>1</v>
      </c>
      <c r="C206" s="11" t="s">
        <v>501</v>
      </c>
      <c r="D206" s="29" t="str">
        <f t="shared" si="6"/>
        <v>2026/03</v>
      </c>
      <c r="E206" s="28" t="str">
        <f t="shared" si="7"/>
        <v>31X</v>
      </c>
      <c r="F206" s="28"/>
      <c r="G206" s="28"/>
      <c r="H206" s="28"/>
    </row>
    <row r="207" spans="1:8" x14ac:dyDescent="0.4">
      <c r="A207" s="14">
        <v>47</v>
      </c>
      <c r="B207" s="14">
        <v>0</v>
      </c>
      <c r="C207" s="11" t="s">
        <v>502</v>
      </c>
      <c r="D207" s="29" t="str">
        <f t="shared" si="6"/>
        <v>2026/03</v>
      </c>
      <c r="E207" s="28" t="str">
        <f t="shared" si="7"/>
        <v>30G</v>
      </c>
      <c r="F207" s="28"/>
      <c r="G207" s="28"/>
      <c r="H207" s="28"/>
    </row>
    <row r="208" spans="1:8" x14ac:dyDescent="0.4">
      <c r="A208" s="14">
        <v>19</v>
      </c>
      <c r="B208" s="14">
        <v>0</v>
      </c>
      <c r="C208" s="11" t="s">
        <v>503</v>
      </c>
      <c r="D208" s="29" t="str">
        <f t="shared" si="6"/>
        <v>2026/04</v>
      </c>
      <c r="E208" s="28" t="str">
        <f t="shared" si="7"/>
        <v>31D</v>
      </c>
      <c r="F208" s="28"/>
      <c r="G208" s="28"/>
      <c r="H208" s="28"/>
    </row>
    <row r="209" spans="1:8" x14ac:dyDescent="0.4">
      <c r="A209" s="14">
        <v>23</v>
      </c>
      <c r="B209" s="14">
        <v>0</v>
      </c>
      <c r="C209" s="11" t="s">
        <v>503</v>
      </c>
      <c r="D209" s="29" t="str">
        <f t="shared" si="6"/>
        <v>2026/04</v>
      </c>
      <c r="E209" s="28" t="str">
        <f t="shared" si="7"/>
        <v>31D</v>
      </c>
      <c r="F209" s="28"/>
      <c r="G209" s="28"/>
      <c r="H209" s="28"/>
    </row>
    <row r="210" spans="1:8" x14ac:dyDescent="0.4">
      <c r="A210" s="14">
        <v>35</v>
      </c>
      <c r="B210" s="14">
        <v>0</v>
      </c>
      <c r="C210" s="11" t="s">
        <v>504</v>
      </c>
      <c r="D210" s="29" t="str">
        <f t="shared" si="6"/>
        <v>2026/04</v>
      </c>
      <c r="E210" s="28" t="str">
        <f t="shared" si="7"/>
        <v>31F</v>
      </c>
      <c r="F210" s="28"/>
      <c r="G210" s="28"/>
      <c r="H210" s="28"/>
    </row>
    <row r="211" spans="1:8" x14ac:dyDescent="0.4">
      <c r="A211" s="14">
        <v>36</v>
      </c>
      <c r="B211" s="14">
        <v>0</v>
      </c>
      <c r="C211" s="11" t="s">
        <v>504</v>
      </c>
      <c r="D211" s="29" t="str">
        <f t="shared" si="6"/>
        <v>2026/04</v>
      </c>
      <c r="E211" s="28" t="str">
        <f t="shared" si="7"/>
        <v>31F</v>
      </c>
      <c r="F211" s="28"/>
      <c r="G211" s="28"/>
      <c r="H211" s="28"/>
    </row>
    <row r="212" spans="1:8" x14ac:dyDescent="0.4">
      <c r="A212" s="14">
        <v>12</v>
      </c>
      <c r="B212" s="14">
        <v>0</v>
      </c>
      <c r="C212" s="11" t="s">
        <v>505</v>
      </c>
      <c r="D212" s="29" t="str">
        <f t="shared" si="6"/>
        <v>2026/05</v>
      </c>
      <c r="E212" s="28" t="str">
        <f t="shared" si="7"/>
        <v>31B</v>
      </c>
      <c r="F212" s="28"/>
      <c r="G212" s="28"/>
      <c r="H212" s="28"/>
    </row>
    <row r="213" spans="1:8" x14ac:dyDescent="0.4">
      <c r="A213" s="14">
        <v>4</v>
      </c>
      <c r="B213" s="14">
        <v>0</v>
      </c>
      <c r="C213" s="11" t="s">
        <v>506</v>
      </c>
      <c r="D213" s="29" t="str">
        <f t="shared" si="6"/>
        <v>2026/05</v>
      </c>
      <c r="E213" s="28" t="str">
        <f t="shared" si="7"/>
        <v>31A</v>
      </c>
      <c r="F213" s="28"/>
      <c r="G213" s="28"/>
      <c r="H213" s="28"/>
    </row>
    <row r="214" spans="1:8" x14ac:dyDescent="0.4">
      <c r="A214" s="14">
        <v>111</v>
      </c>
      <c r="B214" s="14">
        <v>1</v>
      </c>
      <c r="C214" s="11" t="s">
        <v>506</v>
      </c>
      <c r="D214" s="29" t="str">
        <f t="shared" si="6"/>
        <v>2026/05</v>
      </c>
      <c r="E214" s="28" t="str">
        <f t="shared" si="7"/>
        <v>P5R</v>
      </c>
      <c r="F214" s="28"/>
      <c r="G214" s="28"/>
      <c r="H214" s="28"/>
    </row>
    <row r="215" spans="1:8" x14ac:dyDescent="0.4">
      <c r="A215" s="14">
        <v>112</v>
      </c>
      <c r="B215" s="14">
        <v>0</v>
      </c>
      <c r="C215" s="11" t="s">
        <v>506</v>
      </c>
      <c r="D215" s="29" t="str">
        <f t="shared" si="6"/>
        <v>2026/05</v>
      </c>
      <c r="E215" s="28" t="str">
        <f t="shared" si="7"/>
        <v>P5R</v>
      </c>
      <c r="F215" s="28"/>
      <c r="G215" s="28"/>
      <c r="H215" s="28"/>
    </row>
    <row r="216" spans="1:8" x14ac:dyDescent="0.4">
      <c r="A216" s="14">
        <v>1</v>
      </c>
      <c r="B216" s="14">
        <v>0</v>
      </c>
      <c r="C216" s="11" t="s">
        <v>507</v>
      </c>
      <c r="D216" s="29" t="str">
        <f t="shared" si="6"/>
        <v>2026/06</v>
      </c>
      <c r="E216" s="28" t="str">
        <f t="shared" si="7"/>
        <v>31A</v>
      </c>
      <c r="F216" s="28"/>
      <c r="G216" s="28"/>
      <c r="H216" s="28"/>
    </row>
    <row r="217" spans="1:8" x14ac:dyDescent="0.4">
      <c r="A217" s="14">
        <v>113</v>
      </c>
      <c r="B217" s="14">
        <v>0</v>
      </c>
      <c r="C217" s="11" t="s">
        <v>507</v>
      </c>
      <c r="D217" s="29" t="str">
        <f t="shared" si="6"/>
        <v>2026/06</v>
      </c>
      <c r="E217" s="28" t="str">
        <f t="shared" si="7"/>
        <v>P5R</v>
      </c>
      <c r="F217" s="28"/>
      <c r="G217" s="28"/>
      <c r="H217" s="28"/>
    </row>
    <row r="218" spans="1:8" x14ac:dyDescent="0.4">
      <c r="A218" s="14">
        <v>38</v>
      </c>
      <c r="B218" s="14">
        <v>1</v>
      </c>
      <c r="C218" s="11" t="s">
        <v>508</v>
      </c>
      <c r="D218" s="29" t="str">
        <f t="shared" si="6"/>
        <v>2026/06</v>
      </c>
      <c r="E218" s="28" t="str">
        <f t="shared" si="7"/>
        <v>31X</v>
      </c>
      <c r="F218" s="28"/>
      <c r="G218" s="28"/>
      <c r="H218" s="28"/>
    </row>
    <row r="219" spans="1:8" x14ac:dyDescent="0.4">
      <c r="A219" s="14">
        <v>42</v>
      </c>
      <c r="B219" s="14">
        <v>0</v>
      </c>
      <c r="C219" s="11" t="s">
        <v>508</v>
      </c>
      <c r="D219" s="29" t="str">
        <f t="shared" si="6"/>
        <v>2026/06</v>
      </c>
      <c r="E219" s="28" t="str">
        <f t="shared" si="7"/>
        <v>31X</v>
      </c>
      <c r="F219" s="28"/>
      <c r="G219" s="28"/>
      <c r="H219" s="28"/>
    </row>
    <row r="220" spans="1:8" x14ac:dyDescent="0.4">
      <c r="A220" s="14">
        <v>33</v>
      </c>
      <c r="B220" s="14">
        <v>0</v>
      </c>
      <c r="C220" s="11" t="s">
        <v>509</v>
      </c>
      <c r="D220" s="29" t="str">
        <f t="shared" si="6"/>
        <v>2026/07</v>
      </c>
      <c r="E220" s="28" t="str">
        <f t="shared" si="7"/>
        <v>31F</v>
      </c>
      <c r="F220" s="28"/>
      <c r="G220" s="28"/>
      <c r="H220" s="28"/>
    </row>
    <row r="221" spans="1:8" x14ac:dyDescent="0.4">
      <c r="A221" s="14">
        <v>25</v>
      </c>
      <c r="B221" s="14">
        <v>0</v>
      </c>
      <c r="C221" s="11" t="s">
        <v>510</v>
      </c>
      <c r="D221" s="29" t="str">
        <f t="shared" si="6"/>
        <v>2026/07</v>
      </c>
      <c r="E221" s="28" t="str">
        <f t="shared" si="7"/>
        <v>31E</v>
      </c>
      <c r="F221" s="28"/>
      <c r="G221" s="28"/>
      <c r="H221" s="28"/>
    </row>
    <row r="222" spans="1:8" x14ac:dyDescent="0.4">
      <c r="A222" s="14">
        <v>28</v>
      </c>
      <c r="B222" s="14">
        <v>0</v>
      </c>
      <c r="C222" s="11" t="s">
        <v>510</v>
      </c>
      <c r="D222" s="29" t="str">
        <f t="shared" si="6"/>
        <v>2026/07</v>
      </c>
      <c r="E222" s="28" t="str">
        <f t="shared" si="7"/>
        <v>31E</v>
      </c>
      <c r="F222" s="28"/>
      <c r="G222" s="28"/>
      <c r="H222" s="28"/>
    </row>
    <row r="223" spans="1:8" x14ac:dyDescent="0.4">
      <c r="A223" s="14">
        <v>50</v>
      </c>
      <c r="B223" s="14">
        <v>0</v>
      </c>
      <c r="C223" s="11" t="s">
        <v>511</v>
      </c>
      <c r="D223" s="29" t="str">
        <f t="shared" si="6"/>
        <v>2026/08</v>
      </c>
      <c r="E223" s="28" t="str">
        <f t="shared" si="7"/>
        <v>19A</v>
      </c>
      <c r="F223" s="28"/>
      <c r="G223" s="28"/>
      <c r="H223" s="28"/>
    </row>
    <row r="224" spans="1:8" x14ac:dyDescent="0.4">
      <c r="A224" s="14">
        <v>8</v>
      </c>
      <c r="B224" s="14">
        <v>0</v>
      </c>
      <c r="C224" s="11" t="s">
        <v>512</v>
      </c>
      <c r="D224" s="29" t="str">
        <f t="shared" si="6"/>
        <v>2026/08</v>
      </c>
      <c r="E224" s="28" t="str">
        <f t="shared" si="7"/>
        <v>31B</v>
      </c>
      <c r="F224" s="28"/>
      <c r="G224" s="28"/>
      <c r="H224" s="28"/>
    </row>
    <row r="225" spans="1:8" x14ac:dyDescent="0.4">
      <c r="A225" s="14"/>
      <c r="B225" s="14"/>
      <c r="C225" s="11"/>
      <c r="D225" s="27"/>
      <c r="E225" s="28"/>
      <c r="F225" s="28"/>
      <c r="G225" s="28"/>
      <c r="H225" s="28"/>
    </row>
    <row r="226" spans="1:8" x14ac:dyDescent="0.4">
      <c r="A226" s="14"/>
      <c r="B226" s="14"/>
      <c r="C226" s="11"/>
      <c r="D226" s="27"/>
      <c r="E226" s="28"/>
      <c r="F226" s="28"/>
      <c r="G226" s="28"/>
      <c r="H226" s="28"/>
    </row>
    <row r="227" spans="1:8" x14ac:dyDescent="0.4">
      <c r="A227" s="14"/>
      <c r="B227" s="14"/>
      <c r="C227" s="11"/>
      <c r="D227" s="27"/>
      <c r="E227" s="28"/>
      <c r="F227" s="28"/>
      <c r="G227" s="28"/>
      <c r="H227" s="28"/>
    </row>
    <row r="228" spans="1:8" x14ac:dyDescent="0.4">
      <c r="A228" s="14"/>
      <c r="B228" s="14"/>
      <c r="C228" s="11"/>
      <c r="D228" s="27"/>
      <c r="E228" s="28"/>
      <c r="F228" s="28"/>
      <c r="G228" s="28"/>
      <c r="H228" s="28"/>
    </row>
    <row r="229" spans="1:8" x14ac:dyDescent="0.4">
      <c r="A229" s="14"/>
      <c r="B229" s="14"/>
      <c r="C229" s="11"/>
      <c r="D229" s="27"/>
      <c r="E229" s="28"/>
      <c r="F229" s="28"/>
      <c r="G229" s="28"/>
      <c r="H229" s="28"/>
    </row>
    <row r="230" spans="1:8" x14ac:dyDescent="0.4">
      <c r="A230" s="14"/>
      <c r="B230" s="14"/>
      <c r="C230" s="11"/>
      <c r="D230" s="27"/>
      <c r="E230" s="28"/>
      <c r="F230" s="28"/>
      <c r="G230" s="28"/>
      <c r="H230" s="28"/>
    </row>
    <row r="231" spans="1:8" x14ac:dyDescent="0.4">
      <c r="A231" s="14"/>
      <c r="B231" s="14"/>
      <c r="C231" s="11"/>
      <c r="D231" s="27"/>
      <c r="E231" s="28"/>
      <c r="F231" s="28"/>
      <c r="G231" s="28"/>
      <c r="H231" s="28"/>
    </row>
    <row r="232" spans="1:8" x14ac:dyDescent="0.4">
      <c r="A232" s="14"/>
      <c r="B232" s="14"/>
      <c r="C232" s="11"/>
      <c r="D232" s="27"/>
      <c r="E232" s="28"/>
      <c r="F232" s="28"/>
      <c r="G232" s="28"/>
      <c r="H232" s="28"/>
    </row>
    <row r="233" spans="1:8" x14ac:dyDescent="0.4">
      <c r="A233" s="14"/>
      <c r="B233" s="14"/>
      <c r="C233" s="11"/>
      <c r="D233" s="27"/>
      <c r="E233" s="28"/>
      <c r="F233" s="28"/>
      <c r="G233" s="28"/>
      <c r="H233" s="28"/>
    </row>
    <row r="234" spans="1:8" x14ac:dyDescent="0.4">
      <c r="A234" s="14"/>
      <c r="B234" s="14"/>
      <c r="C234" s="11"/>
      <c r="D234" s="27"/>
      <c r="E234" s="28"/>
      <c r="F234" s="28"/>
      <c r="G234" s="28"/>
      <c r="H234" s="28"/>
    </row>
    <row r="235" spans="1:8" x14ac:dyDescent="0.4">
      <c r="A235" s="14"/>
      <c r="B235" s="14"/>
      <c r="C235" s="11"/>
      <c r="D235" s="27"/>
      <c r="E235" s="28"/>
      <c r="F235" s="28"/>
      <c r="G235" s="28"/>
      <c r="H235" s="28"/>
    </row>
    <row r="236" spans="1:8" x14ac:dyDescent="0.4">
      <c r="A236" s="14"/>
      <c r="B236" s="14"/>
      <c r="C236" s="11"/>
      <c r="D236" s="27"/>
      <c r="E236" s="28"/>
      <c r="F236" s="28"/>
      <c r="G236" s="28"/>
      <c r="H236" s="28"/>
    </row>
    <row r="237" spans="1:8" x14ac:dyDescent="0.4">
      <c r="A237" s="14"/>
      <c r="B237" s="14"/>
      <c r="C237" s="11"/>
      <c r="D237" s="27"/>
      <c r="E237" s="28"/>
      <c r="F237" s="28"/>
      <c r="G237" s="28"/>
      <c r="H237" s="28"/>
    </row>
    <row r="238" spans="1:8" x14ac:dyDescent="0.4">
      <c r="A238" s="14"/>
      <c r="B238" s="14"/>
      <c r="C238" s="11"/>
      <c r="D238" s="27"/>
      <c r="E238" s="28"/>
      <c r="F238" s="28"/>
      <c r="G238" s="28"/>
      <c r="H238" s="28"/>
    </row>
    <row r="239" spans="1:8" x14ac:dyDescent="0.4">
      <c r="A239" s="14"/>
      <c r="B239" s="14"/>
      <c r="C239" s="11"/>
      <c r="D239" s="27"/>
      <c r="E239" s="28"/>
      <c r="F239" s="28"/>
      <c r="G239" s="28"/>
      <c r="H239" s="28"/>
    </row>
    <row r="240" spans="1:8" x14ac:dyDescent="0.4">
      <c r="A240" s="14"/>
      <c r="B240" s="14"/>
      <c r="C240" s="11"/>
      <c r="D240" s="27"/>
      <c r="E240" s="28"/>
      <c r="F240" s="28"/>
      <c r="G240" s="28"/>
      <c r="H240" s="28"/>
    </row>
    <row r="241" spans="1:8" x14ac:dyDescent="0.4">
      <c r="A241" s="14"/>
      <c r="B241" s="14"/>
      <c r="C241" s="11"/>
      <c r="D241" s="27"/>
      <c r="E241" s="28"/>
      <c r="F241" s="28"/>
      <c r="G241" s="28"/>
      <c r="H241" s="28"/>
    </row>
    <row r="242" spans="1:8" x14ac:dyDescent="0.4">
      <c r="A242" s="14"/>
      <c r="B242" s="14"/>
      <c r="C242" s="11"/>
      <c r="D242" s="27"/>
      <c r="E242" s="28"/>
      <c r="F242" s="28"/>
      <c r="G242" s="28"/>
      <c r="H242" s="28"/>
    </row>
    <row r="243" spans="1:8" x14ac:dyDescent="0.4">
      <c r="A243" s="14"/>
      <c r="B243" s="14"/>
      <c r="C243" s="11"/>
      <c r="D243" s="27"/>
      <c r="E243" s="28"/>
      <c r="F243" s="28"/>
      <c r="G243" s="28"/>
      <c r="H243" s="28"/>
    </row>
    <row r="244" spans="1:8" x14ac:dyDescent="0.4">
      <c r="A244" s="14"/>
      <c r="B244" s="14"/>
      <c r="C244" s="11"/>
      <c r="D244" s="27"/>
      <c r="E244" s="28"/>
      <c r="F244" s="28"/>
      <c r="G244" s="28"/>
      <c r="H244" s="28"/>
    </row>
    <row r="245" spans="1:8" x14ac:dyDescent="0.4">
      <c r="A245" s="14"/>
      <c r="B245" s="14"/>
      <c r="C245" s="11"/>
      <c r="D245" s="27"/>
      <c r="E245" s="28"/>
      <c r="F245" s="28"/>
      <c r="G245" s="28"/>
      <c r="H245" s="28"/>
    </row>
    <row r="246" spans="1:8" x14ac:dyDescent="0.4">
      <c r="A246" s="14"/>
      <c r="B246" s="14"/>
      <c r="C246" s="11"/>
      <c r="D246" s="27"/>
      <c r="E246" s="28"/>
      <c r="F246" s="28"/>
      <c r="G246" s="28"/>
      <c r="H246" s="28"/>
    </row>
    <row r="247" spans="1:8" x14ac:dyDescent="0.4">
      <c r="A247" s="14"/>
      <c r="B247" s="14"/>
      <c r="C247" s="11"/>
      <c r="D247" s="27"/>
      <c r="E247" s="28"/>
      <c r="F247" s="28"/>
      <c r="G247" s="28"/>
      <c r="H247" s="28"/>
    </row>
    <row r="248" spans="1:8" x14ac:dyDescent="0.4">
      <c r="A248" s="14"/>
      <c r="B248" s="14"/>
      <c r="C248" s="11"/>
      <c r="D248" s="27"/>
      <c r="E248" s="28"/>
      <c r="F248" s="28"/>
      <c r="G248" s="28"/>
      <c r="H248" s="28"/>
    </row>
    <row r="249" spans="1:8" x14ac:dyDescent="0.4">
      <c r="A249" s="14"/>
      <c r="B249" s="14"/>
      <c r="C249" s="11"/>
      <c r="D249" s="27"/>
      <c r="E249" s="28"/>
      <c r="F249" s="28"/>
      <c r="G249" s="28"/>
      <c r="H249" s="28"/>
    </row>
    <row r="250" spans="1:8" x14ac:dyDescent="0.4">
      <c r="A250" s="14"/>
      <c r="B250" s="14"/>
      <c r="C250" s="11"/>
      <c r="D250" s="27"/>
      <c r="E250" s="28"/>
      <c r="F250" s="28"/>
      <c r="G250" s="28"/>
      <c r="H250" s="28"/>
    </row>
    <row r="251" spans="1:8" x14ac:dyDescent="0.4">
      <c r="A251" s="14"/>
      <c r="B251" s="14"/>
      <c r="C251" s="11"/>
      <c r="D251" s="27"/>
      <c r="E251" s="28"/>
      <c r="F251" s="28"/>
      <c r="G251" s="28"/>
      <c r="H251" s="28"/>
    </row>
    <row r="252" spans="1:8" x14ac:dyDescent="0.4">
      <c r="A252" s="14"/>
      <c r="B252" s="14"/>
      <c r="C252" s="11"/>
      <c r="D252" s="27"/>
      <c r="E252" s="28"/>
      <c r="F252" s="28"/>
      <c r="G252" s="28"/>
      <c r="H252" s="28"/>
    </row>
    <row r="253" spans="1:8" x14ac:dyDescent="0.4">
      <c r="A253" s="14"/>
      <c r="B253" s="14"/>
      <c r="C253" s="11"/>
      <c r="D253" s="27"/>
      <c r="E253" s="28"/>
      <c r="F253" s="28"/>
      <c r="G253" s="28"/>
      <c r="H253" s="28"/>
    </row>
    <row r="254" spans="1:8" x14ac:dyDescent="0.4">
      <c r="A254" s="14"/>
      <c r="B254" s="14"/>
      <c r="C254" s="11"/>
      <c r="D254" s="27"/>
      <c r="E254" s="28"/>
      <c r="F254" s="28"/>
      <c r="G254" s="28"/>
      <c r="H254" s="28"/>
    </row>
    <row r="255" spans="1:8" x14ac:dyDescent="0.4">
      <c r="A255" s="14"/>
      <c r="B255" s="14"/>
      <c r="C255" s="11"/>
      <c r="D255" s="27"/>
      <c r="E255" s="28"/>
      <c r="F255" s="28"/>
      <c r="G255" s="28"/>
      <c r="H255" s="28"/>
    </row>
    <row r="256" spans="1:8" x14ac:dyDescent="0.4">
      <c r="A256" s="14"/>
      <c r="B256" s="14"/>
      <c r="C256" s="11"/>
      <c r="D256" s="27"/>
      <c r="E256" s="28"/>
      <c r="F256" s="28"/>
      <c r="G256" s="28"/>
      <c r="H256" s="28"/>
    </row>
    <row r="257" spans="1:8" x14ac:dyDescent="0.4">
      <c r="A257" s="14"/>
      <c r="B257" s="14"/>
      <c r="C257" s="11"/>
      <c r="D257" s="27"/>
      <c r="E257" s="28"/>
      <c r="F257" s="28"/>
      <c r="G257" s="28"/>
      <c r="H257" s="28"/>
    </row>
    <row r="258" spans="1:8" x14ac:dyDescent="0.4">
      <c r="A258" s="14"/>
      <c r="B258" s="14"/>
      <c r="C258" s="11"/>
      <c r="D258" s="27"/>
      <c r="E258" s="28"/>
      <c r="F258" s="28"/>
      <c r="G258" s="28"/>
      <c r="H258" s="28"/>
    </row>
    <row r="259" spans="1:8" x14ac:dyDescent="0.4">
      <c r="A259" s="14"/>
      <c r="B259" s="14"/>
      <c r="C259" s="11"/>
      <c r="D259" s="27"/>
      <c r="E259" s="28"/>
      <c r="F259" s="28"/>
      <c r="G259" s="28"/>
      <c r="H259" s="28"/>
    </row>
    <row r="260" spans="1:8" x14ac:dyDescent="0.4">
      <c r="A260" s="14"/>
      <c r="B260" s="14"/>
      <c r="C260" s="11"/>
      <c r="D260" s="27"/>
      <c r="E260" s="28"/>
      <c r="F260" s="28"/>
      <c r="G260" s="28"/>
      <c r="H260" s="28"/>
    </row>
    <row r="261" spans="1:8" x14ac:dyDescent="0.4">
      <c r="A261" s="14"/>
      <c r="B261" s="14"/>
      <c r="C261" s="11"/>
      <c r="D261" s="27"/>
      <c r="E261" s="28"/>
      <c r="F261" s="28"/>
      <c r="G261" s="28"/>
      <c r="H261" s="28"/>
    </row>
    <row r="262" spans="1:8" x14ac:dyDescent="0.4">
      <c r="A262" s="14"/>
      <c r="B262" s="14"/>
      <c r="C262" s="11"/>
      <c r="D262" s="27"/>
      <c r="E262" s="28"/>
      <c r="F262" s="28"/>
      <c r="G262" s="28"/>
      <c r="H262" s="28"/>
    </row>
    <row r="263" spans="1:8" x14ac:dyDescent="0.4">
      <c r="A263" s="14"/>
      <c r="B263" s="14"/>
      <c r="C263" s="11"/>
      <c r="D263" s="27"/>
      <c r="E263" s="28"/>
      <c r="F263" s="28"/>
      <c r="G263" s="28"/>
      <c r="H263" s="28"/>
    </row>
    <row r="264" spans="1:8" x14ac:dyDescent="0.4">
      <c r="A264" s="14"/>
      <c r="B264" s="14"/>
      <c r="C264" s="11"/>
      <c r="D264" s="27"/>
      <c r="E264" s="28"/>
      <c r="F264" s="28"/>
      <c r="G264" s="28"/>
      <c r="H264" s="28"/>
    </row>
    <row r="265" spans="1:8" x14ac:dyDescent="0.4">
      <c r="A265" s="14"/>
      <c r="B265" s="14"/>
      <c r="C265" s="11"/>
      <c r="D265" s="27"/>
      <c r="E265" s="28"/>
      <c r="F265" s="28"/>
      <c r="G265" s="28"/>
      <c r="H265" s="28"/>
    </row>
    <row r="266" spans="1:8" x14ac:dyDescent="0.4">
      <c r="A266" s="14"/>
      <c r="B266" s="14"/>
      <c r="C266" s="11"/>
      <c r="D266" s="27"/>
      <c r="E266" s="28"/>
      <c r="F266" s="28"/>
      <c r="G266" s="28"/>
      <c r="H266" s="28"/>
    </row>
    <row r="267" spans="1:8" x14ac:dyDescent="0.4">
      <c r="A267" s="14"/>
      <c r="B267" s="14"/>
      <c r="C267" s="11"/>
      <c r="D267" s="27"/>
      <c r="E267" s="28"/>
      <c r="F267" s="28"/>
      <c r="G267" s="28"/>
      <c r="H267" s="28"/>
    </row>
    <row r="268" spans="1:8" x14ac:dyDescent="0.4">
      <c r="A268" s="14"/>
      <c r="B268" s="14"/>
      <c r="C268" s="11"/>
      <c r="D268" s="27"/>
      <c r="E268" s="28"/>
      <c r="F268" s="28"/>
      <c r="G268" s="28"/>
      <c r="H268" s="28"/>
    </row>
    <row r="269" spans="1:8" x14ac:dyDescent="0.4">
      <c r="A269" s="14"/>
      <c r="B269" s="14"/>
      <c r="C269" s="11"/>
      <c r="D269" s="27"/>
      <c r="E269" s="28"/>
      <c r="F269" s="28"/>
      <c r="G269" s="28"/>
      <c r="H269" s="28"/>
    </row>
    <row r="270" spans="1:8" x14ac:dyDescent="0.4">
      <c r="A270" s="14"/>
      <c r="B270" s="14"/>
      <c r="C270" s="11"/>
      <c r="D270" s="27"/>
      <c r="E270" s="28"/>
      <c r="F270" s="28"/>
      <c r="G270" s="28"/>
      <c r="H270" s="28"/>
    </row>
    <row r="271" spans="1:8" x14ac:dyDescent="0.4">
      <c r="A271" s="14"/>
      <c r="B271" s="14"/>
      <c r="C271" s="11"/>
      <c r="D271" s="27"/>
      <c r="E271" s="28"/>
      <c r="F271" s="28"/>
      <c r="G271" s="28"/>
      <c r="H271" s="28"/>
    </row>
    <row r="272" spans="1:8" x14ac:dyDescent="0.4">
      <c r="A272" s="14"/>
      <c r="B272" s="14"/>
      <c r="C272" s="11"/>
      <c r="D272" s="27"/>
      <c r="E272" s="28"/>
      <c r="F272" s="28"/>
      <c r="G272" s="28"/>
      <c r="H272" s="28"/>
    </row>
    <row r="273" spans="1:8" x14ac:dyDescent="0.4">
      <c r="A273" s="14"/>
      <c r="B273" s="14"/>
      <c r="C273" s="11"/>
      <c r="D273" s="27"/>
      <c r="E273" s="28"/>
      <c r="F273" s="28"/>
      <c r="G273" s="28"/>
      <c r="H273" s="28"/>
    </row>
    <row r="274" spans="1:8" x14ac:dyDescent="0.4">
      <c r="A274" s="14"/>
      <c r="B274" s="14"/>
      <c r="C274" s="11"/>
      <c r="D274" s="27"/>
      <c r="E274" s="28"/>
      <c r="F274" s="28"/>
      <c r="G274" s="28"/>
      <c r="H274" s="28"/>
    </row>
    <row r="275" spans="1:8" x14ac:dyDescent="0.4">
      <c r="A275" s="14"/>
      <c r="B275" s="14"/>
      <c r="C275" s="11"/>
      <c r="D275" s="27"/>
      <c r="E275" s="28"/>
      <c r="F275" s="28"/>
      <c r="G275" s="28"/>
      <c r="H275" s="28"/>
    </row>
    <row r="276" spans="1:8" x14ac:dyDescent="0.4">
      <c r="A276" s="14"/>
      <c r="B276" s="14"/>
      <c r="C276" s="11"/>
      <c r="D276" s="27"/>
      <c r="E276" s="28"/>
      <c r="F276" s="28"/>
      <c r="G276" s="28"/>
      <c r="H276" s="28"/>
    </row>
    <row r="277" spans="1:8" x14ac:dyDescent="0.4">
      <c r="A277" s="14"/>
      <c r="B277" s="14"/>
      <c r="C277" s="11"/>
      <c r="D277" s="27"/>
      <c r="E277" s="28"/>
      <c r="F277" s="28"/>
      <c r="G277" s="28"/>
      <c r="H277" s="28"/>
    </row>
    <row r="278" spans="1:8" x14ac:dyDescent="0.4">
      <c r="A278" s="14"/>
      <c r="B278" s="14"/>
      <c r="C278" s="11"/>
      <c r="D278" s="27"/>
      <c r="E278" s="28"/>
      <c r="F278" s="28"/>
      <c r="G278" s="28"/>
      <c r="H278" s="28"/>
    </row>
    <row r="279" spans="1:8" x14ac:dyDescent="0.4">
      <c r="A279" s="14"/>
      <c r="B279" s="14"/>
      <c r="C279" s="11"/>
      <c r="D279" s="27"/>
      <c r="E279" s="28"/>
      <c r="F279" s="28"/>
      <c r="G279" s="28"/>
      <c r="H279" s="28"/>
    </row>
    <row r="280" spans="1:8" x14ac:dyDescent="0.4">
      <c r="A280" s="14"/>
      <c r="B280" s="14"/>
      <c r="C280" s="11"/>
      <c r="D280" s="27"/>
      <c r="E280" s="28"/>
      <c r="F280" s="28"/>
      <c r="G280" s="28"/>
      <c r="H280" s="28"/>
    </row>
    <row r="281" spans="1:8" x14ac:dyDescent="0.4">
      <c r="A281" s="14"/>
      <c r="B281" s="14"/>
      <c r="C281" s="11"/>
      <c r="D281" s="27"/>
      <c r="E281" s="28"/>
      <c r="F281" s="28"/>
      <c r="G281" s="28"/>
      <c r="H281" s="28"/>
    </row>
    <row r="282" spans="1:8" x14ac:dyDescent="0.4">
      <c r="A282" s="14"/>
      <c r="B282" s="14"/>
      <c r="C282" s="11"/>
      <c r="D282" s="27"/>
      <c r="E282" s="28"/>
      <c r="F282" s="28"/>
      <c r="G282" s="28"/>
      <c r="H282" s="28"/>
    </row>
    <row r="283" spans="1:8" x14ac:dyDescent="0.4">
      <c r="A283" s="14"/>
      <c r="B283" s="14"/>
      <c r="C283" s="11"/>
      <c r="D283" s="27"/>
      <c r="E283" s="28"/>
      <c r="F283" s="28"/>
      <c r="G283" s="28"/>
      <c r="H283" s="28"/>
    </row>
    <row r="284" spans="1:8" x14ac:dyDescent="0.4">
      <c r="A284" s="14"/>
      <c r="B284" s="14"/>
      <c r="C284" s="11"/>
      <c r="D284" s="27"/>
      <c r="E284" s="28"/>
      <c r="F284" s="28"/>
      <c r="G284" s="28"/>
      <c r="H284" s="28"/>
    </row>
    <row r="285" spans="1:8" x14ac:dyDescent="0.4">
      <c r="A285" s="14"/>
      <c r="B285" s="14"/>
      <c r="C285" s="11"/>
      <c r="D285" s="27"/>
      <c r="E285" s="28"/>
      <c r="F285" s="28"/>
      <c r="G285" s="28"/>
      <c r="H285" s="28"/>
    </row>
    <row r="286" spans="1:8" x14ac:dyDescent="0.4">
      <c r="A286" s="14"/>
      <c r="B286" s="14"/>
      <c r="C286" s="11"/>
      <c r="D286" s="27"/>
      <c r="E286" s="28"/>
      <c r="F286" s="28"/>
      <c r="G286" s="28"/>
      <c r="H286" s="28"/>
    </row>
    <row r="287" spans="1:8" x14ac:dyDescent="0.4">
      <c r="A287" s="14"/>
      <c r="B287" s="14"/>
      <c r="C287" s="11"/>
      <c r="D287" s="27"/>
      <c r="E287" s="28"/>
      <c r="F287" s="28"/>
      <c r="G287" s="28"/>
      <c r="H287" s="28"/>
    </row>
    <row r="288" spans="1:8" x14ac:dyDescent="0.4">
      <c r="A288" s="14"/>
      <c r="B288" s="14"/>
      <c r="C288" s="11"/>
      <c r="D288" s="27"/>
      <c r="E288" s="28"/>
      <c r="F288" s="28"/>
      <c r="G288" s="28"/>
      <c r="H288" s="28"/>
    </row>
    <row r="289" spans="1:8" x14ac:dyDescent="0.4">
      <c r="A289" s="14"/>
      <c r="B289" s="14"/>
      <c r="C289" s="11"/>
      <c r="D289" s="27"/>
      <c r="E289" s="28"/>
      <c r="F289" s="28"/>
      <c r="G289" s="28"/>
      <c r="H289" s="28"/>
    </row>
    <row r="290" spans="1:8" x14ac:dyDescent="0.4">
      <c r="A290" s="14"/>
      <c r="B290" s="14"/>
      <c r="C290" s="11"/>
      <c r="D290" s="27"/>
      <c r="E290" s="28"/>
      <c r="F290" s="28"/>
      <c r="G290" s="28"/>
      <c r="H290" s="28"/>
    </row>
    <row r="291" spans="1:8" x14ac:dyDescent="0.4">
      <c r="A291" s="14"/>
      <c r="B291" s="14"/>
      <c r="C291" s="11"/>
      <c r="D291" s="27"/>
      <c r="E291" s="28"/>
      <c r="F291" s="28"/>
      <c r="G291" s="28"/>
      <c r="H291" s="28"/>
    </row>
    <row r="292" spans="1:8" x14ac:dyDescent="0.4">
      <c r="A292" s="14"/>
      <c r="B292" s="14"/>
      <c r="C292" s="11"/>
      <c r="D292" s="27"/>
      <c r="E292" s="28"/>
      <c r="F292" s="28"/>
      <c r="G292" s="28"/>
      <c r="H292" s="28"/>
    </row>
    <row r="293" spans="1:8" x14ac:dyDescent="0.4">
      <c r="A293" s="14"/>
      <c r="B293" s="14"/>
      <c r="C293" s="11"/>
      <c r="D293" s="27"/>
      <c r="E293" s="28"/>
      <c r="F293" s="28"/>
      <c r="G293" s="28"/>
      <c r="H293" s="28"/>
    </row>
    <row r="294" spans="1:8" x14ac:dyDescent="0.4">
      <c r="A294" s="14"/>
      <c r="B294" s="14"/>
      <c r="C294" s="11"/>
      <c r="D294" s="27"/>
      <c r="E294" s="28"/>
      <c r="F294" s="28"/>
      <c r="G294" s="28"/>
      <c r="H294" s="28"/>
    </row>
    <row r="295" spans="1:8" x14ac:dyDescent="0.4">
      <c r="A295" s="14"/>
      <c r="B295" s="14"/>
      <c r="C295" s="11"/>
      <c r="D295" s="27"/>
      <c r="E295" s="28"/>
      <c r="F295" s="28"/>
      <c r="G295" s="28"/>
      <c r="H295" s="28"/>
    </row>
    <row r="296" spans="1:8" x14ac:dyDescent="0.4">
      <c r="A296" s="14"/>
      <c r="B296" s="14"/>
      <c r="C296" s="11"/>
      <c r="D296" s="27"/>
      <c r="E296" s="28"/>
      <c r="F296" s="28"/>
      <c r="G296" s="28"/>
      <c r="H296" s="28"/>
    </row>
    <row r="297" spans="1:8" x14ac:dyDescent="0.4">
      <c r="A297" s="14"/>
      <c r="B297" s="14"/>
      <c r="C297" s="11"/>
      <c r="D297" s="27"/>
      <c r="E297" s="28"/>
      <c r="F297" s="28"/>
      <c r="G297" s="28"/>
      <c r="H297" s="28"/>
    </row>
    <row r="298" spans="1:8" x14ac:dyDescent="0.4">
      <c r="A298" s="14"/>
      <c r="B298" s="14"/>
      <c r="C298" s="11"/>
      <c r="D298" s="27"/>
      <c r="E298" s="28"/>
      <c r="F298" s="28"/>
      <c r="G298" s="28"/>
      <c r="H298" s="28"/>
    </row>
    <row r="299" spans="1:8" x14ac:dyDescent="0.4">
      <c r="A299" s="14"/>
      <c r="B299" s="14"/>
      <c r="C299" s="11"/>
      <c r="D299" s="27"/>
      <c r="E299" s="28"/>
      <c r="F299" s="28"/>
      <c r="G299" s="28"/>
      <c r="H299" s="28"/>
    </row>
    <row r="300" spans="1:8" x14ac:dyDescent="0.4">
      <c r="A300" s="14"/>
      <c r="B300" s="14"/>
      <c r="C300" s="11"/>
      <c r="D300" s="27"/>
      <c r="E300" s="28"/>
      <c r="F300" s="28"/>
      <c r="G300" s="28"/>
      <c r="H300" s="28"/>
    </row>
    <row r="301" spans="1:8" x14ac:dyDescent="0.4">
      <c r="A301" s="14"/>
      <c r="B301" s="14"/>
      <c r="C301" s="11"/>
      <c r="D301" s="27"/>
      <c r="E301" s="28"/>
      <c r="F301" s="28"/>
      <c r="G301" s="28"/>
      <c r="H301" s="28"/>
    </row>
    <row r="302" spans="1:8" x14ac:dyDescent="0.4">
      <c r="A302" s="14"/>
      <c r="B302" s="14"/>
      <c r="C302" s="11"/>
      <c r="D302" s="27"/>
      <c r="E302" s="28"/>
      <c r="F302" s="28"/>
      <c r="G302" s="28"/>
      <c r="H302" s="28"/>
    </row>
    <row r="303" spans="1:8" x14ac:dyDescent="0.4">
      <c r="A303" s="14"/>
      <c r="B303" s="14"/>
      <c r="C303" s="11"/>
      <c r="D303" s="27"/>
      <c r="E303" s="28"/>
      <c r="F303" s="28"/>
      <c r="G303" s="28"/>
      <c r="H303" s="28"/>
    </row>
    <row r="304" spans="1:8" x14ac:dyDescent="0.4">
      <c r="A304" s="14"/>
      <c r="B304" s="14"/>
      <c r="C304" s="11"/>
      <c r="D304" s="27"/>
      <c r="E304" s="28"/>
      <c r="F304" s="28"/>
      <c r="G304" s="28"/>
      <c r="H304" s="28"/>
    </row>
    <row r="305" spans="1:8" x14ac:dyDescent="0.4">
      <c r="A305" s="14"/>
      <c r="B305" s="14"/>
      <c r="C305" s="11"/>
      <c r="D305" s="27"/>
      <c r="E305" s="28"/>
      <c r="F305" s="28"/>
      <c r="G305" s="28"/>
      <c r="H305" s="28"/>
    </row>
    <row r="306" spans="1:8" x14ac:dyDescent="0.4">
      <c r="A306" s="14"/>
      <c r="B306" s="14"/>
      <c r="C306" s="11"/>
      <c r="D306" s="27"/>
      <c r="E306" s="28"/>
      <c r="F306" s="28"/>
      <c r="G306" s="28"/>
      <c r="H306" s="28"/>
    </row>
    <row r="307" spans="1:8" x14ac:dyDescent="0.4">
      <c r="A307" s="14"/>
      <c r="B307" s="14"/>
      <c r="C307" s="11"/>
      <c r="D307" s="27"/>
      <c r="E307" s="28"/>
      <c r="F307" s="28"/>
      <c r="G307" s="28"/>
      <c r="H307" s="28"/>
    </row>
    <row r="308" spans="1:8" x14ac:dyDescent="0.4">
      <c r="A308" s="14"/>
      <c r="B308" s="14"/>
      <c r="C308" s="11"/>
      <c r="D308" s="27"/>
      <c r="E308" s="28"/>
      <c r="F308" s="28"/>
      <c r="G308" s="28"/>
      <c r="H308" s="28"/>
    </row>
    <row r="309" spans="1:8" x14ac:dyDescent="0.4">
      <c r="A309" s="14"/>
      <c r="B309" s="14"/>
      <c r="C309" s="11"/>
      <c r="D309" s="27"/>
      <c r="E309" s="28"/>
      <c r="F309" s="28"/>
      <c r="G309" s="28"/>
      <c r="H309" s="28"/>
    </row>
    <row r="310" spans="1:8" x14ac:dyDescent="0.4">
      <c r="A310" s="14"/>
      <c r="B310" s="14"/>
      <c r="C310" s="11"/>
      <c r="D310" s="27"/>
      <c r="E310" s="28"/>
      <c r="F310" s="28"/>
      <c r="G310" s="28"/>
      <c r="H310" s="28"/>
    </row>
    <row r="311" spans="1:8" x14ac:dyDescent="0.4">
      <c r="A311" s="14"/>
      <c r="B311" s="14"/>
      <c r="C311" s="11"/>
      <c r="D311" s="27"/>
      <c r="E311" s="28"/>
      <c r="F311" s="28"/>
      <c r="G311" s="28"/>
      <c r="H311" s="28"/>
    </row>
    <row r="312" spans="1:8" x14ac:dyDescent="0.4">
      <c r="A312" s="14"/>
      <c r="B312" s="14"/>
      <c r="C312" s="11"/>
      <c r="D312" s="27"/>
      <c r="E312" s="28"/>
      <c r="F312" s="28"/>
      <c r="G312" s="28"/>
      <c r="H312" s="28"/>
    </row>
    <row r="313" spans="1:8" x14ac:dyDescent="0.4">
      <c r="A313" s="14"/>
      <c r="B313" s="14"/>
      <c r="C313" s="11"/>
      <c r="D313" s="27"/>
      <c r="E313" s="28"/>
      <c r="F313" s="28"/>
      <c r="G313" s="28"/>
      <c r="H313" s="28"/>
    </row>
    <row r="314" spans="1:8" x14ac:dyDescent="0.4">
      <c r="A314" s="14"/>
      <c r="B314" s="14"/>
      <c r="C314" s="11"/>
      <c r="D314" s="27"/>
      <c r="E314" s="28"/>
      <c r="F314" s="28"/>
      <c r="G314" s="28"/>
      <c r="H314" s="28"/>
    </row>
    <row r="315" spans="1:8" x14ac:dyDescent="0.4">
      <c r="A315" s="14"/>
      <c r="B315" s="14"/>
      <c r="C315" s="11"/>
      <c r="D315" s="27"/>
      <c r="E315" s="28"/>
      <c r="F315" s="28"/>
      <c r="G315" s="28"/>
      <c r="H315" s="28"/>
    </row>
    <row r="316" spans="1:8" x14ac:dyDescent="0.4">
      <c r="A316" s="14"/>
      <c r="B316" s="14"/>
      <c r="C316" s="11"/>
      <c r="D316" s="27"/>
      <c r="E316" s="28"/>
      <c r="F316" s="28"/>
      <c r="G316" s="28"/>
      <c r="H316" s="28"/>
    </row>
    <row r="317" spans="1:8" x14ac:dyDescent="0.4">
      <c r="A317" s="14"/>
      <c r="B317" s="14"/>
      <c r="C317" s="11"/>
      <c r="D317" s="27"/>
      <c r="E317" s="28"/>
      <c r="F317" s="28"/>
      <c r="G317" s="28"/>
      <c r="H317" s="28"/>
    </row>
    <row r="318" spans="1:8" x14ac:dyDescent="0.4">
      <c r="A318" s="14"/>
      <c r="B318" s="14"/>
      <c r="C318" s="11"/>
      <c r="D318" s="27"/>
      <c r="E318" s="28"/>
      <c r="F318" s="28"/>
      <c r="G318" s="28"/>
      <c r="H318" s="28"/>
    </row>
    <row r="319" spans="1:8" x14ac:dyDescent="0.4">
      <c r="A319" s="14"/>
      <c r="B319" s="14"/>
      <c r="C319" s="11"/>
      <c r="D319" s="27"/>
      <c r="E319" s="28"/>
      <c r="F319" s="28"/>
      <c r="G319" s="28"/>
      <c r="H319" s="28"/>
    </row>
    <row r="320" spans="1:8" x14ac:dyDescent="0.4">
      <c r="A320" s="14"/>
      <c r="B320" s="14"/>
      <c r="C320" s="11"/>
      <c r="D320" s="27"/>
      <c r="E320" s="28"/>
      <c r="F320" s="28"/>
      <c r="G320" s="28"/>
      <c r="H320" s="28"/>
    </row>
    <row r="321" spans="1:8" x14ac:dyDescent="0.4">
      <c r="A321" s="14"/>
      <c r="B321" s="14"/>
      <c r="C321" s="11"/>
      <c r="D321" s="27"/>
      <c r="E321" s="28"/>
      <c r="F321" s="28"/>
      <c r="G321" s="28"/>
      <c r="H321" s="28"/>
    </row>
    <row r="322" spans="1:8" x14ac:dyDescent="0.4">
      <c r="A322" s="14"/>
      <c r="B322" s="14"/>
      <c r="C322" s="11"/>
      <c r="D322" s="27"/>
      <c r="E322" s="28"/>
      <c r="F322" s="28"/>
      <c r="G322" s="28"/>
      <c r="H322" s="28"/>
    </row>
    <row r="323" spans="1:8" x14ac:dyDescent="0.4">
      <c r="A323" s="14"/>
      <c r="B323" s="14"/>
      <c r="C323" s="11"/>
      <c r="D323" s="27"/>
      <c r="E323" s="28"/>
      <c r="F323" s="28"/>
      <c r="G323" s="28"/>
      <c r="H323" s="28"/>
    </row>
    <row r="324" spans="1:8" x14ac:dyDescent="0.4">
      <c r="A324" s="14"/>
      <c r="B324" s="14"/>
      <c r="C324" s="11"/>
      <c r="D324" s="27"/>
      <c r="E324" s="28"/>
      <c r="F324" s="28"/>
      <c r="G324" s="28"/>
      <c r="H324" s="28"/>
    </row>
    <row r="325" spans="1:8" x14ac:dyDescent="0.4">
      <c r="A325" s="14"/>
      <c r="B325" s="14"/>
      <c r="C325" s="11"/>
      <c r="D325" s="27"/>
      <c r="E325" s="28"/>
      <c r="F325" s="28"/>
      <c r="G325" s="28"/>
      <c r="H325" s="28"/>
    </row>
    <row r="326" spans="1:8" x14ac:dyDescent="0.4">
      <c r="A326" s="14"/>
      <c r="B326" s="14"/>
      <c r="C326" s="11"/>
      <c r="D326" s="27"/>
      <c r="E326" s="28"/>
      <c r="F326" s="28"/>
      <c r="G326" s="28"/>
      <c r="H326" s="28"/>
    </row>
    <row r="327" spans="1:8" x14ac:dyDescent="0.4">
      <c r="A327" s="14"/>
      <c r="B327" s="14"/>
      <c r="C327" s="11"/>
      <c r="D327" s="27"/>
      <c r="E327" s="28"/>
      <c r="F327" s="28"/>
      <c r="G327" s="28"/>
      <c r="H327" s="28"/>
    </row>
    <row r="328" spans="1:8" x14ac:dyDescent="0.4">
      <c r="A328" s="14"/>
      <c r="B328" s="14"/>
      <c r="C328" s="11"/>
      <c r="D328" s="27"/>
      <c r="E328" s="28"/>
      <c r="F328" s="28"/>
      <c r="G328" s="28"/>
      <c r="H328" s="28"/>
    </row>
    <row r="329" spans="1:8" x14ac:dyDescent="0.4">
      <c r="A329" s="14"/>
      <c r="B329" s="14"/>
      <c r="C329" s="11"/>
      <c r="D329" s="27"/>
      <c r="E329" s="28"/>
      <c r="F329" s="28"/>
      <c r="G329" s="28"/>
      <c r="H329" s="28"/>
    </row>
    <row r="330" spans="1:8" x14ac:dyDescent="0.4">
      <c r="A330" s="14"/>
      <c r="B330" s="14"/>
      <c r="C330" s="11"/>
      <c r="D330" s="27"/>
      <c r="E330" s="28"/>
      <c r="F330" s="28"/>
      <c r="G330" s="28"/>
      <c r="H330" s="28"/>
    </row>
    <row r="331" spans="1:8" x14ac:dyDescent="0.4">
      <c r="A331" s="14"/>
      <c r="B331" s="14"/>
      <c r="C331" s="11"/>
      <c r="D331" s="27"/>
      <c r="E331" s="28"/>
      <c r="F331" s="28"/>
      <c r="G331" s="28"/>
      <c r="H331" s="28"/>
    </row>
    <row r="332" spans="1:8" x14ac:dyDescent="0.4">
      <c r="A332" s="14"/>
      <c r="B332" s="14"/>
      <c r="C332" s="11"/>
      <c r="D332" s="27"/>
      <c r="E332" s="28"/>
      <c r="F332" s="28"/>
      <c r="G332" s="28"/>
      <c r="H332" s="28"/>
    </row>
    <row r="333" spans="1:8" x14ac:dyDescent="0.4">
      <c r="A333" s="14"/>
      <c r="B333" s="14"/>
      <c r="C333" s="11"/>
      <c r="D333" s="27"/>
      <c r="E333" s="28"/>
      <c r="F333" s="28"/>
      <c r="G333" s="28"/>
      <c r="H333" s="28"/>
    </row>
    <row r="334" spans="1:8" x14ac:dyDescent="0.4">
      <c r="A334" s="14"/>
      <c r="B334" s="14"/>
      <c r="C334" s="11"/>
      <c r="D334" s="27"/>
      <c r="E334" s="28"/>
      <c r="F334" s="28"/>
      <c r="G334" s="28"/>
      <c r="H334" s="28"/>
    </row>
    <row r="335" spans="1:8" x14ac:dyDescent="0.4">
      <c r="A335" s="14"/>
      <c r="B335" s="14"/>
      <c r="C335" s="11"/>
      <c r="D335" s="27"/>
      <c r="E335" s="28"/>
      <c r="F335" s="28"/>
      <c r="G335" s="28"/>
      <c r="H335" s="28"/>
    </row>
    <row r="336" spans="1:8" x14ac:dyDescent="0.4">
      <c r="A336" s="14"/>
      <c r="B336" s="14"/>
      <c r="C336" s="11"/>
      <c r="D336" s="27"/>
      <c r="E336" s="28"/>
      <c r="F336" s="28"/>
      <c r="G336" s="28"/>
      <c r="H336" s="28"/>
    </row>
    <row r="337" spans="1:8" x14ac:dyDescent="0.4">
      <c r="A337" s="14"/>
      <c r="B337" s="14"/>
      <c r="C337" s="11"/>
      <c r="D337" s="27"/>
      <c r="E337" s="28"/>
      <c r="F337" s="28"/>
      <c r="G337" s="28"/>
      <c r="H337" s="28"/>
    </row>
    <row r="338" spans="1:8" x14ac:dyDescent="0.4">
      <c r="A338" s="14"/>
      <c r="B338" s="14"/>
      <c r="C338" s="11"/>
      <c r="D338" s="27"/>
      <c r="E338" s="28"/>
      <c r="F338" s="28"/>
      <c r="G338" s="28"/>
      <c r="H338" s="28"/>
    </row>
    <row r="339" spans="1:8" x14ac:dyDescent="0.4">
      <c r="A339" s="14"/>
      <c r="B339" s="14"/>
      <c r="C339" s="11"/>
      <c r="D339" s="27"/>
      <c r="E339" s="28"/>
      <c r="F339" s="28"/>
      <c r="G339" s="28"/>
      <c r="H339" s="28"/>
    </row>
    <row r="340" spans="1:8" x14ac:dyDescent="0.4">
      <c r="A340" s="14"/>
      <c r="B340" s="14"/>
      <c r="C340" s="11"/>
      <c r="D340" s="27"/>
      <c r="E340" s="28"/>
      <c r="F340" s="28"/>
      <c r="G340" s="28"/>
      <c r="H340" s="28"/>
    </row>
    <row r="341" spans="1:8" x14ac:dyDescent="0.4">
      <c r="A341" s="14"/>
      <c r="B341" s="14"/>
      <c r="C341" s="11"/>
      <c r="D341" s="27"/>
      <c r="E341" s="28"/>
      <c r="F341" s="28"/>
      <c r="G341" s="28"/>
      <c r="H341" s="28"/>
    </row>
    <row r="342" spans="1:8" x14ac:dyDescent="0.4">
      <c r="A342" s="14"/>
      <c r="B342" s="14"/>
      <c r="C342" s="11"/>
      <c r="D342" s="27"/>
      <c r="E342" s="28"/>
      <c r="F342" s="28"/>
      <c r="G342" s="28"/>
      <c r="H342" s="28"/>
    </row>
    <row r="343" spans="1:8" x14ac:dyDescent="0.4">
      <c r="A343" s="14"/>
      <c r="B343" s="14"/>
      <c r="C343" s="11"/>
      <c r="D343" s="27"/>
      <c r="E343" s="28"/>
      <c r="F343" s="28"/>
      <c r="G343" s="28"/>
      <c r="H343" s="28"/>
    </row>
    <row r="344" spans="1:8" x14ac:dyDescent="0.4">
      <c r="A344" s="14"/>
      <c r="B344" s="14"/>
      <c r="C344" s="11"/>
      <c r="D344" s="27"/>
      <c r="E344" s="28"/>
      <c r="F344" s="28"/>
      <c r="G344" s="28"/>
      <c r="H344" s="28"/>
    </row>
    <row r="345" spans="1:8" x14ac:dyDescent="0.4">
      <c r="A345" s="14"/>
      <c r="B345" s="14"/>
      <c r="C345" s="11"/>
      <c r="D345" s="27"/>
      <c r="E345" s="28"/>
      <c r="F345" s="28"/>
      <c r="G345" s="28"/>
      <c r="H345" s="28"/>
    </row>
    <row r="346" spans="1:8" x14ac:dyDescent="0.4">
      <c r="A346" s="14"/>
      <c r="B346" s="14"/>
      <c r="C346" s="11"/>
      <c r="D346" s="27"/>
      <c r="E346" s="28"/>
      <c r="F346" s="28"/>
      <c r="G346" s="28"/>
      <c r="H346" s="28"/>
    </row>
    <row r="347" spans="1:8" x14ac:dyDescent="0.4">
      <c r="A347" s="14"/>
      <c r="B347" s="14"/>
      <c r="C347" s="11"/>
      <c r="D347" s="27"/>
      <c r="E347" s="28"/>
      <c r="F347" s="28"/>
      <c r="G347" s="28"/>
      <c r="H347" s="28"/>
    </row>
    <row r="348" spans="1:8" x14ac:dyDescent="0.4">
      <c r="A348" s="14"/>
      <c r="B348" s="14"/>
      <c r="C348" s="11"/>
      <c r="D348" s="27"/>
      <c r="E348" s="28"/>
      <c r="F348" s="28"/>
      <c r="G348" s="28"/>
      <c r="H348" s="28"/>
    </row>
    <row r="349" spans="1:8" x14ac:dyDescent="0.4">
      <c r="A349" s="14"/>
      <c r="B349" s="14"/>
      <c r="C349" s="11"/>
      <c r="D349" s="27"/>
      <c r="E349" s="28"/>
      <c r="F349" s="28"/>
      <c r="G349" s="28"/>
      <c r="H349" s="28"/>
    </row>
    <row r="350" spans="1:8" x14ac:dyDescent="0.4">
      <c r="A350" s="14"/>
      <c r="B350" s="14"/>
      <c r="C350" s="11"/>
      <c r="D350" s="27"/>
      <c r="E350" s="28"/>
      <c r="F350" s="28"/>
      <c r="G350" s="28"/>
      <c r="H350" s="28"/>
    </row>
    <row r="351" spans="1:8" x14ac:dyDescent="0.4">
      <c r="A351" s="14"/>
      <c r="B351" s="14"/>
      <c r="C351" s="11"/>
      <c r="D351" s="27"/>
      <c r="E351" s="28"/>
      <c r="F351" s="28"/>
      <c r="G351" s="28"/>
      <c r="H351" s="28"/>
    </row>
    <row r="352" spans="1:8" x14ac:dyDescent="0.4">
      <c r="A352" s="14"/>
      <c r="B352" s="14"/>
      <c r="C352" s="11"/>
      <c r="D352" s="27"/>
      <c r="E352" s="28"/>
      <c r="F352" s="28"/>
      <c r="G352" s="28"/>
      <c r="H352" s="28"/>
    </row>
    <row r="353" spans="1:8" x14ac:dyDescent="0.4">
      <c r="A353" s="14"/>
      <c r="B353" s="14"/>
      <c r="C353" s="11"/>
      <c r="D353" s="27"/>
      <c r="E353" s="28"/>
      <c r="F353" s="28"/>
      <c r="G353" s="28"/>
      <c r="H353" s="28"/>
    </row>
    <row r="354" spans="1:8" x14ac:dyDescent="0.4">
      <c r="A354" s="14"/>
      <c r="B354" s="14"/>
      <c r="C354" s="11"/>
      <c r="D354" s="27"/>
      <c r="E354" s="28"/>
      <c r="F354" s="28"/>
      <c r="G354" s="28"/>
      <c r="H354" s="28"/>
    </row>
    <row r="355" spans="1:8" x14ac:dyDescent="0.4">
      <c r="A355" s="14"/>
      <c r="B355" s="14"/>
      <c r="C355" s="11"/>
      <c r="D355" s="27"/>
      <c r="E355" s="28"/>
      <c r="F355" s="28"/>
      <c r="G355" s="28"/>
      <c r="H355" s="28"/>
    </row>
    <row r="356" spans="1:8" x14ac:dyDescent="0.4">
      <c r="A356" s="14"/>
      <c r="B356" s="14"/>
      <c r="C356" s="11"/>
      <c r="D356" s="27"/>
      <c r="E356" s="28"/>
      <c r="F356" s="28"/>
      <c r="G356" s="28"/>
      <c r="H356" s="28"/>
    </row>
    <row r="357" spans="1:8" x14ac:dyDescent="0.4">
      <c r="A357" s="14"/>
      <c r="B357" s="14"/>
      <c r="C357" s="11"/>
      <c r="D357" s="27"/>
      <c r="E357" s="28"/>
      <c r="F357" s="28"/>
      <c r="G357" s="28"/>
      <c r="H357" s="28"/>
    </row>
    <row r="358" spans="1:8" x14ac:dyDescent="0.4">
      <c r="A358" s="14"/>
      <c r="B358" s="14"/>
      <c r="C358" s="11"/>
      <c r="D358" s="27"/>
      <c r="E358" s="28"/>
      <c r="F358" s="28"/>
      <c r="G358" s="28"/>
      <c r="H358" s="28"/>
    </row>
    <row r="359" spans="1:8" x14ac:dyDescent="0.4">
      <c r="A359" s="14"/>
      <c r="B359" s="14"/>
      <c r="C359" s="11"/>
      <c r="D359" s="27"/>
      <c r="E359" s="28"/>
      <c r="F359" s="28"/>
      <c r="G359" s="28"/>
      <c r="H359" s="28"/>
    </row>
    <row r="360" spans="1:8" x14ac:dyDescent="0.4">
      <c r="A360" s="14"/>
      <c r="B360" s="14"/>
      <c r="C360" s="11"/>
      <c r="D360" s="27"/>
      <c r="E360" s="28"/>
      <c r="F360" s="28"/>
      <c r="G360" s="28"/>
      <c r="H360" s="28"/>
    </row>
    <row r="361" spans="1:8" x14ac:dyDescent="0.4">
      <c r="A361" s="14"/>
      <c r="B361" s="14"/>
      <c r="C361" s="11"/>
      <c r="D361" s="27"/>
      <c r="E361" s="28"/>
      <c r="F361" s="28"/>
      <c r="G361" s="28"/>
      <c r="H361" s="28"/>
    </row>
    <row r="362" spans="1:8" x14ac:dyDescent="0.4">
      <c r="A362" s="14"/>
      <c r="B362" s="14"/>
      <c r="C362" s="11"/>
      <c r="D362" s="27"/>
      <c r="E362" s="28"/>
      <c r="F362" s="28"/>
      <c r="G362" s="28"/>
      <c r="H362" s="28"/>
    </row>
    <row r="363" spans="1:8" x14ac:dyDescent="0.4">
      <c r="A363" s="14"/>
      <c r="B363" s="14"/>
      <c r="C363" s="11"/>
      <c r="D363" s="27"/>
      <c r="E363" s="28"/>
      <c r="F363" s="28"/>
      <c r="G363" s="28"/>
      <c r="H363" s="28"/>
    </row>
    <row r="364" spans="1:8" x14ac:dyDescent="0.4">
      <c r="A364" s="14"/>
      <c r="B364" s="14"/>
      <c r="C364" s="11"/>
      <c r="D364" s="27"/>
      <c r="E364" s="28"/>
      <c r="F364" s="28"/>
      <c r="G364" s="28"/>
      <c r="H364" s="28"/>
    </row>
    <row r="365" spans="1:8" x14ac:dyDescent="0.4">
      <c r="A365" s="14"/>
      <c r="B365" s="14"/>
      <c r="C365" s="11"/>
      <c r="D365" s="27"/>
      <c r="E365" s="28"/>
      <c r="F365" s="28"/>
      <c r="G365" s="28"/>
      <c r="H365" s="28"/>
    </row>
    <row r="366" spans="1:8" x14ac:dyDescent="0.4">
      <c r="A366" s="14"/>
      <c r="B366" s="14"/>
      <c r="C366" s="11"/>
      <c r="D366" s="27"/>
      <c r="E366" s="28"/>
      <c r="F366" s="28"/>
      <c r="G366" s="28"/>
      <c r="H366" s="28"/>
    </row>
    <row r="367" spans="1:8" x14ac:dyDescent="0.4">
      <c r="A367" s="14"/>
      <c r="B367" s="14"/>
      <c r="C367" s="11"/>
      <c r="D367" s="27"/>
      <c r="E367" s="28"/>
      <c r="F367" s="28"/>
      <c r="G367" s="28"/>
      <c r="H367" s="28"/>
    </row>
    <row r="368" spans="1:8" x14ac:dyDescent="0.4">
      <c r="A368" s="14"/>
      <c r="B368" s="14"/>
      <c r="C368" s="11"/>
      <c r="D368" s="27"/>
      <c r="E368" s="28"/>
      <c r="F368" s="28"/>
      <c r="G368" s="28"/>
      <c r="H368" s="28"/>
    </row>
    <row r="369" spans="1:8" x14ac:dyDescent="0.4">
      <c r="A369" s="14"/>
      <c r="B369" s="14"/>
      <c r="C369" s="11"/>
      <c r="D369" s="27"/>
      <c r="E369" s="28"/>
      <c r="F369" s="28"/>
      <c r="G369" s="28"/>
      <c r="H369" s="28"/>
    </row>
    <row r="370" spans="1:8" x14ac:dyDescent="0.4">
      <c r="A370" s="14"/>
      <c r="B370" s="14"/>
      <c r="C370" s="11"/>
      <c r="D370" s="27"/>
      <c r="E370" s="28"/>
      <c r="F370" s="28"/>
      <c r="G370" s="28"/>
      <c r="H370" s="28"/>
    </row>
    <row r="371" spans="1:8" x14ac:dyDescent="0.4">
      <c r="A371" s="14"/>
      <c r="B371" s="14"/>
      <c r="C371" s="11"/>
      <c r="D371" s="27"/>
      <c r="E371" s="28"/>
      <c r="F371" s="28"/>
      <c r="G371" s="28"/>
      <c r="H371" s="28"/>
    </row>
    <row r="372" spans="1:8" x14ac:dyDescent="0.4">
      <c r="A372" s="14"/>
      <c r="B372" s="14"/>
      <c r="C372" s="11"/>
      <c r="D372" s="27"/>
      <c r="E372" s="28"/>
      <c r="F372" s="28"/>
      <c r="G372" s="28"/>
      <c r="H372" s="28"/>
    </row>
    <row r="373" spans="1:8" x14ac:dyDescent="0.4">
      <c r="A373" s="14"/>
      <c r="B373" s="14"/>
      <c r="C373" s="11"/>
      <c r="D373" s="27"/>
      <c r="E373" s="28"/>
      <c r="F373" s="28"/>
      <c r="G373" s="28"/>
      <c r="H373" s="28"/>
    </row>
    <row r="374" spans="1:8" x14ac:dyDescent="0.4">
      <c r="A374" s="14"/>
      <c r="B374" s="14"/>
      <c r="C374" s="11"/>
      <c r="D374" s="27"/>
      <c r="E374" s="28"/>
      <c r="F374" s="28"/>
      <c r="G374" s="28"/>
      <c r="H374" s="28"/>
    </row>
  </sheetData>
  <phoneticPr fontId="1"/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 x14ac:dyDescent="0.4"/>
  <cols>
    <col min="2" max="2" width="12.5" customWidth="1"/>
  </cols>
  <sheetData>
    <row r="1" spans="1:2" x14ac:dyDescent="0.4">
      <c r="A1" s="12" t="str">
        <f>MAIN!B1</f>
        <v>ローカル</v>
      </c>
      <c r="B1" s="9" t="s">
        <v>6</v>
      </c>
    </row>
    <row r="2" spans="1:2" x14ac:dyDescent="0.4">
      <c r="B2" s="9" t="s">
        <v>1</v>
      </c>
    </row>
    <row r="3" spans="1:2" x14ac:dyDescent="0.4">
      <c r="B3" s="9" t="s">
        <v>2</v>
      </c>
    </row>
    <row r="4" spans="1:2" x14ac:dyDescent="0.4">
      <c r="B4" s="9" t="s">
        <v>4</v>
      </c>
    </row>
    <row r="5" spans="1:2" x14ac:dyDescent="0.4">
      <c r="B5" s="9" t="s">
        <v>5</v>
      </c>
    </row>
    <row r="6" spans="1:2" x14ac:dyDescent="0.4">
      <c r="B6" s="9" t="s">
        <v>3</v>
      </c>
    </row>
    <row r="7" spans="1:2" x14ac:dyDescent="0.4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11</vt:i4>
      </vt:variant>
      <vt:variant>
        <vt:lpstr>名前付き一覧</vt:lpstr>
      </vt:variant>
      <vt:variant>
        <vt:i4>7</vt:i4>
      </vt:variant>
    </vt:vector>
  </HeadingPairs>
  <TitlesOfParts>
    <vt:vector size="18" baseType="lpstr">
      <vt:lpstr>MAIN</vt:lpstr>
      <vt:lpstr>event</vt:lpstr>
      <vt:lpstr>calendar_category</vt:lpstr>
      <vt:lpstr>calendar_event</vt:lpstr>
      <vt:lpstr>calendar_event_tag</vt:lpstr>
      <vt:lpstr>calendar_tag</vt:lpstr>
      <vt:lpstr>Data</vt:lpstr>
      <vt:lpstr>character_name</vt:lpstr>
      <vt:lpstr>遭遇戦</vt:lpstr>
      <vt:lpstr>Sheet2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り れ</cp:lastModifiedBy>
  <dcterms:created xsi:type="dcterms:W3CDTF">2023-05-19T02:28:04Z</dcterms:created>
  <dcterms:modified xsi:type="dcterms:W3CDTF">2026-10-13T16:19:02Z</dcterms:modified>
</cp:coreProperties>
</file>