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2AC1369-8ECF-4F47-B048-75518A644C80}" xr6:coauthVersionLast="47" xr6:coauthVersionMax="47" xr10:uidLastSave="{00000000-0000-0000-0000-000000000000}"/>
  <bookViews>
    <workbookView xWindow="28680" yWindow="-120" windowWidth="29040" windowHeight="15840" firstSheet="8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skill_buff!$A$6:$S$299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9" i="65" l="1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6" i="65"/>
  <c r="F245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2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61" i="65"/>
  <c r="F160" i="65"/>
  <c r="F159" i="65"/>
  <c r="F158" i="65"/>
  <c r="F157" i="65"/>
  <c r="F156" i="65"/>
  <c r="F155" i="65"/>
  <c r="F154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D140" i="58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D318" i="58"/>
  <c r="D139" i="58"/>
  <c r="D319" i="58"/>
  <c r="D137" i="58"/>
  <c r="D136" i="58"/>
  <c r="D135" i="58"/>
  <c r="A1" i="60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<sst xmlns="http://schemas.openxmlformats.org/spreadsheetml/2006/main" count="3769" uniqueCount="2171">
  <si>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</si>
  <si>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</si>
  <si>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</si>
  <si>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</si>
  <si>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</si>
  <si>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</si>
  <si>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</si>
  <si>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</si>
  <si>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</si>
  <si>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</si>
  <si>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</si>
  <si>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</si>
  <si>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</si>
  <si>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</si>
  <si>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</si>
  <si>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</si>
  <si>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</si>
  <si>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</si>
  <si>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</si>
  <si>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</si>
  <si>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</si>
  <si>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</si>
  <si>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</si>
  <si>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</si>
  <si>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</si>
  <si>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</si>
  <si>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</si>
  <si>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</si>
  <si>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</si>
  <si>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</si>
  <si>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</si>
  <si>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</si>
  <si>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</si>
  <si>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</si>
  <si>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</si>
  <si>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</si>
  <si>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</si>
  <si>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</si>
  <si>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</si>
  <si>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</si>
  <si>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</si>
  <si>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</si>
  <si>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</si>
  <si>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</si>
  <si>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</si>
  <si>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</si>
  <si>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</si>
  <si>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</si>
  <si>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</si>
  <si>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</si>
  <si>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</si>
  <si>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</si>
  <si>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</si>
  <si>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</si>
  <si>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</si>
  <si>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</si>
  <si>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</si>
  <si>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</si>
  <si>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</si>
  <si>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</si>
  <si>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</si>
  <si>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</si>
  <si>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</si>
  <si>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</si>
  <si>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</si>
  <si>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</si>
  <si>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</si>
  <si>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</si>
  <si>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</si>
  <si>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</si>
  <si>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</si>
  <si>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</si>
  <si>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</si>
  <si>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</si>
  <si>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</si>
  <si>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</si>
  <si>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</si>
  <si>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</si>
  <si>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</si>
  <si>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</si>
  <si>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</si>
  <si>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</si>
  <si>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</si>
  <si>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</si>
  <si>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</si>
  <si>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</si>
  <si>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</si>
  <si>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</si>
  <si>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</si>
  <si>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</si>
  <si>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</si>
  <si>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</si>
  <si>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</si>
  <si>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</si>
  <si>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</si>
  <si>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</si>
  <si>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</si>
  <si>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</si>
  <si>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</si>
  <si>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</si>
  <si>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</si>
  <si>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</si>
  <si>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</si>
  <si>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</si>
  <si>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</si>
  <si>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</si>
  <si>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</si>
  <si>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</si>
  <si>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</si>
  <si>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</si>
  <si>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</si>
  <si>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</si>
  <si>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</si>
  <si>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</si>
  <si>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</si>
  <si>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</si>
  <si>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</si>
  <si>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</si>
  <si>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</si>
  <si>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</si>
  <si>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</si>
  <si>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</si>
  <si>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</si>
  <si>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</si>
  <si>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</si>
  <si>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</si>
  <si>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</si>
  <si>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</si>
  <si>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</si>
  <si>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</si>
  <si>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</si>
  <si>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</si>
  <si>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</si>
  <si>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</si>
  <si>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</si>
  <si>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</si>
  <si>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</si>
  <si>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</si>
  <si>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</si>
  <si>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</si>
  <si>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</si>
  <si>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</si>
  <si>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</si>
  <si>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</si>
  <si>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</si>
  <si>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</si>
  <si>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</si>
  <si>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</si>
  <si>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</si>
  <si>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</si>
  <si>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</si>
  <si>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</si>
  <si>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</si>
  <si>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</si>
  <si>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</si>
  <si>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</si>
  <si>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</si>
  <si>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</si>
  <si>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</si>
  <si>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</si>
  <si>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</si>
  <si>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</si>
  <si>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</si>
  <si>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</si>
  <si>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</si>
  <si>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</si>
  <si>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</si>
  <si>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</si>
  <si>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</si>
  <si>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</si>
  <si>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</si>
  <si>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</si>
  <si>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</si>
  <si>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</si>
  <si>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</si>
  <si>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</si>
  <si>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</si>
  <si>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</si>
  <si>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</si>
  <si>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</si>
  <si>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</si>
  <si>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</si>
  <si>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</si>
  <si>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</si>
  <si>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</si>
  <si>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</si>
  <si>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</si>
  <si>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</si>
  <si>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</si>
  <si>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</si>
  <si>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</si>
  <si>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</si>
  <si>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</si>
  <si>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</si>
  <si>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</si>
  <si>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</si>
  <si>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</si>
  <si>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</si>
  <si>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</si>
  <si>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</si>
  <si>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</si>
  <si>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</si>
  <si>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</si>
  <si>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</si>
  <si>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</si>
  <si>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</si>
  <si>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</si>
  <si>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</si>
  <si>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</si>
  <si>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</si>
  <si>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</si>
  <si>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</si>
  <si>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</si>
  <si>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</si>
  <si>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</si>
  <si>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</si>
  <si>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</si>
  <si>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</si>
  <si>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</si>
  <si>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</si>
  <si>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</si>
  <si>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</si>
  <si>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</si>
  <si>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</si>
  <si>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</si>
  <si>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</si>
  <si>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</si>
  <si>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</si>
  <si>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</si>
  <si>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</si>
  <si>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</si>
  <si>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</si>
  <si>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</si>
  <si>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</si>
  <si>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</si>
  <si>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</si>
  <si>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</si>
  <si>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</si>
  <si>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</si>
  <si>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</si>
  <si>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</si>
  <si>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</si>
  <si>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</si>
  <si>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</si>
  <si>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</si>
  <si>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</si>
  <si>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</si>
  <si>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</si>
  <si>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</si>
  <si>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</si>
  <si>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</si>
  <si>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</si>
  <si>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</si>
  <si>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</si>
  <si>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</si>
  <si>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</si>
  <si>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</si>
  <si>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</si>
  <si>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</si>
  <si>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</si>
  <si>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</si>
  <si>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</si>
  <si>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</si>
  <si>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</si>
  <si>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</si>
  <si>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</si>
  <si>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</si>
  <si>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</si>
  <si>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</si>
  <si>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</si>
  <si>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</si>
  <si>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</si>
  <si>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</si>
  <si>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</si>
  <si>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</si>
  <si>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</si>
  <si>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</si>
  <si>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</si>
  <si>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</si>
  <si>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</si>
  <si>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</si>
  <si>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</si>
  <si>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</si>
  <si>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</si>
  <si>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</si>
  <si>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</si>
  <si>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</si>
  <si>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</si>
  <si>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</si>
  <si>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</si>
  <si>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</si>
  <si>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</si>
  <si>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</si>
  <si>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</si>
  <si>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</si>
  <si>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</si>
  <si>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</si>
  <si>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</si>
  <si>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</si>
  <si>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</si>
  <si>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</si>
  <si>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</si>
  <si>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</si>
  <si>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</si>
  <si>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</si>
  <si>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</si>
  <si>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</si>
  <si>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</si>
  <si>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</si>
  <si>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</si>
  <si>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</si>
  <si>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</si>
  <si>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</si>
  <si>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</si>
  <si>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</si>
  <si>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</si>
  <si>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</si>
  <si>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</si>
  <si>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</si>
  <si>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</si>
  <si>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</si>
  <si>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</si>
  <si>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</si>
  <si>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</si>
  <si>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</si>
  <si>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</si>
  <si>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</si>
  <si>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</si>
  <si>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</si>
  <si>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</si>
  <si>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</si>
  <si>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</si>
  <si>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</si>
  <si>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</si>
  <si>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</si>
  <si>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</si>
  <si>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</si>
  <si>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</si>
  <si>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</si>
  <si>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</si>
  <si>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</si>
  <si>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</si>
  <si>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</si>
  <si>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</si>
  <si>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</si>
  <si>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</si>
  <si>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</si>
  <si>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</si>
  <si>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</si>
  <si>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</si>
  <si>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</si>
  <si>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</si>
  <si>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</si>
  <si>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</si>
  <si>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</si>
  <si>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</si>
  <si>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</si>
  <si>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</si>
  <si>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</si>
  <si>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</si>
  <si>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</si>
  <si>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</si>
  <si>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</si>
  <si>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</si>
  <si>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</si>
  <si>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</si>
  <si>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</si>
  <si>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</si>
  <si>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</si>
  <si>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</si>
  <si>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</si>
  <si>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</si>
  <si>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</si>
  <si>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</si>
  <si>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</si>
  <si>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</si>
  <si>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</si>
  <si>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</si>
  <si>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</si>
  <si>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</si>
  <si>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</si>
  <si>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</si>
  <si>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</si>
  <si>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</si>
  <si>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</si>
  <si>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</si>
  <si>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</si>
  <si>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</si>
  <si>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</si>
  <si>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</si>
  <si>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</si>
  <si>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</si>
  <si>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</si>
  <si>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</si>
  <si>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</si>
  <si>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</si>
  <si>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</si>
  <si>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</si>
  <si>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</si>
  <si>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</si>
  <si>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</si>
  <si>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</si>
  <si>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</si>
  <si>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</si>
  <si>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</si>
  <si>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</si>
  <si>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</si>
  <si>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</si>
  <si>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</si>
  <si>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</si>
  <si>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</si>
  <si>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</si>
  <si>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</si>
  <si>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</si>
  <si>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</si>
  <si>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</si>
  <si>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</si>
  <si>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</si>
  <si>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</si>
  <si>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</si>
  <si>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</si>
  <si>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</si>
  <si>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</si>
  <si>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</si>
  <si>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</si>
  <si>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</si>
  <si>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</si>
  <si>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</si>
  <si>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</si>
  <si>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</si>
  <si>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</si>
  <si>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</si>
  <si>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</si>
  <si>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</si>
  <si>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</si>
  <si>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</si>
  <si>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</si>
  <si>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</si>
  <si>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</si>
  <si>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</si>
  <si>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</si>
  <si>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</si>
  <si>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</si>
  <si>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</si>
  <si>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</si>
  <si>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</si>
  <si>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</si>
  <si>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</si>
  <si>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</si>
  <si>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</si>
  <si>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</si>
  <si>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</si>
  <si>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</si>
  <si>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</si>
  <si>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</si>
  <si>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</si>
  <si>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</si>
  <si>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</si>
  <si>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</si>
  <si>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</si>
  <si>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</si>
  <si>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</si>
  <si>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</si>
  <si>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</si>
  <si>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</si>
  <si>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</si>
  <si>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</si>
  <si>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</si>
  <si>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</si>
  <si>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</si>
  <si>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</si>
  <si>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</si>
  <si>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</si>
  <si>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</si>
  <si>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</si>
  <si>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</si>
  <si>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</si>
  <si>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</si>
  <si>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</si>
  <si>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</si>
  <si>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</si>
  <si>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</si>
  <si>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</si>
  <si>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</si>
  <si>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</si>
  <si>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</si>
  <si>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</si>
  <si>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</si>
  <si>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</si>
  <si>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</si>
  <si>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</si>
  <si>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</si>
  <si>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</si>
  <si>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</si>
  <si>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</si>
  <si>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</si>
  <si>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</si>
  <si>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</si>
  <si>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</si>
  <si>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</si>
  <si>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</si>
  <si>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</si>
  <si>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</si>
  <si>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</si>
  <si>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</si>
  <si>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</si>
  <si>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</si>
  <si>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</si>
  <si>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</si>
  <si>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</si>
  <si>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</si>
  <si>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</si>
  <si>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</si>
  <si>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</si>
  <si>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</si>
  <si>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</si>
  <si>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</si>
  <si>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</si>
  <si>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</si>
  <si>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</si>
  <si>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</si>
  <si>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</si>
  <si>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</si>
  <si>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</si>
  <si>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</si>
  <si>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</si>
  <si>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</si>
  <si>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</si>
  <si>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</si>
  <si>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</si>
  <si>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</si>
  <si>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</si>
  <si>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</si>
  <si>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</si>
  <si>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</si>
  <si>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</si>
  <si>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</si>
  <si>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</si>
  <si>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</si>
  <si>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</si>
  <si>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</si>
  <si>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</si>
  <si>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</si>
  <si>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</si>
  <si>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</si>
  <si>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</si>
  <si>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</si>
  <si>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</si>
  <si>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</si>
  <si>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</si>
  <si>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</si>
  <si>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</si>
  <si>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</si>
  <si>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</si>
  <si>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</si>
  <si>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</si>
  <si>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</si>
  <si>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</si>
  <si>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</si>
  <si>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</si>
  <si>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</si>
  <si>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</si>
  <si>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</si>
  <si>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</si>
  <si>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</si>
  <si>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</si>
  <si>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</si>
  <si>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</si>
  <si>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</si>
  <si>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</si>
  <si>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</si>
  <si>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</si>
  <si>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</si>
  <si>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</si>
  <si>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</si>
  <si>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</si>
  <si>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</si>
  <si>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</si>
  <si>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</si>
  <si>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</si>
  <si>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</si>
  <si>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</si>
  <si>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</si>
  <si>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</si>
  <si>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</si>
  <si>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</si>
  <si>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</si>
  <si>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</si>
  <si>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</si>
  <si>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</si>
  <si>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</si>
  <si>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</si>
  <si>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</si>
  <si>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</si>
  <si>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</si>
  <si>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</si>
  <si>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</si>
  <si>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</si>
  <si>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</si>
  <si>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</si>
  <si>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</si>
  <si>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</si>
  <si>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</si>
  <si>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</si>
  <si>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</si>
  <si>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</si>
  <si>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</si>
  <si>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</si>
  <si>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</si>
  <si>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</si>
  <si>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</si>
  <si>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</si>
  <si>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</si>
  <si>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</si>
  <si>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</si>
  <si>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</si>
  <si>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</si>
  <si>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</si>
  <si>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</si>
  <si>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</si>
  <si>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</si>
  <si>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</si>
  <si>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</si>
  <si>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</si>
  <si>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</si>
  <si>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</si>
  <si>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</si>
  <si>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</si>
  <si>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</si>
  <si>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</si>
  <si>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</si>
  <si>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</si>
  <si>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</si>
  <si>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</si>
  <si>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</si>
  <si>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</si>
  <si>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</si>
  <si>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</si>
  <si>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</si>
  <si>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</si>
  <si>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</si>
  <si>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</si>
  <si>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</si>
  <si>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</si>
  <si>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</si>
  <si>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</si>
  <si>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</si>
  <si>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</si>
  <si>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</si>
  <si>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</si>
  <si>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</si>
  <si>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</si>
  <si>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</si>
  <si>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</si>
  <si>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</si>
  <si>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</si>
  <si>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</si>
  <si>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</si>
  <si>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</si>
  <si>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</si>
  <si>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</si>
  <si>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</si>
  <si>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</si>
  <si>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</si>
  <si>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</si>
  <si>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</si>
  <si>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</si>
  <si>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</si>
  <si>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</si>
  <si>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</si>
  <si>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</si>
  <si>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</si>
  <si>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</si>
  <si>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</si>
  <si>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</si>
  <si>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</si>
  <si>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</si>
  <si>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</si>
  <si>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</si>
  <si>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</si>
  <si>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</si>
  <si>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</si>
  <si>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</si>
  <si>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</si>
  <si>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</si>
  <si>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</si>
  <si>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</si>
  <si>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</si>
  <si>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</si>
  <si>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</si>
  <si>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</si>
  <si>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</si>
  <si>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</si>
  <si>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</si>
  <si>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</si>
  <si>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</si>
  <si>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</si>
  <si>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</si>
  <si>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</si>
  <si>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</si>
  <si>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</si>
  <si>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</si>
  <si>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</si>
  <si>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</si>
  <si>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</si>
  <si>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</si>
  <si>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</si>
  <si>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</si>
  <si>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</si>
  <si>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</si>
  <si>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</si>
  <si>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</si>
  <si>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</si>
  <si>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</si>
  <si>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</si>
  <si>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</si>
  <si>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</si>
  <si>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</si>
  <si>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</si>
  <si>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</si>
  <si>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</si>
  <si>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</si>
  <si>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</si>
  <si>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</si>
  <si>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</si>
  <si>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</si>
  <si>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</si>
  <si>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</si>
  <si>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</si>
  <si>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</si>
  <si>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</si>
  <si>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</si>
  <si>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</si>
  <si>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</si>
  <si>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</si>
  <si>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</si>
  <si>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</si>
  <si>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</si>
  <si>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</si>
  <si>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</si>
  <si>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</si>
  <si>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</si>
  <si>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</si>
  <si>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</si>
  <si>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</si>
  <si>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</si>
  <si>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</si>
  <si>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</si>
  <si>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</si>
  <si>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</si>
  <si>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</si>
  <si>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</si>
  <si>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</si>
  <si>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</si>
  <si>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</si>
  <si>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</si>
  <si>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</si>
  <si>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</si>
  <si>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</si>
  <si>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</si>
  <si>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</si>
  <si>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</si>
  <si>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</si>
  <si>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</si>
  <si>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</si>
  <si>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</si>
  <si>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</si>
  <si>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</si>
  <si>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</si>
  <si>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</si>
  <si>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</si>
  <si>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</si>
  <si>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</si>
  <si>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</si>
  <si>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</si>
  <si>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</si>
  <si>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</si>
  <si>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</si>
  <si>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</si>
  <si>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</si>
  <si>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</si>
  <si>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</si>
  <si>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</si>
  <si>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</si>
  <si>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</si>
  <si>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</si>
  <si>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</si>
  <si>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</si>
  <si>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</si>
  <si>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</si>
  <si>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</si>
  <si>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</si>
  <si>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</si>
  <si>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</si>
  <si>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</si>
  <si>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</si>
  <si>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</si>
  <si>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</si>
  <si>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</si>
  <si>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</si>
  <si>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</si>
  <si>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</si>
  <si>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</si>
  <si>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</si>
  <si>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</si>
  <si>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</si>
  <si>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</si>
  <si>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</si>
  <si>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</si>
  <si>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</si>
  <si>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</si>
  <si>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</si>
  <si>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</si>
  <si>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</si>
  <si>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</si>
  <si>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</si>
  <si>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</si>
  <si>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</si>
  <si>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</si>
  <si>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</si>
  <si>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</si>
  <si>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</si>
  <si>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</si>
  <si>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</si>
  <si>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</si>
  <si>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</si>
  <si>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</si>
  <si>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</si>
  <si>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</si>
  <si>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</si>
  <si>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</si>
  <si>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</si>
  <si>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</si>
  <si>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</si>
  <si>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</si>
  <si>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</si>
  <si>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</si>
  <si>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</si>
  <si>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</si>
  <si>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</si>
  <si>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</si>
  <si>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</si>
  <si>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</si>
  <si>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</si>
  <si>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</si>
  <si>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</si>
  <si>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</si>
  <si>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</si>
  <si>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</si>
  <si>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</si>
  <si>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</si>
  <si>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</si>
  <si>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</si>
  <si>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</si>
  <si>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</si>
  <si>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</si>
  <si>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</si>
  <si>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</si>
  <si>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</si>
  <si>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</si>
  <si>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</si>
  <si>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</si>
  <si>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</si>
  <si>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</si>
  <si>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</si>
  <si>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</si>
  <si>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</si>
  <si>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</si>
  <si>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</si>
  <si>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</si>
  <si>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</si>
  <si>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</si>
  <si>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</si>
  <si>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</si>
  <si>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</si>
  <si>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</si>
  <si>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</si>
  <si>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</si>
  <si>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</si>
  <si>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</si>
  <si>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</si>
  <si>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</si>
  <si>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</si>
  <si>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</si>
  <si>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</si>
  <si>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</si>
  <si>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</si>
  <si>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</si>
  <si>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</si>
  <si>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</si>
  <si>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</si>
  <si>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</si>
  <si>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</si>
  <si>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</si>
  <si>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</si>
  <si>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</si>
  <si>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</si>
  <si>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</si>
  <si>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</si>
  <si>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</si>
  <si>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</si>
  <si>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</si>
  <si>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</si>
  <si>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</si>
  <si>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</si>
  <si>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</si>
  <si>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</si>
  <si>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</si>
  <si>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</si>
  <si>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</si>
  <si>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</si>
  <si>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</si>
  <si>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</si>
  <si>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</si>
  <si>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</si>
  <si>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</si>
  <si>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</si>
  <si>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</si>
  <si>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</si>
  <si>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</si>
  <si>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</si>
  <si>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</si>
  <si>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</si>
  <si>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</si>
  <si>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</si>
  <si>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</si>
  <si>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</si>
  <si>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</si>
  <si>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</si>
  <si>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</si>
  <si>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</si>
  <si>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</si>
  <si>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</si>
  <si>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</si>
  <si>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</si>
  <si>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</si>
  <si>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</si>
  <si>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</si>
  <si>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</si>
  <si>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</si>
  <si>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</si>
  <si>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</si>
  <si>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</si>
  <si>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</si>
  <si>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</si>
  <si>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</si>
  <si>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</si>
  <si>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</si>
  <si>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</si>
  <si>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</si>
  <si>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</si>
  <si>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</si>
  <si>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</si>
  <si>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</si>
  <si>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</si>
  <si>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</si>
  <si>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</si>
  <si>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</si>
  <si>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</si>
  <si>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</si>
  <si>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</si>
  <si>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</si>
  <si>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</si>
  <si>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</si>
  <si>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</si>
  <si>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</si>
  <si>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</si>
  <si>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</si>
  <si>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</si>
  <si>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</si>
  <si>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</si>
  <si>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</si>
  <si>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</si>
  <si>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</si>
  <si>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</si>
  <si>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</si>
  <si>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</si>
  <si>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</si>
  <si>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</si>
  <si>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</si>
  <si>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</si>
  <si>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</si>
  <si>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</si>
  <si>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</si>
  <si>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</si>
  <si>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</si>
  <si>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</si>
  <si>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</si>
  <si>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</si>
  <si>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</si>
  <si>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</si>
  <si>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</si>
  <si>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</si>
  <si>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</si>
  <si>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</si>
  <si>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</si>
  <si>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</si>
  <si>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</si>
  <si>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</si>
  <si>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</si>
  <si>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</si>
  <si>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</si>
  <si>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</si>
  <si>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</si>
  <si>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</si>
  <si>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</si>
  <si>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</si>
  <si>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</si>
  <si>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</si>
  <si>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</si>
  <si>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</si>
  <si>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</si>
  <si>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</si>
  <si>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</si>
  <si>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</si>
  <si>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</si>
  <si>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</si>
  <si>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</si>
  <si>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</si>
  <si>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</si>
  <si>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</si>
  <si>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</si>
  <si>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</si>
  <si>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</si>
  <si>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</si>
  <si>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</si>
  <si>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</si>
  <si>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</si>
  <si>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</si>
  <si>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</si>
  <si>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</si>
  <si>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</si>
  <si>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</si>
  <si>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</si>
  <si>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</si>
  <si>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</si>
  <si>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</si>
  <si>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</si>
  <si>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</si>
  <si>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</si>
  <si>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</si>
  <si>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</si>
  <si>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</si>
  <si>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</si>
  <si>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</si>
  <si>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</si>
  <si>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</si>
  <si>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</si>
  <si>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</si>
  <si>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</si>
  <si>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</si>
  <si>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</si>
  <si>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</si>
  <si>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</si>
  <si>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</si>
  <si>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</si>
  <si>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</si>
  <si>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</si>
  <si>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</si>
  <si>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</si>
  <si>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</si>
  <si>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</si>
  <si>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</si>
  <si>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</si>
  <si>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</si>
  <si>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</si>
  <si>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</si>
  <si>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</si>
  <si>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</si>
  <si>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</si>
  <si>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</si>
  <si>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</si>
  <si>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</si>
  <si>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</si>
  <si>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</si>
  <si>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</si>
  <si>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</si>
  <si>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</si>
  <si>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</si>
  <si>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</si>
  <si>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</si>
  <si>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</si>
  <si>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</si>
  <si>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</si>
  <si>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</si>
  <si>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</si>
  <si>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</si>
  <si>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</si>
  <si>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</si>
  <si>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</si>
  <si>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</si>
  <si>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</si>
  <si>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</si>
  <si>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</si>
  <si>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</si>
  <si>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</si>
  <si>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</si>
  <si>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</si>
  <si>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</si>
  <si>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</si>
  <si>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</si>
  <si>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</si>
  <si>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</si>
  <si>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</si>
  <si>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</si>
  <si>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</si>
  <si>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</si>
  <si>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</si>
  <si>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</si>
  <si>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</si>
  <si>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</si>
  <si>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</si>
  <si>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</si>
  <si>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</si>
  <si>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</si>
  <si>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</si>
  <si>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</si>
  <si>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</si>
  <si>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</si>
  <si>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</si>
  <si>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</si>
  <si>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</si>
  <si>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</si>
  <si>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</si>
  <si>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</si>
  <si>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</si>
  <si>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</si>
  <si>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</si>
  <si>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</si>
  <si>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</si>
  <si>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</si>
  <si>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</si>
  <si>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</si>
  <si>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</si>
  <si>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</si>
  <si>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</si>
  <si>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</si>
  <si>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</si>
  <si>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</si>
  <si>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</si>
  <si>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</si>
  <si>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</si>
  <si>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</si>
  <si>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</si>
  <si>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</si>
  <si>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</si>
  <si>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</si>
  <si>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</si>
  <si>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</si>
  <si>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</si>
  <si>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</si>
  <si>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</si>
  <si>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</si>
  <si>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</si>
  <si>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</si>
  <si>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</si>
  <si>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</si>
  <si>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</si>
  <si>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</si>
  <si>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</si>
  <si>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</si>
  <si>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</si>
  <si>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</si>
  <si>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</si>
  <si>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</si>
  <si>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</si>
  <si>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</si>
  <si>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</si>
  <si>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</si>
  <si>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</si>
  <si>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</si>
  <si>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</si>
  <si>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</si>
  <si>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</si>
  <si>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</si>
  <si>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</si>
  <si>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</si>
  <si>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</si>
  <si>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</si>
  <si>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</si>
  <si>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</si>
  <si>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</si>
  <si>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</si>
  <si>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</si>
  <si>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</si>
  <si>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</si>
  <si>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</si>
  <si>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</si>
  <si>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</si>
  <si>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</si>
  <si>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</si>
  <si>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</si>
  <si>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</si>
  <si>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</si>
  <si>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</si>
  <si>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</si>
  <si>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</si>
  <si>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</si>
  <si>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</si>
  <si>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</si>
  <si>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</si>
  <si>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</si>
  <si>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</si>
  <si>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</si>
  <si>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</si>
  <si>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</si>
  <si>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</si>
  <si>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</si>
  <si>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</si>
  <si>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</si>
  <si>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</si>
  <si>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</si>
  <si>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</si>
  <si>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</si>
  <si>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</si>
  <si>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</si>
  <si>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</si>
  <si>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</si>
  <si>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</si>
  <si>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</si>
  <si>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</si>
  <si>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</si>
  <si>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</si>
  <si>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</si>
  <si>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</si>
  <si>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</si>
  <si>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</si>
  <si>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</si>
  <si>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</si>
  <si>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</si>
  <si>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</si>
  <si>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</si>
  <si>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</si>
  <si>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</si>
  <si>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</si>
  <si>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</si>
  <si>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</si>
  <si>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</si>
  <si>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</si>
  <si>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</si>
  <si>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</si>
  <si>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</si>
  <si>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</si>
  <si>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</si>
  <si>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</si>
  <si>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</si>
  <si>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</si>
  <si>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</si>
  <si>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</si>
  <si>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</si>
  <si>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</si>
  <si>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</si>
  <si>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</si>
  <si>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</si>
  <si>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</si>
  <si>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</si>
  <si>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</si>
  <si>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</si>
  <si>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</si>
  <si>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</si>
  <si>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</si>
  <si>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</si>
  <si>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</si>
  <si>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</si>
  <si>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</si>
  <si>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</si>
  <si>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</si>
  <si>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</si>
  <si>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</si>
  <si>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</si>
  <si>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</si>
  <si>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</si>
  <si>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</si>
  <si>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</si>
  <si>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</si>
  <si>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</si>
  <si>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</si>
  <si>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</si>
  <si>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</si>
  <si>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</si>
  <si>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</si>
  <si>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</si>
  <si>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</si>
  <si>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</si>
  <si>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</si>
  <si>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</si>
  <si>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</si>
  <si>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</si>
  <si>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</si>
  <si>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</si>
  <si>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</si>
  <si>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</si>
  <si>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</si>
  <si>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</si>
  <si>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</si>
  <si>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</si>
  <si>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</si>
  <si>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</si>
  <si>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</si>
  <si>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</si>
  <si>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</si>
  <si>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</si>
  <si>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</si>
  <si>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</si>
  <si>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</si>
  <si>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</si>
  <si>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</si>
  <si>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</si>
  <si>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</si>
  <si>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</si>
  <si>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</si>
  <si>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</si>
  <si>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</si>
  <si>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</si>
  <si>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</si>
  <si>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</si>
  <si>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</si>
  <si>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</si>
  <si>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</si>
  <si>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</si>
  <si>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</si>
  <si>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</si>
  <si>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</si>
  <si>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</si>
  <si>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</si>
  <si>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</si>
  <si>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</si>
  <si>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</si>
  <si>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</si>
  <si>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</si>
  <si>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</si>
  <si>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</si>
  <si>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</si>
  <si>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</si>
  <si>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</si>
  <si>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</si>
  <si>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</si>
  <si>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</si>
  <si>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</si>
  <si>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</si>
  <si>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</si>
  <si>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</si>
  <si>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</si>
  <si>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</si>
  <si>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</si>
  <si>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</si>
  <si>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</si>
  <si>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</si>
  <si>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</si>
  <si>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</si>
  <si>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</si>
  <si>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</si>
  <si>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</si>
  <si>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</si>
  <si>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</si>
  <si>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</si>
  <si>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</si>
  <si>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</si>
  <si>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</si>
  <si>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</si>
  <si>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</si>
  <si>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</si>
  <si>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</si>
  <si>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</si>
  <si>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</si>
  <si>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</si>
  <si>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</si>
  <si>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</si>
  <si>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</si>
  <si>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</si>
  <si>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</si>
  <si>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</si>
  <si>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</si>
  <si>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</si>
  <si>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</si>
  <si>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</si>
  <si>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</si>
  <si>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</si>
  <si>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</si>
  <si>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</si>
  <si>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</si>
  <si>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</si>
  <si>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</si>
  <si>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</si>
  <si>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</si>
  <si>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</si>
  <si>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</si>
  <si>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</si>
  <si>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</si>
  <si>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</si>
  <si>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</si>
  <si>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</si>
  <si>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</si>
  <si>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</si>
  <si>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</si>
  <si>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</si>
  <si>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</si>
  <si>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</si>
  <si>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</si>
  <si>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</si>
  <si>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</si>
  <si>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</si>
  <si>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</si>
  <si>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</si>
  <si>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</si>
  <si>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</si>
  <si>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</si>
  <si>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</si>
  <si>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</si>
  <si>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</si>
  <si>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</si>
  <si>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</si>
  <si>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</si>
  <si>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</si>
  <si>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</si>
  <si>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</si>
  <si>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</si>
  <si>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</si>
  <si>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</si>
  <si>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</si>
  <si>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</si>
  <si>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</si>
  <si>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</si>
  <si>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</si>
  <si>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</si>
  <si>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</si>
  <si>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</si>
  <si>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</si>
  <si>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</si>
  <si>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</si>
  <si>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</si>
  <si>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</si>
  <si>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</si>
  <si>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</si>
  <si>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</si>
  <si>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</si>
  <si>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</si>
  <si>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</si>
  <si>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</si>
  <si>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</si>
  <si>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</si>
  <si>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</si>
  <si>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</si>
  <si>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</si>
  <si>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</si>
  <si>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</si>
  <si>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</si>
  <si>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</si>
  <si>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</si>
  <si>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</si>
  <si>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</si>
  <si>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</si>
  <si>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</si>
  <si>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</si>
  <si>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</si>
  <si>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</si>
  <si>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</si>
  <si>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</si>
  <si>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</si>
  <si>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</si>
  <si>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</si>
  <si>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</si>
  <si>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</si>
  <si>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</si>
  <si>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</si>
  <si>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</si>
  <si>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</si>
  <si>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</si>
  <si>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</si>
  <si>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</si>
  <si>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</si>
  <si>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</si>
  <si>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</si>
  <si>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</si>
  <si>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</si>
  <si>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</si>
  <si>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</si>
  <si>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</si>
  <si>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</si>
  <si>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</si>
  <si>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</si>
  <si>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</si>
  <si>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</si>
  <si>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</si>
  <si>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</si>
  <si>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</si>
  <si>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</si>
  <si>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</si>
  <si>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</si>
  <si>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</si>
  <si>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</si>
  <si>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</si>
  <si>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</si>
  <si>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</si>
  <si>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</si>
  <si>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</si>
  <si>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</si>
  <si>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</si>
  <si>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</si>
  <si>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</si>
  <si>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</si>
  <si>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</si>
  <si>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</si>
  <si>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</si>
  <si>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</si>
  <si>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</si>
  <si>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</si>
  <si>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</si>
  <si>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</si>
  <si>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</si>
  <si>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</si>
  <si>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</si>
  <si>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</si>
  <si>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</si>
  <si>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</si>
  <si>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</si>
  <si>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</si>
  <si>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</si>
  <si>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</si>
  <si>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</si>
  <si>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</si>
  <si>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</si>
  <si>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</si>
  <si>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</si>
  <si>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</si>
  <si>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</si>
  <si>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</si>
  <si>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</si>
  <si>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</si>
  <si>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</si>
  <si>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</si>
  <si>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</si>
  <si>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</si>
  <si>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</si>
  <si>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</si>
  <si>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</si>
  <si>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</si>
  <si>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</si>
  <si>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</si>
  <si>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</si>
  <si>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</si>
  <si>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</si>
  <si>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</si>
  <si>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</si>
  <si>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</si>
  <si>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</si>
  <si>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</si>
  <si>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</si>
  <si>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</si>
  <si>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</si>
  <si>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</si>
  <si>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</si>
  <si>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</si>
  <si>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</si>
  <si>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</si>
  <si>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</si>
  <si>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</si>
  <si>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</si>
  <si>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</si>
  <si>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</si>
  <si>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</si>
  <si>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</si>
  <si>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</si>
  <si>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</si>
  <si>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</si>
  <si>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</si>
  <si>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</si>
  <si>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</si>
  <si>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</si>
  <si>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</si>
  <si>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</si>
  <si>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</si>
  <si>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</si>
  <si>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</si>
  <si>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</si>
  <si>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</si>
  <si>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</si>
  <si>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</si>
  <si>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</si>
  <si>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</si>
  <si>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</si>
  <si>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</si>
  <si>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</si>
  <si>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</si>
  <si>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</si>
  <si>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</si>
  <si>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</si>
  <si>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</si>
  <si>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</si>
  <si>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</si>
  <si>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</si>
  <si>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</si>
  <si>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</si>
  <si>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</si>
  <si>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</si>
  <si>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</si>
  <si>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</si>
  <si>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</si>
  <si>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</si>
  <si>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</si>
  <si>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</si>
  <si>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</si>
  <si>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</si>
  <si>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</si>
  <si>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</si>
  <si>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</si>
  <si>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</si>
  <si>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</si>
  <si>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</si>
  <si>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</si>
  <si>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</si>
  <si>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</si>
  <si>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</si>
  <si>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</si>
  <si>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</si>
  <si>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</si>
  <si>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</si>
  <si>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</si>
  <si>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</si>
  <si>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</si>
  <si>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</si>
  <si>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</si>
  <si>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</si>
  <si>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</si>
  <si>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</si>
  <si>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</si>
  <si>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</si>
  <si>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</si>
  <si>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</si>
  <si>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</si>
  <si>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</si>
  <si>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</si>
  <si>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</si>
  <si>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</si>
  <si>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</si>
  <si>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</si>
  <si>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</si>
  <si>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</si>
  <si>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</si>
  <si>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</si>
  <si>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</si>
  <si>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</si>
  <si>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</si>
  <si>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</si>
  <si>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</si>
  <si>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</si>
  <si>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</si>
  <si>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</si>
  <si>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</si>
  <si>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</si>
  <si>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</si>
  <si>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</si>
  <si>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</si>
  <si>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</si>
  <si>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</si>
  <si>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</si>
  <si>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</si>
  <si>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</si>
  <si>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</si>
  <si>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</si>
  <si>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</si>
  <si>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</si>
  <si>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</si>
  <si>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</si>
  <si>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</si>
  <si>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</si>
  <si>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</si>
  <si>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</si>
  <si>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</si>
  <si>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</si>
  <si>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</si>
  <si>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</si>
  <si>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</si>
  <si>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</si>
  <si>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</si>
  <si>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</si>
  <si>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</si>
  <si>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</si>
  <si>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</si>
  <si>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</si>
  <si>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</si>
  <si>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</si>
  <si>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</si>
  <si>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</si>
  <si>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</si>
  <si>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</si>
  <si>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</si>
  <si>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</si>
  <si>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</si>
  <si>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</si>
  <si>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</si>
  <si>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</si>
  <si>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</si>
  <si>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</si>
  <si>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</si>
  <si>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</si>
  <si>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</si>
  <si>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</si>
  <si>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</si>
  <si>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</si>
  <si>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</si>
  <si>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</si>
  <si>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</si>
  <si>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</si>
  <si>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</si>
  <si>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</si>
  <si>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</si>
  <si>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</si>
  <si>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</si>
  <si>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</si>
  <si>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</si>
  <si>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</si>
  <si>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</si>
  <si>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</si>
  <si>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</si>
  <si>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</si>
  <si>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</si>
  <si>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</si>
  <si>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</si>
  <si>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</si>
  <si>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</si>
  <si>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</si>
  <si>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</si>
  <si>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</si>
  <si>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</si>
  <si>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</si>
  <si>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</si>
  <si>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</si>
  <si>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</si>
  <si>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</si>
  <si>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</si>
  <si>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</si>
  <si>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</si>
  <si>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</si>
  <si>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</si>
  <si>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</si>
  <si>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</si>
  <si>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</si>
  <si>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</si>
  <si>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</si>
  <si>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</si>
  <si>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</si>
  <si>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</si>
  <si>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</si>
  <si>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</si>
  <si>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</si>
  <si>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</si>
  <si>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</si>
  <si>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</si>
  <si>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</si>
  <si>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</si>
  <si>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</si>
  <si>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</si>
  <si>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</si>
  <si>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</si>
  <si>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</si>
  <si>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</si>
  <si>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</si>
  <si>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</si>
  <si>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</si>
  <si>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</si>
  <si>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</si>
  <si>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</si>
  <si>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</si>
  <si>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</si>
  <si>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</si>
  <si>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</si>
  <si>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</si>
  <si>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</si>
  <si>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</si>
  <si>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</si>
  <si>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</si>
  <si>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</si>
  <si>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</si>
  <si>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</si>
  <si>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</si>
  <si>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</si>
  <si>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</si>
  <si>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</si>
  <si>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</si>
  <si>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</si>
  <si>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</si>
  <si>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</si>
  <si>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</si>
  <si>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</si>
  <si>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</si>
  <si>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</si>
  <si>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</si>
  <si>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</si>
  <si>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</si>
  <si>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</si>
  <si>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</si>
  <si>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</si>
  <si>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</si>
  <si>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</si>
  <si>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</si>
  <si>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</si>
  <si>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</si>
  <si>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</si>
  <si>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</si>
  <si>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</si>
  <si>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</si>
  <si>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</si>
  <si>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</si>
  <si>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</si>
  <si>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</si>
  <si>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</si>
  <si>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</si>
  <si>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</si>
  <si>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</si>
  <si>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</si>
  <si>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</si>
  <si>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</si>
  <si>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</si>
  <si>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</si>
  <si>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</si>
  <si>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</si>
  <si>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</si>
  <si>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</si>
  <si>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</si>
  <si>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</si>
  <si>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</si>
  <si>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</si>
  <si>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</si>
  <si>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</si>
  <si>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</si>
  <si>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</si>
  <si>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</si>
  <si>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</si>
  <si>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</si>
  <si>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</si>
  <si>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</si>
  <si>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</si>
  <si>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</si>
  <si>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</si>
  <si>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</si>
  <si>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</si>
  <si>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</si>
  <si>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</si>
  <si>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</si>
  <si>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</si>
  <si>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</si>
  <si>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</si>
  <si>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</si>
  <si>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</si>
  <si>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</si>
  <si>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</si>
  <si>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</si>
  <si>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</si>
  <si>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</si>
  <si>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</si>
  <si>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</si>
  <si>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</si>
  <si>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</si>
  <si>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</si>
  <si>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</si>
  <si>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</si>
  <si>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</si>
  <si>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</si>
  <si>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</si>
  <si>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</si>
  <si>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</si>
  <si>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</si>
  <si>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</si>
  <si>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</si>
  <si>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</si>
  <si>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</si>
  <si>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</si>
  <si>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</si>
  <si>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</si>
  <si>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</si>
  <si>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</si>
  <si>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</si>
  <si>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</si>
  <si>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</si>
  <si>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</si>
  <si>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</si>
  <si>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</si>
  <si>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</si>
  <si>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</si>
  <si>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</si>
  <si>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</si>
  <si>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</si>
  <si>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</si>
  <si>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</si>
  <si>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</si>
  <si>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</si>
  <si>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</si>
  <si>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</si>
  <si>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</si>
  <si>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</si>
  <si>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</si>
  <si>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</si>
  <si>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</si>
  <si>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</si>
  <si>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</si>
  <si>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</si>
  <si>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</si>
  <si>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</si>
  <si>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</si>
  <si>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</si>
  <si>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</si>
  <si>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</si>
  <si>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</si>
  <si>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</si>
  <si>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</si>
  <si>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</si>
  <si>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</si>
  <si>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</si>
  <si>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</si>
  <si>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</si>
  <si>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</si>
  <si>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</si>
  <si>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</si>
  <si>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</si>
  <si>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</si>
  <si>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</si>
  <si>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</si>
  <si>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</si>
  <si>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</si>
  <si>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</si>
  <si>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</si>
  <si>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</si>
  <si>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</si>
  <si>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</si>
  <si>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</si>
  <si>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</si>
  <si>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</si>
  <si>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</si>
  <si>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</si>
  <si>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</si>
  <si>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</si>
  <si>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</si>
  <si>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</si>
  <si>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</si>
  <si>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</si>
  <si>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</si>
  <si>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</si>
  <si>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</si>
  <si>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</si>
  <si>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</si>
  <si>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</si>
  <si>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</si>
  <si>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</si>
  <si>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</si>
  <si>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</si>
  <si>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</si>
  <si>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</si>
  <si>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</si>
  <si>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</si>
  <si>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</si>
  <si>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</si>
  <si>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</si>
  <si>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</si>
  <si>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</si>
  <si>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</si>
  <si>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</si>
  <si>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</si>
  <si>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</si>
  <si>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</si>
  <si>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</si>
  <si>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</si>
  <si>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</si>
  <si>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</si>
  <si>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</si>
  <si>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</si>
  <si>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</si>
  <si>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</si>
  <si>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</si>
  <si>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</si>
  <si>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</si>
  <si>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</si>
  <si>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</si>
  <si>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</si>
  <si>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</si>
  <si>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</si>
  <si>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</si>
  <si>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</si>
  <si>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</si>
  <si>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</si>
  <si>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</si>
  <si>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</si>
  <si>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</si>
  <si>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</si>
  <si>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</si>
  <si>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</si>
  <si>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</si>
  <si>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</si>
  <si>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</si>
  <si>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</si>
  <si>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</si>
  <si>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</si>
  <si>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</si>
  <si>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</si>
  <si>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</si>
  <si>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</si>
  <si>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</si>
  <si>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</si>
  <si>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</si>
  <si>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</si>
  <si>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</si>
  <si>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</si>
  <si>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</si>
  <si>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</si>
  <si>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</si>
  <si>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</si>
  <si>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</si>
  <si>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</si>
  <si>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</si>
  <si>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</si>
  <si>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</si>
  <si>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</si>
  <si>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</si>
  <si>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</si>
  <si>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</si>
  <si>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</si>
  <si>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</si>
  <si>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</si>
  <si>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</si>
  <si>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</si>
  <si>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</si>
  <si>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</si>
  <si>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</si>
  <si>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</si>
  <si>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</si>
  <si>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</si>
  <si>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</si>
  <si>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</si>
  <si>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</si>
  <si>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</si>
  <si>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</si>
  <si>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</si>
  <si>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</si>
  <si>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</si>
  <si>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</si>
  <si>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</si>
  <si>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</si>
  <si>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</si>
  <si>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</si>
  <si>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</si>
  <si>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</si>
  <si>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</si>
  <si>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</si>
  <si>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</si>
  <si>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</si>
  <si>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</si>
  <si>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</si>
  <si>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</si>
  <si>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</si>
  <si>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</si>
  <si>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</si>
  <si>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</si>
  <si>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</si>
  <si>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</si>
  <si>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</si>
  <si>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</si>
  <si>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</si>
  <si>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</si>
  <si>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</si>
  <si>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</si>
  <si>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</si>
  <si>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</si>
  <si>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</si>
  <si>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</si>
  <si>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</si>
  <si>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</si>
  <si>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</si>
  <si>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</si>
  <si>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</si>
  <si>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</si>
  <si>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</si>
  <si>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</si>
  <si>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</si>
  <si>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</si>
  <si>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</si>
  <si>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</si>
  <si>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</si>
  <si>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</si>
  <si>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</si>
  <si>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</si>
  <si>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</si>
  <si>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</si>
  <si>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</si>
  <si>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</si>
  <si>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</si>
  <si>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</si>
  <si>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</si>
  <si>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</si>
  <si>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</si>
  <si>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</si>
  <si>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</si>
  <si>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</si>
  <si>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</si>
  <si>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</si>
  <si>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</si>
  <si>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</si>
  <si>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</si>
  <si>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</si>
  <si>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</si>
  <si>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</si>
  <si>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</si>
  <si>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</si>
  <si>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</si>
  <si>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</si>
  <si>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</si>
  <si>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</si>
  <si>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</si>
  <si>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</si>
  <si>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</si>
  <si>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</si>
  <si>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</si>
  <si>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</si>
  <si>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</si>
  <si>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</si>
  <si>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</si>
  <si>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</si>
  <si>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</si>
  <si>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</si>
  <si>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</si>
  <si>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</si>
  <si>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</si>
  <si>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</si>
  <si>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</si>
  <si>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</si>
  <si>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</si>
  <si>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</si>
  <si>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</si>
  <si>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</si>
  <si>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</si>
  <si>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</si>
  <si>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</si>
  <si>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</si>
  <si>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</si>
  <si>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</si>
  <si>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</si>
  <si>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</si>
  <si>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</si>
  <si>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</si>
  <si>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</si>
  <si>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</si>
  <si>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</si>
  <si>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</si>
  <si>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</si>
  <si>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</si>
  <si>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</si>
  <si>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</si>
  <si>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</si>
  <si>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</si>
  <si>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</si>
  <si>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</si>
  <si>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</si>
  <si>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</si>
  <si>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</si>
  <si>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</si>
  <si>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</si>
  <si>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</si>
  <si>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</si>
  <si>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</si>
  <si>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</si>
  <si>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</si>
  <si>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</si>
  <si>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</si>
  <si>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</si>
  <si>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</si>
  <si>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</si>
  <si>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</si>
  <si>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</si>
  <si>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</si>
  <si>
    <t>100</t>
    <phoneticPr fontId="1"/>
  </si>
  <si>
    <t>attack_id1</t>
    <phoneticPr fontId="1"/>
  </si>
  <si>
    <t>attack_id2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</si>
</sst>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1688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B6</f>
        <v>5074</v>
      </c>
      <c r="C3" s="14" t="s">
        <v>75</v>
      </c>
      <c r="D3" s="14" t="s">
        <v>2052</v>
      </c>
      <c r="E3" s="22" t="s">
        <v>2077</v>
      </c>
      <c r="F3" s="22" t="s">
        <v>2078</v>
      </c>
      <c r="G3" s="14" t="s">
        <v>1920</v>
      </c>
      <c r="H3" s="14" t="s">
        <v>1932</v>
      </c>
      <c r="I3" s="14"/>
      <c r="J3" s="14" t="s">
        <v>1925</v>
      </c>
      <c r="K3" s="14"/>
      <c r="L3" s="14"/>
      <c r="M3" s="14"/>
      <c r="N3" s="14" t="s">
        <v>2079</v>
      </c>
      <c r="O3" s="14"/>
      <c r="P3" s="14" t="s">
        <v>2080</v>
      </c>
    </row>
    <row r="4" spans="1:20">
      <c r="A4" t="s">
        <v>1936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1937</v>
      </c>
      <c r="B9" s="14" cm="1">
        <f t="array" ref="B9">MAX(IF(skill_list!B:B&lt;=1000, skill_list!B:B))+1</f>
        <v>507</v>
      </c>
      <c r="C9" s="23" t="s">
        <v>2066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2075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1467</v>
      </c>
      <c r="D12" s="9" t="s">
        <v>1688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1938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1796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1916</v>
      </c>
      <c r="I1">
        <v>1</v>
      </c>
      <c r="J1" t="s">
        <v>1923</v>
      </c>
      <c r="K1">
        <v>0</v>
      </c>
      <c r="L1" t="s">
        <v>1939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1917</v>
      </c>
      <c r="I2">
        <v>2</v>
      </c>
      <c r="J2" t="s">
        <v>1924</v>
      </c>
      <c r="K2">
        <v>1</v>
      </c>
      <c r="L2" t="s">
        <v>1940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1918</v>
      </c>
      <c r="I3">
        <v>3</v>
      </c>
      <c r="J3" t="s">
        <v>1925</v>
      </c>
      <c r="K3">
        <v>2</v>
      </c>
      <c r="L3" t="s">
        <v>1941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1919</v>
      </c>
      <c r="I4">
        <v>4</v>
      </c>
      <c r="J4" t="s">
        <v>1926</v>
      </c>
      <c r="K4">
        <v>3</v>
      </c>
      <c r="L4" t="s">
        <v>1942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1920</v>
      </c>
      <c r="I5">
        <v>5</v>
      </c>
      <c r="J5" t="s">
        <v>1927</v>
      </c>
      <c r="K5">
        <v>4</v>
      </c>
      <c r="L5" t="s">
        <v>1943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1921</v>
      </c>
      <c r="I6">
        <v>6</v>
      </c>
      <c r="J6" t="s">
        <v>1928</v>
      </c>
      <c r="K6">
        <v>5</v>
      </c>
      <c r="L6" t="s">
        <v>1944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1922</v>
      </c>
      <c r="K7">
        <v>6</v>
      </c>
      <c r="L7" t="s">
        <v>1945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1946</v>
      </c>
    </row>
    <row r="9" spans="1:12">
      <c r="A9">
        <v>0</v>
      </c>
      <c r="B9" t="s">
        <v>1929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1947</v>
      </c>
    </row>
    <row r="10" spans="1:12">
      <c r="A10">
        <v>1</v>
      </c>
      <c r="B10" t="s">
        <v>1930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1948</v>
      </c>
    </row>
    <row r="11" spans="1:12">
      <c r="A11">
        <v>2</v>
      </c>
      <c r="B11" t="s">
        <v>1931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1932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1949</v>
      </c>
    </row>
    <row r="13" spans="1:12">
      <c r="A13">
        <v>4</v>
      </c>
      <c r="B13" t="s">
        <v>1933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1950</v>
      </c>
    </row>
    <row r="14" spans="1:12">
      <c r="A14">
        <v>5</v>
      </c>
      <c r="B14" t="s">
        <v>1934</v>
      </c>
      <c r="C14">
        <v>14</v>
      </c>
      <c r="D14" t="s">
        <v>88</v>
      </c>
      <c r="E14">
        <v>13</v>
      </c>
      <c r="K14">
        <v>13</v>
      </c>
      <c r="L14" t="s">
        <v>1951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1952</v>
      </c>
    </row>
    <row r="16" spans="1:12">
      <c r="A16">
        <v>1</v>
      </c>
      <c r="B16" t="s">
        <v>1969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1953</v>
      </c>
    </row>
    <row r="17" spans="1:12">
      <c r="A17">
        <v>2</v>
      </c>
      <c r="B17" t="s">
        <v>1935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1954</v>
      </c>
    </row>
    <row r="18" spans="1:12">
      <c r="A18">
        <v>3</v>
      </c>
      <c r="B18" t="s">
        <v>1970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1955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1956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1957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1958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1959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1960</v>
      </c>
    </row>
    <row r="24" spans="1:12">
      <c r="C24">
        <v>24</v>
      </c>
      <c r="D24" t="s">
        <v>98</v>
      </c>
      <c r="K24">
        <v>23</v>
      </c>
      <c r="L24" t="s">
        <v>1961</v>
      </c>
    </row>
    <row r="25" spans="1:12">
      <c r="C25">
        <v>25</v>
      </c>
      <c r="D25" t="s">
        <v>99</v>
      </c>
      <c r="K25">
        <v>24</v>
      </c>
      <c r="L25" t="s">
        <v>1962</v>
      </c>
    </row>
    <row r="26" spans="1:12">
      <c r="C26">
        <v>26</v>
      </c>
      <c r="D26" t="s">
        <v>100</v>
      </c>
      <c r="K26">
        <v>25</v>
      </c>
      <c r="L26" t="s">
        <v>1963</v>
      </c>
    </row>
    <row r="27" spans="1:12">
      <c r="C27">
        <v>27</v>
      </c>
      <c r="D27" t="s">
        <v>101</v>
      </c>
      <c r="K27">
        <v>26</v>
      </c>
      <c r="L27" t="s">
        <v>1964</v>
      </c>
    </row>
    <row r="28" spans="1:12">
      <c r="C28">
        <v>28</v>
      </c>
      <c r="D28" t="s">
        <v>102</v>
      </c>
      <c r="K28">
        <v>27</v>
      </c>
      <c r="L28" t="s">
        <v>1965</v>
      </c>
    </row>
    <row r="29" spans="1:12">
      <c r="C29">
        <v>29</v>
      </c>
      <c r="D29" t="s">
        <v>103</v>
      </c>
      <c r="K29">
        <v>28</v>
      </c>
      <c r="L29" t="s">
        <v>1966</v>
      </c>
    </row>
    <row r="30" spans="1:12">
      <c r="C30">
        <v>30</v>
      </c>
      <c r="D30" t="s">
        <v>104</v>
      </c>
      <c r="K30">
        <v>29</v>
      </c>
      <c r="L30" t="s">
        <v>1967</v>
      </c>
    </row>
    <row r="31" spans="1:12">
      <c r="C31">
        <v>31</v>
      </c>
      <c r="D31" t="s">
        <v>105</v>
      </c>
      <c r="K31">
        <v>30</v>
      </c>
      <c r="L31" t="s">
        <v>1968</v>
      </c>
    </row>
    <row r="32" spans="1:12">
      <c r="C32">
        <v>32</v>
      </c>
      <c r="D32" t="s">
        <v>106</v>
      </c>
      <c r="K32">
        <v>31</v>
      </c>
      <c r="L32" t="s">
        <v>1847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1753</v>
      </c>
      <c r="G2" s="9" t="s">
        <v>1825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1880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1882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1881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1879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1880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1879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1881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1881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1880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1879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1880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1882</v>
      </c>
    </row>
    <row r="30" spans="1:20">
      <c r="A30" s="8"/>
      <c r="B30" s="14">
        <v>24</v>
      </c>
      <c r="C30" s="11" t="s">
        <v>1826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1882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1879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1882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1881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1880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1880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1879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1882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1879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1882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1880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1882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1881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1879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1881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1881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1879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1882</v>
      </c>
    </row>
    <row r="59" spans="1:20">
      <c r="A59" s="8"/>
      <c r="B59" s="14">
        <v>500</v>
      </c>
      <c r="C59" s="11" t="s">
        <v>2164</v>
      </c>
      <c r="D59" s="11" t="s">
        <v>2165</v>
      </c>
      <c r="E59" s="11" t="s">
        <v>2166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197"/>
  <sheetViews>
    <sheetView zoomScale="85" zoomScaleNormal="85" workbookViewId="0">
      <selection activeCell="M35" sqref="M35"/>
    </sheetView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1797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2168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1691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2057</v>
      </c>
      <c r="E18" s="15">
        <v>390</v>
      </c>
      <c r="F18" s="11" t="s">
        <v>2112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2058</v>
      </c>
      <c r="E19" s="15">
        <v>390</v>
      </c>
      <c r="F19" s="11" t="s">
        <v>2112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2145</v>
      </c>
      <c r="E25" s="15">
        <v>400</v>
      </c>
      <c r="F25" s="11" t="s">
        <v>2150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2146</v>
      </c>
      <c r="E26" s="15">
        <v>400</v>
      </c>
      <c r="F26" s="11" t="s">
        <v>2150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2147</v>
      </c>
      <c r="E27" s="15">
        <v>400</v>
      </c>
      <c r="F27" s="11" t="s">
        <v>2150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2148</v>
      </c>
      <c r="E28" s="15">
        <v>400</v>
      </c>
      <c r="F28" s="11" t="s">
        <v>2150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2149</v>
      </c>
      <c r="E29" s="15">
        <v>400</v>
      </c>
      <c r="F29" s="11" t="s">
        <v>2150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2113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1754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1755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1756</v>
      </c>
      <c r="E78" s="15">
        <v>370</v>
      </c>
      <c r="F78" s="11" t="s">
        <v>1760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1757</v>
      </c>
      <c r="E79" s="15">
        <v>370</v>
      </c>
      <c r="F79" s="11" t="s">
        <v>1761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1758</v>
      </c>
      <c r="E80" s="15">
        <v>370</v>
      </c>
      <c r="F80" s="11" t="s">
        <v>1762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1759</v>
      </c>
      <c r="E81" s="15">
        <v>370</v>
      </c>
      <c r="F81" s="11" t="s">
        <v>1763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1852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1853</v>
      </c>
      <c r="E83" s="15">
        <v>380</v>
      </c>
      <c r="F83" s="11" t="s">
        <v>1861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1854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1855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1856</v>
      </c>
      <c r="E86" s="15">
        <v>380</v>
      </c>
      <c r="F86" s="11" t="s">
        <v>1859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1857</v>
      </c>
      <c r="E87" s="15">
        <v>380</v>
      </c>
      <c r="F87" s="11" t="s">
        <v>1860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2133</v>
      </c>
      <c r="E88" s="15">
        <v>380</v>
      </c>
      <c r="F88" s="11" t="s">
        <v>2114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2134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2135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2136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788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>
        <v>1</v>
      </c>
      <c r="T92" s="15"/>
    </row>
    <row r="93" spans="1:20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789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>
        <v>1</v>
      </c>
      <c r="T93" s="15"/>
    </row>
    <row r="94" spans="1:20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790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>
        <v>1</v>
      </c>
      <c r="T94" s="15"/>
    </row>
    <row r="95" spans="1:20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791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>
        <v>1</v>
      </c>
      <c r="T95" s="15"/>
    </row>
    <row r="96" spans="1:20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789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>
        <v>1</v>
      </c>
      <c r="T96" s="15"/>
    </row>
    <row r="97" spans="1:20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792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778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>
        <v>1</v>
      </c>
      <c r="T98" s="15"/>
    </row>
    <row r="99" spans="1:20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793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794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795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796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768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761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797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798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794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799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800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801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802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>
        <v>1</v>
      </c>
      <c r="T111" s="15"/>
    </row>
    <row r="112" spans="1:20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803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804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23</v>
      </c>
      <c r="D114" s="11" t="s">
        <v>814</v>
      </c>
      <c r="E114" s="15">
        <v>400</v>
      </c>
      <c r="F114" s="11" t="s">
        <v>811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24</v>
      </c>
      <c r="D115" s="11" t="s">
        <v>815</v>
      </c>
      <c r="E115" s="15">
        <v>400</v>
      </c>
      <c r="F115" s="11" t="s">
        <v>789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25</v>
      </c>
      <c r="D116" s="11" t="s">
        <v>816</v>
      </c>
      <c r="E116" s="15">
        <v>400</v>
      </c>
      <c r="F116" s="11" t="s">
        <v>823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26</v>
      </c>
      <c r="D117" s="11" t="s">
        <v>817</v>
      </c>
      <c r="E117" s="15">
        <v>400</v>
      </c>
      <c r="F117" s="11" t="s">
        <v>785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>
        <v>1</v>
      </c>
      <c r="T117" s="15"/>
    </row>
    <row r="118" spans="1:20">
      <c r="A118" s="8"/>
      <c r="B118" s="15">
        <v>4</v>
      </c>
      <c r="C118" s="15">
        <v>27</v>
      </c>
      <c r="D118" s="11" t="s">
        <v>818</v>
      </c>
      <c r="E118" s="15">
        <v>400</v>
      </c>
      <c r="F118" s="11" t="s">
        <v>824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28</v>
      </c>
      <c r="D119" s="11" t="s">
        <v>851</v>
      </c>
      <c r="E119" s="15">
        <v>400</v>
      </c>
      <c r="F119" s="11" t="s">
        <v>765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29</v>
      </c>
      <c r="D120" s="11" t="s">
        <v>852</v>
      </c>
      <c r="E120" s="15">
        <v>400</v>
      </c>
      <c r="F120" s="11" t="s">
        <v>857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30</v>
      </c>
      <c r="D121" s="11" t="s">
        <v>853</v>
      </c>
      <c r="E121" s="15">
        <v>400</v>
      </c>
      <c r="F121" s="11" t="s">
        <v>796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31</v>
      </c>
      <c r="D122" s="11" t="s">
        <v>854</v>
      </c>
      <c r="E122" s="15">
        <v>400</v>
      </c>
      <c r="F122" s="11" t="s">
        <v>857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32</v>
      </c>
      <c r="D123" s="11" t="s">
        <v>855</v>
      </c>
      <c r="E123" s="15">
        <v>400</v>
      </c>
      <c r="F123" s="11" t="s">
        <v>858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33</v>
      </c>
      <c r="D124" s="11" t="s">
        <v>884</v>
      </c>
      <c r="E124" s="15">
        <v>410</v>
      </c>
      <c r="F124" s="11" t="s">
        <v>857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34</v>
      </c>
      <c r="D125" s="11" t="s">
        <v>885</v>
      </c>
      <c r="E125" s="15">
        <v>410</v>
      </c>
      <c r="F125" s="11" t="s">
        <v>893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35</v>
      </c>
      <c r="D126" s="11" t="s">
        <v>886</v>
      </c>
      <c r="E126" s="15">
        <v>410</v>
      </c>
      <c r="F126" s="11" t="s">
        <v>894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36</v>
      </c>
      <c r="D127" s="11" t="s">
        <v>887</v>
      </c>
      <c r="E127" s="15">
        <v>410</v>
      </c>
      <c r="F127" s="11" t="s">
        <v>797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37</v>
      </c>
      <c r="D128" s="11" t="s">
        <v>888</v>
      </c>
      <c r="E128" s="15">
        <v>410</v>
      </c>
      <c r="F128" s="11" t="s">
        <v>811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38</v>
      </c>
      <c r="D129" s="11" t="s">
        <v>1755</v>
      </c>
      <c r="E129" s="15">
        <v>410</v>
      </c>
      <c r="F129" s="11" t="s">
        <v>803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39</v>
      </c>
      <c r="D130" s="11" t="s">
        <v>1756</v>
      </c>
      <c r="E130" s="15">
        <v>410</v>
      </c>
      <c r="F130" s="11" t="s">
        <v>1764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40</v>
      </c>
      <c r="D131" s="11" t="s">
        <v>1757</v>
      </c>
      <c r="E131" s="15">
        <v>410</v>
      </c>
      <c r="F131" s="11" t="s">
        <v>1765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41</v>
      </c>
      <c r="D132" s="11" t="s">
        <v>1758</v>
      </c>
      <c r="E132" s="15">
        <v>410</v>
      </c>
      <c r="F132" s="11" t="s">
        <v>1766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42</v>
      </c>
      <c r="D133" s="11" t="s">
        <v>1759</v>
      </c>
      <c r="E133" s="15">
        <v>410</v>
      </c>
      <c r="F133" s="11" t="s">
        <v>1767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43</v>
      </c>
      <c r="D134" s="11" t="s">
        <v>1852</v>
      </c>
      <c r="E134" s="15">
        <v>420</v>
      </c>
      <c r="F134" s="11" t="s">
        <v>1858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44</v>
      </c>
      <c r="D135" s="11" t="s">
        <v>1853</v>
      </c>
      <c r="E135" s="15">
        <v>420</v>
      </c>
      <c r="F135" s="11" t="s">
        <v>1862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45</v>
      </c>
      <c r="D136" s="11" t="s">
        <v>1854</v>
      </c>
      <c r="E136" s="15">
        <v>420</v>
      </c>
      <c r="F136" s="11" t="s">
        <v>1863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46</v>
      </c>
      <c r="D137" s="11" t="s">
        <v>1855</v>
      </c>
      <c r="E137" s="15">
        <v>420</v>
      </c>
      <c r="F137" s="11" t="s">
        <v>1864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47</v>
      </c>
      <c r="D138" s="11" t="s">
        <v>1856</v>
      </c>
      <c r="E138" s="15">
        <v>420</v>
      </c>
      <c r="F138" s="11" t="s">
        <v>1865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48</v>
      </c>
      <c r="D139" s="11" t="s">
        <v>1857</v>
      </c>
      <c r="E139" s="15">
        <v>420</v>
      </c>
      <c r="F139" s="11" t="s">
        <v>1865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49</v>
      </c>
      <c r="D140" s="11" t="s">
        <v>2133</v>
      </c>
      <c r="E140" s="15">
        <v>420</v>
      </c>
      <c r="F140" s="11" t="s">
        <v>2115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50</v>
      </c>
      <c r="D141" s="11" t="s">
        <v>2134</v>
      </c>
      <c r="E141" s="15">
        <v>420</v>
      </c>
      <c r="F141" s="11" t="s">
        <v>2116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51</v>
      </c>
      <c r="D142" s="11" t="s">
        <v>2135</v>
      </c>
      <c r="E142" s="15">
        <v>420</v>
      </c>
      <c r="F142" s="11" t="s">
        <v>2117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52</v>
      </c>
      <c r="D143" s="11" t="s">
        <v>2136</v>
      </c>
      <c r="E143" s="15">
        <v>420</v>
      </c>
      <c r="F143" s="11" t="s">
        <v>2118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>
        <v>3</v>
      </c>
      <c r="T143" s="15"/>
    </row>
    <row r="144" spans="1:20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771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>
        <v>1</v>
      </c>
      <c r="T144" s="15"/>
    </row>
    <row r="145" spans="1:20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805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>
        <v>1</v>
      </c>
      <c r="T145" s="15"/>
    </row>
    <row r="146" spans="1:20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806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>
        <v>1</v>
      </c>
      <c r="T146" s="15"/>
    </row>
    <row r="147" spans="1:20">
      <c r="A147" s="8"/>
      <c r="B147" s="15">
        <v>5</v>
      </c>
      <c r="C147" s="15">
        <v>4</v>
      </c>
      <c r="D147" s="11" t="s">
        <v>2143</v>
      </c>
      <c r="E147" s="15">
        <v>265</v>
      </c>
      <c r="F147" s="11" t="s">
        <v>2144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>
        <v>1</v>
      </c>
      <c r="T147" s="15"/>
    </row>
    <row r="148" spans="1:20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777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>
        <v>1</v>
      </c>
      <c r="T148" s="15"/>
    </row>
    <row r="149" spans="1:20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806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>
        <v>1</v>
      </c>
      <c r="T149" s="15"/>
    </row>
    <row r="150" spans="1:20">
      <c r="A150" s="8"/>
      <c r="B150" s="15">
        <v>5</v>
      </c>
      <c r="C150" s="15">
        <v>7</v>
      </c>
      <c r="D150" s="11" t="s">
        <v>2142</v>
      </c>
      <c r="E150" s="15">
        <v>265</v>
      </c>
      <c r="F150" s="11" t="s">
        <v>784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>
        <v>1</v>
      </c>
      <c r="T150" s="15"/>
    </row>
    <row r="151" spans="1:20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806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>
        <v>1</v>
      </c>
      <c r="T151" s="15"/>
    </row>
    <row r="152" spans="1:20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806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>
        <v>1</v>
      </c>
      <c r="T152" s="15"/>
    </row>
    <row r="153" spans="1:20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779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>
        <v>1</v>
      </c>
      <c r="T153" s="15"/>
    </row>
    <row r="154" spans="1:20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757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>
        <v>1</v>
      </c>
      <c r="T154" s="15"/>
    </row>
    <row r="155" spans="1:20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758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>
        <v>1</v>
      </c>
      <c r="T155" s="15"/>
    </row>
    <row r="156" spans="1:20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1629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2</v>
      </c>
      <c r="T156" s="15">
        <v>48</v>
      </c>
    </row>
    <row r="157" spans="1:20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1630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2</v>
      </c>
      <c r="T157" s="15">
        <v>48</v>
      </c>
    </row>
    <row r="158" spans="1:20">
      <c r="A158" s="8"/>
      <c r="B158" s="15">
        <v>6</v>
      </c>
      <c r="C158" s="15">
        <v>3</v>
      </c>
      <c r="D158" s="11" t="s">
        <v>1690</v>
      </c>
      <c r="E158" s="15">
        <v>430</v>
      </c>
      <c r="F158" s="11" t="s">
        <v>1629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1</v>
      </c>
      <c r="T158" s="15">
        <v>49</v>
      </c>
    </row>
    <row r="159" spans="1:20">
      <c r="A159" s="8"/>
      <c r="B159" s="15">
        <v>6</v>
      </c>
      <c r="C159" s="15">
        <v>4</v>
      </c>
      <c r="D159" s="11" t="s">
        <v>1689</v>
      </c>
      <c r="E159" s="15">
        <v>340</v>
      </c>
      <c r="F159" s="11" t="s">
        <v>1692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1</v>
      </c>
      <c r="T159" s="15">
        <v>50</v>
      </c>
    </row>
    <row r="160" spans="1:20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1761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1</v>
      </c>
      <c r="T160" s="15">
        <v>51</v>
      </c>
    </row>
    <row r="161" spans="1:20">
      <c r="A161" s="8"/>
      <c r="B161" s="15">
        <v>6</v>
      </c>
      <c r="C161" s="15">
        <v>6</v>
      </c>
      <c r="D161" s="11" t="s">
        <v>1820</v>
      </c>
      <c r="E161" s="15">
        <v>340</v>
      </c>
      <c r="F161" s="11" t="s">
        <v>1629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1</v>
      </c>
      <c r="T161" s="15">
        <v>52</v>
      </c>
    </row>
    <row r="162" spans="1:20">
      <c r="A162" s="8"/>
      <c r="B162" s="15">
        <v>6</v>
      </c>
      <c r="C162" s="15">
        <v>7</v>
      </c>
      <c r="D162" s="11" t="s">
        <v>1867</v>
      </c>
      <c r="E162" s="15">
        <v>340</v>
      </c>
      <c r="F162" s="11" t="s">
        <v>2119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1</v>
      </c>
      <c r="T162" s="15">
        <v>53</v>
      </c>
    </row>
    <row r="163" spans="1:20">
      <c r="A163" s="8"/>
      <c r="B163" s="15">
        <v>6</v>
      </c>
      <c r="C163" s="15">
        <v>8</v>
      </c>
      <c r="D163" s="11" t="s">
        <v>2037</v>
      </c>
      <c r="E163" s="15">
        <v>300</v>
      </c>
      <c r="F163" s="11" t="s">
        <v>2120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2</v>
      </c>
      <c r="T163" s="15">
        <v>54</v>
      </c>
    </row>
    <row r="164" spans="1:20">
      <c r="A164" s="8"/>
      <c r="B164" s="15">
        <v>6</v>
      </c>
      <c r="C164" s="15">
        <v>9</v>
      </c>
      <c r="D164" s="11" t="s">
        <v>2038</v>
      </c>
      <c r="E164" s="15">
        <v>300</v>
      </c>
      <c r="F164" s="11" t="s">
        <v>2120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2</v>
      </c>
      <c r="T164" s="15">
        <v>54</v>
      </c>
    </row>
    <row r="165" spans="1:20">
      <c r="A165" s="8"/>
      <c r="B165" s="15">
        <v>6</v>
      </c>
      <c r="C165" s="15">
        <v>10</v>
      </c>
      <c r="D165" s="11" t="s">
        <v>2059</v>
      </c>
      <c r="E165" s="15">
        <v>300</v>
      </c>
      <c r="F165" s="11" t="s">
        <v>2121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1</v>
      </c>
      <c r="T165" s="15">
        <v>55</v>
      </c>
    </row>
    <row r="166" spans="1:20">
      <c r="A166" s="8"/>
      <c r="B166" s="15">
        <v>6</v>
      </c>
      <c r="C166" s="15">
        <v>11</v>
      </c>
      <c r="D166" s="11" t="s">
        <v>2111</v>
      </c>
      <c r="E166" s="15">
        <v>300</v>
      </c>
      <c r="F166" s="11" t="s">
        <v>2137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1</v>
      </c>
      <c r="T166" s="15">
        <v>56</v>
      </c>
    </row>
    <row r="167" spans="1:20">
      <c r="A167" s="8"/>
      <c r="B167" s="15">
        <v>6</v>
      </c>
      <c r="C167" s="15">
        <v>12</v>
      </c>
      <c r="D167" s="11" t="s">
        <v>2158</v>
      </c>
      <c r="E167" s="15">
        <v>300</v>
      </c>
      <c r="F167" s="11" t="s">
        <v>2161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1</v>
      </c>
      <c r="T167" s="15">
        <v>57</v>
      </c>
    </row>
    <row r="168" spans="1:20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807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>
        <v>1</v>
      </c>
      <c r="T168" s="15"/>
    </row>
    <row r="169" spans="1:20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808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>
        <v>1</v>
      </c>
      <c r="T169" s="15"/>
    </row>
    <row r="170" spans="1:20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809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>
        <v>1</v>
      </c>
      <c r="T170" s="15"/>
    </row>
    <row r="171" spans="1:20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810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>
        <v>1</v>
      </c>
      <c r="T171" s="15"/>
    </row>
    <row r="172" spans="1:20">
      <c r="A172" s="8"/>
      <c r="B172" s="15">
        <v>8</v>
      </c>
      <c r="C172" s="15">
        <v>1</v>
      </c>
      <c r="D172" s="11" t="s">
        <v>881</v>
      </c>
      <c r="E172" s="15">
        <v>355</v>
      </c>
      <c r="F172" s="11" t="s">
        <v>898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/>
    </row>
    <row r="173" spans="1:20">
      <c r="A173" s="8"/>
      <c r="B173" s="15">
        <v>8</v>
      </c>
      <c r="C173" s="15">
        <v>2</v>
      </c>
      <c r="D173" s="11" t="s">
        <v>883</v>
      </c>
      <c r="E173" s="15">
        <v>355</v>
      </c>
      <c r="F173" s="11" t="s">
        <v>897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>
        <v>1</v>
      </c>
      <c r="T173" s="15"/>
    </row>
    <row r="174" spans="1:20">
      <c r="A174" s="8"/>
      <c r="B174" s="15">
        <v>8</v>
      </c>
      <c r="C174" s="15">
        <v>3</v>
      </c>
      <c r="D174" s="11" t="s">
        <v>880</v>
      </c>
      <c r="E174" s="15">
        <v>370</v>
      </c>
      <c r="F174" s="11" t="s">
        <v>896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>
        <v>1</v>
      </c>
      <c r="T174" s="15"/>
    </row>
    <row r="175" spans="1:20">
      <c r="A175" s="8"/>
      <c r="B175" s="15">
        <v>8</v>
      </c>
      <c r="C175" s="15">
        <v>4</v>
      </c>
      <c r="D175" s="11" t="s">
        <v>882</v>
      </c>
      <c r="E175" s="15">
        <v>370</v>
      </c>
      <c r="F175" s="11" t="s">
        <v>895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1</v>
      </c>
      <c r="T175" s="15"/>
    </row>
    <row r="176" spans="1:20">
      <c r="A176" s="8"/>
      <c r="B176" s="15">
        <v>8</v>
      </c>
      <c r="C176" s="15">
        <v>5</v>
      </c>
      <c r="D176" s="11" t="s">
        <v>719</v>
      </c>
      <c r="E176" s="15">
        <v>330</v>
      </c>
      <c r="F176" s="11" t="s">
        <v>811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>
        <v>1</v>
      </c>
      <c r="T176" s="15"/>
    </row>
    <row r="177" spans="1:20">
      <c r="A177" s="8"/>
      <c r="B177" s="15">
        <v>8</v>
      </c>
      <c r="C177" s="15">
        <v>6</v>
      </c>
      <c r="D177" s="11" t="s">
        <v>718</v>
      </c>
      <c r="E177" s="15">
        <v>340</v>
      </c>
      <c r="F177" s="11" t="s">
        <v>788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/>
    </row>
    <row r="178" spans="1:20">
      <c r="A178" s="8"/>
      <c r="B178" s="15">
        <v>8</v>
      </c>
      <c r="C178" s="15">
        <v>7</v>
      </c>
      <c r="D178" s="11" t="s">
        <v>2122</v>
      </c>
      <c r="E178" s="15">
        <v>355</v>
      </c>
      <c r="F178" s="11" t="s">
        <v>1866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/>
    </row>
    <row r="179" spans="1:20">
      <c r="A179" s="8"/>
      <c r="B179" s="15">
        <v>8</v>
      </c>
      <c r="C179" s="15">
        <v>8</v>
      </c>
      <c r="D179" s="11" t="s">
        <v>2123</v>
      </c>
      <c r="E179" s="15">
        <v>370</v>
      </c>
      <c r="F179" s="11" t="s">
        <v>795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/>
    </row>
    <row r="180" spans="1:20">
      <c r="A180" s="8"/>
      <c r="B180" s="15">
        <v>9</v>
      </c>
      <c r="C180" s="15">
        <v>1</v>
      </c>
      <c r="D180" s="11" t="s">
        <v>844</v>
      </c>
      <c r="E180" s="15">
        <v>290</v>
      </c>
      <c r="F180" s="11" t="s">
        <v>833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>
        <v>1</v>
      </c>
      <c r="T180" s="15"/>
    </row>
    <row r="181" spans="1:20">
      <c r="A181" s="8"/>
      <c r="B181" s="15">
        <v>9</v>
      </c>
      <c r="C181" s="15">
        <v>2</v>
      </c>
      <c r="D181" s="11" t="s">
        <v>845</v>
      </c>
      <c r="E181" s="15">
        <v>360</v>
      </c>
      <c r="F181" s="11" t="s">
        <v>834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/>
    </row>
    <row r="182" spans="1:20">
      <c r="A182" s="8"/>
      <c r="B182" s="15">
        <v>9</v>
      </c>
      <c r="C182" s="15">
        <v>3</v>
      </c>
      <c r="D182" s="11" t="s">
        <v>1652</v>
      </c>
      <c r="E182" s="15">
        <v>400</v>
      </c>
      <c r="F182" s="11" t="s">
        <v>1653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>
        <v>1</v>
      </c>
      <c r="T182" s="15"/>
    </row>
    <row r="183" spans="1:20">
      <c r="A183" s="8"/>
      <c r="B183" s="15">
        <v>9</v>
      </c>
      <c r="C183" s="15">
        <v>4</v>
      </c>
      <c r="D183" s="11" t="s">
        <v>2131</v>
      </c>
      <c r="E183" s="15">
        <v>400</v>
      </c>
      <c r="F183" s="11" t="s">
        <v>2138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>
        <v>2</v>
      </c>
      <c r="T183" s="15"/>
    </row>
    <row r="184" spans="1:20">
      <c r="A184" s="8"/>
      <c r="B184" s="15">
        <v>9</v>
      </c>
      <c r="C184" s="15">
        <v>5</v>
      </c>
      <c r="D184" s="11" t="s">
        <v>2132</v>
      </c>
      <c r="E184" s="15">
        <v>400</v>
      </c>
      <c r="F184" s="11" t="s">
        <v>2138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>
        <v>2</v>
      </c>
      <c r="T184" s="15"/>
    </row>
    <row r="185" spans="1:20">
      <c r="A185" s="8"/>
      <c r="B185" s="15">
        <v>10</v>
      </c>
      <c r="C185" s="15">
        <v>1</v>
      </c>
      <c r="D185" s="11" t="s">
        <v>2124</v>
      </c>
      <c r="E185" s="15">
        <v>361</v>
      </c>
      <c r="F185" s="11" t="s">
        <v>757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11</v>
      </c>
      <c r="C186" s="15">
        <v>1</v>
      </c>
      <c r="D186" s="11" t="s">
        <v>2159</v>
      </c>
      <c r="E186" s="15">
        <v>649</v>
      </c>
      <c r="F186" s="11" t="s">
        <v>2162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>
        <v>1</v>
      </c>
      <c r="T186" s="15"/>
    </row>
    <row r="187" spans="1:20">
      <c r="A187" s="8"/>
      <c r="B187" s="15">
        <v>11</v>
      </c>
      <c r="C187" s="15">
        <v>2</v>
      </c>
      <c r="D187" s="11" t="s">
        <v>2160</v>
      </c>
      <c r="E187" s="15">
        <v>673</v>
      </c>
      <c r="F187" s="11" t="s">
        <v>2163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99</v>
      </c>
      <c r="C188" s="15">
        <v>1</v>
      </c>
      <c r="D188" s="11" t="s">
        <v>873</v>
      </c>
      <c r="E188" s="15">
        <v>360</v>
      </c>
      <c r="F188" s="11" t="s">
        <v>874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99</v>
      </c>
      <c r="C189" s="15">
        <v>2</v>
      </c>
      <c r="D189" s="11" t="s">
        <v>873</v>
      </c>
      <c r="E189" s="15">
        <v>360</v>
      </c>
      <c r="F189" s="11" t="s">
        <v>874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99</v>
      </c>
      <c r="C190" s="15">
        <v>3</v>
      </c>
      <c r="D190" s="11" t="s">
        <v>873</v>
      </c>
      <c r="E190" s="15">
        <v>360</v>
      </c>
      <c r="F190" s="11" t="s">
        <v>874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99</v>
      </c>
      <c r="C191" s="15">
        <v>4</v>
      </c>
      <c r="D191" s="11" t="s">
        <v>873</v>
      </c>
      <c r="E191" s="15">
        <v>360</v>
      </c>
      <c r="F191" s="11" t="s">
        <v>874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99</v>
      </c>
      <c r="C192" s="15">
        <v>5</v>
      </c>
      <c r="D192" s="11" t="s">
        <v>873</v>
      </c>
      <c r="E192" s="15">
        <v>360</v>
      </c>
      <c r="F192" s="11" t="s">
        <v>874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99</v>
      </c>
      <c r="C193" s="15">
        <v>6</v>
      </c>
      <c r="D193" s="11" t="s">
        <v>873</v>
      </c>
      <c r="E193" s="15">
        <v>360</v>
      </c>
      <c r="F193" s="11" t="s">
        <v>874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99</v>
      </c>
      <c r="C194" s="15">
        <v>7</v>
      </c>
      <c r="D194" s="11" t="s">
        <v>873</v>
      </c>
      <c r="E194" s="15">
        <v>360</v>
      </c>
      <c r="F194" s="11" t="s">
        <v>874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99</v>
      </c>
      <c r="C195" s="15">
        <v>8</v>
      </c>
      <c r="D195" s="11" t="s">
        <v>873</v>
      </c>
      <c r="E195" s="15">
        <v>360</v>
      </c>
      <c r="F195" s="11" t="s">
        <v>874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99</v>
      </c>
      <c r="C196" s="15">
        <v>9</v>
      </c>
      <c r="D196" s="11" t="s">
        <v>873</v>
      </c>
      <c r="E196" s="15">
        <v>360</v>
      </c>
      <c r="F196" s="11" t="s">
        <v>874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99</v>
      </c>
      <c r="C197" s="15">
        <v>10</v>
      </c>
      <c r="D197" s="11" t="s">
        <v>873</v>
      </c>
      <c r="E197" s="15">
        <v>360</v>
      </c>
      <c r="F197" s="11" t="s">
        <v>874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</sheetData>
  <phoneticPr fontId="1"/>
  <dataValidations count="1">
    <dataValidation type="list" allowBlank="1" showInputMessage="1" showErrorMessage="1" sqref="A7:A197" xr:uid="{E4E0B186-1800-4AFF-8F70-E57F03D26E1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505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1975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1976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1977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1978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1979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1976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1989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1994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1995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1998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1999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2000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2001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2002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2003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2004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2006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2013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2016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2017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2019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1915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1914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1913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2020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2021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2022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1768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1769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2023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2024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1770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1810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1811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1808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1809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1812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2025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1848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1850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1851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2026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1849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2048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2049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2033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2045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2046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2050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2051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2055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2073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2074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2068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2069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2065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2167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2027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1660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1658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1656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1659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1657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1661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2028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1662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2029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2030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130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2036</v>
      </c>
      <c r="B2" s="9" t="s">
        <v>40</v>
      </c>
      <c r="C2" s="9" t="s">
        <v>1467</v>
      </c>
      <c r="D2" s="9" t="s">
        <v>1688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1912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1890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1899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1909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1886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1892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1883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1883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1906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1911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1886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1886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1910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1892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1883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1884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1891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1909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1893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1885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1908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1886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1897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1893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1886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1886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1886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1886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1884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1884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1884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1893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1899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1907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1907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1905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1906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1906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1905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1905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1886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1886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1899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1886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1886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1902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1904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1904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1885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1885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1903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1891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1902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1884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1884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1885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1902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1901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1900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1900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1899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1907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1907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1885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1885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1893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1898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1897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1897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1884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1884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1884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1884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1893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1897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1892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1896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1893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1895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1895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1894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1891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1883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1893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1892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1885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1891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1890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1890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1889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1889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1889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1889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1888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1888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1887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1886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1883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1883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1885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1884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1883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2035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1644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2035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1891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1911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1911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2056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1911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1883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2109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2110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2109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1911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733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733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733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733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733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733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733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733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733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733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733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733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733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733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733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733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733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733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733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733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733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733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733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733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733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733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733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733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733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733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733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733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733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733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733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733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733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1642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733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733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733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733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733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733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733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733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733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733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733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733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733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733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733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733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733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733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733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733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733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733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733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733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733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733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3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733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733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733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733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733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733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733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733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733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733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733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733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733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733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733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733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733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733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733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733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733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733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733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733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733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733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733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733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733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733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733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733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733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733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733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733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733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733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733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733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299"/>
  <sheetViews>
    <sheetView tabSelected="1" zoomScale="85" zoomScaleNormal="85" workbookViewId="0">
      <selection activeCell="F30" sqref="F30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1791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1792</v>
      </c>
      <c r="N2" s="9" t="s">
        <v>1175</v>
      </c>
      <c r="O2" s="9" t="s">
        <v>2169</v>
      </c>
      <c r="P2" s="9" t="s">
        <v>2170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1663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1774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1776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1775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1877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1964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1663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1000</v>
      </c>
      <c r="C154" s="15">
        <v>9005</v>
      </c>
      <c r="D154" s="15">
        <v>0</v>
      </c>
      <c r="E154" s="15">
        <v>0</v>
      </c>
      <c r="F154" s="14" t="str">
        <f>VLOOKUP(C154,skill_list!B:C,2)</f>
        <v>アタックライズ</v>
      </c>
      <c r="G154" s="11"/>
      <c r="H154" s="15">
        <v>50</v>
      </c>
      <c r="I154" s="15">
        <v>65</v>
      </c>
      <c r="J154" s="15">
        <v>450</v>
      </c>
      <c r="K154" s="15">
        <v>1</v>
      </c>
      <c r="L154" s="15">
        <v>7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1001</v>
      </c>
      <c r="C155" s="15">
        <v>21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/>
      <c r="P155" s="15"/>
      <c r="Q155" s="15"/>
      <c r="R155" s="15"/>
    </row>
    <row r="156" spans="1:18">
      <c r="A156" s="8"/>
      <c r="B156" s="15">
        <v>1002</v>
      </c>
      <c r="C156" s="15">
        <v>48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/>
      <c r="P156" s="15"/>
      <c r="Q156" s="15"/>
      <c r="R156" s="15"/>
    </row>
    <row r="157" spans="1:18">
      <c r="A157" s="8"/>
      <c r="B157" s="15">
        <v>1003</v>
      </c>
      <c r="C157" s="15">
        <v>84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/>
      <c r="P157" s="15"/>
      <c r="Q157" s="15"/>
      <c r="R157" s="15"/>
    </row>
    <row r="158" spans="1:18">
      <c r="A158" s="8"/>
      <c r="B158" s="15">
        <v>1004</v>
      </c>
      <c r="C158" s="15">
        <v>112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/>
      <c r="P158" s="15"/>
      <c r="Q158" s="15"/>
      <c r="R158" s="15"/>
    </row>
    <row r="159" spans="1:18">
      <c r="A159" s="8"/>
      <c r="B159" s="15">
        <v>1005</v>
      </c>
      <c r="C159" s="15">
        <v>140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/>
      <c r="P159" s="15"/>
      <c r="Q159" s="15"/>
      <c r="R159" s="15"/>
    </row>
    <row r="160" spans="1:18">
      <c r="A160" s="8"/>
      <c r="B160" s="15">
        <v>1006</v>
      </c>
      <c r="C160" s="15">
        <v>156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/>
      <c r="P160" s="15"/>
      <c r="Q160" s="15"/>
      <c r="R160" s="15"/>
    </row>
    <row r="161" spans="1:18">
      <c r="A161" s="8"/>
      <c r="B161" s="15">
        <v>1007</v>
      </c>
      <c r="C161" s="15">
        <v>172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/>
      <c r="P161" s="15"/>
      <c r="Q161" s="15"/>
      <c r="R161" s="15"/>
    </row>
    <row r="162" spans="1:18">
      <c r="A162" s="8"/>
      <c r="B162" s="15">
        <v>1008</v>
      </c>
      <c r="C162" s="15">
        <v>88</v>
      </c>
      <c r="D162" s="15">
        <v>0</v>
      </c>
      <c r="E162" s="15">
        <v>0</v>
      </c>
      <c r="F162" s="14" t="str">
        <f>VLOOKUP(C162,skill_list!B:C,2)</f>
        <v>導きの号令</v>
      </c>
      <c r="G162" s="11"/>
      <c r="H162" s="15">
        <v>50</v>
      </c>
      <c r="I162" s="15">
        <v>65</v>
      </c>
      <c r="J162" s="15">
        <v>224</v>
      </c>
      <c r="K162" s="15">
        <v>10</v>
      </c>
      <c r="L162" s="15">
        <v>4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1009</v>
      </c>
      <c r="C163" s="15">
        <v>221</v>
      </c>
      <c r="D163" s="15">
        <v>0</v>
      </c>
      <c r="E163" s="15">
        <v>0</v>
      </c>
      <c r="F163" s="14" t="str">
        <f>VLOOKUP(C163,skill_list!B:C,2)</f>
        <v>クールダウン</v>
      </c>
      <c r="G163" s="11"/>
      <c r="H163" s="15">
        <v>75</v>
      </c>
      <c r="I163" s="15">
        <v>90</v>
      </c>
      <c r="J163" s="15">
        <v>200</v>
      </c>
      <c r="K163" s="15">
        <v>10</v>
      </c>
      <c r="L163" s="15">
        <v>7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1010</v>
      </c>
      <c r="C164" s="15">
        <v>240</v>
      </c>
      <c r="D164" s="15">
        <v>0</v>
      </c>
      <c r="E164" s="15">
        <v>0</v>
      </c>
      <c r="F164" s="14" t="str">
        <f>VLOOKUP(C164,skill_list!B:C,2)</f>
        <v>クールダウン</v>
      </c>
      <c r="G164" s="11"/>
      <c r="H164" s="15">
        <v>75</v>
      </c>
      <c r="I164" s="15">
        <v>90</v>
      </c>
      <c r="J164" s="15">
        <v>200</v>
      </c>
      <c r="K164" s="15">
        <v>10</v>
      </c>
      <c r="L164" s="15">
        <v>7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1011</v>
      </c>
      <c r="C165" s="15">
        <v>284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1012</v>
      </c>
      <c r="C166" s="15">
        <v>336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1013</v>
      </c>
      <c r="C167" s="15">
        <v>49</v>
      </c>
      <c r="D167" s="15">
        <v>0</v>
      </c>
      <c r="E167" s="15">
        <v>0</v>
      </c>
      <c r="F167" s="14" t="str">
        <f>VLOOKUP(C167,skill_list!B:C,2)</f>
        <v>ドーピング</v>
      </c>
      <c r="G167" s="11"/>
      <c r="H167" s="15">
        <v>75</v>
      </c>
      <c r="I167" s="15">
        <v>90</v>
      </c>
      <c r="J167" s="15">
        <v>216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1014</v>
      </c>
      <c r="C168" s="15">
        <v>299</v>
      </c>
      <c r="D168" s="15">
        <v>0</v>
      </c>
      <c r="E168" s="15">
        <v>0</v>
      </c>
      <c r="F168" s="14" t="str">
        <f>VLOOKUP(C168,skill_list!B:C,2)</f>
        <v>臥龍天命</v>
      </c>
      <c r="G168" s="11"/>
      <c r="H168" s="15">
        <v>75</v>
      </c>
      <c r="I168" s="15">
        <v>90</v>
      </c>
      <c r="J168" s="15">
        <v>216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1015</v>
      </c>
      <c r="C169" s="15">
        <v>322</v>
      </c>
      <c r="D169" s="15">
        <v>0</v>
      </c>
      <c r="E169" s="15">
        <v>0</v>
      </c>
      <c r="F169" s="14" t="str">
        <f>VLOOKUP(C169,skill_list!B:C,2)</f>
        <v>決戦前夜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5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1016</v>
      </c>
      <c r="C170" s="15">
        <v>188</v>
      </c>
      <c r="D170" s="15">
        <v>0</v>
      </c>
      <c r="E170" s="15">
        <v>0</v>
      </c>
      <c r="F170" s="14" t="str">
        <f>VLOOKUP(C170,skill_list!B:C,2)</f>
        <v>フィルエンハンス</v>
      </c>
      <c r="G170" s="11"/>
      <c r="H170" s="15">
        <v>50</v>
      </c>
      <c r="I170" s="15">
        <v>65</v>
      </c>
      <c r="J170" s="15">
        <v>232</v>
      </c>
      <c r="K170" s="15">
        <v>10</v>
      </c>
      <c r="L170" s="15">
        <v>6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1017</v>
      </c>
      <c r="C171" s="15">
        <v>268</v>
      </c>
      <c r="D171" s="15">
        <v>0</v>
      </c>
      <c r="E171" s="15">
        <v>0</v>
      </c>
      <c r="F171" s="14" t="str">
        <f>VLOOKUP(C171,skill_list!B:C,2)</f>
        <v>フィルエンハンス</v>
      </c>
      <c r="G171" s="11"/>
      <c r="H171" s="15">
        <v>50</v>
      </c>
      <c r="I171" s="15">
        <v>65</v>
      </c>
      <c r="J171" s="15">
        <v>232</v>
      </c>
      <c r="K171" s="15">
        <v>10</v>
      </c>
      <c r="L171" s="15">
        <v>6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1018</v>
      </c>
      <c r="C172" s="15">
        <v>273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1019</v>
      </c>
      <c r="C173" s="15">
        <v>295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1020</v>
      </c>
      <c r="C174" s="15">
        <v>62</v>
      </c>
      <c r="D174" s="15">
        <v>0</v>
      </c>
      <c r="E174" s="15">
        <v>0</v>
      </c>
      <c r="F174" s="14" t="str">
        <f>VLOOKUP(C174,skill_list!B:C,2)</f>
        <v>キリングエッジ</v>
      </c>
      <c r="G174" s="11"/>
      <c r="H174" s="15">
        <v>35</v>
      </c>
      <c r="I174" s="15">
        <v>50</v>
      </c>
      <c r="J174" s="15">
        <v>129</v>
      </c>
      <c r="K174" s="15">
        <v>1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1021</v>
      </c>
      <c r="C175" s="15">
        <v>109</v>
      </c>
      <c r="D175" s="15">
        <v>0</v>
      </c>
      <c r="E175" s="15">
        <v>0</v>
      </c>
      <c r="F175" s="14" t="str">
        <f>VLOOKUP(C175,skill_list!B:C,2)</f>
        <v>ハネ殺し</v>
      </c>
      <c r="G175" s="11"/>
      <c r="H175" s="15">
        <v>35</v>
      </c>
      <c r="I175" s="15">
        <v>50</v>
      </c>
      <c r="J175" s="15">
        <v>120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  <c r="Q175" s="15"/>
      <c r="R175" s="15"/>
    </row>
    <row r="176" spans="1:18">
      <c r="A176" s="8"/>
      <c r="B176" s="15">
        <v>1022</v>
      </c>
      <c r="C176" s="15">
        <v>288</v>
      </c>
      <c r="D176" s="15">
        <v>0</v>
      </c>
      <c r="E176" s="15">
        <v>0</v>
      </c>
      <c r="F176" s="14" t="str">
        <f>VLOOKUP(C176,skill_list!B:C,2)</f>
        <v>デディケイトギフト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3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1023</v>
      </c>
      <c r="C177" s="15">
        <v>217</v>
      </c>
      <c r="D177" s="15">
        <v>0</v>
      </c>
      <c r="E177" s="15">
        <v>0</v>
      </c>
      <c r="F177" s="14" t="str">
        <f>VLOOKUP(C177,skill_list!B:C,2)</f>
        <v>空</v>
      </c>
      <c r="G177" s="11"/>
      <c r="H177" s="15">
        <v>50</v>
      </c>
      <c r="I177" s="15">
        <v>65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1024</v>
      </c>
      <c r="C178" s="15">
        <v>267</v>
      </c>
      <c r="D178" s="15">
        <v>0</v>
      </c>
      <c r="E178" s="15">
        <v>0</v>
      </c>
      <c r="F178" s="14" t="str">
        <f>VLOOKUP(C178,skill_list!B:C,2)</f>
        <v>細雪</v>
      </c>
      <c r="G178" s="11"/>
      <c r="H178" s="15">
        <v>75</v>
      </c>
      <c r="I178" s="15">
        <v>90</v>
      </c>
      <c r="J178" s="15">
        <v>208</v>
      </c>
      <c r="K178" s="15">
        <v>10</v>
      </c>
      <c r="L178" s="15">
        <v>7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1025</v>
      </c>
      <c r="C179" s="15">
        <v>45</v>
      </c>
      <c r="D179" s="15">
        <v>0</v>
      </c>
      <c r="E179" s="15">
        <v>0</v>
      </c>
      <c r="F179" s="14" t="str">
        <f>VLOOKUP(C179,skill_list!B:C,2)</f>
        <v>残心撃</v>
      </c>
      <c r="G179" s="11"/>
      <c r="H179" s="15">
        <v>35</v>
      </c>
      <c r="I179" s="15">
        <v>50</v>
      </c>
      <c r="J179" s="15">
        <v>126</v>
      </c>
      <c r="K179" s="15">
        <v>1</v>
      </c>
      <c r="L179" s="15">
        <v>7</v>
      </c>
      <c r="M179" s="15">
        <v>0</v>
      </c>
      <c r="N179" s="15">
        <v>1</v>
      </c>
      <c r="O179" s="15">
        <v>999</v>
      </c>
      <c r="P179" s="15"/>
      <c r="Q179" s="15"/>
      <c r="R179" s="15"/>
    </row>
    <row r="180" spans="1:18">
      <c r="A180" s="8"/>
      <c r="B180" s="15">
        <v>1026</v>
      </c>
      <c r="C180" s="15">
        <v>420</v>
      </c>
      <c r="D180" s="15">
        <v>0</v>
      </c>
      <c r="E180" s="15">
        <v>0</v>
      </c>
      <c r="F180" s="14" t="str">
        <f>VLOOKUP(C180,skill_list!B:C,2)</f>
        <v>デヴォーション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1027</v>
      </c>
      <c r="C181" s="15">
        <v>425</v>
      </c>
      <c r="D181" s="15">
        <v>0</v>
      </c>
      <c r="E181" s="15">
        <v>0</v>
      </c>
      <c r="F181" s="14" t="str">
        <f>VLOOKUP(C181,skill_list!B:C,2)</f>
        <v>セルフパッション</v>
      </c>
      <c r="G181" s="11"/>
      <c r="H181" s="15">
        <v>75</v>
      </c>
      <c r="I181" s="15">
        <v>90</v>
      </c>
      <c r="J181" s="15">
        <v>224</v>
      </c>
      <c r="K181" s="15">
        <v>10</v>
      </c>
      <c r="L181" s="15">
        <v>7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1028</v>
      </c>
      <c r="C182" s="15">
        <v>482</v>
      </c>
      <c r="D182" s="15">
        <v>0</v>
      </c>
      <c r="E182" s="15">
        <v>0</v>
      </c>
      <c r="F182" s="14" t="str">
        <f>VLOOKUP(C182,skill_list!B:C,2)</f>
        <v>解けない謎はない</v>
      </c>
      <c r="G182" s="11"/>
      <c r="H182" s="15">
        <v>50</v>
      </c>
      <c r="I182" s="15">
        <v>65</v>
      </c>
      <c r="J182" s="15">
        <v>224</v>
      </c>
      <c r="K182" s="15">
        <v>10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1029</v>
      </c>
      <c r="C183" s="15">
        <v>488</v>
      </c>
      <c r="D183" s="15">
        <v>0</v>
      </c>
      <c r="E183" s="15">
        <v>0</v>
      </c>
      <c r="F183" s="14" t="str">
        <f>VLOOKUP(C183,skill_list!B:C,2)</f>
        <v>クリャートヴァ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3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1101</v>
      </c>
      <c r="C184" s="15">
        <v>373</v>
      </c>
      <c r="D184" s="15">
        <v>1</v>
      </c>
      <c r="E184" s="15">
        <v>4</v>
      </c>
      <c r="F184" s="14" t="str">
        <f>VLOOKUP(C184,skill_list!B:C,2)</f>
        <v>ホーリーエンハンス</v>
      </c>
      <c r="G184" s="11"/>
      <c r="H184" s="15">
        <v>65</v>
      </c>
      <c r="I184" s="15">
        <v>80</v>
      </c>
      <c r="J184" s="15">
        <v>208</v>
      </c>
      <c r="K184" s="15">
        <v>10</v>
      </c>
      <c r="L184" s="15">
        <v>4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1102</v>
      </c>
      <c r="C185" s="15">
        <v>371</v>
      </c>
      <c r="D185" s="15">
        <v>1</v>
      </c>
      <c r="E185" s="15">
        <v>5</v>
      </c>
      <c r="F185" s="14" t="str">
        <f>VLOOKUP(C185,skill_list!B:C,2)</f>
        <v>赤面スティグマ</v>
      </c>
      <c r="G185" s="11"/>
      <c r="H185" s="15">
        <v>65</v>
      </c>
      <c r="I185" s="15">
        <v>80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1103</v>
      </c>
      <c r="C186" s="15">
        <v>332</v>
      </c>
      <c r="D186" s="15">
        <v>1</v>
      </c>
      <c r="E186" s="15">
        <v>2</v>
      </c>
      <c r="F186" s="14" t="str">
        <f>VLOOKUP(C186,skill_list!B:C,2)</f>
        <v>淡雪</v>
      </c>
      <c r="G186" s="11"/>
      <c r="H186" s="15">
        <v>65</v>
      </c>
      <c r="I186" s="15">
        <v>80</v>
      </c>
      <c r="J186" s="15">
        <v>192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1104</v>
      </c>
      <c r="C187" s="15">
        <v>366</v>
      </c>
      <c r="D187" s="15">
        <v>1</v>
      </c>
      <c r="E187" s="15">
        <v>5</v>
      </c>
      <c r="F187" s="14" t="str">
        <f>VLOOKUP(C187,skill_list!B:C,2)</f>
        <v>被害妄想</v>
      </c>
      <c r="G187" s="11"/>
      <c r="H187" s="15">
        <v>65</v>
      </c>
      <c r="I187" s="15">
        <v>80</v>
      </c>
      <c r="J187" s="15">
        <v>192</v>
      </c>
      <c r="K187" s="15">
        <v>10</v>
      </c>
      <c r="L187" s="15">
        <v>7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1105</v>
      </c>
      <c r="C188" s="15">
        <v>253</v>
      </c>
      <c r="D188" s="15">
        <v>1</v>
      </c>
      <c r="E188" s="15">
        <v>3</v>
      </c>
      <c r="F188" s="14" t="str">
        <f>VLOOKUP(C188,skill_list!B:C,2)</f>
        <v>ライトニングロア</v>
      </c>
      <c r="G188" s="11"/>
      <c r="H188" s="15">
        <v>40</v>
      </c>
      <c r="I188" s="15">
        <v>55</v>
      </c>
      <c r="J188" s="15">
        <v>129</v>
      </c>
      <c r="K188" s="15">
        <v>1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1106</v>
      </c>
      <c r="C189" s="15">
        <v>219</v>
      </c>
      <c r="D189" s="15">
        <v>1</v>
      </c>
      <c r="E189" s="15">
        <v>4</v>
      </c>
      <c r="F189" s="14" t="str">
        <f>VLOOKUP(C189,skill_list!B:C,2)</f>
        <v>夢十夜</v>
      </c>
      <c r="G189" s="11"/>
      <c r="H189" s="15">
        <v>40</v>
      </c>
      <c r="I189" s="15">
        <v>55</v>
      </c>
      <c r="J189" s="15">
        <v>132</v>
      </c>
      <c r="K189" s="15">
        <v>1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1107</v>
      </c>
      <c r="C190" s="15">
        <v>339</v>
      </c>
      <c r="D190" s="15">
        <v>1</v>
      </c>
      <c r="E190" s="15">
        <v>5</v>
      </c>
      <c r="F190" s="14" t="str">
        <f>VLOOKUP(C190,skill_list!B:C,2)</f>
        <v>大切り盛り</v>
      </c>
      <c r="G190" s="11"/>
      <c r="H190" s="15">
        <v>40</v>
      </c>
      <c r="I190" s="15">
        <v>55</v>
      </c>
      <c r="J190" s="15">
        <v>123</v>
      </c>
      <c r="K190" s="15">
        <v>1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1108</v>
      </c>
      <c r="C191" s="15">
        <v>404</v>
      </c>
      <c r="D191" s="15">
        <v>1</v>
      </c>
      <c r="E191" s="15">
        <v>3</v>
      </c>
      <c r="F191" s="14" t="str">
        <f>VLOOKUP(C191,skill_list!B:C,2)</f>
        <v>とある衝撃</v>
      </c>
      <c r="G191" s="11"/>
      <c r="H191" s="15">
        <v>65</v>
      </c>
      <c r="I191" s="15">
        <v>80</v>
      </c>
      <c r="J191" s="15">
        <v>200</v>
      </c>
      <c r="K191" s="15">
        <v>10</v>
      </c>
      <c r="L191" s="15">
        <v>7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1109</v>
      </c>
      <c r="C192" s="15">
        <v>412</v>
      </c>
      <c r="D192" s="15">
        <v>1</v>
      </c>
      <c r="E192" s="15">
        <v>2</v>
      </c>
      <c r="F192" s="14" t="str">
        <f>VLOOKUP(C192,skill_list!B:C,2)</f>
        <v>北風のスバル</v>
      </c>
      <c r="G192" s="11"/>
      <c r="H192" s="15">
        <v>65</v>
      </c>
      <c r="I192" s="15">
        <v>80</v>
      </c>
      <c r="J192" s="15">
        <v>192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1110</v>
      </c>
      <c r="C193" s="15">
        <v>461</v>
      </c>
      <c r="D193" s="15">
        <v>1</v>
      </c>
      <c r="E193" s="15">
        <v>3</v>
      </c>
      <c r="F193" s="14" t="str">
        <f>VLOOKUP(C193,skill_list!B:C,2)</f>
        <v>ねこじゃらし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1111</v>
      </c>
      <c r="C194" s="15">
        <v>465</v>
      </c>
      <c r="D194" s="15">
        <v>1</v>
      </c>
      <c r="E194" s="15">
        <v>5</v>
      </c>
      <c r="F194" s="14" t="str">
        <f>VLOOKUP(C194,skill_list!B:C,2)</f>
        <v>ピクシースマイル</v>
      </c>
      <c r="G194" s="11"/>
      <c r="H194" s="15">
        <v>65</v>
      </c>
      <c r="I194" s="15">
        <v>80</v>
      </c>
      <c r="J194" s="15">
        <v>208</v>
      </c>
      <c r="K194" s="15">
        <v>10</v>
      </c>
      <c r="L194" s="15">
        <v>4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1112</v>
      </c>
      <c r="C195" s="15">
        <v>488</v>
      </c>
      <c r="D195" s="15">
        <v>1</v>
      </c>
      <c r="E195" s="15">
        <v>5</v>
      </c>
      <c r="F195" s="14" t="str">
        <f>VLOOKUP(C195,skill_list!B:C,2)</f>
        <v>クリャートヴァ</v>
      </c>
      <c r="G195" s="11"/>
      <c r="H195" s="15">
        <v>65</v>
      </c>
      <c r="I195" s="15">
        <v>80</v>
      </c>
      <c r="J195" s="15">
        <v>232</v>
      </c>
      <c r="K195" s="15">
        <v>10</v>
      </c>
      <c r="L195" s="15">
        <v>3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1201</v>
      </c>
      <c r="C196" s="15">
        <v>310</v>
      </c>
      <c r="D196" s="15">
        <v>2</v>
      </c>
      <c r="E196" s="15">
        <v>0</v>
      </c>
      <c r="F196" s="14" t="str">
        <f>VLOOKUP(C196,skill_list!B:C,2)</f>
        <v>インサイト</v>
      </c>
      <c r="G196" s="11"/>
      <c r="H196" s="15">
        <v>35</v>
      </c>
      <c r="I196" s="15">
        <v>50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1202</v>
      </c>
      <c r="C197" s="15">
        <v>451</v>
      </c>
      <c r="D197" s="15">
        <v>2</v>
      </c>
      <c r="E197" s="15">
        <v>0</v>
      </c>
      <c r="F197" s="14" t="str">
        <f>VLOOKUP(C197,skill_list!B:C,2)</f>
        <v>炯眼の構え</v>
      </c>
      <c r="G197" s="11"/>
      <c r="H197" s="15">
        <v>35</v>
      </c>
      <c r="I197" s="15">
        <v>50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1203</v>
      </c>
      <c r="C198" s="15">
        <v>8002</v>
      </c>
      <c r="D198" s="15">
        <v>2</v>
      </c>
      <c r="E198" s="15">
        <v>0</v>
      </c>
      <c r="F198" s="14" t="str">
        <f>VLOOKUP(C198,skill_list!B:C,2)</f>
        <v>心眼</v>
      </c>
      <c r="G198" s="11"/>
      <c r="H198" s="15">
        <v>50</v>
      </c>
      <c r="I198" s="15">
        <v>50</v>
      </c>
      <c r="J198" s="15">
        <v>1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>
        <v>1</v>
      </c>
    </row>
    <row r="199" spans="1:18">
      <c r="A199" s="8"/>
      <c r="B199" s="15">
        <v>1300</v>
      </c>
      <c r="C199" s="15">
        <v>9009</v>
      </c>
      <c r="D199" s="15">
        <v>3</v>
      </c>
      <c r="E199" s="15">
        <v>0</v>
      </c>
      <c r="F199" s="14" t="str">
        <f>VLOOKUP(C199,skill_list!B:C,2)</f>
        <v>ソフニング</v>
      </c>
      <c r="G199" s="11"/>
      <c r="H199" s="15">
        <v>30</v>
      </c>
      <c r="I199" s="15">
        <v>45</v>
      </c>
      <c r="J199" s="15">
        <v>200</v>
      </c>
      <c r="K199" s="15">
        <v>1</v>
      </c>
      <c r="L199" s="15">
        <v>1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1301</v>
      </c>
      <c r="C200" s="15">
        <v>173</v>
      </c>
      <c r="D200" s="15">
        <v>3</v>
      </c>
      <c r="E200" s="15">
        <v>0</v>
      </c>
      <c r="F200" s="14" t="str">
        <f>VLOOKUP(C200,skill_list!B:C,2)</f>
        <v>臥龍演舞斬</v>
      </c>
      <c r="G200" s="11"/>
      <c r="H200" s="15">
        <v>30</v>
      </c>
      <c r="I200" s="15">
        <v>45</v>
      </c>
      <c r="J200" s="15">
        <v>123</v>
      </c>
      <c r="K200" s="15">
        <v>1</v>
      </c>
      <c r="L200" s="15">
        <v>1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1302</v>
      </c>
      <c r="C201" s="15">
        <v>16</v>
      </c>
      <c r="D201" s="15">
        <v>3</v>
      </c>
      <c r="E201" s="15">
        <v>0</v>
      </c>
      <c r="F201" s="14" t="str">
        <f>VLOOKUP(C201,skill_list!B:C,2)</f>
        <v>ハードブレード</v>
      </c>
      <c r="G201" s="11"/>
      <c r="H201" s="15">
        <v>30</v>
      </c>
      <c r="I201" s="15">
        <v>45</v>
      </c>
      <c r="J201" s="15">
        <v>129</v>
      </c>
      <c r="K201" s="15">
        <v>1</v>
      </c>
      <c r="L201" s="15">
        <v>1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1303</v>
      </c>
      <c r="C202" s="15">
        <v>70</v>
      </c>
      <c r="D202" s="15">
        <v>3</v>
      </c>
      <c r="E202" s="15">
        <v>0</v>
      </c>
      <c r="F202" s="14" t="str">
        <f>VLOOKUP(C202,skill_list!B:C,2)</f>
        <v>ウィザードショット</v>
      </c>
      <c r="G202" s="11"/>
      <c r="H202" s="15">
        <v>30</v>
      </c>
      <c r="I202" s="15">
        <v>45</v>
      </c>
      <c r="J202" s="15">
        <v>117</v>
      </c>
      <c r="K202" s="15">
        <v>1</v>
      </c>
      <c r="L202" s="15">
        <v>1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1304</v>
      </c>
      <c r="C203" s="15">
        <v>467</v>
      </c>
      <c r="D203" s="15">
        <v>3</v>
      </c>
      <c r="E203" s="15">
        <v>0</v>
      </c>
      <c r="F203" s="14" t="str">
        <f>VLOOKUP(C203,skill_list!B:C,2)</f>
        <v>螳螂之斧</v>
      </c>
      <c r="G203" s="11"/>
      <c r="H203" s="15">
        <v>20</v>
      </c>
      <c r="I203" s="15">
        <v>30</v>
      </c>
      <c r="J203" s="15">
        <v>134</v>
      </c>
      <c r="K203" s="15">
        <v>1</v>
      </c>
      <c r="L203" s="15">
        <v>2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1351</v>
      </c>
      <c r="C204" s="15">
        <v>116</v>
      </c>
      <c r="D204" s="15">
        <v>3</v>
      </c>
      <c r="E204" s="15">
        <v>0</v>
      </c>
      <c r="F204" s="14" t="str">
        <f>VLOOKUP(C204,skill_list!B:C,2)</f>
        <v>レイジングシャウト</v>
      </c>
      <c r="G204" s="11"/>
      <c r="H204" s="15">
        <v>20</v>
      </c>
      <c r="I204" s="15">
        <v>30</v>
      </c>
      <c r="J204" s="15">
        <v>120</v>
      </c>
      <c r="K204" s="15">
        <v>1</v>
      </c>
      <c r="L204" s="15">
        <v>2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1352</v>
      </c>
      <c r="C205" s="15">
        <v>126</v>
      </c>
      <c r="D205" s="15">
        <v>3</v>
      </c>
      <c r="E205" s="15">
        <v>0</v>
      </c>
      <c r="F205" s="14" t="str">
        <f>VLOOKUP(C205,skill_list!B:C,2)</f>
        <v>ラブカ・ブレード</v>
      </c>
      <c r="G205" s="11"/>
      <c r="H205" s="15">
        <v>20</v>
      </c>
      <c r="I205" s="15">
        <v>30</v>
      </c>
      <c r="J205" s="15">
        <v>123</v>
      </c>
      <c r="K205" s="15">
        <v>1</v>
      </c>
      <c r="L205" s="15">
        <v>2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1401</v>
      </c>
      <c r="C206" s="15">
        <v>204</v>
      </c>
      <c r="D206" s="15">
        <v>4</v>
      </c>
      <c r="E206" s="15">
        <v>3</v>
      </c>
      <c r="F206" s="14" t="str">
        <f>VLOOKUP(C206,skill_list!B:C,2)</f>
        <v>ミストイングレイブ</v>
      </c>
      <c r="G206" s="11"/>
      <c r="H206" s="15">
        <v>45</v>
      </c>
      <c r="I206" s="15">
        <v>60</v>
      </c>
      <c r="J206" s="15">
        <v>126</v>
      </c>
      <c r="K206" s="15">
        <v>1</v>
      </c>
      <c r="L206" s="15">
        <v>1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1402</v>
      </c>
      <c r="C207" s="15">
        <v>328</v>
      </c>
      <c r="D207" s="15">
        <v>4</v>
      </c>
      <c r="E207" s="15">
        <v>5</v>
      </c>
      <c r="F207" s="14" t="str">
        <f>VLOOKUP(C207,skill_list!B:C,2)</f>
        <v>先に逝くなよ</v>
      </c>
      <c r="G207" s="11"/>
      <c r="H207" s="15">
        <v>45</v>
      </c>
      <c r="I207" s="15">
        <v>60</v>
      </c>
      <c r="J207" s="15">
        <v>123</v>
      </c>
      <c r="K207" s="15">
        <v>1</v>
      </c>
      <c r="L207" s="15">
        <v>1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1403</v>
      </c>
      <c r="C208" s="15">
        <v>282</v>
      </c>
      <c r="D208" s="15">
        <v>4</v>
      </c>
      <c r="E208" s="15">
        <v>1</v>
      </c>
      <c r="F208" s="14" t="str">
        <f>VLOOKUP(C208,skill_list!B:C,2)</f>
        <v>ヴィクタープラクティス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1404</v>
      </c>
      <c r="C209" s="15">
        <v>222</v>
      </c>
      <c r="D209" s="15">
        <v>4</v>
      </c>
      <c r="E209" s="15">
        <v>4</v>
      </c>
      <c r="F209" s="14" t="str">
        <f>VLOOKUP(C209,skill_list!B:C,2)</f>
        <v>夜雨</v>
      </c>
      <c r="G209" s="11"/>
      <c r="H209" s="15">
        <v>45</v>
      </c>
      <c r="I209" s="15">
        <v>60</v>
      </c>
      <c r="J209" s="15">
        <v>131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1405</v>
      </c>
      <c r="C210" s="15">
        <v>222</v>
      </c>
      <c r="D210" s="15">
        <v>4</v>
      </c>
      <c r="E210" s="15">
        <v>5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 ht="18" customHeight="1">
      <c r="A211" s="8"/>
      <c r="B211" s="15">
        <v>1406</v>
      </c>
      <c r="C211" s="15">
        <v>446</v>
      </c>
      <c r="D211" s="15">
        <v>4</v>
      </c>
      <c r="E211" s="15">
        <v>2</v>
      </c>
      <c r="F211" s="14" t="str">
        <f>VLOOKUP(C211,skill_list!B:C,2)</f>
        <v>コールドクラッシュ</v>
      </c>
      <c r="G211" s="11"/>
      <c r="H211" s="15">
        <v>45</v>
      </c>
      <c r="I211" s="15">
        <v>60</v>
      </c>
      <c r="J211" s="15">
        <v>132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1451</v>
      </c>
      <c r="C212" s="15">
        <v>241</v>
      </c>
      <c r="D212" s="15">
        <v>4</v>
      </c>
      <c r="E212" s="15">
        <v>1</v>
      </c>
      <c r="F212" s="14" t="str">
        <f>VLOOKUP(C212,skill_list!B:C,2)</f>
        <v>怒裂昂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1452</v>
      </c>
      <c r="C213" s="15">
        <v>77</v>
      </c>
      <c r="D213" s="15">
        <v>4</v>
      </c>
      <c r="E213" s="15">
        <v>2</v>
      </c>
      <c r="F213" s="14" t="str">
        <f>VLOOKUP(C213,skill_list!B:C,2)</f>
        <v>ビスコッティ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1453</v>
      </c>
      <c r="C214" s="15">
        <v>410</v>
      </c>
      <c r="D214" s="15">
        <v>4</v>
      </c>
      <c r="E214" s="15">
        <v>3</v>
      </c>
      <c r="F214" s="14" t="str">
        <f>VLOOKUP(C214,skill_list!B:C,2)</f>
        <v>ザヴィーシマスチ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1454</v>
      </c>
      <c r="C215" s="15">
        <v>476</v>
      </c>
      <c r="D215" s="15">
        <v>4</v>
      </c>
      <c r="E215" s="15">
        <v>5</v>
      </c>
      <c r="F215" s="14" t="str">
        <f>VLOOKUP(C215,skill_list!B:C,2)</f>
        <v>ヌラルジャ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999</v>
      </c>
      <c r="P215" s="15"/>
      <c r="Q215" s="15"/>
      <c r="R215" s="15"/>
    </row>
    <row r="216" spans="1:18">
      <c r="A216" s="8"/>
      <c r="B216" s="15">
        <v>1455</v>
      </c>
      <c r="C216" s="15">
        <v>249</v>
      </c>
      <c r="D216" s="15">
        <v>4</v>
      </c>
      <c r="E216" s="15">
        <v>1</v>
      </c>
      <c r="F216" s="14" t="str">
        <f>VLOOKUP(C216,skill_list!B:C,2)</f>
        <v>シルキーフレア</v>
      </c>
      <c r="G216" s="11"/>
      <c r="H216" s="15">
        <v>30</v>
      </c>
      <c r="I216" s="15">
        <v>45</v>
      </c>
      <c r="J216" s="15">
        <v>132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  <c r="Q216" s="15"/>
      <c r="R216" s="15"/>
    </row>
    <row r="217" spans="1:18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1600</v>
      </c>
      <c r="C222" s="15">
        <v>9001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  <c r="Q223" s="15"/>
      <c r="R223" s="15"/>
    </row>
    <row r="224" spans="1:18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1700</v>
      </c>
      <c r="C228" s="15">
        <v>9006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2005</v>
      </c>
      <c r="C235" s="15">
        <v>8001</v>
      </c>
      <c r="D235" s="15">
        <v>10</v>
      </c>
      <c r="E235" s="15">
        <v>0</v>
      </c>
      <c r="F235" s="14" t="str">
        <f>VLOOKUP(C235,skill_list!B:C,2)</f>
        <v>チャージ</v>
      </c>
      <c r="G235" s="11"/>
      <c r="H235" s="15">
        <v>30</v>
      </c>
      <c r="I235" s="15">
        <v>30</v>
      </c>
      <c r="J235" s="15">
        <v>1</v>
      </c>
      <c r="K235" s="15">
        <v>1</v>
      </c>
      <c r="L235" s="15">
        <v>7</v>
      </c>
      <c r="M235" s="15">
        <v>0</v>
      </c>
      <c r="N235" s="15">
        <v>1</v>
      </c>
      <c r="O235" s="15"/>
      <c r="P235" s="15"/>
      <c r="Q235" s="15"/>
      <c r="R235" s="15">
        <v>1</v>
      </c>
    </row>
    <row r="236" spans="1:18">
      <c r="A236" s="8"/>
      <c r="B236" s="15">
        <v>2051</v>
      </c>
      <c r="C236" s="15">
        <v>226</v>
      </c>
      <c r="D236" s="15">
        <v>10</v>
      </c>
      <c r="E236" s="15">
        <v>0</v>
      </c>
      <c r="F236" s="14" t="str">
        <f>VLOOKUP(C236,skill_list!B:C,2)</f>
        <v>ハイセンス・ショット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2052</v>
      </c>
      <c r="C237" s="15">
        <v>163</v>
      </c>
      <c r="D237" s="15">
        <v>10</v>
      </c>
      <c r="E237" s="15">
        <v>0</v>
      </c>
      <c r="F237" s="14" t="str">
        <f>VLOOKUP(C237,skill_list!B:C,2)</f>
        <v>残心</v>
      </c>
      <c r="G237" s="11"/>
      <c r="H237" s="15">
        <v>20</v>
      </c>
      <c r="I237" s="15">
        <v>30</v>
      </c>
      <c r="J237" s="15">
        <v>123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2053</v>
      </c>
      <c r="C238" s="15">
        <v>228</v>
      </c>
      <c r="D238" s="15">
        <v>10</v>
      </c>
      <c r="E238" s="15">
        <v>0</v>
      </c>
      <c r="F238" s="14" t="str">
        <f>VLOOKUP(C238,skill_list!B:C,2)</f>
        <v>喧嘩上等！！</v>
      </c>
      <c r="G238" s="11"/>
      <c r="H238" s="15">
        <v>20</v>
      </c>
      <c r="I238" s="15">
        <v>30</v>
      </c>
      <c r="J238" s="15">
        <v>132</v>
      </c>
      <c r="K238" s="15">
        <v>1</v>
      </c>
      <c r="L238" s="15">
        <v>7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2201</v>
      </c>
      <c r="C239" s="15">
        <v>321</v>
      </c>
      <c r="D239" s="15">
        <v>12</v>
      </c>
      <c r="E239" s="15">
        <v>0</v>
      </c>
      <c r="F239" s="14" t="str">
        <f>VLOOKUP(C239,skill_list!B:C,2)</f>
        <v>ファーストラヴ</v>
      </c>
      <c r="G239" s="11"/>
      <c r="H239" s="15">
        <v>50</v>
      </c>
      <c r="I239" s="15">
        <v>50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>
        <v>999</v>
      </c>
      <c r="P239" s="15"/>
      <c r="Q239" s="15"/>
      <c r="R239" s="15"/>
    </row>
    <row r="240" spans="1:18">
      <c r="A240" s="8"/>
      <c r="B240" s="15">
        <v>2300</v>
      </c>
      <c r="C240" s="15">
        <v>9003</v>
      </c>
      <c r="D240" s="15">
        <v>13</v>
      </c>
      <c r="E240" s="15">
        <v>0</v>
      </c>
      <c r="F240" s="14" t="str">
        <f>VLOOKUP(C240,skill_list!B:C,2)</f>
        <v>ドライブゲイン</v>
      </c>
      <c r="G240" s="11"/>
      <c r="H240" s="15">
        <v>15</v>
      </c>
      <c r="I240" s="15">
        <v>15</v>
      </c>
      <c r="J240" s="15">
        <v>0</v>
      </c>
      <c r="K240" s="15">
        <v>1</v>
      </c>
      <c r="L240" s="15">
        <v>0</v>
      </c>
      <c r="M240" s="15">
        <v>0</v>
      </c>
      <c r="N240" s="15">
        <v>0</v>
      </c>
      <c r="O240" s="15"/>
      <c r="P240" s="15"/>
      <c r="Q240" s="15"/>
      <c r="R240" s="15"/>
    </row>
    <row r="241" spans="1:18">
      <c r="A241" s="8"/>
      <c r="B241" s="15">
        <v>2301</v>
      </c>
      <c r="C241" s="15">
        <v>123</v>
      </c>
      <c r="D241" s="15">
        <v>13</v>
      </c>
      <c r="E241" s="15">
        <v>0</v>
      </c>
      <c r="F241" s="14" t="str">
        <f>VLOOKUP(C241,skill_list!B:C,2)</f>
        <v>サービス・エース</v>
      </c>
      <c r="G241" s="11"/>
      <c r="H241" s="15">
        <v>10</v>
      </c>
      <c r="I241" s="15">
        <v>15</v>
      </c>
      <c r="J241" s="15">
        <v>117</v>
      </c>
      <c r="K241" s="15">
        <v>1</v>
      </c>
      <c r="L241" s="15">
        <v>0</v>
      </c>
      <c r="M241" s="15">
        <v>0</v>
      </c>
      <c r="N241" s="15">
        <v>0</v>
      </c>
      <c r="O241" s="15"/>
      <c r="P241" s="15"/>
      <c r="Q241" s="15"/>
      <c r="R241" s="15"/>
    </row>
    <row r="242" spans="1:18">
      <c r="A242" s="8"/>
      <c r="B242" s="15">
        <v>2401</v>
      </c>
      <c r="C242" s="15">
        <v>293</v>
      </c>
      <c r="D242" s="15">
        <v>14</v>
      </c>
      <c r="E242" s="15">
        <v>0</v>
      </c>
      <c r="F242" s="14" t="str">
        <f>VLOOKUP(C242,skill_list!B:C,2)</f>
        <v>きらめきのエール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4</v>
      </c>
      <c r="M242" s="15">
        <v>0</v>
      </c>
      <c r="N242" s="15">
        <v>2</v>
      </c>
      <c r="O242" s="15"/>
      <c r="P242" s="15"/>
      <c r="Q242" s="15"/>
      <c r="R242" s="15"/>
    </row>
    <row r="243" spans="1:18">
      <c r="A243" s="8"/>
      <c r="B243" s="15">
        <v>2501</v>
      </c>
      <c r="C243" s="15">
        <v>275</v>
      </c>
      <c r="D243" s="15">
        <v>15</v>
      </c>
      <c r="E243" s="15">
        <v>0</v>
      </c>
      <c r="F243" s="14" t="str">
        <f>VLOOKUP(C243,skill_list!B:C,2)</f>
        <v>カースサイス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/>
      <c r="P243" s="15"/>
      <c r="Q243" s="15"/>
      <c r="R243" s="15"/>
    </row>
    <row r="244" spans="1:18">
      <c r="A244" s="8"/>
      <c r="B244" s="15">
        <v>2502</v>
      </c>
      <c r="C244" s="15">
        <v>380</v>
      </c>
      <c r="D244" s="15">
        <v>15</v>
      </c>
      <c r="E244" s="15">
        <v>0</v>
      </c>
      <c r="F244" s="14" t="str">
        <f>VLOOKUP(C244,skill_list!B:C,2)</f>
        <v>天変の相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1</v>
      </c>
      <c r="M244" s="15">
        <v>0</v>
      </c>
      <c r="N244" s="15">
        <v>2</v>
      </c>
      <c r="O244" s="15"/>
      <c r="P244" s="15"/>
      <c r="Q244" s="15"/>
      <c r="R244" s="15"/>
    </row>
    <row r="245" spans="1:18">
      <c r="A245" s="8"/>
      <c r="B245" s="15">
        <v>2503</v>
      </c>
      <c r="C245" s="15">
        <v>265</v>
      </c>
      <c r="D245" s="15">
        <v>15</v>
      </c>
      <c r="E245" s="15">
        <v>0</v>
      </c>
      <c r="F245" s="14" t="str">
        <f>VLOOKUP(C245,skill_list!B:C,2)</f>
        <v>神妙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2</v>
      </c>
      <c r="M245" s="15">
        <v>0</v>
      </c>
      <c r="N245" s="15">
        <v>2</v>
      </c>
      <c r="O245" s="15"/>
      <c r="P245" s="15"/>
      <c r="Q245" s="15"/>
      <c r="R245" s="15"/>
    </row>
    <row r="246" spans="1:18">
      <c r="A246" s="8"/>
      <c r="B246" s="15">
        <v>2504</v>
      </c>
      <c r="C246" s="15">
        <v>417</v>
      </c>
      <c r="D246" s="15">
        <v>15</v>
      </c>
      <c r="E246" s="15">
        <v>0</v>
      </c>
      <c r="F246" s="14" t="str">
        <f>VLOOKUP(C246,skill_list!B:C,2)</f>
        <v>ナイトフォール</v>
      </c>
      <c r="G246" s="11"/>
      <c r="H246" s="15">
        <v>0</v>
      </c>
      <c r="I246" s="15">
        <v>0</v>
      </c>
      <c r="J246" s="15">
        <v>0</v>
      </c>
      <c r="K246" s="15">
        <v>1</v>
      </c>
      <c r="L246" s="15">
        <v>1</v>
      </c>
      <c r="M246" s="15">
        <v>0</v>
      </c>
      <c r="N246" s="15">
        <v>2</v>
      </c>
      <c r="O246" s="15"/>
      <c r="P246" s="15"/>
      <c r="Q246" s="15"/>
      <c r="R246" s="15"/>
    </row>
    <row r="247" spans="1:18">
      <c r="A247" s="8"/>
      <c r="B247" s="15">
        <v>2601</v>
      </c>
      <c r="C247" s="15">
        <v>331</v>
      </c>
      <c r="D247" s="15">
        <v>16</v>
      </c>
      <c r="E247" s="15">
        <v>0</v>
      </c>
      <c r="F247" s="14" t="str">
        <f>VLOOKUP(C247,skill_list!B:C,2)</f>
        <v>イチコロスマイル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2602</v>
      </c>
      <c r="C248" s="15">
        <v>384</v>
      </c>
      <c r="D248" s="15">
        <v>16</v>
      </c>
      <c r="E248" s="15">
        <v>0</v>
      </c>
      <c r="F248" s="14" t="str">
        <f>VLOOKUP(C248,skill_list!B:C,2)</f>
        <v>バックラッシュ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2603</v>
      </c>
      <c r="C249" s="15">
        <v>425</v>
      </c>
      <c r="D249" s="15">
        <v>16</v>
      </c>
      <c r="E249" s="15">
        <v>0</v>
      </c>
      <c r="F249" s="14" t="str">
        <f>VLOOKUP(C249,skill_list!B:C,2)</f>
        <v>セルフパッション</v>
      </c>
      <c r="G249" s="11"/>
      <c r="H249" s="15">
        <v>5</v>
      </c>
      <c r="I249" s="15">
        <v>5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/>
      <c r="P249" s="15"/>
      <c r="Q249" s="15"/>
      <c r="R249" s="15"/>
    </row>
    <row r="250" spans="1:18">
      <c r="A250" s="8"/>
      <c r="B250" s="15">
        <v>2604</v>
      </c>
      <c r="C250" s="15">
        <v>8003</v>
      </c>
      <c r="D250" s="15">
        <v>16</v>
      </c>
      <c r="E250" s="15">
        <v>0</v>
      </c>
      <c r="F250" s="14" t="str">
        <f>VLOOKUP(C250,skill_list!B:C,2)</f>
        <v>連撃＋</v>
      </c>
      <c r="G250" s="11"/>
      <c r="H250" s="15">
        <v>3</v>
      </c>
      <c r="I250" s="15">
        <v>3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/>
      <c r="P250" s="15"/>
      <c r="Q250" s="15"/>
      <c r="R250" s="15">
        <v>1</v>
      </c>
    </row>
    <row r="251" spans="1:18">
      <c r="A251" s="8"/>
      <c r="B251" s="15">
        <v>2701</v>
      </c>
      <c r="C251" s="15">
        <v>189</v>
      </c>
      <c r="D251" s="15">
        <v>17</v>
      </c>
      <c r="E251" s="15">
        <v>0</v>
      </c>
      <c r="F251" s="14" t="str">
        <f>VLOOKUP(C251,skill_list!B:C,2)</f>
        <v>心意活性</v>
      </c>
      <c r="G251" s="11"/>
      <c r="H251" s="15">
        <v>2</v>
      </c>
      <c r="I251" s="15">
        <v>3</v>
      </c>
      <c r="J251" s="15">
        <v>129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2702</v>
      </c>
      <c r="C252" s="15">
        <v>255</v>
      </c>
      <c r="D252" s="15">
        <v>17</v>
      </c>
      <c r="E252" s="15">
        <v>0</v>
      </c>
      <c r="F252" s="14" t="str">
        <f>VLOOKUP(C252,skill_list!B:C,2)</f>
        <v>ホールドアップマインド</v>
      </c>
      <c r="G252" s="11"/>
      <c r="H252" s="15">
        <v>2</v>
      </c>
      <c r="I252" s="15">
        <v>2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2703</v>
      </c>
      <c r="C253" s="15">
        <v>236</v>
      </c>
      <c r="D253" s="15">
        <v>17</v>
      </c>
      <c r="E253" s="15">
        <v>0</v>
      </c>
      <c r="F253" s="14" t="str">
        <f>VLOOKUP(C253,skill_list!B:C,2)</f>
        <v>ブリリアント・グローリー</v>
      </c>
      <c r="G253" s="11"/>
      <c r="H253" s="15">
        <v>2</v>
      </c>
      <c r="I253" s="15">
        <v>3</v>
      </c>
      <c r="J253" s="15">
        <v>208</v>
      </c>
      <c r="K253" s="15">
        <v>1</v>
      </c>
      <c r="L253" s="15">
        <v>7</v>
      </c>
      <c r="M253" s="15">
        <v>0</v>
      </c>
      <c r="N253" s="15">
        <v>1</v>
      </c>
      <c r="O253" s="15"/>
      <c r="P253" s="15"/>
      <c r="Q253" s="15"/>
      <c r="R253" s="15"/>
    </row>
    <row r="254" spans="1:18">
      <c r="A254" s="8"/>
      <c r="B254" s="15">
        <v>3300</v>
      </c>
      <c r="C254" s="15">
        <v>9007</v>
      </c>
      <c r="D254" s="15">
        <v>23</v>
      </c>
      <c r="E254" s="15">
        <v>0</v>
      </c>
      <c r="F254" s="14" t="str">
        <f>VLOOKUP(C254,skill_list!B:C,2)</f>
        <v>ポイントケア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/>
      <c r="P254" s="15"/>
      <c r="Q254" s="15"/>
      <c r="R254" s="15"/>
    </row>
    <row r="255" spans="1:18">
      <c r="A255" s="8"/>
      <c r="B255" s="15">
        <v>3301</v>
      </c>
      <c r="C255" s="15">
        <v>22</v>
      </c>
      <c r="D255" s="15">
        <v>23</v>
      </c>
      <c r="E255" s="15">
        <v>0</v>
      </c>
      <c r="F255" s="14" t="str">
        <f>VLOOKUP(C255,skill_list!B:C,2)</f>
        <v>ブレスショット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  <c r="Q255" s="15"/>
      <c r="R255" s="15"/>
    </row>
    <row r="256" spans="1:18">
      <c r="A256" s="8"/>
      <c r="B256" s="15">
        <v>3302</v>
      </c>
      <c r="C256" s="15">
        <v>33</v>
      </c>
      <c r="D256" s="15">
        <v>23</v>
      </c>
      <c r="E256" s="15">
        <v>0</v>
      </c>
      <c r="F256" s="14" t="str">
        <f>VLOOKUP(C256,skill_list!B:C,2)</f>
        <v>闘気斬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  <c r="Q256" s="15"/>
      <c r="R256" s="15"/>
    </row>
    <row r="257" spans="1:18">
      <c r="A257" s="8"/>
      <c r="B257" s="15">
        <v>3303</v>
      </c>
      <c r="C257" s="15">
        <v>113</v>
      </c>
      <c r="D257" s="15">
        <v>23</v>
      </c>
      <c r="E257" s="15">
        <v>0</v>
      </c>
      <c r="F257" s="14" t="str">
        <f>VLOOKUP(C257,skill_list!B:C,2)</f>
        <v>ヴィヴィットシュート</v>
      </c>
      <c r="G257" s="11"/>
      <c r="H257" s="15">
        <v>2</v>
      </c>
      <c r="I257" s="15">
        <v>2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  <c r="Q257" s="15"/>
      <c r="R257" s="15"/>
    </row>
    <row r="258" spans="1:18">
      <c r="A258" s="8"/>
      <c r="B258" s="15">
        <v>3304</v>
      </c>
      <c r="C258" s="15">
        <v>120</v>
      </c>
      <c r="D258" s="15">
        <v>23</v>
      </c>
      <c r="E258" s="15">
        <v>0</v>
      </c>
      <c r="F258" s="14" t="str">
        <f>VLOOKUP(C258,skill_list!B:C,2)</f>
        <v>リバースショット</v>
      </c>
      <c r="G258" s="11"/>
      <c r="H258" s="15">
        <v>2</v>
      </c>
      <c r="I258" s="15">
        <v>2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  <c r="Q258" s="15"/>
      <c r="R258" s="15"/>
    </row>
    <row r="259" spans="1:18">
      <c r="A259" s="8"/>
      <c r="B259" s="15">
        <v>3305</v>
      </c>
      <c r="C259" s="15">
        <v>132</v>
      </c>
      <c r="D259" s="15">
        <v>23</v>
      </c>
      <c r="E259" s="15">
        <v>0</v>
      </c>
      <c r="F259" s="14" t="str">
        <f>VLOOKUP(C259,skill_list!B:C,2)</f>
        <v>砕華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  <c r="R259" s="15"/>
    </row>
    <row r="260" spans="1:18">
      <c r="A260" s="8"/>
      <c r="B260" s="15">
        <v>3306</v>
      </c>
      <c r="C260" s="15">
        <v>190</v>
      </c>
      <c r="D260" s="15">
        <v>23</v>
      </c>
      <c r="E260" s="15">
        <v>0</v>
      </c>
      <c r="F260" s="14" t="str">
        <f>VLOOKUP(C260,skill_list!B:C,2)</f>
        <v>ゲインカノン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  <c r="Q260" s="15"/>
      <c r="R260" s="15"/>
    </row>
    <row r="261" spans="1:18">
      <c r="A261" s="8"/>
      <c r="B261" s="15">
        <v>3307</v>
      </c>
      <c r="C261" s="15">
        <v>212</v>
      </c>
      <c r="D261" s="15">
        <v>23</v>
      </c>
      <c r="E261" s="15">
        <v>0</v>
      </c>
      <c r="F261" s="14" t="str">
        <f>VLOOKUP(C261,skill_list!B:C,2)</f>
        <v>粛正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  <c r="Q261" s="15"/>
      <c r="R261" s="15"/>
    </row>
    <row r="262" spans="1:18">
      <c r="A262" s="8"/>
      <c r="B262" s="15">
        <v>3308</v>
      </c>
      <c r="C262" s="15">
        <v>239</v>
      </c>
      <c r="D262" s="15">
        <v>23</v>
      </c>
      <c r="E262" s="15">
        <v>0</v>
      </c>
      <c r="F262" s="14" t="str">
        <f>VLOOKUP(C262,skill_list!B:C,2)</f>
        <v>キャンディ・バースト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  <c r="Q262" s="15"/>
      <c r="R262" s="15"/>
    </row>
    <row r="263" spans="1:18">
      <c r="A263" s="8"/>
      <c r="B263" s="15">
        <v>3309</v>
      </c>
      <c r="C263" s="15">
        <v>259</v>
      </c>
      <c r="D263" s="15">
        <v>23</v>
      </c>
      <c r="E263" s="15">
        <v>0</v>
      </c>
      <c r="F263" s="14" t="str">
        <f>VLOOKUP(C263,skill_list!B:C,2)</f>
        <v>不純なアリア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  <c r="R263" s="15"/>
    </row>
    <row r="264" spans="1:18">
      <c r="A264" s="8"/>
      <c r="B264" s="15">
        <v>3310</v>
      </c>
      <c r="C264" s="15">
        <v>309</v>
      </c>
      <c r="D264" s="15">
        <v>23</v>
      </c>
      <c r="E264" s="15">
        <v>0</v>
      </c>
      <c r="F264" s="14" t="str">
        <f>VLOOKUP(C264,skill_list!B:C,2)</f>
        <v>フォーチュンスラッシュ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  <c r="R264" s="15"/>
    </row>
    <row r="265" spans="1:18">
      <c r="A265" s="8"/>
      <c r="B265" s="15">
        <v>3311</v>
      </c>
      <c r="C265" s="15">
        <v>324</v>
      </c>
      <c r="D265" s="15">
        <v>23</v>
      </c>
      <c r="E265" s="15">
        <v>0</v>
      </c>
      <c r="F265" s="14" t="str">
        <f>VLOOKUP(C265,skill_list!B:C,2)</f>
        <v>トランスペイン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3312</v>
      </c>
      <c r="C266" s="15">
        <v>382</v>
      </c>
      <c r="D266" s="15">
        <v>23</v>
      </c>
      <c r="E266" s="15">
        <v>0</v>
      </c>
      <c r="F266" s="14" t="str">
        <f>VLOOKUP(C266,skill_list!B:C,2)</f>
        <v>エキゾーストノート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3313</v>
      </c>
      <c r="C267" s="15">
        <v>397</v>
      </c>
      <c r="D267" s="15">
        <v>23</v>
      </c>
      <c r="E267" s="15">
        <v>0</v>
      </c>
      <c r="F267" s="14" t="str">
        <f>VLOOKUP(C267,skill_list!B:C,2)</f>
        <v>春雷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3314</v>
      </c>
      <c r="C268" s="15">
        <v>427</v>
      </c>
      <c r="D268" s="15">
        <v>23</v>
      </c>
      <c r="E268" s="15">
        <v>0</v>
      </c>
      <c r="F268" s="14" t="str">
        <f>VLOOKUP(C268,skill_list!B:C,2)</f>
        <v>ファンタズム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3315</v>
      </c>
      <c r="C269" s="15">
        <v>480</v>
      </c>
      <c r="D269" s="15">
        <v>23</v>
      </c>
      <c r="E269" s="15">
        <v>0</v>
      </c>
      <c r="F269" s="14" t="str">
        <f>VLOOKUP(C269,skill_list!B:C,2)</f>
        <v>スイーツチャージ！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3316</v>
      </c>
      <c r="C270" s="15">
        <v>177</v>
      </c>
      <c r="D270" s="15">
        <v>23</v>
      </c>
      <c r="E270" s="15">
        <v>0</v>
      </c>
      <c r="F270" s="14" t="str">
        <f>VLOOKUP(C270,skill_list!B:C,2)</f>
        <v>エリミネイト・ポッシブル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3</v>
      </c>
      <c r="M270" s="15">
        <v>0</v>
      </c>
      <c r="N270" s="15">
        <v>1</v>
      </c>
      <c r="O270" s="15"/>
      <c r="P270" s="15"/>
      <c r="Q270" s="15"/>
      <c r="R270" s="15"/>
    </row>
    <row r="271" spans="1:18">
      <c r="A271" s="8"/>
      <c r="B271" s="15">
        <v>3317</v>
      </c>
      <c r="C271" s="15">
        <v>207</v>
      </c>
      <c r="D271" s="15">
        <v>23</v>
      </c>
      <c r="E271" s="15">
        <v>1</v>
      </c>
      <c r="F271" s="14" t="str">
        <f>VLOOKUP(C271,skill_list!B:C,2)</f>
        <v>リバイブ・ヴェール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8</v>
      </c>
      <c r="M271" s="15">
        <v>1</v>
      </c>
      <c r="N271" s="15">
        <v>1</v>
      </c>
      <c r="O271" s="15"/>
      <c r="P271" s="15"/>
      <c r="Q271" s="15"/>
      <c r="R271" s="15"/>
    </row>
    <row r="272" spans="1:18">
      <c r="A272" s="8"/>
      <c r="B272" s="15">
        <v>3401</v>
      </c>
      <c r="C272" s="15">
        <v>137</v>
      </c>
      <c r="D272" s="15">
        <v>24</v>
      </c>
      <c r="E272" s="15">
        <v>0</v>
      </c>
      <c r="F272" s="14" t="str">
        <f>VLOOKUP(C272,skill_list!B:C,2)</f>
        <v>サイクロンブレード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  <c r="Q272" s="15"/>
      <c r="R272" s="15"/>
    </row>
    <row r="273" spans="1:18">
      <c r="A273" s="8"/>
      <c r="B273" s="15">
        <v>3402</v>
      </c>
      <c r="C273" s="15">
        <v>211</v>
      </c>
      <c r="D273" s="15">
        <v>24</v>
      </c>
      <c r="E273" s="15">
        <v>0</v>
      </c>
      <c r="F273" s="14" t="str">
        <f>VLOOKUP(C273,skill_list!B:C,2)</f>
        <v>我忘恍惚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/>
      <c r="P273" s="15"/>
      <c r="Q273" s="15"/>
      <c r="R273" s="15"/>
    </row>
    <row r="274" spans="1:18">
      <c r="A274" s="8"/>
      <c r="B274" s="15">
        <v>3403</v>
      </c>
      <c r="C274" s="15">
        <v>229</v>
      </c>
      <c r="D274" s="15">
        <v>24</v>
      </c>
      <c r="E274" s="15">
        <v>0</v>
      </c>
      <c r="F274" s="14" t="str">
        <f>VLOOKUP(C274,skill_list!B:C,2)</f>
        <v>フューリーインパルス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  <c r="Q274" s="15"/>
      <c r="R274" s="15"/>
    </row>
    <row r="275" spans="1:18">
      <c r="A275" s="8"/>
      <c r="B275" s="15">
        <v>3404</v>
      </c>
      <c r="C275" s="15">
        <v>243</v>
      </c>
      <c r="D275" s="15">
        <v>24</v>
      </c>
      <c r="E275" s="15">
        <v>0</v>
      </c>
      <c r="F275" s="14" t="str">
        <f>VLOOKUP(C275,skill_list!B:C,2)</f>
        <v>銀蜂</v>
      </c>
      <c r="G275" s="11"/>
      <c r="H275" s="15">
        <v>0</v>
      </c>
      <c r="I275" s="15">
        <v>0</v>
      </c>
      <c r="J275" s="15">
        <v>0</v>
      </c>
      <c r="K275" s="15">
        <v>0</v>
      </c>
      <c r="L275" s="15">
        <v>7</v>
      </c>
      <c r="M275" s="15">
        <v>0</v>
      </c>
      <c r="N275" s="15">
        <v>2</v>
      </c>
      <c r="O275" s="15">
        <v>999</v>
      </c>
      <c r="P275" s="15"/>
      <c r="Q275" s="15"/>
      <c r="R275" s="15"/>
    </row>
    <row r="276" spans="1:18">
      <c r="A276" s="8"/>
      <c r="B276" s="15">
        <v>3405</v>
      </c>
      <c r="C276" s="15">
        <v>322</v>
      </c>
      <c r="D276" s="15">
        <v>24</v>
      </c>
      <c r="E276" s="15">
        <v>0</v>
      </c>
      <c r="F276" s="14" t="str">
        <f>VLOOKUP(C276,skill_list!B:C,2)</f>
        <v>決戦前夜</v>
      </c>
      <c r="G276" s="11"/>
      <c r="H276" s="15">
        <v>0</v>
      </c>
      <c r="I276" s="15">
        <v>0</v>
      </c>
      <c r="J276" s="15">
        <v>0</v>
      </c>
      <c r="K276" s="15">
        <v>0</v>
      </c>
      <c r="L276" s="15">
        <v>7</v>
      </c>
      <c r="M276" s="15">
        <v>0</v>
      </c>
      <c r="N276" s="15">
        <v>2</v>
      </c>
      <c r="O276" s="15"/>
      <c r="P276" s="15"/>
      <c r="Q276" s="15"/>
      <c r="R276" s="15"/>
    </row>
    <row r="277" spans="1:18">
      <c r="A277" s="8"/>
      <c r="B277" s="15">
        <v>3406</v>
      </c>
      <c r="C277" s="15">
        <v>473</v>
      </c>
      <c r="D277" s="15">
        <v>24</v>
      </c>
      <c r="E277" s="15">
        <v>0</v>
      </c>
      <c r="F277" s="14" t="str">
        <f>VLOOKUP(C277,skill_list!B:C,2)</f>
        <v>朝霜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2</v>
      </c>
      <c r="O277" s="15">
        <v>999</v>
      </c>
      <c r="P277" s="15"/>
      <c r="Q277" s="15"/>
      <c r="R277" s="15"/>
    </row>
    <row r="278" spans="1:18">
      <c r="A278" s="8"/>
      <c r="B278" s="15">
        <v>3501</v>
      </c>
      <c r="C278" s="15">
        <v>38</v>
      </c>
      <c r="D278" s="15">
        <v>25</v>
      </c>
      <c r="E278" s="15">
        <v>0</v>
      </c>
      <c r="F278" s="14" t="str">
        <f>VLOOKUP(C278,skill_list!B:C,2)</f>
        <v>プロヴォーク</v>
      </c>
      <c r="G278" s="11"/>
      <c r="H278" s="15">
        <v>2</v>
      </c>
      <c r="I278" s="15">
        <v>3</v>
      </c>
      <c r="J278" s="15">
        <v>208</v>
      </c>
      <c r="K278" s="15">
        <v>0</v>
      </c>
      <c r="L278" s="15">
        <v>7</v>
      </c>
      <c r="M278" s="15">
        <v>0</v>
      </c>
      <c r="N278" s="15">
        <v>3</v>
      </c>
      <c r="O278" s="15"/>
      <c r="P278" s="15"/>
      <c r="Q278" s="15"/>
      <c r="R278" s="15"/>
    </row>
    <row r="279" spans="1:18">
      <c r="A279" s="8"/>
      <c r="B279" s="15">
        <v>3502</v>
      </c>
      <c r="C279" s="15">
        <v>65</v>
      </c>
      <c r="D279" s="15">
        <v>25</v>
      </c>
      <c r="E279" s="15">
        <v>0</v>
      </c>
      <c r="F279" s="14" t="str">
        <f>VLOOKUP(C279,skill_list!B:C,2)</f>
        <v>ポラリスの輝き</v>
      </c>
      <c r="G279" s="11"/>
      <c r="H279" s="15">
        <v>2</v>
      </c>
      <c r="I279" s="15">
        <v>3</v>
      </c>
      <c r="J279" s="15">
        <v>129</v>
      </c>
      <c r="K279" s="15">
        <v>0</v>
      </c>
      <c r="L279" s="15">
        <v>7</v>
      </c>
      <c r="M279" s="15">
        <v>0</v>
      </c>
      <c r="N279" s="15">
        <v>3</v>
      </c>
      <c r="O279" s="15">
        <v>999</v>
      </c>
      <c r="P279" s="15"/>
      <c r="Q279" s="15"/>
      <c r="R279" s="15"/>
    </row>
    <row r="280" spans="1:18">
      <c r="A280" s="8"/>
      <c r="B280" s="15">
        <v>3503</v>
      </c>
      <c r="C280" s="15">
        <v>129</v>
      </c>
      <c r="D280" s="15">
        <v>25</v>
      </c>
      <c r="E280" s="15">
        <v>0</v>
      </c>
      <c r="F280" s="14" t="str">
        <f>VLOOKUP(C280,skill_list!B:C,2)</f>
        <v>ライオンハート</v>
      </c>
      <c r="G280" s="11"/>
      <c r="H280" s="15">
        <v>2</v>
      </c>
      <c r="I280" s="15">
        <v>3</v>
      </c>
      <c r="J280" s="15">
        <v>184</v>
      </c>
      <c r="K280" s="15">
        <v>0</v>
      </c>
      <c r="L280" s="15">
        <v>7</v>
      </c>
      <c r="M280" s="15">
        <v>0</v>
      </c>
      <c r="N280" s="15">
        <v>3</v>
      </c>
      <c r="O280" s="15"/>
      <c r="P280" s="15"/>
      <c r="Q280" s="15"/>
      <c r="R280" s="15"/>
    </row>
    <row r="281" spans="1:18">
      <c r="A281" s="8"/>
      <c r="B281" s="15">
        <v>3504</v>
      </c>
      <c r="C281" s="15">
        <v>160</v>
      </c>
      <c r="D281" s="15">
        <v>25</v>
      </c>
      <c r="E281" s="15">
        <v>0</v>
      </c>
      <c r="F281" s="14" t="str">
        <f>VLOOKUP(C281,skill_list!B:C,2)</f>
        <v>ギャザー・バッシュ</v>
      </c>
      <c r="G281" s="11"/>
      <c r="H281" s="15">
        <v>2</v>
      </c>
      <c r="I281" s="15">
        <v>3</v>
      </c>
      <c r="J281" s="15">
        <v>117</v>
      </c>
      <c r="K281" s="15">
        <v>0</v>
      </c>
      <c r="L281" s="15">
        <v>7</v>
      </c>
      <c r="M281" s="15">
        <v>0</v>
      </c>
      <c r="N281" s="15">
        <v>3</v>
      </c>
      <c r="O281" s="15">
        <v>999</v>
      </c>
      <c r="P281" s="15"/>
      <c r="Q281" s="15"/>
      <c r="R281" s="15"/>
    </row>
    <row r="282" spans="1:18">
      <c r="A282" s="8"/>
      <c r="B282" s="15">
        <v>3505</v>
      </c>
      <c r="C282" s="15">
        <v>233</v>
      </c>
      <c r="D282" s="15">
        <v>25</v>
      </c>
      <c r="E282" s="15">
        <v>0</v>
      </c>
      <c r="F282" s="14" t="str">
        <f>VLOOKUP(C282,skill_list!B:C,2)</f>
        <v>プロヴォーク</v>
      </c>
      <c r="G282" s="11"/>
      <c r="H282" s="15">
        <v>2</v>
      </c>
      <c r="I282" s="15">
        <v>3</v>
      </c>
      <c r="J282" s="15">
        <v>208</v>
      </c>
      <c r="K282" s="15">
        <v>0</v>
      </c>
      <c r="L282" s="15">
        <v>7</v>
      </c>
      <c r="M282" s="15">
        <v>0</v>
      </c>
      <c r="N282" s="15">
        <v>3</v>
      </c>
      <c r="O282" s="15"/>
      <c r="P282" s="15"/>
      <c r="Q282" s="15"/>
      <c r="R282" s="15"/>
    </row>
    <row r="283" spans="1:18">
      <c r="A283" s="8"/>
      <c r="B283" s="15">
        <v>3506</v>
      </c>
      <c r="C283" s="15">
        <v>257</v>
      </c>
      <c r="D283" s="15">
        <v>25</v>
      </c>
      <c r="E283" s="15">
        <v>0</v>
      </c>
      <c r="F283" s="14" t="str">
        <f>VLOOKUP(C283,skill_list!B:C,2)</f>
        <v>プリンシプルチャンダス</v>
      </c>
      <c r="G283" s="11"/>
      <c r="H283" s="15">
        <v>2</v>
      </c>
      <c r="I283" s="15">
        <v>3</v>
      </c>
      <c r="J283" s="15">
        <v>131</v>
      </c>
      <c r="K283" s="15">
        <v>0</v>
      </c>
      <c r="L283" s="15">
        <v>7</v>
      </c>
      <c r="M283" s="15">
        <v>0</v>
      </c>
      <c r="N283" s="15">
        <v>3</v>
      </c>
      <c r="O283" s="15">
        <v>999</v>
      </c>
      <c r="P283" s="15"/>
      <c r="Q283" s="15"/>
      <c r="R283" s="15"/>
    </row>
    <row r="284" spans="1:18">
      <c r="A284" s="8"/>
      <c r="B284" s="15">
        <v>3507</v>
      </c>
      <c r="C284" s="15">
        <v>326</v>
      </c>
      <c r="D284" s="15">
        <v>25</v>
      </c>
      <c r="E284" s="15">
        <v>0</v>
      </c>
      <c r="F284" s="14" t="str">
        <f>VLOOKUP(C284,skill_list!B:C,2)</f>
        <v>籠の鳥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/>
      <c r="P284" s="15"/>
      <c r="Q284" s="15"/>
      <c r="R284" s="15"/>
    </row>
    <row r="285" spans="1:18">
      <c r="A285" s="8"/>
      <c r="B285" s="15">
        <v>3508</v>
      </c>
      <c r="C285" s="15">
        <v>341</v>
      </c>
      <c r="D285" s="15">
        <v>25</v>
      </c>
      <c r="E285" s="15">
        <v>0</v>
      </c>
      <c r="F285" s="14" t="str">
        <f>VLOOKUP(C285,skill_list!B:C,2)</f>
        <v>ご注文を伺います</v>
      </c>
      <c r="G285" s="11"/>
      <c r="H285" s="15">
        <v>2</v>
      </c>
      <c r="I285" s="15">
        <v>3</v>
      </c>
      <c r="J285" s="15">
        <v>192</v>
      </c>
      <c r="K285" s="15">
        <v>0</v>
      </c>
      <c r="L285" s="15">
        <v>7</v>
      </c>
      <c r="M285" s="15">
        <v>0</v>
      </c>
      <c r="N285" s="15">
        <v>3</v>
      </c>
      <c r="O285" s="15"/>
      <c r="P285" s="15"/>
      <c r="Q285" s="15"/>
      <c r="R285" s="15"/>
    </row>
    <row r="286" spans="1:18">
      <c r="A286" s="8"/>
      <c r="B286" s="15">
        <v>3509</v>
      </c>
      <c r="C286" s="15">
        <v>358</v>
      </c>
      <c r="D286" s="15">
        <v>25</v>
      </c>
      <c r="E286" s="15">
        <v>0</v>
      </c>
      <c r="F286" s="14" t="str">
        <f>VLOOKUP(C286,skill_list!B:C,2)</f>
        <v>決意の夜</v>
      </c>
      <c r="G286" s="11"/>
      <c r="H286" s="15">
        <v>2</v>
      </c>
      <c r="I286" s="15">
        <v>3</v>
      </c>
      <c r="J286" s="15">
        <v>184</v>
      </c>
      <c r="K286" s="15">
        <v>0</v>
      </c>
      <c r="L286" s="15">
        <v>7</v>
      </c>
      <c r="M286" s="15">
        <v>0</v>
      </c>
      <c r="N286" s="15">
        <v>3</v>
      </c>
      <c r="O286" s="15"/>
      <c r="P286" s="15"/>
      <c r="Q286" s="15"/>
      <c r="R286" s="15"/>
    </row>
    <row r="287" spans="1:18">
      <c r="A287" s="8"/>
      <c r="B287" s="15">
        <v>3510</v>
      </c>
      <c r="C287" s="15">
        <v>434</v>
      </c>
      <c r="D287" s="15">
        <v>25</v>
      </c>
      <c r="E287" s="15">
        <v>0</v>
      </c>
      <c r="F287" s="14" t="str">
        <f>VLOOKUP(C287,skill_list!B:C,2)</f>
        <v>シンコペーション</v>
      </c>
      <c r="G287" s="11"/>
      <c r="H287" s="15">
        <v>2</v>
      </c>
      <c r="I287" s="15">
        <v>3</v>
      </c>
      <c r="J287" s="15">
        <v>184</v>
      </c>
      <c r="K287" s="15">
        <v>0</v>
      </c>
      <c r="L287" s="15">
        <v>7</v>
      </c>
      <c r="M287" s="15">
        <v>0</v>
      </c>
      <c r="N287" s="15">
        <v>3</v>
      </c>
      <c r="O287" s="15"/>
      <c r="P287" s="15"/>
      <c r="Q287" s="15"/>
      <c r="R287" s="15"/>
    </row>
    <row r="288" spans="1:18">
      <c r="A288" s="8"/>
      <c r="B288" s="15">
        <v>3511</v>
      </c>
      <c r="C288" s="15">
        <v>461</v>
      </c>
      <c r="D288" s="15">
        <v>25</v>
      </c>
      <c r="E288" s="15">
        <v>0</v>
      </c>
      <c r="F288" s="14" t="str">
        <f>VLOOKUP(C288,skill_list!B:C,2)</f>
        <v>ねこじゃらし</v>
      </c>
      <c r="G288" s="11"/>
      <c r="H288" s="15">
        <v>2</v>
      </c>
      <c r="I288" s="15">
        <v>3</v>
      </c>
      <c r="J288" s="15">
        <v>200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3601</v>
      </c>
      <c r="C289" s="15">
        <v>88</v>
      </c>
      <c r="D289" s="15">
        <v>26</v>
      </c>
      <c r="E289" s="15">
        <v>0</v>
      </c>
      <c r="F289" s="14" t="str">
        <f>VLOOKUP(C289,skill_list!B:C,2)</f>
        <v>導きの号令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/>
      <c r="P289" s="15"/>
      <c r="Q289" s="15"/>
      <c r="R289" s="15"/>
    </row>
    <row r="290" spans="1:18">
      <c r="A290" s="8"/>
      <c r="B290" s="15">
        <v>3602</v>
      </c>
      <c r="C290" s="15">
        <v>217</v>
      </c>
      <c r="D290" s="15">
        <v>26</v>
      </c>
      <c r="E290" s="15">
        <v>0</v>
      </c>
      <c r="F290" s="14" t="str">
        <f>VLOOKUP(C290,skill_list!B:C,2)</f>
        <v>空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/>
      <c r="P290" s="15"/>
      <c r="Q290" s="15"/>
      <c r="R290" s="15"/>
    </row>
    <row r="291" spans="1:18">
      <c r="A291" s="8"/>
      <c r="B291" s="15">
        <v>3603</v>
      </c>
      <c r="C291" s="15">
        <v>267</v>
      </c>
      <c r="D291" s="15">
        <v>26</v>
      </c>
      <c r="E291" s="15">
        <v>0</v>
      </c>
      <c r="F291" s="14" t="str">
        <f>VLOOKUP(C291,skill_list!B:C,2)</f>
        <v>細雪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/>
      <c r="P291" s="15"/>
      <c r="Q291" s="15"/>
      <c r="R291" s="15"/>
    </row>
    <row r="292" spans="1:18">
      <c r="A292" s="8"/>
      <c r="B292" s="15">
        <v>3604</v>
      </c>
      <c r="C292" s="15">
        <v>346</v>
      </c>
      <c r="D292" s="15">
        <v>26</v>
      </c>
      <c r="E292" s="15">
        <v>0</v>
      </c>
      <c r="F292" s="14" t="str">
        <f>VLOOKUP(C292,skill_list!B:C,2)</f>
        <v>メイドの嗜み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/>
      <c r="P292" s="15"/>
      <c r="Q292" s="15"/>
      <c r="R292" s="15"/>
    </row>
    <row r="293" spans="1:18">
      <c r="A293" s="8"/>
      <c r="B293" s="15">
        <v>3605</v>
      </c>
      <c r="C293" s="15">
        <v>371</v>
      </c>
      <c r="D293" s="15">
        <v>26</v>
      </c>
      <c r="E293" s="15">
        <v>0</v>
      </c>
      <c r="F293" s="14" t="str">
        <f>VLOOKUP(C293,skill_list!B:C,2)</f>
        <v>赤面スティグマ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/>
      <c r="P293" s="15"/>
      <c r="Q293" s="15"/>
      <c r="R293" s="15"/>
    </row>
    <row r="294" spans="1:18">
      <c r="A294" s="8"/>
      <c r="B294" s="15">
        <v>3606</v>
      </c>
      <c r="C294" s="15">
        <v>380</v>
      </c>
      <c r="D294" s="15">
        <v>26</v>
      </c>
      <c r="E294" s="15">
        <v>0</v>
      </c>
      <c r="F294" s="14" t="str">
        <f>VLOOKUP(C294,skill_list!B:C,2)</f>
        <v>天変の相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7</v>
      </c>
      <c r="M294" s="15">
        <v>0</v>
      </c>
      <c r="N294" s="15">
        <v>1</v>
      </c>
      <c r="O294" s="15"/>
      <c r="P294" s="15"/>
      <c r="Q294" s="15"/>
      <c r="R294" s="15"/>
    </row>
    <row r="295" spans="1:18">
      <c r="A295" s="8"/>
      <c r="B295" s="15">
        <v>3607</v>
      </c>
      <c r="C295" s="15">
        <v>404</v>
      </c>
      <c r="D295" s="15">
        <v>26</v>
      </c>
      <c r="E295" s="15">
        <v>0</v>
      </c>
      <c r="F295" s="14" t="str">
        <f>VLOOKUP(C295,skill_list!B:C,2)</f>
        <v>とある衝撃</v>
      </c>
      <c r="G295" s="11"/>
      <c r="H295" s="15">
        <v>0</v>
      </c>
      <c r="I295" s="15">
        <v>0</v>
      </c>
      <c r="J295" s="15">
        <v>0</v>
      </c>
      <c r="K295" s="15">
        <v>0</v>
      </c>
      <c r="L295" s="15">
        <v>7</v>
      </c>
      <c r="M295" s="15">
        <v>0</v>
      </c>
      <c r="N295" s="15">
        <v>1</v>
      </c>
      <c r="O295" s="15"/>
      <c r="P295" s="15"/>
      <c r="Q295" s="15"/>
      <c r="R295" s="15"/>
    </row>
    <row r="296" spans="1:18">
      <c r="A296" s="8"/>
      <c r="B296" s="15">
        <v>3608</v>
      </c>
      <c r="C296" s="15">
        <v>471</v>
      </c>
      <c r="D296" s="15">
        <v>26</v>
      </c>
      <c r="E296" s="15">
        <v>0</v>
      </c>
      <c r="F296" s="14" t="str">
        <f>VLOOKUP(C296,skill_list!B:C,2)</f>
        <v>おしおき</v>
      </c>
      <c r="G296" s="11"/>
      <c r="H296" s="15">
        <v>0</v>
      </c>
      <c r="I296" s="15">
        <v>0</v>
      </c>
      <c r="J296" s="15">
        <v>0</v>
      </c>
      <c r="K296" s="15">
        <v>0</v>
      </c>
      <c r="L296" s="15">
        <v>7</v>
      </c>
      <c r="M296" s="15">
        <v>0</v>
      </c>
      <c r="N296" s="15">
        <v>1</v>
      </c>
      <c r="O296" s="15"/>
      <c r="P296" s="15"/>
      <c r="Q296" s="15"/>
      <c r="R296" s="15"/>
    </row>
    <row r="297" spans="1:18">
      <c r="A297" s="8"/>
      <c r="B297" s="15">
        <v>3609</v>
      </c>
      <c r="C297" s="15">
        <v>494</v>
      </c>
      <c r="D297" s="15">
        <v>26</v>
      </c>
      <c r="E297" s="15">
        <v>0</v>
      </c>
      <c r="F297" s="14" t="str">
        <f>VLOOKUP(C297,skill_list!B:C,2)</f>
        <v>夜醒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4</v>
      </c>
      <c r="M297" s="15">
        <v>0</v>
      </c>
      <c r="N297" s="15">
        <v>1</v>
      </c>
      <c r="O297" s="15"/>
      <c r="P297" s="15"/>
      <c r="Q297" s="15"/>
      <c r="R297" s="15"/>
    </row>
    <row r="298" spans="1:18">
      <c r="A298" s="8"/>
      <c r="B298" s="15">
        <v>3701</v>
      </c>
      <c r="C298" s="15">
        <v>486</v>
      </c>
      <c r="D298" s="15">
        <v>27</v>
      </c>
      <c r="E298" s="15">
        <v>0</v>
      </c>
      <c r="F298" s="14" t="str">
        <f>VLOOKUP(C298,skill_list!B:C,2)</f>
        <v>聖女の守護</v>
      </c>
      <c r="G298" s="11"/>
      <c r="H298" s="15">
        <v>2</v>
      </c>
      <c r="I298" s="15">
        <v>3</v>
      </c>
      <c r="J298" s="15">
        <v>160</v>
      </c>
      <c r="K298" s="15">
        <v>1</v>
      </c>
      <c r="L298" s="15">
        <v>7</v>
      </c>
      <c r="M298" s="15">
        <v>0</v>
      </c>
      <c r="N298" s="15">
        <v>0</v>
      </c>
      <c r="O298" s="15"/>
      <c r="P298" s="15"/>
      <c r="Q298" s="15"/>
      <c r="R298" s="15"/>
    </row>
    <row r="299" spans="1:18">
      <c r="A299" s="8"/>
      <c r="B299" s="15">
        <v>4001</v>
      </c>
      <c r="C299" s="15">
        <v>469</v>
      </c>
      <c r="D299" s="15">
        <v>30</v>
      </c>
      <c r="E299" s="15">
        <v>0</v>
      </c>
      <c r="F299" s="14" t="str">
        <f>VLOOKUP(C299,skill_list!B:C,2)</f>
        <v>ひらり落桜</v>
      </c>
      <c r="G299" s="11"/>
      <c r="H299" s="15">
        <v>0</v>
      </c>
      <c r="I299" s="15">
        <v>0</v>
      </c>
      <c r="J299" s="15">
        <v>0</v>
      </c>
      <c r="K299" s="15">
        <v>1</v>
      </c>
      <c r="L299" s="15">
        <v>7</v>
      </c>
      <c r="M299" s="15">
        <v>0</v>
      </c>
      <c r="N299" s="15">
        <v>0</v>
      </c>
      <c r="O299" s="15"/>
      <c r="P299" s="15"/>
      <c r="Q299" s="15"/>
      <c r="R299" s="15"/>
    </row>
  </sheetData>
  <autoFilter ref="A6:S299" xr:uid="{10E07906-9FB5-4D6B-AFBD-FBE9D7430E9D}"/>
  <phoneticPr fontId="1"/>
  <dataValidations count="1">
    <dataValidation type="list" allowBlank="1" showInputMessage="1" showErrorMessage="1" sqref="A7:A29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1666</v>
      </c>
    </row>
    <row r="8" spans="1:6">
      <c r="A8" s="8"/>
      <c r="B8" s="15">
        <v>1</v>
      </c>
      <c r="C8" s="15">
        <v>5</v>
      </c>
      <c r="D8" s="15">
        <v>0</v>
      </c>
      <c r="F8" t="s">
        <v>1667</v>
      </c>
    </row>
    <row r="9" spans="1:6">
      <c r="A9" s="8"/>
      <c r="B9" s="15">
        <v>2</v>
      </c>
      <c r="C9" s="15">
        <v>5</v>
      </c>
      <c r="D9" s="15">
        <v>0</v>
      </c>
      <c r="F9" t="s">
        <v>1668</v>
      </c>
    </row>
    <row r="10" spans="1:6">
      <c r="A10" s="8"/>
      <c r="B10" s="15">
        <v>3</v>
      </c>
      <c r="C10" s="15">
        <v>5</v>
      </c>
      <c r="D10" s="15">
        <v>6</v>
      </c>
      <c r="F10" t="s">
        <v>1669</v>
      </c>
    </row>
    <row r="11" spans="1:6">
      <c r="A11" s="8"/>
      <c r="B11" s="15">
        <v>4</v>
      </c>
      <c r="C11" s="15">
        <v>5</v>
      </c>
      <c r="D11" s="15">
        <v>6</v>
      </c>
      <c r="F11" t="s">
        <v>1670</v>
      </c>
    </row>
    <row r="12" spans="1:6">
      <c r="A12" s="8"/>
      <c r="B12" s="15">
        <v>5</v>
      </c>
      <c r="C12" s="15">
        <v>6</v>
      </c>
      <c r="D12" s="15">
        <v>5</v>
      </c>
      <c r="F12" t="s">
        <v>1671</v>
      </c>
    </row>
    <row r="13" spans="1:6">
      <c r="A13" s="8"/>
      <c r="B13" s="15">
        <v>6</v>
      </c>
      <c r="C13" s="15">
        <v>5</v>
      </c>
      <c r="D13" s="15">
        <v>0</v>
      </c>
      <c r="F13" t="s">
        <v>1672</v>
      </c>
    </row>
    <row r="14" spans="1:6">
      <c r="A14" s="8"/>
      <c r="B14" s="15">
        <v>7</v>
      </c>
      <c r="C14" s="15">
        <v>5</v>
      </c>
      <c r="D14" s="15">
        <v>0</v>
      </c>
      <c r="F14" t="s">
        <v>1673</v>
      </c>
    </row>
    <row r="15" spans="1:6">
      <c r="A15" s="8"/>
      <c r="B15" s="15">
        <v>8</v>
      </c>
      <c r="C15" s="15">
        <v>5</v>
      </c>
      <c r="D15" s="15">
        <v>0</v>
      </c>
      <c r="F15" t="s">
        <v>1674</v>
      </c>
    </row>
    <row r="16" spans="1:6">
      <c r="A16" s="8"/>
      <c r="B16" s="15">
        <v>9</v>
      </c>
      <c r="C16" s="15">
        <v>0</v>
      </c>
      <c r="D16" s="15">
        <v>0</v>
      </c>
      <c r="F16" t="s">
        <v>1675</v>
      </c>
    </row>
    <row r="17" spans="1:6">
      <c r="A17" s="8"/>
      <c r="B17" s="15">
        <v>10</v>
      </c>
      <c r="C17" s="15">
        <v>5</v>
      </c>
      <c r="D17" s="15">
        <v>0</v>
      </c>
      <c r="F17" t="s">
        <v>1676</v>
      </c>
    </row>
    <row r="18" spans="1:6">
      <c r="A18" s="8"/>
      <c r="B18" s="15">
        <v>11</v>
      </c>
      <c r="C18" s="15">
        <v>0</v>
      </c>
      <c r="D18" s="15">
        <v>0</v>
      </c>
      <c r="F18" t="s">
        <v>1677</v>
      </c>
    </row>
    <row r="19" spans="1:6">
      <c r="A19" s="8"/>
      <c r="B19" s="15">
        <v>12</v>
      </c>
      <c r="C19" s="15">
        <v>0</v>
      </c>
      <c r="D19" s="15">
        <v>0</v>
      </c>
      <c r="F19" t="s">
        <v>1678</v>
      </c>
    </row>
    <row r="20" spans="1:6">
      <c r="A20" s="8"/>
      <c r="B20" s="15">
        <v>13</v>
      </c>
      <c r="C20" s="15">
        <v>5</v>
      </c>
      <c r="D20" s="15">
        <v>0</v>
      </c>
      <c r="F20" t="s">
        <v>1789</v>
      </c>
    </row>
    <row r="21" spans="1:6">
      <c r="A21" s="8"/>
      <c r="B21" s="15">
        <v>14</v>
      </c>
      <c r="C21" s="15">
        <v>0</v>
      </c>
      <c r="D21" s="15">
        <v>0</v>
      </c>
      <c r="F21" t="s">
        <v>1679</v>
      </c>
    </row>
    <row r="22" spans="1:6">
      <c r="A22" s="8"/>
      <c r="B22" s="15">
        <v>15</v>
      </c>
      <c r="C22" s="15">
        <v>0</v>
      </c>
      <c r="D22" s="15">
        <v>0</v>
      </c>
      <c r="F22" t="s">
        <v>1680</v>
      </c>
    </row>
    <row r="23" spans="1:6">
      <c r="A23" s="8"/>
      <c r="B23" s="15">
        <v>16</v>
      </c>
      <c r="C23" s="15">
        <v>5</v>
      </c>
      <c r="D23" s="15">
        <v>0</v>
      </c>
      <c r="F23" t="s">
        <v>1681</v>
      </c>
    </row>
    <row r="24" spans="1:6">
      <c r="A24" s="8"/>
      <c r="B24" s="15">
        <v>17</v>
      </c>
      <c r="C24" s="15">
        <v>5</v>
      </c>
      <c r="D24" s="15">
        <v>0</v>
      </c>
      <c r="F24" t="s">
        <v>1682</v>
      </c>
    </row>
    <row r="25" spans="1:6">
      <c r="A25" s="8"/>
      <c r="B25" s="15">
        <v>18</v>
      </c>
      <c r="C25" s="15">
        <v>0</v>
      </c>
      <c r="D25" s="15">
        <v>0</v>
      </c>
      <c r="F25" t="s">
        <v>1683</v>
      </c>
    </row>
    <row r="26" spans="1:6">
      <c r="A26" s="8"/>
      <c r="B26" s="15">
        <v>19</v>
      </c>
      <c r="C26" s="15">
        <v>5</v>
      </c>
      <c r="D26" s="15">
        <v>6</v>
      </c>
      <c r="F26" t="s">
        <v>1684</v>
      </c>
    </row>
    <row r="27" spans="1:6">
      <c r="A27" s="8"/>
      <c r="B27" s="15">
        <v>20</v>
      </c>
      <c r="C27" s="15">
        <v>5</v>
      </c>
      <c r="D27" s="15">
        <v>6</v>
      </c>
      <c r="F27" t="s">
        <v>1685</v>
      </c>
    </row>
    <row r="28" spans="1:6">
      <c r="A28" s="8"/>
      <c r="B28" s="15">
        <v>21</v>
      </c>
      <c r="C28" s="15">
        <v>5</v>
      </c>
      <c r="D28" s="15">
        <v>6</v>
      </c>
      <c r="F28" t="s">
        <v>1686</v>
      </c>
    </row>
    <row r="29" spans="1:6">
      <c r="A29" s="8"/>
      <c r="B29" s="15">
        <v>22</v>
      </c>
      <c r="C29" s="15">
        <v>5</v>
      </c>
      <c r="D29" s="15">
        <v>6</v>
      </c>
      <c r="F29" t="s">
        <v>1687</v>
      </c>
    </row>
    <row r="30" spans="1:6">
      <c r="A30" s="8"/>
      <c r="B30" s="15">
        <v>23</v>
      </c>
      <c r="C30" s="15">
        <v>5</v>
      </c>
      <c r="D30" s="15">
        <v>6</v>
      </c>
      <c r="F30" t="s">
        <v>1790</v>
      </c>
    </row>
    <row r="31" spans="1:6">
      <c r="A31" s="8"/>
      <c r="B31" s="15">
        <v>24</v>
      </c>
      <c r="C31" s="15">
        <v>0</v>
      </c>
      <c r="D31" s="15">
        <v>0</v>
      </c>
      <c r="F31" t="s">
        <v>1807</v>
      </c>
    </row>
    <row r="32" spans="1:6">
      <c r="A32" s="8"/>
      <c r="B32" s="15">
        <v>25</v>
      </c>
      <c r="C32" s="15">
        <v>3</v>
      </c>
      <c r="D32" s="15">
        <v>4</v>
      </c>
      <c r="F32" t="s">
        <v>1823</v>
      </c>
    </row>
    <row r="33" spans="1:6">
      <c r="A33" s="8"/>
      <c r="B33" s="15">
        <v>26</v>
      </c>
      <c r="C33" s="15">
        <v>0</v>
      </c>
      <c r="D33" s="15">
        <v>0</v>
      </c>
      <c r="F33" t="s">
        <v>1824</v>
      </c>
    </row>
    <row r="34" spans="1:6">
      <c r="A34" s="8"/>
      <c r="B34" s="15">
        <v>27</v>
      </c>
      <c r="C34" s="15">
        <v>3</v>
      </c>
      <c r="D34" s="15">
        <v>4</v>
      </c>
      <c r="F34" t="s">
        <v>1872</v>
      </c>
    </row>
    <row r="35" spans="1:6">
      <c r="A35" s="8"/>
      <c r="B35" s="15">
        <v>28</v>
      </c>
      <c r="C35" s="15">
        <v>0</v>
      </c>
      <c r="D35" s="15">
        <v>0</v>
      </c>
      <c r="F35" t="s">
        <v>1873</v>
      </c>
    </row>
    <row r="36" spans="1:6">
      <c r="A36" s="8"/>
      <c r="B36" s="15">
        <v>29</v>
      </c>
      <c r="C36" s="15">
        <v>0</v>
      </c>
      <c r="D36" s="15">
        <v>0</v>
      </c>
      <c r="F36" t="s">
        <v>1874</v>
      </c>
    </row>
    <row r="37" spans="1:6">
      <c r="A37" s="8"/>
      <c r="B37" s="15">
        <v>30</v>
      </c>
      <c r="C37" s="15">
        <v>0</v>
      </c>
      <c r="D37" s="15">
        <v>0</v>
      </c>
      <c r="F37" t="s">
        <v>1875</v>
      </c>
    </row>
    <row r="38" spans="1:6">
      <c r="A38" s="8"/>
      <c r="B38" s="15">
        <v>31</v>
      </c>
      <c r="C38" s="15">
        <v>0</v>
      </c>
      <c r="D38" s="15">
        <v>0</v>
      </c>
      <c r="F38" t="s">
        <v>1876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90" activePane="bottomLeft" state="frozen"/>
      <selection pane="bottomLeft" activeCell="G250" sqref="G250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2040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1971</v>
      </c>
      <c r="F123" s="11" t="s">
        <v>1771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1972</v>
      </c>
      <c r="F124" s="11" t="s">
        <v>1772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1815</v>
      </c>
      <c r="F125" s="11" t="s">
        <v>1817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1816</v>
      </c>
      <c r="F126" s="11" t="s">
        <v>1818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1837</v>
      </c>
      <c r="F127" s="11" t="s">
        <v>1835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1836</v>
      </c>
      <c r="F128" s="11" t="s">
        <v>1834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2032</v>
      </c>
      <c r="F129" s="11" t="s">
        <v>2031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2041</v>
      </c>
      <c r="F130" s="11" t="s">
        <v>2070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2047</v>
      </c>
      <c r="F131" s="11" t="s">
        <v>2071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2072</v>
      </c>
      <c r="F132" s="11" t="s">
        <v>2139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2067</v>
      </c>
      <c r="F133" s="11" t="s">
        <v>2140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994</v>
      </c>
      <c r="F134" s="11" t="s">
        <v>1065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995</v>
      </c>
      <c r="F135" s="11" t="s">
        <v>1068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996</v>
      </c>
      <c r="F136" s="11" t="s">
        <v>1072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997</v>
      </c>
      <c r="F137" s="11" t="s">
        <v>1074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998</v>
      </c>
      <c r="F138" s="11" t="s">
        <v>1076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999</v>
      </c>
      <c r="F139" s="11" t="s">
        <v>1081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1000</v>
      </c>
      <c r="F140" s="11" t="s">
        <v>1086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1001</v>
      </c>
      <c r="F141" s="11" t="s">
        <v>1089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1002</v>
      </c>
      <c r="F142" s="11" t="s">
        <v>1096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1003</v>
      </c>
      <c r="F143" s="11" t="s">
        <v>1099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1004</v>
      </c>
      <c r="F144" s="11" t="s">
        <v>1102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1005</v>
      </c>
      <c r="F145" s="11" t="s">
        <v>1108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1006</v>
      </c>
      <c r="F146" s="11" t="s">
        <v>1110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1007</v>
      </c>
      <c r="F147" s="11" t="s">
        <v>1115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1008</v>
      </c>
      <c r="F148" s="11" t="s">
        <v>1118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1009</v>
      </c>
      <c r="F149" s="11" t="s">
        <v>1123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1010</v>
      </c>
      <c r="F150" s="11" t="s">
        <v>1124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1011</v>
      </c>
      <c r="F151" s="11" t="s">
        <v>1069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1012</v>
      </c>
      <c r="F152" s="11" t="s">
        <v>1087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1013</v>
      </c>
      <c r="F153" s="11" t="s">
        <v>1095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1014</v>
      </c>
      <c r="F154" s="11" t="s">
        <v>1128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1015</v>
      </c>
      <c r="F155" s="11" t="s">
        <v>1079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1016</v>
      </c>
      <c r="F156" s="11" t="s">
        <v>1070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1017</v>
      </c>
      <c r="F157" s="11" t="s">
        <v>1104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1018</v>
      </c>
      <c r="F158" s="11" t="s">
        <v>1113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1019</v>
      </c>
      <c r="F159" s="11" t="s">
        <v>1120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1020</v>
      </c>
      <c r="F160" s="11" t="s">
        <v>1091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1021</v>
      </c>
      <c r="F161" s="11" t="s">
        <v>1092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1022</v>
      </c>
      <c r="F162" s="11" t="s">
        <v>1067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1023</v>
      </c>
      <c r="F163" s="11" t="s">
        <v>1121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1024</v>
      </c>
      <c r="F164" s="11" t="s">
        <v>1083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1025</v>
      </c>
      <c r="F165" s="11" t="s">
        <v>1093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1026</v>
      </c>
      <c r="F166" s="11" t="s">
        <v>1111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1027</v>
      </c>
      <c r="F167" s="11" t="s">
        <v>1098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1028</v>
      </c>
      <c r="F168" s="11" t="s">
        <v>1073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1029</v>
      </c>
      <c r="F169" s="11" t="s">
        <v>1066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1030</v>
      </c>
      <c r="F170" s="11" t="s">
        <v>1125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1031</v>
      </c>
      <c r="F171" s="11" t="s">
        <v>1077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1032</v>
      </c>
      <c r="F172" s="11" t="s">
        <v>1097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1033</v>
      </c>
      <c r="F173" s="11" t="s">
        <v>1105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1034</v>
      </c>
      <c r="F174" s="11" t="s">
        <v>1080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1035</v>
      </c>
      <c r="F175" s="11" t="s">
        <v>1112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1036</v>
      </c>
      <c r="F176" s="11" t="s">
        <v>1116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1037</v>
      </c>
      <c r="F177" s="11" t="s">
        <v>1085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1038</v>
      </c>
      <c r="F178" s="11" t="s">
        <v>1088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1039</v>
      </c>
      <c r="F179" s="11" t="s">
        <v>1122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1040</v>
      </c>
      <c r="F180" s="11" t="s">
        <v>1129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1041</v>
      </c>
      <c r="F181" s="11" t="s">
        <v>1109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1042</v>
      </c>
      <c r="F182" s="11" t="s">
        <v>1107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1043</v>
      </c>
      <c r="F183" s="11" t="s">
        <v>1082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1044</v>
      </c>
      <c r="F184" s="11" t="s">
        <v>1090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1045</v>
      </c>
      <c r="F185" s="11" t="s">
        <v>1075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1046</v>
      </c>
      <c r="F186" s="11" t="s">
        <v>1103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1047</v>
      </c>
      <c r="F187" s="11" t="s">
        <v>1127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1048</v>
      </c>
      <c r="F188" s="11" t="s">
        <v>1101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1049</v>
      </c>
      <c r="F189" s="11" t="s">
        <v>1100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1050</v>
      </c>
      <c r="F190" s="11" t="s">
        <v>1332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1051</v>
      </c>
      <c r="F191" s="11" t="s">
        <v>1117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1052</v>
      </c>
      <c r="F192" s="11" t="s">
        <v>1119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1053</v>
      </c>
      <c r="F193" s="11" t="s">
        <v>1071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1054</v>
      </c>
      <c r="F194" s="11" t="s">
        <v>1114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1055</v>
      </c>
      <c r="F195" s="11" t="s">
        <v>1126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1056</v>
      </c>
      <c r="F196" s="11" t="s">
        <v>1094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1057</v>
      </c>
      <c r="F197" s="11" t="s">
        <v>1106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1058</v>
      </c>
      <c r="F198" s="11" t="s">
        <v>1078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1059</v>
      </c>
      <c r="F199" s="11" t="s">
        <v>828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1060</v>
      </c>
      <c r="F200" s="11" t="s">
        <v>1084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1061</v>
      </c>
      <c r="F201" s="11" t="s">
        <v>1130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1622</v>
      </c>
      <c r="F202" s="11" t="s">
        <v>1625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1973</v>
      </c>
      <c r="F203" s="11" t="s">
        <v>1773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1813</v>
      </c>
      <c r="F204" s="11" t="s">
        <v>1814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2053</v>
      </c>
      <c r="F205" s="11" t="s">
        <v>2054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2076</v>
      </c>
      <c r="F206" s="11" t="s">
        <v>2141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900</v>
      </c>
      <c r="F207" s="11" t="s">
        <v>990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901</v>
      </c>
      <c r="F208" s="11" t="s">
        <v>989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902</v>
      </c>
      <c r="F209" s="11" t="s">
        <v>988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903</v>
      </c>
      <c r="F210" s="11" t="s">
        <v>987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904</v>
      </c>
      <c r="F211" s="11" t="s">
        <v>992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905</v>
      </c>
      <c r="F212" s="11" t="s">
        <v>986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906</v>
      </c>
      <c r="F213" s="11" t="s">
        <v>985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907</v>
      </c>
      <c r="F214" s="11" t="s">
        <v>984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908</v>
      </c>
      <c r="F215" s="11" t="s">
        <v>1333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909</v>
      </c>
      <c r="F216" s="11" t="s">
        <v>983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910</v>
      </c>
      <c r="F217" s="11" t="s">
        <v>982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911</v>
      </c>
      <c r="F218" s="11" t="s">
        <v>981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912</v>
      </c>
      <c r="F219" s="11" t="s">
        <v>980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913</v>
      </c>
      <c r="F220" s="11" t="s">
        <v>979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914</v>
      </c>
      <c r="F221" s="11" t="s">
        <v>978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915</v>
      </c>
      <c r="F222" s="11" t="s">
        <v>977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916</v>
      </c>
      <c r="F223" s="11" t="s">
        <v>976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917</v>
      </c>
      <c r="F224" s="11" t="s">
        <v>975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918</v>
      </c>
      <c r="F225" s="11" t="s">
        <v>991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919</v>
      </c>
      <c r="F226" s="11" t="s">
        <v>969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920</v>
      </c>
      <c r="F227" s="11" t="s">
        <v>968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921</v>
      </c>
      <c r="F228" s="11" t="s">
        <v>967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922</v>
      </c>
      <c r="F229" s="11" t="s">
        <v>966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923</v>
      </c>
      <c r="F230" s="11" t="s">
        <v>965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924</v>
      </c>
      <c r="F231" s="11" t="s">
        <v>993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925</v>
      </c>
      <c r="F232" s="11" t="s">
        <v>964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926</v>
      </c>
      <c r="F233" s="11" t="s">
        <v>963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927</v>
      </c>
      <c r="F234" s="11" t="s">
        <v>962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928</v>
      </c>
      <c r="F235" s="11" t="s">
        <v>961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929</v>
      </c>
      <c r="F236" s="11" t="s">
        <v>960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930</v>
      </c>
      <c r="F237" s="11" t="s">
        <v>959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931</v>
      </c>
      <c r="F238" s="11" t="s">
        <v>958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932</v>
      </c>
      <c r="F239" s="11" t="s">
        <v>957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933</v>
      </c>
      <c r="F240" s="11" t="s">
        <v>956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934</v>
      </c>
      <c r="F241" s="11" t="s">
        <v>955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935</v>
      </c>
      <c r="F242" s="11" t="s">
        <v>954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936</v>
      </c>
      <c r="F243" s="11" t="s">
        <v>953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937</v>
      </c>
      <c r="F244" s="11" t="s">
        <v>952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938</v>
      </c>
      <c r="F245" s="11" t="s">
        <v>951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939</v>
      </c>
      <c r="F246" s="11" t="s">
        <v>950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940</v>
      </c>
      <c r="F247" s="11" t="s">
        <v>949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941</v>
      </c>
      <c r="F248" s="11" t="s">
        <v>948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942</v>
      </c>
      <c r="F249" s="11" t="s">
        <v>974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943</v>
      </c>
      <c r="F250" s="11" t="s">
        <v>973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944</v>
      </c>
      <c r="F251" s="11" t="s">
        <v>972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945</v>
      </c>
      <c r="F252" s="11" t="s">
        <v>971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946</v>
      </c>
      <c r="F253" s="11" t="s">
        <v>970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947</v>
      </c>
      <c r="F254" s="11" t="s">
        <v>1334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1827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1839</v>
      </c>
      <c r="D76" s="11" t="s">
        <v>1842</v>
      </c>
      <c r="E76" s="11" t="s">
        <v>1843</v>
      </c>
      <c r="F76" s="15">
        <v>1</v>
      </c>
      <c r="G76" s="15">
        <v>1</v>
      </c>
      <c r="H76" s="15" t="s">
        <v>1840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1841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1777</v>
      </c>
      <c r="D91" s="11" t="s">
        <v>1778</v>
      </c>
      <c r="E91" s="11" t="s">
        <v>1778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2151</v>
      </c>
      <c r="D92" s="11" t="s">
        <v>2152</v>
      </c>
      <c r="E92" s="11" t="s">
        <v>2153</v>
      </c>
      <c r="F92" s="15">
        <v>1</v>
      </c>
      <c r="G92" s="15">
        <v>1</v>
      </c>
      <c r="H92" s="15" t="s">
        <v>2154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1779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1780</v>
      </c>
      <c r="D94" s="11" t="s">
        <v>1781</v>
      </c>
      <c r="E94" s="11" t="s">
        <v>1782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2042</v>
      </c>
      <c r="D105" s="11" t="s">
        <v>2044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2043</v>
      </c>
      <c r="D106" s="11" t="s">
        <v>2044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1828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1783</v>
      </c>
      <c r="D124" s="11" t="s">
        <v>1784</v>
      </c>
      <c r="E124" s="11" t="s">
        <v>733</v>
      </c>
      <c r="F124" s="15">
        <v>1</v>
      </c>
      <c r="G124" s="15">
        <v>3</v>
      </c>
      <c r="H124" s="15" t="s">
        <v>1785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1786</v>
      </c>
      <c r="D125" s="11" t="s">
        <v>1787</v>
      </c>
      <c r="E125" s="11" t="s">
        <v>733</v>
      </c>
      <c r="F125" s="15">
        <v>1</v>
      </c>
      <c r="G125" s="15">
        <v>3</v>
      </c>
      <c r="H125" s="15" t="s">
        <v>1788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1878</v>
      </c>
      <c r="D127" s="11" t="s">
        <v>1845</v>
      </c>
      <c r="E127" s="11"/>
      <c r="F127" s="15">
        <v>1</v>
      </c>
      <c r="G127" s="15">
        <v>1</v>
      </c>
      <c r="H127" s="15" t="s">
        <v>1847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1844</v>
      </c>
      <c r="D128" s="11" t="s">
        <v>1846</v>
      </c>
      <c r="E128" s="11"/>
      <c r="F128" s="15">
        <v>2</v>
      </c>
      <c r="G128" s="15">
        <v>3</v>
      </c>
      <c r="H128" s="15" t="s">
        <v>1847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1833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1819</v>
      </c>
      <c r="D137" s="11" t="s">
        <v>1829</v>
      </c>
      <c r="E137" s="11" t="s">
        <v>733</v>
      </c>
      <c r="F137" s="15">
        <v>6</v>
      </c>
      <c r="G137" s="15">
        <v>0</v>
      </c>
      <c r="H137" s="15" t="s">
        <v>1830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1831</v>
      </c>
      <c r="D138" s="11" t="s">
        <v>1832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1838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2034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1694</v>
      </c>
      <c r="F7" s="11" t="s">
        <v>1694</v>
      </c>
      <c r="G7" s="11" t="s">
        <v>1695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1868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1696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1697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1698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1699</v>
      </c>
      <c r="G14" s="11" t="s">
        <v>1700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1699</v>
      </c>
      <c r="G15" s="11" t="s">
        <v>1701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1699</v>
      </c>
      <c r="G16" s="11" t="s">
        <v>1702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1699</v>
      </c>
      <c r="F17" s="11" t="s">
        <v>1703</v>
      </c>
      <c r="G17" s="11" t="s">
        <v>1704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1699</v>
      </c>
      <c r="F18" s="11" t="s">
        <v>1703</v>
      </c>
      <c r="G18" s="11" t="s">
        <v>1705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1699</v>
      </c>
      <c r="F19" s="11" t="s">
        <v>1703</v>
      </c>
      <c r="G19" s="11" t="s">
        <v>1702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1703</v>
      </c>
      <c r="F20" s="11" t="s">
        <v>1706</v>
      </c>
      <c r="G20" s="11" t="s">
        <v>1707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1703</v>
      </c>
      <c r="F21" s="11" t="s">
        <v>1706</v>
      </c>
      <c r="G21" s="11" t="s">
        <v>1708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1703</v>
      </c>
      <c r="F22" s="11" t="s">
        <v>1706</v>
      </c>
      <c r="G22" s="11" t="s">
        <v>1702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1706</v>
      </c>
      <c r="F23" s="11" t="s">
        <v>1709</v>
      </c>
      <c r="G23" s="11" t="s">
        <v>1704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1706</v>
      </c>
      <c r="F24" s="11" t="s">
        <v>1709</v>
      </c>
      <c r="G24" s="11" t="s">
        <v>1710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1706</v>
      </c>
      <c r="F25" s="11" t="s">
        <v>1709</v>
      </c>
      <c r="G25" s="11" t="s">
        <v>1698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1709</v>
      </c>
      <c r="F26" s="11" t="s">
        <v>1711</v>
      </c>
      <c r="G26" s="11" t="s">
        <v>1712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1709</v>
      </c>
      <c r="F27" s="11" t="s">
        <v>1711</v>
      </c>
      <c r="G27" s="11" t="s">
        <v>1713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1709</v>
      </c>
      <c r="F28" s="11" t="s">
        <v>1711</v>
      </c>
      <c r="G28" s="11" t="s">
        <v>1714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1711</v>
      </c>
      <c r="F29" s="11" t="s">
        <v>1715</v>
      </c>
      <c r="G29" s="11" t="s">
        <v>1716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1711</v>
      </c>
      <c r="F30" s="11" t="s">
        <v>1715</v>
      </c>
      <c r="G30" s="11" t="s">
        <v>1697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1711</v>
      </c>
      <c r="F31" s="11" t="s">
        <v>1715</v>
      </c>
      <c r="G31" s="11" t="s">
        <v>1702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1715</v>
      </c>
      <c r="F32" s="11" t="s">
        <v>1717</v>
      </c>
      <c r="G32" s="11" t="s">
        <v>1718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1715</v>
      </c>
      <c r="F33" s="11" t="s">
        <v>1717</v>
      </c>
      <c r="G33" s="11" t="s">
        <v>1712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1715</v>
      </c>
      <c r="F34" s="11" t="s">
        <v>1717</v>
      </c>
      <c r="G34" s="11" t="s">
        <v>1719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1717</v>
      </c>
      <c r="F35" s="11" t="s">
        <v>1720</v>
      </c>
      <c r="G35" s="11" t="s">
        <v>1721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1717</v>
      </c>
      <c r="F36" s="11" t="s">
        <v>1720</v>
      </c>
      <c r="G36" s="11" t="s">
        <v>1722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1717</v>
      </c>
      <c r="F37" s="11" t="s">
        <v>1720</v>
      </c>
      <c r="G37" s="11" t="s">
        <v>1723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1720</v>
      </c>
      <c r="F38" s="11" t="s">
        <v>1724</v>
      </c>
      <c r="G38" s="11" t="s">
        <v>1725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1720</v>
      </c>
      <c r="F39" s="11" t="s">
        <v>1724</v>
      </c>
      <c r="G39" s="11" t="s">
        <v>1722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1720</v>
      </c>
      <c r="F40" s="11" t="s">
        <v>1724</v>
      </c>
      <c r="G40" s="11" t="s">
        <v>1726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1724</v>
      </c>
      <c r="F41" s="11" t="s">
        <v>1727</v>
      </c>
      <c r="G41" s="11" t="s">
        <v>1728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1724</v>
      </c>
      <c r="F42" s="11" t="s">
        <v>1727</v>
      </c>
      <c r="G42" s="11" t="s">
        <v>1718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1724</v>
      </c>
      <c r="F43" s="11" t="s">
        <v>1727</v>
      </c>
      <c r="G43" s="11" t="s">
        <v>1726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1727</v>
      </c>
      <c r="F44" s="11" t="s">
        <v>1729</v>
      </c>
      <c r="G44" s="11" t="s">
        <v>1730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1727</v>
      </c>
      <c r="F45" s="11" t="s">
        <v>1729</v>
      </c>
      <c r="G45" s="11" t="s">
        <v>1712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1727</v>
      </c>
      <c r="F46" s="11" t="s">
        <v>1729</v>
      </c>
      <c r="G46" s="11" t="s">
        <v>1731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1729</v>
      </c>
      <c r="F47" s="11" t="s">
        <v>1732</v>
      </c>
      <c r="G47" s="11" t="s">
        <v>1733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1729</v>
      </c>
      <c r="F48" s="11" t="s">
        <v>1732</v>
      </c>
      <c r="G48" s="11" t="s">
        <v>1712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1729</v>
      </c>
      <c r="F49" s="11" t="s">
        <v>1732</v>
      </c>
      <c r="G49" s="11" t="s">
        <v>1719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1732</v>
      </c>
      <c r="F50" s="11" t="s">
        <v>1734</v>
      </c>
      <c r="G50" s="11" t="s">
        <v>1721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1732</v>
      </c>
      <c r="F51" s="11" t="s">
        <v>1734</v>
      </c>
      <c r="G51" s="11" t="s">
        <v>1735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1732</v>
      </c>
      <c r="F52" s="11" t="s">
        <v>1734</v>
      </c>
      <c r="G52" s="11" t="s">
        <v>1736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1734</v>
      </c>
      <c r="F53" s="11" t="s">
        <v>1737</v>
      </c>
      <c r="G53" s="11" t="s">
        <v>1738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1734</v>
      </c>
      <c r="F54" s="11" t="s">
        <v>1737</v>
      </c>
      <c r="G54" s="11" t="s">
        <v>1718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1734</v>
      </c>
      <c r="F55" s="11" t="s">
        <v>1737</v>
      </c>
      <c r="G55" s="11" t="s">
        <v>1693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1737</v>
      </c>
      <c r="F56" s="11" t="s">
        <v>1739</v>
      </c>
      <c r="G56" s="11" t="s">
        <v>1740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1737</v>
      </c>
      <c r="F57" s="11" t="s">
        <v>1739</v>
      </c>
      <c r="G57" s="11" t="s">
        <v>1712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1737</v>
      </c>
      <c r="F58" s="11" t="s">
        <v>1739</v>
      </c>
      <c r="G58" s="11" t="s">
        <v>1741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1742</v>
      </c>
      <c r="F59" s="11" t="s">
        <v>1742</v>
      </c>
      <c r="G59" s="11" t="s">
        <v>1743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1742</v>
      </c>
      <c r="F60" s="11" t="s">
        <v>1742</v>
      </c>
      <c r="G60" s="11" t="s">
        <v>1713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1742</v>
      </c>
      <c r="F61" s="11" t="s">
        <v>1742</v>
      </c>
      <c r="G61" s="11" t="s">
        <v>1744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1742</v>
      </c>
      <c r="F62" s="11" t="s">
        <v>1742</v>
      </c>
      <c r="G62" s="11" t="s">
        <v>1745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1742</v>
      </c>
      <c r="F63" s="11" t="s">
        <v>1742</v>
      </c>
      <c r="G63" s="11" t="s">
        <v>1718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1742</v>
      </c>
      <c r="F64" s="11" t="s">
        <v>1742</v>
      </c>
      <c r="G64" s="11" t="s">
        <v>1746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1742</v>
      </c>
      <c r="F65" s="11" t="s">
        <v>1742</v>
      </c>
      <c r="G65" s="11" t="s">
        <v>1747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1742</v>
      </c>
      <c r="F66" s="11" t="s">
        <v>1742</v>
      </c>
      <c r="G66" s="11" t="s">
        <v>1748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1742</v>
      </c>
      <c r="F67" s="11" t="s">
        <v>1742</v>
      </c>
      <c r="G67" s="11" t="s">
        <v>1749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1742</v>
      </c>
      <c r="F68" s="11" t="s">
        <v>1742</v>
      </c>
      <c r="G68" s="11" t="s">
        <v>1712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1742</v>
      </c>
      <c r="F69" s="11" t="s">
        <v>1742</v>
      </c>
      <c r="G69" s="11" t="s">
        <v>1713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1742</v>
      </c>
      <c r="F70" s="11" t="s">
        <v>1742</v>
      </c>
      <c r="G70" s="11" t="s">
        <v>1750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1742</v>
      </c>
      <c r="F71" s="11" t="s">
        <v>1742</v>
      </c>
      <c r="G71" s="11" t="s">
        <v>1751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1742</v>
      </c>
      <c r="F72" s="11" t="s">
        <v>1742</v>
      </c>
      <c r="G72" s="11" t="s">
        <v>1718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1742</v>
      </c>
      <c r="F73" s="11" t="s">
        <v>1742</v>
      </c>
      <c r="G73" s="11" t="s">
        <v>1746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1742</v>
      </c>
      <c r="F74" s="11" t="s">
        <v>1742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1742</v>
      </c>
      <c r="F75" s="11" t="s">
        <v>1742</v>
      </c>
      <c r="G75" s="11" t="s">
        <v>1718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1742</v>
      </c>
      <c r="F76" s="11" t="s">
        <v>1742</v>
      </c>
      <c r="G76" s="11" t="s">
        <v>1714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1742</v>
      </c>
      <c r="F77" s="11" t="s">
        <v>1742</v>
      </c>
      <c r="G77" s="11" t="s">
        <v>1693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1742</v>
      </c>
      <c r="F78" s="11" t="s">
        <v>1742</v>
      </c>
      <c r="G78" s="11" t="s">
        <v>1716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1742</v>
      </c>
      <c r="F79" s="11" t="s">
        <v>1742</v>
      </c>
      <c r="G79" s="11" t="s">
        <v>1752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1742</v>
      </c>
      <c r="F80" s="11" t="s">
        <v>1793</v>
      </c>
      <c r="G80" s="11" t="s">
        <v>1794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1742</v>
      </c>
      <c r="F81" s="11" t="s">
        <v>1742</v>
      </c>
      <c r="G81" s="11" t="s">
        <v>1806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1742</v>
      </c>
      <c r="F82" s="11" t="s">
        <v>1742</v>
      </c>
      <c r="G82" s="11" t="s">
        <v>1713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1742</v>
      </c>
      <c r="F83" s="11" t="s">
        <v>1742</v>
      </c>
      <c r="G83" s="11" t="s">
        <v>1795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1742</v>
      </c>
      <c r="F84" s="11" t="s">
        <v>1742</v>
      </c>
      <c r="G84" s="11" t="s">
        <v>1869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1742</v>
      </c>
      <c r="F85" s="11" t="s">
        <v>1742</v>
      </c>
      <c r="G85" s="11" t="s">
        <v>1821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1742</v>
      </c>
      <c r="F86" s="11" t="s">
        <v>1742</v>
      </c>
      <c r="G86" s="11" t="s">
        <v>1744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1742</v>
      </c>
      <c r="F87" s="11" t="s">
        <v>1742</v>
      </c>
      <c r="G87" s="11" t="s">
        <v>1712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1742</v>
      </c>
      <c r="F88" s="11" t="s">
        <v>1742</v>
      </c>
      <c r="G88" s="11" t="s">
        <v>1713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1742</v>
      </c>
      <c r="F89" s="11" t="s">
        <v>1742</v>
      </c>
      <c r="G89" s="11" t="s">
        <v>1822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1742</v>
      </c>
      <c r="F90" s="11" t="s">
        <v>1742</v>
      </c>
      <c r="G90" s="11" t="s">
        <v>1870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1742</v>
      </c>
      <c r="F91" s="11" t="s">
        <v>1742</v>
      </c>
      <c r="G91" s="11" t="s">
        <v>1794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1742</v>
      </c>
      <c r="F92" s="11" t="s">
        <v>1742</v>
      </c>
      <c r="G92" s="11" t="s">
        <v>1710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1742</v>
      </c>
      <c r="F93" s="11" t="s">
        <v>1742</v>
      </c>
      <c r="G93" s="11" t="s">
        <v>1746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1742</v>
      </c>
      <c r="F94" s="11" t="s">
        <v>1742</v>
      </c>
      <c r="G94" s="11" t="s">
        <v>1718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1742</v>
      </c>
      <c r="F95" s="11" t="s">
        <v>1742</v>
      </c>
      <c r="G95" s="11" t="s">
        <v>1869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1742</v>
      </c>
      <c r="F96" s="11" t="s">
        <v>1742</v>
      </c>
      <c r="G96" s="11" t="s">
        <v>1871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1742</v>
      </c>
      <c r="F97" s="11" t="s">
        <v>1742</v>
      </c>
      <c r="G97" s="11" t="s">
        <v>2039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1742</v>
      </c>
      <c r="F98" s="11" t="s">
        <v>1742</v>
      </c>
      <c r="G98" s="11" t="s">
        <v>1713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1742</v>
      </c>
      <c r="F99" s="11" t="s">
        <v>1742</v>
      </c>
      <c r="G99" s="11" t="s">
        <v>1822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1742</v>
      </c>
      <c r="F100" s="11" t="s">
        <v>1742</v>
      </c>
      <c r="G100" s="11" t="s">
        <v>2060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1742</v>
      </c>
      <c r="F101" s="11" t="s">
        <v>1742</v>
      </c>
      <c r="G101" s="11" t="s">
        <v>2061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1742</v>
      </c>
      <c r="F102" s="11" t="s">
        <v>1742</v>
      </c>
      <c r="G102" s="11" t="s">
        <v>2064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1742</v>
      </c>
      <c r="F103" s="11" t="s">
        <v>1742</v>
      </c>
      <c r="G103" s="11" t="s">
        <v>2063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1742</v>
      </c>
      <c r="F104" s="11" t="s">
        <v>1742</v>
      </c>
      <c r="G104" s="11" t="s">
        <v>1713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1742</v>
      </c>
      <c r="F105" s="11" t="s">
        <v>1742</v>
      </c>
      <c r="G105" s="11" t="s">
        <v>2062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1742</v>
      </c>
      <c r="F106" s="11" t="s">
        <v>1742</v>
      </c>
      <c r="G106" s="11" t="s">
        <v>2125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1742</v>
      </c>
      <c r="F107" s="11" t="s">
        <v>1742</v>
      </c>
      <c r="G107" s="11" t="s">
        <v>1714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1742</v>
      </c>
      <c r="F108" s="11" t="s">
        <v>1742</v>
      </c>
      <c r="G108" s="11" t="s">
        <v>2126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1742</v>
      </c>
      <c r="F109" s="11" t="s">
        <v>1742</v>
      </c>
      <c r="G109" s="11" t="s">
        <v>2127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1742</v>
      </c>
      <c r="F110" s="11" t="s">
        <v>1742</v>
      </c>
      <c r="G110" s="11" t="s">
        <v>1693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1742</v>
      </c>
      <c r="F111" s="11" t="s">
        <v>1742</v>
      </c>
      <c r="G111" s="11" t="s">
        <v>2128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1742</v>
      </c>
      <c r="F112" s="11" t="s">
        <v>1742</v>
      </c>
      <c r="G112" s="11" t="s">
        <v>2129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1742</v>
      </c>
      <c r="F113" s="11" t="s">
        <v>1742</v>
      </c>
      <c r="G113" s="11" t="s">
        <v>1716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1742</v>
      </c>
      <c r="F114" s="11" t="s">
        <v>1742</v>
      </c>
      <c r="G114" s="11" t="s">
        <v>2130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1742</v>
      </c>
      <c r="F115" s="11" t="s">
        <v>1742</v>
      </c>
      <c r="G115" s="11" t="s">
        <v>2060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1742</v>
      </c>
      <c r="F116" s="11" t="s">
        <v>1742</v>
      </c>
      <c r="G116" s="11" t="s">
        <v>1821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1742</v>
      </c>
      <c r="F117" s="11" t="s">
        <v>1742</v>
      </c>
      <c r="G117" s="11" t="s">
        <v>2155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1742</v>
      </c>
      <c r="F118" s="11" t="s">
        <v>1742</v>
      </c>
      <c r="G118" s="11" t="s">
        <v>2157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1742</v>
      </c>
      <c r="F119" s="11" t="s">
        <v>1742</v>
      </c>
      <c r="G119" s="11" t="s">
        <v>2061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1742</v>
      </c>
      <c r="F120" s="11" t="s">
        <v>1742</v>
      </c>
      <c r="G120" s="11" t="s">
        <v>2156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2098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2104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2091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2103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2087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2102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2105</v>
      </c>
      <c r="C85" s="15">
        <v>1</v>
      </c>
      <c r="D85" s="15">
        <v>1</v>
      </c>
      <c r="E85" s="11" t="s">
        <v>2095</v>
      </c>
    </row>
    <row r="86" spans="1:5">
      <c r="A86" s="8"/>
      <c r="B86" s="11" t="s">
        <v>2105</v>
      </c>
      <c r="C86" s="15">
        <v>2</v>
      </c>
      <c r="D86" s="15">
        <v>1</v>
      </c>
      <c r="E86" s="11" t="s">
        <v>2096</v>
      </c>
    </row>
    <row r="87" spans="1:5">
      <c r="A87" s="8"/>
      <c r="B87" s="11" t="s">
        <v>2105</v>
      </c>
      <c r="C87" s="15">
        <v>3</v>
      </c>
      <c r="D87" s="15">
        <v>1</v>
      </c>
      <c r="E87" s="11" t="s">
        <v>2097</v>
      </c>
    </row>
    <row r="88" spans="1:5">
      <c r="A88" s="8"/>
      <c r="B88" s="11" t="s">
        <v>2105</v>
      </c>
      <c r="C88" s="15">
        <v>1</v>
      </c>
      <c r="D88" s="15">
        <v>2</v>
      </c>
      <c r="E88" s="11" t="s">
        <v>2088</v>
      </c>
    </row>
    <row r="89" spans="1:5">
      <c r="A89" s="8"/>
      <c r="B89" s="11" t="s">
        <v>2105</v>
      </c>
      <c r="C89" s="15">
        <v>2</v>
      </c>
      <c r="D89" s="15">
        <v>2</v>
      </c>
      <c r="E89" s="11" t="s">
        <v>2089</v>
      </c>
    </row>
    <row r="90" spans="1:5">
      <c r="A90" s="8"/>
      <c r="B90" s="11" t="s">
        <v>2105</v>
      </c>
      <c r="C90" s="15">
        <v>3</v>
      </c>
      <c r="D90" s="15">
        <v>2</v>
      </c>
      <c r="E90" s="11" t="s">
        <v>2090</v>
      </c>
    </row>
    <row r="91" spans="1:5">
      <c r="A91" s="8"/>
      <c r="B91" s="11" t="s">
        <v>2105</v>
      </c>
      <c r="C91" s="15">
        <v>1</v>
      </c>
      <c r="D91" s="15">
        <v>3</v>
      </c>
      <c r="E91" s="11" t="s">
        <v>2099</v>
      </c>
    </row>
    <row r="92" spans="1:5">
      <c r="A92" s="8"/>
      <c r="B92" s="11" t="s">
        <v>2105</v>
      </c>
      <c r="C92" s="15">
        <v>2</v>
      </c>
      <c r="D92" s="15">
        <v>3</v>
      </c>
      <c r="E92" s="11" t="s">
        <v>2100</v>
      </c>
    </row>
    <row r="93" spans="1:5">
      <c r="A93" s="8"/>
      <c r="B93" s="11" t="s">
        <v>2105</v>
      </c>
      <c r="C93" s="15">
        <v>3</v>
      </c>
      <c r="D93" s="15">
        <v>3</v>
      </c>
      <c r="E93" s="11" t="s">
        <v>2101</v>
      </c>
    </row>
    <row r="94" spans="1:5">
      <c r="A94" s="8"/>
      <c r="B94" s="11" t="s">
        <v>2105</v>
      </c>
      <c r="C94" s="15">
        <v>1</v>
      </c>
      <c r="D94" s="15">
        <v>4</v>
      </c>
      <c r="E94" s="11" t="s">
        <v>2081</v>
      </c>
    </row>
    <row r="95" spans="1:5">
      <c r="A95" s="8"/>
      <c r="B95" s="11" t="s">
        <v>2105</v>
      </c>
      <c r="C95" s="15">
        <v>2</v>
      </c>
      <c r="D95" s="15">
        <v>4</v>
      </c>
      <c r="E95" s="11" t="s">
        <v>2082</v>
      </c>
    </row>
    <row r="96" spans="1:5">
      <c r="A96" s="8"/>
      <c r="B96" s="11" t="s">
        <v>2105</v>
      </c>
      <c r="C96" s="15">
        <v>3</v>
      </c>
      <c r="D96" s="15">
        <v>4</v>
      </c>
      <c r="E96" s="11" t="s">
        <v>2083</v>
      </c>
    </row>
    <row r="97" spans="1:5">
      <c r="A97" s="8"/>
      <c r="B97" s="11" t="s">
        <v>2105</v>
      </c>
      <c r="C97" s="15">
        <v>1</v>
      </c>
      <c r="D97" s="15">
        <v>5</v>
      </c>
      <c r="E97" s="11" t="s">
        <v>2084</v>
      </c>
    </row>
    <row r="98" spans="1:5">
      <c r="A98" s="8"/>
      <c r="B98" s="11" t="s">
        <v>2105</v>
      </c>
      <c r="C98" s="15">
        <v>2</v>
      </c>
      <c r="D98" s="15">
        <v>5</v>
      </c>
      <c r="E98" s="11" t="s">
        <v>2085</v>
      </c>
    </row>
    <row r="99" spans="1:5">
      <c r="A99" s="8"/>
      <c r="B99" s="11" t="s">
        <v>2105</v>
      </c>
      <c r="C99" s="15">
        <v>3</v>
      </c>
      <c r="D99" s="15">
        <v>5</v>
      </c>
      <c r="E99" s="11" t="s">
        <v>2086</v>
      </c>
    </row>
    <row r="100" spans="1:5">
      <c r="A100" s="8"/>
      <c r="B100" s="11" t="s">
        <v>2105</v>
      </c>
      <c r="C100" s="15">
        <v>1</v>
      </c>
      <c r="D100" s="15">
        <v>6</v>
      </c>
      <c r="E100" s="11" t="s">
        <v>2092</v>
      </c>
    </row>
    <row r="101" spans="1:5">
      <c r="A101" s="8"/>
      <c r="B101" s="11" t="s">
        <v>2105</v>
      </c>
      <c r="C101" s="15">
        <v>2</v>
      </c>
      <c r="D101" s="15">
        <v>6</v>
      </c>
      <c r="E101" s="11" t="s">
        <v>2093</v>
      </c>
    </row>
    <row r="102" spans="1:5">
      <c r="A102" s="8"/>
      <c r="B102" s="11" t="s">
        <v>2105</v>
      </c>
      <c r="C102" s="15">
        <v>3</v>
      </c>
      <c r="D102" s="15">
        <v>6</v>
      </c>
      <c r="E102" s="11" t="s">
        <v>2094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1805</v>
      </c>
      <c r="B2" s="9" t="s">
        <v>717</v>
      </c>
      <c r="C2" s="9" t="s">
        <v>1797</v>
      </c>
      <c r="D2" s="9" t="s">
        <v>1798</v>
      </c>
      <c r="E2" s="9" t="s">
        <v>1800</v>
      </c>
      <c r="F2" s="9" t="s">
        <v>1802</v>
      </c>
      <c r="G2" s="9" t="s">
        <v>1803</v>
      </c>
      <c r="H2" s="9" t="s">
        <v>1804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1799</v>
      </c>
      <c r="E4" s="9" t="s">
        <v>1801</v>
      </c>
      <c r="F4" s="9" t="s">
        <v>1801</v>
      </c>
      <c r="G4" s="9" t="s">
        <v>1801</v>
      </c>
      <c r="H4" s="9" t="s">
        <v>1801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2024-08-21T06:07:14Z</dcterms:modified>
</cp:coreProperties>
</file>