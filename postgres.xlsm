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A627220-1105-4E21-8A87-13A74826B695}"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<sst xmlns="http://schemas.openxmlformats.org/spreadsheetml/2006/main" count="6538" uniqueCount="2786">
  <si>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</si>
  <si>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</si>
  <si>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</si>
  <si>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</si>
  <si>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</si>
  <si>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</si>
  <si>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</si>
  <si>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</si>
  <si>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</si>
  <si>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</si>
  <si>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</si>
  <si>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</si>
  <si>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</si>
  <si>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</si>
  <si>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</si>
  <si>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</si>
  <si>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</si>
  <si>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</si>
  <si>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</si>
  <si>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</si>
  <si>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</si>
  <si>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</si>
  <si>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</si>
  <si>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</si>
  <si>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</si>
  <si>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</si>
  <si>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</si>
  <si>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</si>
  <si>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</si>
  <si>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</si>
  <si>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</si>
  <si>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</si>
  <si>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</si>
  <si>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</si>
  <si>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</si>
  <si>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</si>
  <si>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</si>
  <si>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</si>
  <si>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</si>
  <si>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</si>
  <si>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</si>
  <si>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</si>
  <si>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</si>
  <si>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</si>
  <si>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</si>
  <si>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</si>
  <si>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</si>
  <si>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</si>
  <si>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</si>
  <si>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</si>
  <si>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</si>
  <si>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</si>
  <si>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</si>
  <si>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</si>
  <si>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</si>
  <si>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</si>
  <si>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</si>
  <si>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</si>
  <si>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</si>
  <si>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</si>
  <si>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</si>
  <si>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</si>
  <si>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</si>
  <si>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</si>
  <si>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</si>
  <si>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</si>
  <si>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</si>
  <si>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</si>
  <si>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</si>
  <si>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</si>
  <si>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</si>
  <si>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</si>
  <si>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</si>
  <si>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</si>
  <si>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</si>
  <si>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</si>
  <si>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</si>
  <si>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</si>
  <si>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</si>
  <si>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</si>
  <si>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</si>
  <si>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</si>
  <si>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</si>
  <si>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</si>
  <si>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</si>
  <si>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</si>
  <si>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</si>
  <si>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</si>
  <si>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</si>
  <si>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</si>
  <si>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</si>
  <si>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</si>
  <si>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</si>
  <si>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</si>
  <si>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</si>
  <si>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</si>
  <si>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</si>
  <si>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</si>
  <si>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</si>
  <si>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</si>
  <si>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</si>
  <si>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</si>
  <si>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</si>
  <si>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</si>
  <si>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</si>
  <si>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</si>
  <si>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</si>
  <si>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</si>
  <si>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</si>
  <si>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</si>
  <si>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</si>
  <si>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</si>
  <si>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</si>
  <si>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</si>
  <si>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</si>
  <si>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</si>
  <si>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</si>
  <si>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</si>
  <si>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</si>
  <si>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</si>
  <si>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</si>
  <si>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</si>
  <si>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</si>
  <si>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</si>
  <si>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</si>
  <si>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</si>
  <si>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</si>
  <si>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</si>
  <si>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</si>
  <si>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</si>
  <si>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</si>
  <si>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</si>
  <si>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</si>
  <si>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</si>
  <si>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</si>
  <si>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</si>
  <si>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</si>
  <si>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</si>
  <si>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</si>
  <si>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</si>
  <si>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</si>
  <si>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</si>
  <si>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</si>
  <si>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</si>
  <si>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</si>
  <si>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</si>
  <si>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</si>
  <si>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</si>
  <si>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</si>
  <si>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</si>
  <si>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</si>
  <si>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</si>
  <si>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</si>
  <si>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</si>
  <si>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</si>
  <si>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</si>
  <si>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</si>
  <si>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</si>
  <si>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</si>
  <si>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</si>
  <si>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</si>
  <si>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</si>
  <si>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</si>
  <si>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</si>
  <si>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</si>
  <si>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</si>
  <si>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</si>
  <si>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</si>
  <si>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</si>
  <si>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</si>
  <si>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</si>
  <si>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</si>
  <si>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</si>
  <si>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</si>
  <si>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</si>
  <si>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</si>
  <si>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</si>
  <si>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</si>
  <si>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</si>
  <si>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</si>
  <si>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</si>
  <si>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</si>
  <si>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</si>
  <si>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</si>
  <si>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</si>
  <si>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</si>
  <si>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</si>
  <si>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</si>
  <si>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</si>
  <si>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</si>
  <si>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</si>
  <si>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</si>
  <si>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</si>
  <si>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</si>
  <si>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</si>
  <si>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</si>
  <si>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</si>
  <si>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</si>
  <si>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</si>
  <si>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</si>
  <si>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</si>
  <si>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</si>
  <si>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</si>
  <si>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</si>
  <si>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</si>
  <si>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</si>
  <si>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</si>
  <si>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</si>
  <si>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</si>
  <si>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</si>
  <si>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</si>
  <si>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</si>
  <si>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</si>
  <si>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</si>
  <si>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</si>
  <si>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</si>
  <si>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</si>
  <si>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</si>
  <si>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</si>
  <si>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</si>
  <si>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</si>
  <si>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</si>
  <si>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</si>
  <si>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</si>
  <si>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</si>
  <si>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</si>
  <si>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</si>
  <si>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</si>
  <si>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</si>
  <si>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</si>
  <si>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</si>
  <si>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</si>
  <si>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</si>
  <si>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</si>
  <si>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</si>
  <si>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</si>
  <si>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</si>
  <si>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</si>
  <si>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</si>
  <si>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</si>
  <si>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</si>
  <si>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</si>
  <si>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</si>
  <si>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</si>
  <si>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</si>
  <si>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</si>
  <si>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</si>
  <si>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</si>
  <si>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</si>
  <si>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</si>
  <si>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</si>
  <si>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</si>
  <si>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</si>
  <si>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</si>
  <si>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</si>
  <si>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</si>
  <si>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</si>
  <si>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</si>
  <si>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</si>
  <si>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</si>
  <si>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</si>
  <si>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</si>
  <si>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</si>
  <si>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</si>
  <si>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</si>
  <si>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</si>
  <si>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</si>
  <si>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</si>
  <si>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</si>
  <si>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</si>
  <si>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</si>
  <si>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</si>
  <si>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</si>
  <si>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</si>
  <si>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</si>
  <si>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</si>
  <si>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</si>
  <si>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</si>
  <si>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</si>
  <si>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</si>
  <si>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</si>
  <si>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</si>
  <si>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</si>
  <si>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</si>
  <si>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</si>
  <si>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</si>
  <si>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</si>
  <si>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</si>
  <si>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</si>
  <si>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</si>
  <si>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</si>
  <si>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</si>
  <si>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</si>
  <si>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</si>
  <si>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</si>
  <si>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</si>
  <si>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</si>
  <si>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</si>
  <si>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</si>
  <si>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</si>
  <si>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</si>
  <si>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</si>
  <si>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</si>
  <si>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</si>
  <si>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</si>
  <si>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</si>
  <si>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</si>
  <si>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</si>
  <si>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</si>
  <si>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</si>
  <si>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</si>
  <si>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</si>
  <si>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</si>
  <si>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</si>
  <si>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</si>
  <si>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</si>
  <si>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</si>
  <si>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</si>
  <si>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</si>
  <si>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</si>
  <si>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</si>
  <si>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</si>
  <si>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</si>
  <si>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</si>
  <si>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</si>
  <si>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</si>
  <si>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</si>
  <si>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</si>
  <si>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</si>
  <si>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</si>
  <si>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</si>
  <si>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</si>
  <si>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</si>
  <si>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</si>
  <si>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</si>
  <si>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</si>
  <si>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</si>
  <si>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</si>
  <si>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</si>
  <si>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</si>
  <si>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</si>
  <si>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</si>
  <si>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</si>
  <si>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</si>
  <si>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</si>
  <si>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</si>
  <si>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</si>
  <si>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</si>
  <si>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</si>
  <si>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</si>
  <si>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</si>
  <si>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</si>
  <si>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</si>
  <si>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</si>
  <si>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</si>
  <si>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</si>
  <si>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</si>
  <si>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</si>
  <si>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</si>
  <si>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</si>
  <si>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</si>
  <si>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</si>
  <si>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</si>
  <si>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</si>
  <si>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</si>
  <si>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</si>
  <si>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</si>
  <si>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</si>
  <si>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</si>
  <si>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</si>
  <si>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</si>
  <si>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</si>
  <si>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</si>
  <si>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</si>
  <si>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</si>
  <si>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</si>
  <si>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</si>
  <si>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</si>
  <si>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</si>
  <si>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</si>
  <si>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</si>
  <si>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</si>
  <si>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</si>
  <si>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</si>
  <si>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</si>
  <si>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</si>
  <si>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</si>
  <si>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</si>
  <si>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</si>
  <si>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</si>
  <si>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</si>
  <si>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</si>
  <si>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</si>
  <si>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</si>
  <si>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</si>
  <si>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</si>
  <si>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</si>
  <si>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</si>
  <si>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</si>
  <si>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</si>
  <si>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</si>
  <si>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</si>
  <si>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</si>
  <si>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</si>
  <si>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</si>
  <si>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</si>
  <si>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</si>
  <si>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</si>
  <si>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</si>
  <si>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</si>
  <si>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</si>
  <si>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</si>
  <si>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</si>
  <si>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</si>
  <si>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</si>
  <si>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</si>
  <si>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</si>
  <si>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</si>
  <si>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</si>
  <si>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</si>
  <si>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</si>
  <si>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</si>
  <si>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</si>
  <si>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</si>
  <si>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</si>
  <si>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</si>
  <si>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</si>
  <si>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</si>
  <si>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</si>
  <si>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</si>
  <si>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</si>
  <si>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</si>
  <si>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</si>
  <si>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</si>
  <si>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</si>
  <si>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</si>
  <si>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</si>
  <si>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</si>
  <si>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</si>
  <si>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</si>
  <si>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</si>
  <si>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</si>
  <si>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</si>
  <si>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</si>
  <si>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</si>
  <si>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</si>
  <si>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</si>
  <si>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</si>
  <si>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</si>
  <si>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</si>
  <si>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</si>
  <si>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</si>
  <si>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</si>
  <si>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</si>
  <si>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</si>
  <si>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</si>
  <si>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</si>
  <si>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</si>
  <si>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</si>
  <si>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</si>
  <si>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</si>
  <si>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</si>
  <si>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</si>
  <si>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</si>
  <si>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</si>
  <si>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</si>
  <si>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</si>
  <si>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</si>
  <si>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</si>
  <si>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</si>
  <si>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</si>
  <si>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</si>
  <si>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</si>
  <si>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</si>
  <si>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</si>
  <si>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</si>
  <si>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</si>
  <si>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</si>
  <si>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</si>
  <si>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</si>
  <si>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</si>
  <si>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</si>
  <si>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</si>
  <si>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</si>
  <si>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</si>
  <si>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</si>
  <si>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</si>
  <si>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</si>
  <si>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</si>
  <si>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</si>
  <si>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</si>
  <si>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</si>
  <si>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</si>
  <si>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</si>
  <si>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</si>
  <si>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</si>
  <si>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</si>
  <si>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</si>
  <si>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</si>
  <si>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</si>
  <si>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</si>
  <si>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</si>
  <si>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</si>
  <si>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</si>
  <si>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</si>
  <si>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</si>
  <si>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</si>
  <si>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</si>
  <si>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</si>
  <si>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</si>
  <si>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</si>
  <si>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</si>
  <si>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</si>
  <si>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</si>
  <si>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</si>
  <si>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</si>
  <si>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</si>
  <si>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</si>
  <si>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</si>
  <si>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</si>
  <si>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</si>
  <si>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</si>
  <si>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</si>
  <si>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</si>
  <si>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</si>
  <si>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</si>
  <si>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</si>
  <si>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</si>
  <si>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</si>
  <si>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</si>
  <si>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</si>
  <si>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</si>
  <si>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</si>
  <si>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</si>
  <si>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</si>
  <si>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</si>
  <si>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</si>
  <si>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</si>
  <si>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</si>
  <si>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</si>
  <si>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</si>
  <si>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</si>
  <si>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</si>
  <si>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</si>
  <si>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</si>
  <si>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</si>
  <si>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</si>
  <si>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</si>
  <si>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</si>
  <si>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</si>
  <si>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</si>
  <si>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</si>
  <si>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</si>
  <si>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</si>
  <si>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</si>
  <si>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</si>
  <si>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</si>
  <si>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</si>
  <si>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</si>
  <si>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</si>
  <si>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</si>
  <si>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</si>
  <si>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</si>
  <si>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</si>
  <si>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</si>
  <si>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</si>
  <si>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</si>
  <si>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</si>
  <si>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</si>
  <si>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</si>
  <si>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</si>
  <si>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</si>
  <si>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</si>
  <si>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</si>
  <si>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</si>
  <si>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</si>
  <si>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</si>
  <si>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</si>
  <si>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</si>
  <si>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</si>
  <si>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</si>
  <si>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</si>
  <si>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</si>
  <si>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</si>
  <si>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</si>
  <si>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</si>
  <si>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</si>
  <si>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</si>
  <si>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</si>
  <si>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</si>
  <si>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</si>
  <si>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</si>
  <si>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</si>
  <si>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</si>
  <si>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</si>
  <si>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</si>
  <si>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</si>
  <si>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</si>
  <si>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</si>
  <si>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</si>
  <si>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</si>
  <si>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</si>
  <si>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</si>
  <si>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</si>
  <si>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</si>
  <si>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</si>
  <si>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</si>
  <si>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</si>
  <si>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</si>
  <si>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</si>
  <si>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</si>
  <si>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</si>
  <si>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</si>
  <si>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</si>
  <si>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</si>
  <si>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</si>
  <si>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</si>
  <si>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</si>
  <si>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</si>
  <si>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</si>
  <si>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</si>
  <si>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</si>
  <si>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</si>
  <si>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</si>
  <si>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</si>
  <si>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</si>
  <si>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</si>
  <si>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</si>
  <si>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</si>
  <si>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</si>
  <si>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</si>
  <si>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</si>
  <si>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</si>
  <si>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</si>
  <si>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</si>
  <si>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</si>
  <si>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</si>
  <si>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</si>
  <si>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</si>
  <si>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</si>
  <si>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</si>
  <si>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</si>
  <si>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</si>
  <si>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</si>
  <si>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</si>
  <si>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</si>
  <si>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</si>
  <si>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</si>
  <si>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</si>
  <si>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</si>
  <si>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</si>
  <si>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</si>
  <si>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</si>
  <si>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</si>
  <si>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</si>
  <si>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</si>
  <si>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</si>
  <si>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</si>
  <si>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</si>
  <si>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</si>
  <si>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</si>
  <si>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</si>
  <si>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</si>
  <si>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</si>
  <si>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</si>
  <si>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</si>
  <si>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</si>
  <si>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</si>
  <si>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</si>
  <si>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</si>
  <si>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</si>
  <si>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</si>
  <si>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</si>
  <si>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</si>
  <si>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</si>
  <si>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</si>
  <si>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</si>
  <si>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</si>
  <si>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</si>
  <si>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</si>
  <si>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</si>
  <si>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</si>
  <si>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</si>
  <si>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</si>
  <si>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</si>
  <si>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</si>
  <si>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</si>
  <si>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</si>
  <si>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</si>
  <si>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</si>
  <si>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</si>
  <si>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</si>
  <si>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</si>
  <si>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</si>
  <si>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</si>
  <si>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</si>
  <si>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</si>
  <si>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</si>
  <si>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</si>
  <si>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</si>
  <si>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</si>
  <si>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</si>
  <si>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</si>
  <si>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</si>
  <si>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</si>
  <si>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</si>
  <si>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</si>
  <si>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</si>
  <si>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</si>
  <si>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</si>
  <si>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</si>
  <si>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</si>
  <si>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</si>
  <si>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</si>
  <si>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</si>
  <si>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</si>
  <si>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</si>
  <si>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</si>
  <si>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</si>
  <si>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</si>
  <si>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</si>
  <si>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</si>
  <si>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</si>
  <si>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</si>
  <si>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</si>
  <si>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</si>
  <si>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</si>
  <si>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</si>
  <si>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</si>
  <si>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</si>
  <si>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</si>
  <si>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</si>
  <si>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</si>
  <si>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</si>
  <si>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</si>
  <si>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</si>
  <si>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</si>
  <si>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</si>
  <si>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</si>
  <si>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</si>
  <si>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</si>
  <si>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</si>
  <si>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</si>
  <si>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</si>
  <si>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</si>
  <si>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</si>
  <si>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</si>
  <si>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</si>
  <si>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</si>
  <si>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</si>
  <si>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</si>
  <si>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</si>
  <si>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</si>
  <si>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</si>
  <si>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</si>
  <si>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</si>
  <si>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</si>
  <si>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</si>
  <si>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</si>
  <si>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</si>
  <si>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</si>
  <si>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</si>
  <si>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</si>
  <si>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</si>
  <si>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</si>
  <si>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</si>
  <si>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</si>
  <si>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</si>
  <si>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</si>
  <si>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</si>
  <si>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</si>
  <si>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</si>
  <si>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</si>
  <si>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</si>
  <si>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</si>
  <si>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</si>
  <si>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</si>
  <si>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</si>
  <si>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</si>
  <si>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</si>
  <si>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</si>
  <si>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</si>
  <si>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</si>
  <si>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</si>
  <si>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</si>
  <si>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</si>
  <si>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</si>
  <si>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</si>
  <si>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</si>
  <si>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</si>
  <si>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</si>
  <si>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</si>
  <si>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</si>
  <si>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</si>
  <si>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</si>
  <si>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</si>
  <si>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</si>
  <si>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</si>
  <si>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</si>
  <si>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</si>
  <si>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</si>
  <si>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</si>
  <si>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</si>
  <si>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</si>
  <si>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</si>
  <si>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</si>
  <si>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</si>
  <si>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</si>
  <si>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</si>
  <si>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</si>
  <si>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</si>
  <si>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</si>
  <si>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</si>
  <si>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</si>
  <si>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</si>
  <si>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</si>
  <si>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</si>
  <si>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</si>
  <si>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</si>
  <si>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</si>
  <si>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</si>
  <si>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</si>
  <si>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</si>
  <si>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</si>
  <si>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</si>
  <si>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</si>
  <si>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</si>
  <si>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</si>
  <si>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</si>
  <si>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</si>
  <si>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</si>
  <si>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</si>
  <si>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</si>
  <si>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</si>
  <si>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</si>
  <si>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</si>
  <si>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</si>
  <si>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</si>
  <si>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</si>
  <si>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</si>
  <si>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</si>
  <si>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</si>
  <si>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</si>
  <si>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</si>
  <si>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</si>
  <si>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</si>
  <si>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</si>
  <si>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</si>
  <si>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</si>
  <si>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</si>
  <si>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</si>
  <si>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</si>
  <si>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</si>
  <si>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</si>
  <si>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</si>
  <si>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</si>
  <si>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</si>
  <si>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</si>
  <si>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</si>
  <si>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</si>
  <si>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</si>
  <si>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</si>
  <si>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</si>
  <si>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</si>
  <si>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</si>
  <si>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</si>
  <si>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</si>
  <si>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</si>
  <si>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</si>
  <si>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</si>
  <si>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</si>
  <si>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</si>
  <si>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</si>
  <si>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</si>
  <si>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</si>
  <si>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</si>
  <si>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</si>
  <si>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</si>
  <si>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</si>
  <si>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</si>
  <si>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</si>
  <si>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</si>
  <si>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</si>
  <si>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</si>
  <si>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</si>
  <si>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</si>
  <si>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</si>
  <si>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</si>
  <si>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</si>
  <si>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</si>
  <si>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</si>
  <si>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</si>
  <si>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</si>
  <si>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</si>
  <si>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</si>
  <si>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</si>
  <si>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</si>
  <si>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</si>
  <si>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</si>
  <si>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</si>
  <si>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</si>
  <si>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</si>
  <si>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</si>
  <si>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</si>
  <si>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</si>
  <si>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</si>
  <si>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</si>
  <si>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</si>
  <si>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</si>
  <si>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</si>
  <si>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</si>
  <si>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</si>
  <si>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</si>
  <si>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</si>
  <si>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</si>
  <si>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</si>
  <si>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</si>
  <si>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</si>
  <si>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</si>
  <si>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</si>
  <si>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</si>
  <si>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</si>
  <si>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</si>
  <si>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</si>
  <si>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</si>
  <si>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</si>
  <si>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</si>
  <si>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</si>
  <si>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</si>
  <si>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</si>
  <si>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</si>
  <si>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</si>
  <si>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</si>
  <si>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</si>
  <si>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</si>
  <si>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</si>
  <si>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</si>
  <si>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</si>
  <si>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</si>
  <si>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</si>
  <si>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</si>
  <si>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</si>
  <si>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</si>
  <si>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</si>
  <si>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</si>
  <si>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</si>
  <si>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</si>
  <si>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</si>
  <si>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</si>
  <si>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</si>
  <si>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</si>
  <si>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</si>
  <si>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</si>
  <si>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</si>
  <si>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</si>
  <si>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</si>
  <si>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</si>
  <si>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</si>
  <si>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</si>
  <si>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</si>
  <si>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</si>
  <si>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</si>
  <si>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</si>
  <si>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</si>
  <si>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</si>
  <si>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</si>
  <si>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</si>
  <si>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</si>
  <si>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</si>
  <si>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</si>
  <si>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</si>
  <si>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</si>
  <si>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</si>
  <si>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</si>
  <si>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</si>
  <si>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</si>
  <si>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</si>
  <si>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</si>
  <si>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</si>
  <si>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</si>
  <si>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</si>
  <si>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</si>
  <si>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</si>
  <si>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</si>
  <si>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</si>
  <si>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</si>
  <si>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</si>
  <si>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</si>
  <si>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</si>
  <si>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</si>
  <si>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</si>
  <si>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</si>
  <si>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</si>
  <si>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</si>
  <si>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</si>
  <si>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</si>
  <si>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</si>
  <si>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</si>
  <si>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</si>
  <si>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</si>
  <si>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</si>
  <si>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</si>
  <si>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</si>
  <si>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</si>
  <si>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</si>
  <si>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</si>
  <si>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</si>
  <si>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</si>
  <si>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</si>
  <si>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</si>
  <si>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</si>
  <si>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</si>
  <si>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</si>
  <si>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</si>
  <si>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</si>
  <si>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</si>
  <si>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</si>
  <si>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</si>
  <si>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</si>
  <si>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</si>
  <si>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</si>
  <si>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</si>
  <si>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</si>
  <si>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</si>
  <si>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</si>
  <si>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</si>
  <si>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</si>
  <si>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</si>
  <si>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</si>
  <si>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</si>
  <si>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</si>
  <si>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</si>
  <si>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</si>
  <si>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</si>
  <si>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</si>
  <si>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</si>
  <si>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</si>
  <si>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</si>
  <si>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</si>
  <si>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</si>
  <si>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</si>
  <si>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</si>
  <si>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</si>
  <si>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</si>
  <si>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</si>
  <si>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</si>
  <si>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</si>
  <si>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</si>
  <si>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</si>
  <si>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</si>
  <si>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</si>
  <si>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</si>
  <si>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</si>
  <si>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</si>
  <si>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</si>
  <si>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</si>
  <si>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</si>
  <si>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</si>
  <si>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</si>
  <si>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</si>
  <si>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</si>
  <si>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</si>
  <si>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</si>
  <si>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</si>
  <si>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</si>
  <si>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</si>
  <si>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</si>
  <si>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</si>
  <si>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</si>
  <si>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</si>
  <si>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</si>
  <si>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</si>
  <si>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</si>
  <si>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</si>
  <si>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</si>
  <si>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</si>
  <si>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</si>
  <si>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</si>
  <si>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</si>
  <si>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</si>
  <si>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</si>
  <si>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</si>
  <si>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</si>
  <si>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</si>
  <si>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</si>
  <si>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</si>
  <si>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</si>
  <si>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</si>
  <si>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</si>
  <si>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</si>
  <si>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</si>
  <si>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</si>
  <si>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</si>
  <si>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</si>
  <si>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</si>
  <si>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</si>
  <si>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</si>
  <si>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</si>
  <si>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</si>
  <si>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</si>
  <si>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</si>
  <si>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</si>
  <si>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</si>
  <si>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</si>
  <si>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</si>
  <si>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</si>
  <si>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</si>
  <si>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</si>
  <si>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</si>
  <si>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</si>
  <si>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</si>
  <si>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</si>
  <si>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</si>
  <si>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</si>
  <si>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</si>
  <si>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</si>
  <si>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</si>
  <si>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</si>
  <si>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</si>
  <si>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</si>
  <si>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</si>
  <si>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</si>
  <si>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</si>
  <si>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</si>
  <si>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</si>
  <si>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</si>
  <si>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</si>
  <si>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</si>
  <si>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</si>
  <si>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</si>
  <si>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</si>
  <si>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</si>
  <si>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</si>
  <si>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</si>
  <si>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</si>
  <si>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</si>
  <si>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</si>
  <si>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</si>
  <si>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</si>
  <si>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</si>
  <si>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</si>
  <si>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</si>
  <si>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</si>
  <si>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</si>
  <si>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</si>
  <si>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</si>
  <si>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</si>
  <si>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</si>
  <si>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</si>
  <si>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</si>
  <si>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</si>
  <si>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</si>
  <si>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</si>
  <si>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</si>
  <si>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</si>
  <si>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</si>
  <si>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</si>
  <si>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</si>
  <si>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</si>
  <si>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</si>
  <si>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</si>
  <si>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</si>
  <si>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</si>
  <si>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</si>
  <si>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</si>
  <si>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</si>
  <si>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</si>
  <si>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</si>
  <si>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</si>
  <si>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</si>
  <si>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</si>
  <si>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</si>
  <si>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</si>
  <si>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</si>
  <si>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</si>
  <si>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</si>
  <si>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</si>
  <si>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</si>
  <si>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</si>
  <si>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</si>
  <si>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</si>
  <si>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</si>
  <si>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</si>
  <si>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</si>
  <si>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</si>
  <si>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</si>
  <si>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</si>
  <si>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</si>
  <si>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</si>
  <si>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</si>
  <si>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</si>
  <si>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</si>
  <si>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</si>
  <si>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</si>
  <si>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</si>
  <si>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</si>
  <si>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</si>
  <si>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</si>
  <si>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</si>
  <si>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</si>
  <si>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</si>
  <si>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</si>
  <si>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</si>
  <si>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</si>
  <si>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</si>
  <si>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</si>
  <si>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</si>
  <si>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</si>
  <si>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</si>
  <si>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</si>
  <si>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</si>
  <si>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</si>
  <si>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</si>
  <si>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</si>
  <si>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</si>
  <si>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</si>
  <si>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</si>
  <si>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</si>
  <si>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</si>
  <si>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</si>
  <si>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</si>
  <si>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</si>
  <si>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</si>
  <si>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</si>
  <si>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</si>
  <si>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</si>
  <si>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</si>
  <si>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</si>
  <si>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</si>
  <si>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</si>
  <si>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</si>
  <si>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</si>
  <si>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</si>
  <si>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</si>
  <si>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</si>
  <si>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</si>
  <si>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</si>
  <si>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</si>
  <si>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</si>
  <si>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</si>
  <si>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</si>
  <si>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</si>
  <si>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</si>
  <si>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</si>
  <si>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</si>
  <si>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</si>
  <si>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</si>
  <si>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</si>
  <si>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</si>
  <si>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</si>
  <si>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</si>
  <si>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</si>
  <si>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</si>
  <si>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</si>
  <si>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</si>
  <si>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</si>
  <si>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</si>
  <si>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</si>
  <si>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</si>
  <si>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</si>
  <si>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</si>
  <si>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</si>
  <si>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</si>
  <si>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</si>
  <si>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</si>
  <si>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</si>
  <si>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</si>
  <si>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</si>
  <si>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</si>
  <si>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</si>
  <si>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</si>
  <si>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</si>
  <si>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</si>
  <si>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</si>
  <si>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</si>
  <si>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</si>
  <si>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</si>
  <si>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</si>
  <si>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</si>
  <si>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</si>
  <si>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</si>
  <si>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</si>
  <si>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</si>
  <si>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</si>
  <si>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</si>
  <si>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</si>
  <si>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</si>
  <si>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</si>
  <si>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</si>
  <si>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</si>
  <si>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</si>
  <si>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</si>
  <si>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</si>
  <si>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</si>
  <si>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</si>
  <si>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</si>
  <si>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</si>
  <si>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</si>
  <si>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</si>
  <si>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</si>
  <si>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</si>
  <si>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</si>
  <si>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</si>
  <si>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</si>
  <si>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</si>
  <si>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</si>
  <si>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</si>
  <si>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</si>
  <si>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</si>
  <si>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</si>
  <si>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</si>
  <si>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</si>
  <si>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</si>
  <si>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</si>
  <si>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</si>
  <si>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</si>
  <si>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</si>
  <si>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</si>
  <si>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</si>
  <si>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</si>
  <si>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</si>
  <si>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</si>
  <si>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</si>
  <si>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</si>
  <si>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</si>
  <si>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</si>
  <si>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</si>
  <si>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</si>
  <si>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</si>
  <si>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</si>
  <si>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</si>
  <si>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</si>
  <si>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</si>
  <si>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</si>
  <si>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</si>
  <si>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</si>
  <si>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</si>
  <si>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</si>
  <si>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</si>
  <si>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</si>
  <si>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</si>
  <si>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</si>
  <si>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</si>
  <si>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</si>
  <si>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</si>
  <si>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</si>
  <si>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</si>
  <si>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</si>
  <si>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</si>
  <si>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</si>
  <si>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</si>
  <si>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</si>
  <si>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</si>
  <si>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</si>
  <si>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</si>
  <si>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</si>
  <si>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</si>
  <si>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</si>
  <si>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</si>
  <si>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</si>
  <si>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</si>
  <si>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</si>
  <si>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</si>
  <si>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</si>
  <si>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</si>
  <si>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</si>
  <si>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</si>
  <si>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</si>
  <si>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</si>
  <si>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</si>
  <si>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</si>
  <si>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</si>
  <si>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</si>
  <si>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</si>
  <si>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</si>
  <si>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</si>
  <si>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</si>
  <si>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</si>
  <si>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</si>
  <si>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</si>
  <si>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</si>
  <si>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</si>
  <si>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</si>
  <si>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</si>
  <si>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</si>
  <si>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</si>
  <si>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</si>
  <si>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</si>
  <si>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</si>
  <si>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</si>
  <si>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</si>
  <si>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</si>
  <si>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</si>
  <si>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</si>
  <si>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</si>
  <si>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</si>
  <si>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</si>
  <si>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</si>
  <si>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</si>
  <si>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</si>
  <si>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</si>
  <si>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</si>
  <si>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</si>
  <si>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</si>
  <si>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</si>
  <si>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</si>
  <si>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</si>
  <si>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</si>
  <si>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</si>
  <si>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</si>
  <si>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</si>
  <si>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</si>
  <si>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</si>
  <si>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</si>
  <si>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</si>
  <si>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</si>
  <si>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</si>
  <si>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</si>
  <si>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</si>
  <si>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</si>
  <si>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</si>
  <si>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</si>
  <si>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</si>
  <si>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</si>
  <si>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</si>
  <si>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</si>
  <si>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</si>
  <si>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</si>
  <si>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</si>
  <si>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</si>
  <si>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</si>
  <si>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</si>
  <si>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</si>
  <si>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</si>
  <si>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</si>
  <si>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</si>
  <si>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</si>
  <si>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</si>
  <si>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</si>
  <si>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</si>
  <si>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</si>
  <si>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</si>
  <si>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</si>
  <si>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</si>
  <si>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</si>
  <si>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</si>
  <si>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</si>
  <si>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</si>
  <si>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</si>
  <si>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</si>
  <si>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</si>
  <si>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</si>
  <si>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</si>
  <si>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</si>
  <si>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</si>
  <si>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</si>
  <si>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</si>
  <si>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</si>
  <si>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</si>
  <si>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</si>
  <si>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</si>
  <si>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</si>
  <si>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</si>
  <si>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</si>
  <si>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</si>
  <si>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</si>
  <si>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</si>
  <si>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</si>
  <si>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</si>
  <si>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</si>
  <si>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</si>
  <si>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</si>
  <si>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</si>
  <si>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</si>
  <si>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</si>
  <si>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</si>
  <si>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</si>
  <si>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</si>
  <si>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</si>
  <si>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</si>
  <si>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</si>
  <si>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</si>
  <si>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</si>
  <si>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</si>
  <si>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</si>
  <si>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</si>
  <si>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</si>
  <si>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</si>
  <si>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</si>
  <si>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</si>
  <si>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</si>
  <si>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</si>
  <si>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</si>
  <si>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</si>
  <si>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</si>
  <si>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</si>
  <si>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</si>
  <si>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</si>
  <si>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</si>
  <si>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</si>
  <si>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</si>
  <si>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</si>
  <si>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</si>
  <si>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</si>
  <si>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</si>
  <si>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</si>
  <si>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</si>
  <si>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</si>
  <si>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</si>
  <si>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</si>
  <si>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</si>
  <si>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</si>
  <si>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</si>
  <si>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</si>
  <si>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</si>
  <si>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</si>
  <si>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</si>
  <si>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</si>
  <si>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</si>
  <si>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</si>
  <si>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</si>
  <si>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</si>
  <si>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</si>
  <si>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</si>
  <si>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</si>
  <si>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</si>
  <si>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</si>
  <si>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</si>
  <si>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</si>
  <si>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</si>
  <si>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</si>
  <si>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</si>
  <si>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</si>
  <si>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</si>
  <si>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</si>
  <si>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</si>
  <si>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</si>
  <si>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</si>
  <si>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</si>
  <si>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</si>
  <si>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</si>
  <si>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</si>
  <si>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</si>
  <si>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</si>
  <si>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</si>
  <si>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</si>
  <si>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</si>
  <si>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</si>
  <si>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</si>
  <si>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</si>
  <si>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</si>
  <si>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</si>
  <si>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</si>
  <si>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</si>
  <si>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</si>
  <si>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</si>
  <si>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</si>
  <si>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</si>
  <si>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</si>
  <si>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</si>
  <si>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</si>
  <si>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</si>
  <si>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</si>
  <si>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</si>
  <si>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</si>
  <si>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</si>
  <si>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</si>
  <si>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</si>
  <si>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</si>
  <si>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</si>
  <si>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</si>
  <si>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</si>
  <si>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</si>
  <si>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</si>
  <si>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</si>
  <si>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</si>
  <si>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</si>
  <si>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</si>
  <si>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</si>
  <si>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</si>
  <si>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</si>
  <si>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</si>
  <si>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</si>
  <si>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</si>
  <si>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</si>
  <si>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</si>
  <si>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</si>
  <si>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</si>
  <si>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</si>
  <si>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</si>
  <si>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</si>
  <si>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</si>
  <si>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</si>
  <si>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</si>
  <si>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</si>
  <si>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</si>
  <si>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</si>
  <si>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</si>
  <si>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</si>
  <si>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</si>
  <si>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</si>
  <si>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</si>
  <si>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</si>
  <si>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</si>
  <si>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</si>
  <si>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</si>
  <si>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</si>
  <si>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</si>
  <si>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</si>
  <si>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</si>
  <si>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</si>
  <si>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</si>
  <si>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</si>
  <si>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</si>
  <si>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</si>
  <si>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</si>
  <si>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</si>
  <si>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</si>
  <si>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</si>
  <si>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</si>
  <si>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</si>
  <si>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</si>
  <si>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</si>
  <si>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</si>
  <si>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</si>
  <si>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</si>
  <si>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</si>
  <si>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</si>
  <si>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</si>
  <si>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</si>
  <si>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</si>
  <si>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</si>
  <si>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</si>
  <si>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</si>
  <si>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</si>
  <si>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</si>
  <si>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</si>
  <si>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</si>
  <si>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</si>
  <si>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</si>
  <si>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</si>
  <si>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</si>
  <si>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</si>
  <si>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</si>
  <si>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</si>
  <si>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</si>
  <si>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</si>
  <si>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</si>
  <si>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</si>
  <si>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</si>
  <si>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</si>
  <si>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</si>
  <si>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</si>
  <si>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</si>
  <si>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</si>
  <si>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</si>
  <si>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</si>
  <si>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</si>
  <si>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</si>
  <si>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</si>
  <si>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</si>
  <si>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</si>
  <si>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</si>
  <si>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</si>
  <si>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</si>
  <si>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</si>
  <si>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</si>
  <si>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</si>
  <si>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</si>
  <si>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</si>
  <si>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</si>
  <si>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</si>
  <si>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</si>
  <si>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</si>
  <si>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</si>
  <si>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</si>
  <si>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</si>
  <si>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</si>
  <si>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</si>
  <si>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</si>
  <si>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</si>
  <si>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</si>
  <si>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</si>
  <si>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</si>
  <si>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</si>
  <si>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</si>
  <si>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</si>
  <si>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</si>
  <si>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</si>
  <si>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</si>
  <si>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</si>
  <si>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</si>
  <si>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</si>
  <si>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</si>
  <si>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</si>
  <si>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</si>
  <si>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</si>
  <si>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</si>
  <si>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</si>
  <si>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</si>
  <si>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</si>
  <si>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</si>
  <si>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</si>
  <si>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</si>
  <si>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</si>
  <si>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</si>
  <si>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</si>
  <si>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</si>
  <si>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</si>
  <si>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</si>
  <si>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</si>
  <si>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</si>
  <si>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</si>
  <si>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</si>
  <si>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</si>
  <si>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</si>
  <si>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</si>
  <si>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</si>
  <si>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</si>
  <si>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</si>
  <si>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</si>
  <si>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</si>
  <si>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</si>
  <si>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</si>
  <si>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</si>
  <si>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</si>
  <si>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</si>
  <si>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</si>
  <si>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</si>
  <si>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</si>
  <si>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</si>
  <si>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</si>
  <si>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</si>
  <si>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</si>
  <si>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</si>
  <si>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</si>
  <si>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</si>
  <si>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</si>
  <si>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</si>
  <si>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</si>
  <si>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</si>
  <si>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</si>
  <si>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</si>
  <si>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</si>
  <si>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</si>
  <si>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</si>
  <si>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</si>
  <si>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</si>
  <si>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</si>
  <si>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</si>
  <si>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</si>
  <si>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</si>
  <si>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</si>
  <si>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</si>
  <si>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</si>
  <si>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</si>
  <si>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</si>
  <si>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</si>
  <si>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</si>
  <si>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</si>
  <si>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</si>
  <si>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</si>
  <si>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</si>
  <si>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</si>
  <si>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</si>
  <si>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</si>
  <si>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</si>
  <si>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</si>
  <si>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</si>
  <si>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</si>
  <si>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</si>
  <si>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</si>
  <si>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</si>
  <si>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</si>
  <si>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</si>
  <si>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</si>
  <si>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</si>
  <si>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</si>
  <si>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</si>
  <si>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</si>
  <si>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</si>
  <si>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</si>
  <si>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</si>
  <si>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</si>
  <si>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</si>
  <si>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</si>
  <si>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</si>
  <si>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</si>
  <si>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</si>
  <si>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</si>
  <si>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</si>
  <si>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</si>
  <si>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</si>
  <si>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</si>
  <si>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</si>
  <si>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</si>
  <si>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</si>
  <si>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</si>
  <si>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</si>
  <si>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</si>
  <si>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</si>
  <si>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</si>
  <si>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</si>
  <si>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</si>
  <si>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</si>
  <si>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</si>
  <si>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</si>
  <si>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</si>
  <si>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</si>
  <si>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</si>
  <si>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</si>
  <si>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</si>
  <si>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</si>
  <si>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</si>
  <si>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</si>
  <si>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</si>
  <si>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</si>
  <si>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</si>
  <si>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</si>
  <si>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</si>
  <si>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</si>
  <si>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</si>
  <si>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</si>
  <si>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</si>
  <si>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</si>
  <si>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</si>
  <si>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</si>
  <si>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</si>
  <si>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</si>
  <si>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</si>
  <si>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</si>
  <si>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</si>
  <si>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</si>
  <si>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</si>
  <si>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</si>
  <si>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</si>
  <si>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</si>
  <si>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</si>
  <si>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</si>
  <si>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</si>
  <si>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</si>
  <si>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</si>
  <si>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</si>
  <si>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</si>
  <si>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</si>
  <si>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</si>
  <si>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</si>
  <si>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</si>
  <si>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</si>
  <si>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</si>
  <si>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</si>
  <si>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</si>
  <si>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</si>
  <si>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</si>
  <si>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</si>
  <si>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</si>
  <si>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</si>
  <si>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</si>
  <si>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</si>
  <si>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</si>
  <si>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</si>
  <si>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</si>
  <si>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</si>
  <si>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</si>
  <si>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</si>
  <si>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</si>
  <si>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</si>
  <si>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</si>
  <si>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</si>
  <si>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</si>
  <si>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</si>
  <si>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</si>
  <si>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</si>
  <si>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</si>
  <si>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</si>
  <si>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</si>
  <si>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</si>
  <si>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</si>
  <si>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</si>
  <si>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</si>
  <si>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</si>
  <si>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</si>
  <si>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</si>
  <si>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</si>
  <si>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</si>
  <si>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</si>
  <si>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</si>
  <si>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</si>
  <si>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</si>
  <si>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</si>
  <si>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</si>
  <si>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</si>
  <si>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</si>
  <si>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</si>
  <si>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</si>
  <si>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</si>
  <si>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</si>
  <si>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</si>
  <si>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</si>
  <si>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</si>
  <si>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</si>
  <si>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</si>
  <si>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</si>
  <si>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</si>
  <si>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</si>
  <si>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</si>
  <si>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</si>
  <si>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</si>
  <si>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</si>
  <si>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</si>
  <si>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</si>
  <si>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</si>
  <si>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</si>
  <si>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</si>
  <si>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</si>
  <si>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</si>
  <si>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</si>
  <si>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</si>
  <si>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</si>
  <si>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</si>
  <si>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</si>
  <si>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</si>
  <si>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</si>
  <si>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</si>
  <si>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</si>
  <si>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</si>
  <si>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</si>
  <si>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</si>
  <si>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</si>
  <si>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</si>
  <si>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</si>
  <si>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</si>
  <si>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</si>
  <si>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</si>
  <si>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</si>
  <si>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</si>
  <si>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</si>
  <si>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</si>
  <si>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</si>
  <si>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</si>
  <si>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</si>
  <si>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</si>
  <si>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</si>
  <si>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</si>
  <si>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</si>
  <si>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</si>
  <si>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</si>
  <si>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</si>
  <si>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</si>
  <si>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</si>
  <si>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</si>
  <si>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</si>
  <si>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</si>
  <si>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</si>
  <si>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</si>
  <si>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</si>
  <si>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</si>
  <si>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</si>
  <si>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</si>
  <si>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</si>
  <si>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</si>
  <si>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</si>
  <si>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</si>
  <si>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</si>
  <si>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</si>
  <si>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</si>
  <si>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</si>
  <si>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</si>
  <si>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</si>
  <si>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</si>
  <si>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</si>
  <si>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</si>
  <si>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</si>
  <si>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</si>
  <si>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</si>
  <si>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</si>
  <si>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</si>
  <si>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</si>
  <si>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</si>
  <si>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</si>
  <si>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</si>
  <si>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</si>
  <si>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</si>
  <si>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</si>
  <si>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</si>
  <si>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</si>
  <si>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</si>
  <si>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</si>
  <si>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</si>
  <si>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</si>
  <si>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</si>
  <si>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</si>
  <si>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</si>
  <si>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</si>
  <si>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</si>
  <si>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</si>
  <si>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</si>
  <si>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</si>
  <si>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</si>
  <si>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</si>
  <si>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</si>
  <si>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</si>
  <si>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</si>
  <si>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</si>
  <si>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</si>
  <si>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</si>
  <si>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</si>
  <si>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</si>
  <si>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</si>
  <si>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</si>
  <si>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</si>
  <si>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</si>
  <si>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</si>
  <si>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</si>
  <si>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</si>
  <si>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</si>
  <si>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</si>
  <si>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</si>
  <si>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</si>
  <si>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</si>
  <si>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</si>
  <si>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</si>
  <si>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</si>
  <si>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</si>
  <si>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</si>
  <si>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</si>
  <si>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</si>
  <si>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</si>
  <si>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</si>
  <si>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</si>
  <si>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</si>
  <si>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</si>
  <si>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</si>
  <si>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</si>
  <si>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</si>
  <si>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</si>
  <si>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</si>
  <si>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</si>
  <si>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</si>
  <si>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</si>
  <si>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</si>
  <si>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</si>
  <si>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</si>
  <si>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</si>
  <si>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</si>
  <si>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</si>
  <si>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</si>
  <si>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</si>
  <si>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</si>
  <si>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</si>
  <si>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</si>
  <si>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</si>
  <si>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</si>
  <si>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</si>
  <si>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</si>
  <si>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</si>
  <si>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</si>
  <si>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</si>
  <si>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</si>
  <si>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</si>
  <si>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</si>
  <si>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</si>
  <si>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</si>
  <si>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</si>
  <si>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</si>
  <si>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</si>
  <si>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</si>
  <si>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</si>
  <si>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</si>
  <si>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</si>
  <si>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</si>
  <si>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</si>
  <si>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</si>
  <si>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</si>
  <si>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</si>
  <si>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</si>
  <si>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</si>
  <si>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</si>
  <si>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</si>
  <si>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</si>
  <si>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</si>
  <si>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</si>
  <si>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</si>
  <si>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</si>
  <si>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</si>
  <si>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</si>
  <si>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</si>
  <si>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</si>
  <si>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</si>
  <si>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</si>
  <si>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</si>
  <si>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</si>
  <si>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</si>
  <si>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</si>
  <si>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</si>
  <si>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</si>
  <si>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</si>
  <si>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</si>
  <si>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</si>
  <si>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</si>
  <si>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</si>
  <si>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</si>
  <si>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</si>
  <si>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</si>
  <si>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</si>
  <si>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</si>
  <si>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</si>
  <si>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</si>
  <si>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</si>
  <si>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</si>
  <si>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</si>
  <si>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</si>
  <si>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</si>
  <si>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</si>
  <si>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</si>
  <si>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</si>
  <si>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</si>
  <si>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</si>
  <si>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</si>
  <si>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</si>
  <si>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</si>
  <si>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</si>
  <si>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</si>
  <si>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</si>
  <si>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</si>
  <si>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</si>
  <si>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</si>
  <si>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</si>
  <si>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</si>
  <si>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</si>
  <si>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</si>
  <si>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</si>
  <si>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</si>
  <si>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</si>
  <si>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</si>
  <si>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</si>
  <si>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</si>
  <si>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</si>
  <si>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</si>
  <si>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</si>
  <si>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</si>
  <si>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</si>
  <si>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</si>
  <si>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</si>
  <si>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</si>
  <si>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</si>
  <si>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</si>
  <si>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</si>
  <si>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</si>
  <si>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</si>
  <si>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</si>
  <si>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</si>
  <si>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</si>
  <si>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</si>
  <si>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</si>
  <si>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</si>
  <si>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</si>
  <si>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</si>
  <si>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</si>
  <si>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</si>
  <si>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</si>
  <si>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</si>
  <si>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</si>
  <si>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</si>
  <si>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</si>
  <si>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</si>
  <si>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</si>
  <si>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</si>
  <si>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</si>
  <si>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</si>
  <si>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</si>
  <si>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</si>
  <si>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</si>
  <si>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</si>
  <si>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</si>
  <si>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</si>
  <si>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</si>
  <si>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</si>
  <si>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</si>
  <si>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</si>
  <si>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</si>
  <si>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</si>
  <si>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</si>
  <si>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</si>
  <si>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</si>
  <si>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</si>
  <si>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</si>
  <si>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</si>
  <si>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</si>
  <si>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</si>
  <si>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</si>
  <si>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</si>
  <si>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</si>
  <si>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</si>
  <si>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</si>
  <si>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</si>
  <si>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</si>
  <si>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</si>
  <si>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</si>
  <si>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</si>
  <si>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</si>
  <si>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</si>
  <si>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</si>
  <si>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</si>
  <si>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</si>
  <si>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</si>
  <si>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</si>
  <si>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</si>
  <si>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</si>
  <si>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</si>
  <si>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</si>
  <si>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</si>
  <si>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</si>
  <si>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</si>
  <si>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</si>
  <si>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</si>
  <si>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</si>
  <si>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</si>
  <si>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</si>
  <si>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</si>
  <si>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</si>
  <si>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</si>
  <si>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</si>
  <si>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</si>
  <si>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</si>
  <si>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</si>
  <si>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</si>
  <si>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</si>
  <si>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</si>
  <si>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</si>
  <si>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</si>
  <si>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</si>
  <si>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</si>
  <si>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</si>
  <si>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</si>
  <si>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</si>
  <si>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</si>
  <si>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</si>
  <si>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</si>
  <si>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</si>
  <si>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</si>
  <si>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</si>
  <si>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</si>
  <si>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</si>
  <si>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</si>
  <si>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</si>
  <si>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</si>
  <si>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</si>
  <si>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</si>
  <si>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</si>
  <si>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</si>
  <si>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</si>
  <si>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</si>
  <si>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</si>
  <si>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</si>
  <si>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</si>
  <si>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</si>
  <si>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</si>
  <si>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</si>
  <si>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</si>
  <si>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</si>
  <si>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</si>
  <si>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</si>
  <si>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</si>
  <si>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</si>
  <si>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</si>
  <si>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</si>
  <si>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</si>
  <si>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</si>
  <si>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</si>
  <si>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</si>
  <si>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</si>
  <si>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</si>
  <si>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</si>
  <si>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</si>
  <si>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</si>
  <si>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</si>
  <si>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</si>
  <si>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</si>
  <si>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</si>
  <si>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</si>
  <si>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</si>
  <si>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</si>
  <si>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</si>
  <si>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</si>
  <si>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</si>
  <si>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</si>
  <si>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</si>
  <si>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</si>
  <si>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</si>
  <si>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</si>
  <si>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</si>
  <si>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</si>
  <si>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</si>
  <si>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</si>
  <si>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</si>
  <si>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</si>
  <si>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</si>
  <si>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</si>
  <si>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</si>
  <si>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</si>
  <si>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</si>
  <si>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</si>
  <si>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</si>
  <si>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</si>
  <si>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</si>
  <si>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</si>
  <si>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</si>
  <si>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</si>
  <si>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</si>
  <si>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</si>
  <si>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</si>
  <si>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</si>
  <si>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</si>
  <si>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</si>
  <si>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</si>
  <si>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</si>
  <si>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</si>
  <si>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</si>
  <si>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</si>
  <si>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</si>
  <si>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</si>
  <si>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</si>
  <si>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</si>
  <si>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</si>
  <si>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</si>
  <si>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</si>
  <si>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</si>
  <si>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</si>
  <si>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</si>
  <si>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</si>
  <si>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</si>
  <si>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</si>
  <si>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</si>
  <si>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</si>
  <si>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</si>
  <si>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</si>
  <si>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</si>
  <si>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</si>
  <si>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</si>
  <si>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</si>
  <si>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</si>
  <si>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</si>
  <si>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</si>
  <si>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</si>
  <si>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</si>
  <si>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</si>
  <si>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</si>
  <si>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</si>
  <si>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</si>
  <si>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</si>
  <si>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</si>
  <si>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</si>
  <si>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</si>
  <si>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</si>
  <si>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</si>
  <si>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</si>
  <si>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</si>
  <si>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</si>
  <si>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</si>
  <si>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</si>
  <si>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</si>
  <si>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</si>
  <si>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</si>
  <si>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</si>
  <si>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</si>
  <si>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</si>
  <si>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</si>
  <si>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</si>
  <si>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</si>
  <si>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</si>
  <si>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</si>
  <si>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</si>
  <si>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</si>
  <si>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</si>
  <si>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</si>
  <si>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</si>
  <si>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</si>
  <si>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</si>
  <si>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</si>
  <si>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</si>
  <si>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</si>
  <si>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</si>
  <si>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</si>
  <si>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</si>
  <si>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</si>
  <si>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</si>
  <si>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</si>
  <si>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</si>
  <si>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</si>
  <si>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</si>
  <si>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</si>
  <si>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</si>
  <si>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</si>
  <si>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</si>
  <si>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</si>
  <si>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</si>
  <si>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</si>
  <si>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</si>
  <si>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</si>
  <si>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</si>
  <si>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</si>
  <si>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</si>
  <si>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</si>
  <si>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</si>
  <si>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</si>
  <si>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</si>
  <si>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</si>
  <si>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</si>
  <si>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</si>
  <si>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</si>
  <si>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</si>
  <si>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</si>
  <si>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</si>
  <si>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</si>
  <si>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</si>
  <si>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</si>
  <si>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</si>
  <si>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</si>
  <si>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</si>
  <si>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</si>
  <si>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</si>
  <si>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</si>
  <si>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</si>
  <si>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</si>
  <si>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</si>
  <si>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</si>
  <si>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</si>
  <si>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</si>
  <si>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</si>
  <si>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</si>
  <si>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</si>
  <si>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</si>
  <si>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</si>
  <si>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</si>
  <si>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</si>
  <si>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</si>
  <si>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</si>
  <si>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</si>
  <si>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</si>
  <si>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</si>
  <si>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</si>
  <si>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</si>
  <si>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</si>
  <si>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</si>
  <si>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</si>
  <si>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</si>
  <si>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</si>
  <si>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</si>
  <si>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</si>
  <si>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</si>
  <si>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</si>
  <si>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</si>
  <si>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</si>
  <si>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</si>
  <si>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</si>
  <si>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</si>
  <si>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</si>
  <si>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</si>
  <si>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</si>
  <si>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</si>
  <si>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</si>
  <si>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</si>
  <si>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</si>
  <si>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</si>
  <si>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</si>
  <si>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</si>
  <si>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</si>
  <si>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</si>
  <si>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</si>
  <si>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</si>
  <si>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</si>
  <si>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</si>
  <si>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</si>
  <si>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</si>
  <si>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</si>
  <si>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</si>
  <si>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</si>
  <si>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</si>
  <si>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</si>
  <si>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</si>
  <si>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</si>
  <si>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</si>
  <si>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</si>
  <si>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</si>
  <si>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</si>
  <si>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</si>
  <si>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</si>
  <si>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</si>
  <si>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</si>
  <si>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</si>
  <si>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</si>
  <si>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</si>
  <si>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</si>
  <si>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</si>
  <si>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</si>
  <si>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</si>
  <si>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</si>
  <si>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</si>
  <si>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</si>
  <si>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</si>
  <si>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</si>
  <si>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</si>
  <si>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</si>
  <si>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</si>
  <si>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</si>
  <si>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</si>
  <si>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</si>
  <si>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</si>
  <si>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</si>
  <si>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</si>
  <si>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</si>
  <si>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</si>
  <si>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</si>
  <si>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</si>
  <si>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</si>
  <si>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</si>
  <si>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</si>
  <si>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</si>
  <si>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</si>
  <si>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</si>
  <si>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</si>
  <si>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</si>
  <si>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</si>
  <si>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</si>
  <si>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</si>
  <si>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</si>
  <si>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</si>
  <si>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</si>
  <si>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</si>
  <si>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</si>
  <si>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</si>
  <si>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</si>
  <si>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</si>
  <si>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</si>
  <si>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</si>
  <si>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</si>
  <si>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</si>
  <si>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</si>
  <si>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</si>
  <si>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</si>
  <si>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</si>
  <si>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</si>
  <si>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</si>
  <si>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</si>
  <si>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</si>
  <si>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</si>
  <si>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</si>
  <si>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</si>
  <si>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</si>
  <si>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</si>
  <si>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</si>
  <si>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</si>
  <si>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</si>
  <si>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</si>
  <si>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</si>
  <si>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</si>
  <si>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</si>
  <si>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</si>
  <si>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</si>
  <si>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</si>
  <si>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</si>
  <si>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</si>
  <si>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</si>
  <si>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</si>
  <si>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</si>
  <si>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</si>
  <si>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</si>
  <si>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</si>
  <si>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</si>
  <si>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</si>
  <si>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</si>
  <si>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</si>
  <si>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</si>
  <si>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</si>
  <si>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</si>
  <si>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</si>
  <si>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</si>
  <si>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</si>
  <si>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</si>
  <si>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</si>
  <si>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</si>
  <si>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</si>
  <si>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</si>
  <si>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</si>
  <si>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</si>
  <si>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</si>
  <si>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</si>
  <si>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</si>
  <si>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</si>
  <si>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</si>
  <si>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</si>
  <si>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</si>
  <si>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</si>
  <si>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</si>
  <si>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</si>
  <si>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</si>
  <si>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</si>
  <si>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</si>
  <si>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</si>
  <si>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</si>
  <si>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</si>
  <si>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</si>
  <si>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</si>
  <si>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</si>
  <si>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</si>
  <si>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</si>
  <si>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</si>
  <si>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</si>
  <si>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</si>
  <si>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</si>
  <si>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</si>
  <si>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</si>
  <si>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</si>
  <si>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</si>
  <si>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</si>
  <si>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</si>
  <si>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</si>
  <si>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</si>
  <si>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</si>
  <si>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</si>
  <si>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</si>
  <si>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</si>
  <si>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</si>
  <si>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</si>
  <si>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</si>
  <si>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</si>
  <si>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</si>
  <si>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</si>
  <si>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</si>
  <si>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</si>
  <si>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</si>
  <si>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</si>
  <si>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</si>
  <si>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</si>
  <si>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</si>
  <si>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</si>
  <si>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</si>
  <si>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</si>
  <si>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</si>
  <si>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</si>
  <si>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</si>
  <si>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</si>
  <si>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</si>
  <si>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</si>
  <si>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</si>
  <si>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</si>
  <si>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</si>
  <si>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</si>
  <si>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</si>
  <si>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</si>
  <si>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</si>
  <si>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</si>
  <si>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</si>
  <si>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</si>
  <si>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</si>
  <si>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</si>
  <si>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</si>
  <si>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</si>
  <si>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</si>
  <si>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</si>
  <si>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</si>
  <si>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</si>
  <si>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</si>
  <si>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</si>
  <si>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</si>
  <si>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</si>
  <si>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</si>
  <si>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</si>
  <si>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</si>
  <si>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</si>
  <si>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</si>
  <si>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</si>
  <si>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</si>
  <si>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</si>
  <si>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</si>
  <si>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</si>
  <si>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</si>
  <si>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</si>
  <si>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</si>
  <si>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</si>
  <si>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</si>
  <si>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</si>
  <si>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</si>
  <si>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</si>
  <si>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</si>
  <si>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</si>
  <si>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</si>
  <si>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</si>
  <si>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</si>
  <si>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</si>
  <si>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</si>
  <si>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</si>
  <si>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</si>
  <si>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</si>
  <si>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</si>
  <si>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</si>
  <si>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</si>
  <si>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</si>
  <si>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</si>
  <si>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</si>
  <si>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</si>
  <si>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</si>
  <si>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</si>
  <si>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</si>
  <si>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</si>
  <si>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</si>
  <si>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</si>
  <si>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</si>
  <si>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</si>
  <si>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</si>
  <si>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</si>
  <si>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</si>
  <si>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</si>
  <si>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</si>
  <si>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</si>
  <si>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</si>
  <si>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</si>
  <si>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</si>
  <si>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</si>
  <si>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</si>
  <si>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</si>
  <si>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</si>
  <si>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</si>
  <si>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</si>
  <si>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</si>
  <si>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</si>
  <si>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</si>
  <si>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</si>
  <si>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</si>
  <si>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</si>
  <si>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</si>
  <si>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</si>
  <si>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</si>
  <si>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</si>
  <si>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</si>
  <si>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</si>
  <si>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</si>
  <si>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</si>
  <si>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</si>
  <si>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</si>
  <si>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</si>
  <si>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</si>
  <si>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</si>
  <si>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</si>
  <si>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</si>
  <si>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</si>
  <si>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</si>
  <si>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</si>
  <si>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</si>
  <si>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鋒矢</t>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</si>
  <si>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</si>
  <si>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</si>
  <si>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</si>
  <si>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</si>
  <si>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</si>
  <si>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</si>
  <si>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</si>
  <si>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</si>
  <si>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</si>
  <si>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</si>
  <si>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</si>
  <si>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</si>
  <si>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</si>
  <si>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</si>
  <si>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</si>
  <si>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</si>
  <si>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</si>
  <si>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</si>
  <si>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</si>
  <si>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</si>
  <si>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</si>
  <si>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</si>
  <si>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</si>
  <si>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</si>
  <si>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</si>
  <si>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</si>
  <si>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</si>
  <si>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ターン開始時に味方の攻撃力大アップ(1ターン)</t>
    <phoneticPr fontId="1"/>
  </si>
  <si>
    <t>敵の攻撃力大アップ(解除不可)、雷光弱点が氷闇弱点に変更</t>
    <rPh sb="16" eb="17">
      <t>カミナリ</t>
    </rPh>
    <rPh sb="17" eb="18">
      <t>ヒカリ</t>
    </rPh>
    <rPh sb="21" eb="22">
      <t>コオリ</t>
    </rPh>
    <rPh sb="22" eb="23">
      <t>ヤミ</t>
    </rPh>
    <phoneticPr fontId="1"/>
  </si>
  <si>
    <t>150</t>
    <phoneticPr fontId="1"/>
  </si>
  <si>
    <t>Defenderのスキル使用回数2回</t>
    <phoneticPr fontId="1"/>
  </si>
  <si>
    <t>味方のDP回復量20%アップ</t>
    <phoneticPr fontId="1"/>
  </si>
  <si>
    <t>effect_kind5</t>
    <phoneticPr fontId="1"/>
  </si>
  <si>
    <t>effect_size5</t>
    <phoneticPr fontId="1"/>
  </si>
  <si>
    <t>conditions5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</si>
</sst>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2570</v>
      </c>
      <c r="B2" s="9" t="s">
        <v>42</v>
      </c>
      <c r="C2" s="9" t="s">
        <v>29</v>
      </c>
      <c r="D2" s="9" t="s">
        <v>999</v>
      </c>
      <c r="E2" s="9" t="s">
        <v>407</v>
      </c>
      <c r="F2" s="9" t="s">
        <v>32</v>
      </c>
      <c r="G2" s="9" t="s">
        <v>34</v>
      </c>
      <c r="H2" s="9" t="s">
        <v>36</v>
      </c>
      <c r="I2" s="9" t="s">
        <v>797</v>
      </c>
      <c r="J2" s="9" t="s">
        <v>183</v>
      </c>
      <c r="K2" s="9" t="s">
        <v>320</v>
      </c>
      <c r="L2" s="9" t="s">
        <v>320</v>
      </c>
      <c r="M2" s="9" t="s">
        <v>37</v>
      </c>
      <c r="N2" s="9" t="s">
        <v>321</v>
      </c>
      <c r="O2" s="9" t="s">
        <v>2500</v>
      </c>
      <c r="P2" s="9" t="s">
        <v>1000</v>
      </c>
      <c r="Q2" s="9" t="s">
        <v>1001</v>
      </c>
    </row>
    <row r="3" spans="1:20">
      <c r="B3" s="13">
        <f>IF(D3="SS",B5,B6)</f>
        <v>168</v>
      </c>
      <c r="C3" s="13" t="s">
        <v>111</v>
      </c>
      <c r="D3" s="13" t="s">
        <v>2718</v>
      </c>
      <c r="E3" s="17" t="s">
        <v>2760</v>
      </c>
      <c r="F3" s="17" t="s">
        <v>2761</v>
      </c>
      <c r="G3" s="13" t="s">
        <v>1601</v>
      </c>
      <c r="H3" s="13" t="s">
        <v>1611</v>
      </c>
      <c r="I3" s="13"/>
      <c r="J3" s="13" t="s">
        <v>1606</v>
      </c>
      <c r="K3" s="11" t="s">
        <v>2762</v>
      </c>
      <c r="L3" s="13"/>
      <c r="M3" s="13" t="s">
        <v>2720</v>
      </c>
      <c r="N3" s="13" t="s">
        <v>2763</v>
      </c>
      <c r="O3" s="13"/>
      <c r="P3" s="13"/>
      <c r="Q3" s="13"/>
    </row>
    <row r="4" spans="1:20">
      <c r="B4" s="13">
        <f>B3</f>
        <v>168</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1601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168</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643</v>
      </c>
      <c r="C9" s="18" t="s">
        <v>2765</v>
      </c>
      <c r="D9" s="13">
        <f>$C$4</f>
        <v>38</v>
      </c>
      <c r="E9" s="13">
        <v>0</v>
      </c>
      <c r="F9" s="18">
        <v>10</v>
      </c>
      <c r="G9" s="18">
        <v>129</v>
      </c>
      <c r="H9" s="18">
        <v>10</v>
      </c>
      <c r="I9" s="18">
        <v>0</v>
      </c>
      <c r="J9" s="18">
        <v>0</v>
      </c>
      <c r="M9">
        <f>105+F9*3</f>
        <v>135</v>
      </c>
    </row>
    <row r="10" spans="1:20">
      <c r="B10" s="13">
        <f>B9+1</f>
        <v>644</v>
      </c>
      <c r="C10" s="18" t="s">
        <v>2767</v>
      </c>
      <c r="D10" s="13">
        <f>$C$4</f>
        <v>38</v>
      </c>
      <c r="E10" s="13">
        <f>$B$4</f>
        <v>168</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2638</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2557</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2558</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2559</v>
      </c>
      <c r="E20" s="14">
        <v>500</v>
      </c>
      <c r="F20" s="11" t="s">
        <v>2554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2539</v>
      </c>
      <c r="E123" s="14">
        <v>410</v>
      </c>
      <c r="F123" s="11" t="s">
        <v>2542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2541</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2540</v>
      </c>
      <c r="E198" s="14">
        <v>453</v>
      </c>
      <c r="F198" s="11" t="s">
        <v>2543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2539</v>
      </c>
      <c r="E199" s="14">
        <v>453</v>
      </c>
      <c r="F199" s="11" t="s">
        <v>2544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2537</v>
      </c>
      <c r="E202" s="14">
        <v>453</v>
      </c>
      <c r="F202" s="11" t="s">
        <v>2545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2472</v>
      </c>
      <c r="E217" s="14">
        <v>320</v>
      </c>
      <c r="F217" s="11" t="s">
        <v>2473</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2493</v>
      </c>
      <c r="E218" s="14">
        <v>250</v>
      </c>
      <c r="F218" s="11" t="s">
        <v>2494</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2495</v>
      </c>
      <c r="E219" s="14">
        <v>300</v>
      </c>
      <c r="F219" s="11" t="s">
        <v>2497</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2555</v>
      </c>
      <c r="E220" s="14">
        <v>340</v>
      </c>
      <c r="F220" s="11" t="s">
        <v>2560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2642</v>
      </c>
      <c r="E221" s="14">
        <v>300</v>
      </c>
      <c r="F221" s="11" t="s">
        <v>2643</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2771</v>
      </c>
      <c r="E222" s="14">
        <v>300</v>
      </c>
      <c r="F222" s="11" t="s">
        <v>2746</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2770</v>
      </c>
      <c r="E223" s="14">
        <v>340</v>
      </c>
      <c r="F223" s="11" t="s">
        <v>2772</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2227</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2228</v>
      </c>
      <c r="E239" s="14">
        <v>370</v>
      </c>
      <c r="F239" s="11" t="s">
        <v>2229</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2524</v>
      </c>
      <c r="E246" s="14">
        <v>403</v>
      </c>
      <c r="F246" s="11" t="s">
        <v>2525</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2546</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2547</v>
      </c>
      <c r="E248" s="14">
        <v>352</v>
      </c>
      <c r="F248" s="11" t="s">
        <v>2177</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2548</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2526</v>
      </c>
      <c r="E250" s="14">
        <v>355</v>
      </c>
      <c r="F250" s="11" t="s">
        <v>2527</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2773</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2578</v>
      </c>
      <c r="E252" s="14">
        <v>399</v>
      </c>
      <c r="F252" s="11" t="s">
        <v>2579</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1917</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2367</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1899</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1918</v>
      </c>
      <c r="E256" s="14">
        <v>665</v>
      </c>
      <c r="F256" s="11" t="s">
        <v>1900</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1919</v>
      </c>
      <c r="E257" s="14">
        <v>671</v>
      </c>
      <c r="F257" s="11" t="s">
        <v>1898</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2368</v>
      </c>
      <c r="E258" s="14">
        <v>577</v>
      </c>
      <c r="F258" s="11" t="s">
        <v>1924</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1920</v>
      </c>
      <c r="E259" s="14">
        <v>672</v>
      </c>
      <c r="F259" s="11" t="s">
        <v>1925</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1921</v>
      </c>
      <c r="E260" s="14">
        <v>753</v>
      </c>
      <c r="F260" s="11" t="s">
        <v>1926</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1923</v>
      </c>
      <c r="E261" s="14">
        <v>646</v>
      </c>
      <c r="F261" s="11" t="s">
        <v>1927</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1922</v>
      </c>
      <c r="E262" s="14">
        <v>741</v>
      </c>
      <c r="F262" s="11" t="s">
        <v>1928</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2369</v>
      </c>
      <c r="E263" s="14">
        <v>763</v>
      </c>
      <c r="F263" s="11" t="s">
        <v>1929</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2370</v>
      </c>
      <c r="E264" s="14">
        <v>554</v>
      </c>
      <c r="F264" s="11" t="s">
        <v>2287</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2284</v>
      </c>
      <c r="E265" s="14">
        <v>646</v>
      </c>
      <c r="F265" s="11" t="s">
        <v>1927</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2285</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2286</v>
      </c>
      <c r="E267" s="14">
        <v>741</v>
      </c>
      <c r="F267" s="11" t="s">
        <v>1928</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2283</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2282</v>
      </c>
      <c r="E269" s="14">
        <v>763</v>
      </c>
      <c r="F269" s="11" t="s">
        <v>2288</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2513</v>
      </c>
      <c r="E270" s="14">
        <v>430</v>
      </c>
      <c r="F270" s="11" t="s">
        <v>2519</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2514</v>
      </c>
      <c r="E271" s="14">
        <v>430</v>
      </c>
      <c r="F271" s="11" t="s">
        <v>2520</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2515</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2516</v>
      </c>
      <c r="E273" s="14">
        <v>430</v>
      </c>
      <c r="F273" s="11" t="s">
        <v>2521</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2517</v>
      </c>
      <c r="E274" s="14">
        <v>430</v>
      </c>
      <c r="F274" s="11" t="s">
        <v>2522</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2518</v>
      </c>
      <c r="E275" s="14">
        <v>430</v>
      </c>
      <c r="F275" s="11" t="s">
        <v>2523</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2062</v>
      </c>
      <c r="E276" s="14">
        <v>420</v>
      </c>
      <c r="F276" s="11" t="s">
        <v>2063</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2021</v>
      </c>
      <c r="E277" s="14">
        <v>420</v>
      </c>
      <c r="F277" s="11" t="s">
        <v>2023</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2022</v>
      </c>
      <c r="E278" s="14">
        <v>420</v>
      </c>
      <c r="F278" s="11" t="s">
        <v>2024</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2219</v>
      </c>
      <c r="E279" s="14">
        <v>420</v>
      </c>
      <c r="F279" s="11" t="s">
        <v>2223</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2220</v>
      </c>
      <c r="E280" s="14">
        <v>420</v>
      </c>
      <c r="F280" s="11" t="s">
        <v>2224</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2221</v>
      </c>
      <c r="E281" s="14">
        <v>420</v>
      </c>
      <c r="F281" s="11" t="s">
        <v>2222</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2281</v>
      </c>
      <c r="E282" s="14">
        <v>420</v>
      </c>
      <c r="F282" s="11" t="s">
        <v>2280</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2481</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2496</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2556</v>
      </c>
      <c r="E285" s="14">
        <v>420</v>
      </c>
      <c r="F285" s="11" t="s">
        <v>2561</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2768</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2769</v>
      </c>
      <c r="E287" s="14">
        <v>420</v>
      </c>
      <c r="F287" s="11" t="s">
        <v>2774</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7"/>
  <sheetViews>
    <sheetView zoomScale="85" zoomScaleNormal="85" workbookViewId="0">
      <pane ySplit="6" topLeftCell="A524"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2723</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2639</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2467</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2468</v>
      </c>
      <c r="D510" s="14">
        <v>5</v>
      </c>
      <c r="E510" s="14">
        <v>155</v>
      </c>
      <c r="F510" s="14">
        <v>13</v>
      </c>
      <c r="G510" s="14">
        <v>141</v>
      </c>
      <c r="H510" s="14">
        <v>10</v>
      </c>
      <c r="I510" s="14">
        <v>0</v>
      </c>
      <c r="J510" s="14">
        <v>1</v>
      </c>
      <c r="K510" s="14"/>
      <c r="L510" s="14"/>
    </row>
    <row r="511" spans="1:12">
      <c r="A511" s="8"/>
      <c r="B511" s="14">
        <v>606</v>
      </c>
      <c r="C511" s="14" t="s">
        <v>2477</v>
      </c>
      <c r="D511" s="14">
        <v>44</v>
      </c>
      <c r="E511" s="14">
        <v>0</v>
      </c>
      <c r="F511" s="14">
        <v>0</v>
      </c>
      <c r="G511" s="14">
        <v>0</v>
      </c>
      <c r="H511" s="14">
        <v>1</v>
      </c>
      <c r="I511" s="14">
        <v>1</v>
      </c>
      <c r="J511" s="14">
        <v>0</v>
      </c>
      <c r="K511" s="14"/>
      <c r="L511" s="14"/>
    </row>
    <row r="512" spans="1:12">
      <c r="A512" s="8"/>
      <c r="B512" s="14">
        <v>607</v>
      </c>
      <c r="C512" s="14" t="s">
        <v>2462</v>
      </c>
      <c r="D512" s="14">
        <v>44</v>
      </c>
      <c r="E512" s="14">
        <v>0</v>
      </c>
      <c r="F512" s="14">
        <v>16</v>
      </c>
      <c r="G512" s="14">
        <v>153</v>
      </c>
      <c r="H512" s="14">
        <v>10</v>
      </c>
      <c r="I512" s="14">
        <v>0</v>
      </c>
      <c r="J512" s="14">
        <v>0</v>
      </c>
      <c r="K512" s="14"/>
      <c r="L512" s="14"/>
    </row>
    <row r="513" spans="1:12">
      <c r="A513" s="8"/>
      <c r="B513" s="14">
        <v>608</v>
      </c>
      <c r="C513" s="14" t="s">
        <v>2461</v>
      </c>
      <c r="D513" s="14">
        <v>44</v>
      </c>
      <c r="E513" s="14">
        <v>156</v>
      </c>
      <c r="F513" s="14">
        <v>0</v>
      </c>
      <c r="G513" s="14">
        <v>152</v>
      </c>
      <c r="H513" s="14">
        <v>10</v>
      </c>
      <c r="I513" s="14">
        <v>0</v>
      </c>
      <c r="J513" s="14">
        <v>1</v>
      </c>
      <c r="K513" s="14"/>
      <c r="L513" s="14"/>
    </row>
    <row r="514" spans="1:12">
      <c r="A514" s="8"/>
      <c r="B514" s="14">
        <v>609</v>
      </c>
      <c r="C514" s="14" t="s">
        <v>2465</v>
      </c>
      <c r="D514" s="14">
        <v>46</v>
      </c>
      <c r="E514" s="14">
        <v>0</v>
      </c>
      <c r="F514" s="14">
        <v>13</v>
      </c>
      <c r="G514" s="14">
        <v>0</v>
      </c>
      <c r="H514" s="14">
        <v>1</v>
      </c>
      <c r="I514" s="14">
        <v>0</v>
      </c>
      <c r="J514" s="14">
        <v>0</v>
      </c>
      <c r="K514" s="14"/>
      <c r="L514" s="14"/>
    </row>
    <row r="515" spans="1:12">
      <c r="A515" s="8"/>
      <c r="B515" s="14">
        <v>610</v>
      </c>
      <c r="C515" s="14" t="s">
        <v>2466</v>
      </c>
      <c r="D515" s="14">
        <v>46</v>
      </c>
      <c r="E515" s="14">
        <v>157</v>
      </c>
      <c r="F515" s="14">
        <v>0</v>
      </c>
      <c r="G515" s="14">
        <v>141</v>
      </c>
      <c r="H515" s="14">
        <v>10</v>
      </c>
      <c r="I515" s="14">
        <v>0</v>
      </c>
      <c r="J515" s="14">
        <v>1</v>
      </c>
      <c r="K515" s="14"/>
      <c r="L515" s="14"/>
    </row>
    <row r="516" spans="1:12">
      <c r="A516" s="8"/>
      <c r="B516" s="14">
        <v>611</v>
      </c>
      <c r="C516" s="14" t="s">
        <v>2463</v>
      </c>
      <c r="D516" s="14">
        <v>43</v>
      </c>
      <c r="E516" s="14">
        <v>0</v>
      </c>
      <c r="F516" s="14">
        <v>0</v>
      </c>
      <c r="G516" s="14">
        <v>0</v>
      </c>
      <c r="H516" s="14">
        <v>1</v>
      </c>
      <c r="I516" s="14">
        <v>1</v>
      </c>
      <c r="J516" s="14">
        <v>0</v>
      </c>
      <c r="K516" s="14"/>
      <c r="L516" s="14"/>
    </row>
    <row r="517" spans="1:12">
      <c r="A517" s="8"/>
      <c r="B517" s="14">
        <v>612</v>
      </c>
      <c r="C517" s="14" t="s">
        <v>2464</v>
      </c>
      <c r="D517" s="14">
        <v>48</v>
      </c>
      <c r="E517" s="14">
        <v>0</v>
      </c>
      <c r="F517" s="14">
        <v>13</v>
      </c>
      <c r="G517" s="14">
        <v>147</v>
      </c>
      <c r="H517" s="14">
        <v>17</v>
      </c>
      <c r="I517" s="14">
        <v>0</v>
      </c>
      <c r="J517" s="14">
        <v>2</v>
      </c>
      <c r="K517" s="14"/>
      <c r="L517" s="14"/>
    </row>
    <row r="518" spans="1:12">
      <c r="A518" s="8"/>
      <c r="B518" s="14">
        <v>613</v>
      </c>
      <c r="C518" s="14" t="s">
        <v>2483</v>
      </c>
      <c r="D518" s="14">
        <v>25</v>
      </c>
      <c r="E518" s="14">
        <v>0</v>
      </c>
      <c r="F518" s="14">
        <v>0</v>
      </c>
      <c r="G518" s="14">
        <v>0</v>
      </c>
      <c r="H518" s="14">
        <v>1</v>
      </c>
      <c r="I518" s="14">
        <v>0</v>
      </c>
      <c r="J518" s="14">
        <v>0</v>
      </c>
      <c r="K518" s="14"/>
      <c r="L518" s="14"/>
    </row>
    <row r="519" spans="1:12">
      <c r="A519" s="8"/>
      <c r="B519" s="14">
        <v>614</v>
      </c>
      <c r="C519" s="14" t="s">
        <v>2482</v>
      </c>
      <c r="D519" s="14">
        <v>25</v>
      </c>
      <c r="E519" s="14">
        <v>158</v>
      </c>
      <c r="F519" s="14">
        <v>18</v>
      </c>
      <c r="G519" s="14">
        <v>143</v>
      </c>
      <c r="H519" s="14">
        <v>10</v>
      </c>
      <c r="I519" s="14">
        <v>0</v>
      </c>
      <c r="J519" s="14">
        <v>1</v>
      </c>
      <c r="K519" s="14"/>
      <c r="L519" s="14"/>
    </row>
    <row r="520" spans="1:12">
      <c r="A520" s="8"/>
      <c r="B520" s="14">
        <v>615</v>
      </c>
      <c r="C520" s="14" t="s">
        <v>2490</v>
      </c>
      <c r="D520" s="14">
        <v>27</v>
      </c>
      <c r="E520" s="14">
        <v>0</v>
      </c>
      <c r="F520" s="14">
        <v>0</v>
      </c>
      <c r="G520" s="14">
        <v>0</v>
      </c>
      <c r="H520" s="14">
        <v>1</v>
      </c>
      <c r="I520" s="14">
        <v>1</v>
      </c>
      <c r="J520" s="14">
        <v>0</v>
      </c>
      <c r="K520" s="14"/>
      <c r="L520" s="14"/>
    </row>
    <row r="521" spans="1:12">
      <c r="A521" s="8"/>
      <c r="B521" s="14">
        <v>616</v>
      </c>
      <c r="C521" s="14" t="s">
        <v>2502</v>
      </c>
      <c r="D521" s="14">
        <v>39</v>
      </c>
      <c r="E521" s="14">
        <v>0</v>
      </c>
      <c r="F521" s="14">
        <v>10</v>
      </c>
      <c r="G521" s="14">
        <v>272</v>
      </c>
      <c r="H521" s="14">
        <v>10</v>
      </c>
      <c r="I521" s="14">
        <v>0</v>
      </c>
      <c r="J521" s="14">
        <v>0</v>
      </c>
      <c r="K521" s="14"/>
      <c r="L521" s="14"/>
    </row>
    <row r="522" spans="1:12">
      <c r="A522" s="8"/>
      <c r="B522" s="14">
        <v>617</v>
      </c>
      <c r="C522" s="14" t="s">
        <v>2501</v>
      </c>
      <c r="D522" s="14">
        <v>39</v>
      </c>
      <c r="E522" s="14">
        <v>159</v>
      </c>
      <c r="F522" s="14">
        <v>14</v>
      </c>
      <c r="G522" s="14">
        <v>216</v>
      </c>
      <c r="H522" s="14">
        <v>10</v>
      </c>
      <c r="I522" s="14">
        <v>0</v>
      </c>
      <c r="J522" s="14">
        <v>1</v>
      </c>
      <c r="K522" s="14">
        <v>12</v>
      </c>
      <c r="L522" s="14">
        <v>26</v>
      </c>
    </row>
    <row r="523" spans="1:12">
      <c r="A523" s="8"/>
      <c r="B523" s="14">
        <v>618</v>
      </c>
      <c r="C523" s="14" t="s">
        <v>2507</v>
      </c>
      <c r="D523" s="14">
        <v>41</v>
      </c>
      <c r="E523" s="14">
        <v>0</v>
      </c>
      <c r="F523" s="14">
        <v>8</v>
      </c>
      <c r="G523" s="14">
        <v>232</v>
      </c>
      <c r="H523" s="14">
        <v>10</v>
      </c>
      <c r="I523" s="14">
        <v>0</v>
      </c>
      <c r="J523" s="14">
        <v>0</v>
      </c>
      <c r="K523" s="14"/>
      <c r="L523" s="14"/>
    </row>
    <row r="524" spans="1:12">
      <c r="A524" s="8"/>
      <c r="B524" s="14">
        <v>619</v>
      </c>
      <c r="C524" s="14" t="s">
        <v>2505</v>
      </c>
      <c r="D524" s="14">
        <v>41</v>
      </c>
      <c r="E524" s="14">
        <v>160</v>
      </c>
      <c r="F524" s="14">
        <v>14</v>
      </c>
      <c r="G524" s="14">
        <v>152</v>
      </c>
      <c r="H524" s="14">
        <v>10</v>
      </c>
      <c r="I524" s="14">
        <v>0</v>
      </c>
      <c r="J524" s="14">
        <v>1</v>
      </c>
      <c r="K524" s="14"/>
      <c r="L524" s="14"/>
    </row>
    <row r="525" spans="1:12">
      <c r="A525" s="8"/>
      <c r="B525" s="14">
        <v>620</v>
      </c>
      <c r="C525" s="14" t="s">
        <v>2510</v>
      </c>
      <c r="D525" s="14">
        <v>38</v>
      </c>
      <c r="E525" s="14">
        <v>0</v>
      </c>
      <c r="F525" s="14">
        <v>8</v>
      </c>
      <c r="G525" s="14">
        <v>129</v>
      </c>
      <c r="H525" s="14">
        <v>10</v>
      </c>
      <c r="I525" s="14">
        <v>0</v>
      </c>
      <c r="J525" s="14">
        <v>0</v>
      </c>
      <c r="K525" s="14"/>
      <c r="L525" s="14"/>
    </row>
    <row r="526" spans="1:12">
      <c r="A526" s="8"/>
      <c r="B526" s="14">
        <v>621</v>
      </c>
      <c r="C526" s="14" t="s">
        <v>2530</v>
      </c>
      <c r="D526" s="14">
        <v>40</v>
      </c>
      <c r="E526" s="14">
        <v>0</v>
      </c>
      <c r="F526" s="14">
        <v>14</v>
      </c>
      <c r="G526" s="14">
        <v>140</v>
      </c>
      <c r="H526" s="14">
        <v>17</v>
      </c>
      <c r="I526" s="14">
        <v>0</v>
      </c>
      <c r="J526" s="14">
        <v>2</v>
      </c>
      <c r="K526" s="14">
        <v>11</v>
      </c>
      <c r="L526" s="14">
        <v>25</v>
      </c>
    </row>
    <row r="527" spans="1:12">
      <c r="A527" s="8"/>
      <c r="B527" s="14">
        <v>622</v>
      </c>
      <c r="C527" s="14" t="s">
        <v>2531</v>
      </c>
      <c r="D527" s="14">
        <v>16</v>
      </c>
      <c r="E527" s="14">
        <v>161</v>
      </c>
      <c r="F527" s="14">
        <v>6</v>
      </c>
      <c r="G527" s="14">
        <v>0</v>
      </c>
      <c r="H527" s="14">
        <v>1</v>
      </c>
      <c r="I527" s="14">
        <v>0</v>
      </c>
      <c r="J527" s="14">
        <v>0</v>
      </c>
      <c r="K527" s="14"/>
      <c r="L527" s="14"/>
    </row>
    <row r="528" spans="1:12">
      <c r="A528" s="8"/>
      <c r="B528" s="14">
        <v>623</v>
      </c>
      <c r="C528" s="14" t="s">
        <v>2529</v>
      </c>
      <c r="D528" s="14">
        <v>16</v>
      </c>
      <c r="E528" s="14">
        <v>161</v>
      </c>
      <c r="F528" s="14">
        <v>16</v>
      </c>
      <c r="G528" s="14">
        <v>147</v>
      </c>
      <c r="H528" s="14">
        <v>10</v>
      </c>
      <c r="I528" s="14">
        <v>0</v>
      </c>
      <c r="J528" s="14">
        <v>1</v>
      </c>
      <c r="K528" s="14">
        <v>11</v>
      </c>
      <c r="L528" s="14">
        <v>27</v>
      </c>
    </row>
    <row r="529" spans="1:12">
      <c r="A529" s="8"/>
      <c r="B529" s="14">
        <v>624</v>
      </c>
      <c r="C529" s="14" t="s">
        <v>2566</v>
      </c>
      <c r="D529" s="14">
        <v>6</v>
      </c>
      <c r="E529" s="14">
        <v>0</v>
      </c>
      <c r="F529" s="14">
        <v>11</v>
      </c>
      <c r="G529" s="14">
        <v>248</v>
      </c>
      <c r="H529" s="14">
        <v>17</v>
      </c>
      <c r="I529" s="14">
        <v>0</v>
      </c>
      <c r="J529" s="14">
        <v>2</v>
      </c>
      <c r="K529" s="14"/>
      <c r="L529" s="14"/>
    </row>
    <row r="530" spans="1:12">
      <c r="A530" s="8"/>
      <c r="B530" s="14">
        <v>625</v>
      </c>
      <c r="C530" s="14" t="s">
        <v>2532</v>
      </c>
      <c r="D530" s="14">
        <v>22</v>
      </c>
      <c r="E530" s="14">
        <v>0</v>
      </c>
      <c r="F530" s="14">
        <v>14</v>
      </c>
      <c r="G530" s="14">
        <v>147</v>
      </c>
      <c r="H530" s="14">
        <v>17</v>
      </c>
      <c r="I530" s="14">
        <v>0</v>
      </c>
      <c r="J530" s="14">
        <v>2</v>
      </c>
      <c r="K530" s="14">
        <v>11</v>
      </c>
      <c r="L530" s="14">
        <v>34</v>
      </c>
    </row>
    <row r="531" spans="1:12">
      <c r="A531" s="8"/>
      <c r="B531" s="14">
        <v>626</v>
      </c>
      <c r="C531" s="14" t="s">
        <v>2564</v>
      </c>
      <c r="D531" s="14">
        <v>14</v>
      </c>
      <c r="E531" s="14">
        <v>0</v>
      </c>
      <c r="F531" s="14">
        <v>0</v>
      </c>
      <c r="G531" s="14">
        <v>0</v>
      </c>
      <c r="H531" s="14">
        <v>1</v>
      </c>
      <c r="I531" s="14">
        <v>1</v>
      </c>
      <c r="J531" s="14">
        <v>0</v>
      </c>
      <c r="K531" s="14"/>
      <c r="L531" s="14"/>
    </row>
    <row r="532" spans="1:12">
      <c r="A532" s="8"/>
      <c r="B532" s="14">
        <v>627</v>
      </c>
      <c r="C532" s="14" t="s">
        <v>2565</v>
      </c>
      <c r="D532" s="14">
        <v>14</v>
      </c>
      <c r="E532" s="14">
        <v>162</v>
      </c>
      <c r="F532" s="14">
        <v>8</v>
      </c>
      <c r="G532" s="14">
        <v>224</v>
      </c>
      <c r="H532" s="14">
        <v>10</v>
      </c>
      <c r="I532" s="14">
        <v>0</v>
      </c>
      <c r="J532" s="14">
        <v>1</v>
      </c>
      <c r="K532" s="14"/>
      <c r="L532" s="14"/>
    </row>
    <row r="533" spans="1:12">
      <c r="A533" s="8"/>
      <c r="B533" s="14">
        <v>628</v>
      </c>
      <c r="C533" s="14" t="s">
        <v>2568</v>
      </c>
      <c r="D533" s="14">
        <v>15</v>
      </c>
      <c r="E533" s="14">
        <v>0</v>
      </c>
      <c r="F533" s="14">
        <v>8</v>
      </c>
      <c r="G533" s="14">
        <v>200</v>
      </c>
      <c r="H533" s="14">
        <v>10</v>
      </c>
      <c r="I533" s="14">
        <v>0</v>
      </c>
      <c r="J533" s="14">
        <v>0</v>
      </c>
      <c r="K533" s="14"/>
      <c r="L533" s="14"/>
    </row>
    <row r="534" spans="1:12">
      <c r="A534" s="8"/>
      <c r="B534" s="14">
        <v>629</v>
      </c>
      <c r="C534" s="14" t="s">
        <v>2569</v>
      </c>
      <c r="D534" s="14">
        <v>15</v>
      </c>
      <c r="E534" s="14">
        <v>163</v>
      </c>
      <c r="F534" s="14">
        <v>8</v>
      </c>
      <c r="G534" s="14">
        <v>141</v>
      </c>
      <c r="H534" s="14">
        <v>10</v>
      </c>
      <c r="I534" s="14">
        <v>0</v>
      </c>
      <c r="J534" s="14">
        <v>1</v>
      </c>
      <c r="K534" s="14"/>
      <c r="L534" s="14"/>
    </row>
    <row r="535" spans="1:12">
      <c r="A535" s="8"/>
      <c r="B535" s="14">
        <v>630</v>
      </c>
      <c r="C535" s="14" t="s">
        <v>2627</v>
      </c>
      <c r="D535" s="14">
        <v>18</v>
      </c>
      <c r="E535" s="14">
        <v>0</v>
      </c>
      <c r="F535" s="14">
        <v>12</v>
      </c>
      <c r="G535" s="14">
        <v>138</v>
      </c>
      <c r="H535" s="14">
        <v>17</v>
      </c>
      <c r="I535" s="14">
        <v>0</v>
      </c>
      <c r="J535" s="14">
        <v>2</v>
      </c>
      <c r="K535" s="14"/>
      <c r="L535" s="14"/>
    </row>
    <row r="536" spans="1:12">
      <c r="A536" s="8"/>
      <c r="B536" s="14">
        <v>631</v>
      </c>
      <c r="C536" s="14" t="s">
        <v>2572</v>
      </c>
      <c r="D536" s="14">
        <v>16</v>
      </c>
      <c r="E536" s="14">
        <v>0</v>
      </c>
      <c r="F536" s="14">
        <v>8</v>
      </c>
      <c r="G536" s="14">
        <v>131</v>
      </c>
      <c r="H536" s="14">
        <v>10</v>
      </c>
      <c r="I536" s="14">
        <v>0</v>
      </c>
      <c r="J536" s="14">
        <v>0</v>
      </c>
      <c r="K536" s="14"/>
      <c r="L536" s="14"/>
    </row>
    <row r="537" spans="1:12">
      <c r="A537" s="8"/>
      <c r="B537" s="14">
        <v>632</v>
      </c>
      <c r="C537" s="14" t="s">
        <v>2636</v>
      </c>
      <c r="D537" s="14">
        <v>28</v>
      </c>
      <c r="E537" s="14">
        <v>164</v>
      </c>
      <c r="F537" s="14">
        <v>0</v>
      </c>
      <c r="G537" s="14">
        <v>0</v>
      </c>
      <c r="H537" s="14">
        <v>1</v>
      </c>
      <c r="I537" s="14">
        <v>1</v>
      </c>
      <c r="J537" s="14">
        <v>1</v>
      </c>
      <c r="K537" s="14"/>
      <c r="L537" s="14"/>
    </row>
    <row r="538" spans="1:12">
      <c r="A538" s="8"/>
      <c r="B538" s="14">
        <v>633</v>
      </c>
      <c r="C538" s="14" t="s">
        <v>2637</v>
      </c>
      <c r="D538" s="14">
        <v>28</v>
      </c>
      <c r="E538" s="14">
        <v>164</v>
      </c>
      <c r="F538" s="14">
        <v>10</v>
      </c>
      <c r="G538" s="14">
        <v>125</v>
      </c>
      <c r="H538" s="14">
        <v>10</v>
      </c>
      <c r="I538" s="14">
        <v>0</v>
      </c>
      <c r="J538" s="14">
        <v>1</v>
      </c>
      <c r="K538" s="14">
        <v>5</v>
      </c>
      <c r="L538" s="14"/>
    </row>
    <row r="539" spans="1:12">
      <c r="A539" s="8"/>
      <c r="B539" s="14">
        <v>634</v>
      </c>
      <c r="C539" s="14" t="s">
        <v>2638</v>
      </c>
      <c r="D539" s="14">
        <v>32</v>
      </c>
      <c r="E539" s="14">
        <v>0</v>
      </c>
      <c r="F539" s="14">
        <v>9</v>
      </c>
      <c r="G539" s="14">
        <v>131</v>
      </c>
      <c r="H539" s="14">
        <v>10</v>
      </c>
      <c r="I539" s="14">
        <v>0</v>
      </c>
      <c r="J539" s="14">
        <v>0</v>
      </c>
      <c r="K539" s="14"/>
      <c r="L539" s="14"/>
    </row>
    <row r="540" spans="1:12">
      <c r="A540" s="8"/>
      <c r="B540" s="14">
        <v>635</v>
      </c>
      <c r="C540" s="14" t="s">
        <v>2721</v>
      </c>
      <c r="D540" s="14">
        <v>31</v>
      </c>
      <c r="E540" s="14">
        <v>165</v>
      </c>
      <c r="F540" s="14">
        <v>0</v>
      </c>
      <c r="G540" s="14">
        <v>0</v>
      </c>
      <c r="H540" s="14">
        <v>1</v>
      </c>
      <c r="I540" s="14">
        <v>1</v>
      </c>
      <c r="J540" s="14">
        <v>0</v>
      </c>
      <c r="K540" s="14"/>
      <c r="L540" s="14"/>
    </row>
    <row r="541" spans="1:12">
      <c r="A541" s="8"/>
      <c r="B541" s="14">
        <v>636</v>
      </c>
      <c r="C541" s="14" t="s">
        <v>2722</v>
      </c>
      <c r="D541" s="14">
        <v>31</v>
      </c>
      <c r="E541" s="14">
        <v>165</v>
      </c>
      <c r="F541" s="14">
        <v>18</v>
      </c>
      <c r="G541" s="14">
        <v>150</v>
      </c>
      <c r="H541" s="14">
        <v>10</v>
      </c>
      <c r="I541" s="14">
        <v>0</v>
      </c>
      <c r="J541" s="14">
        <v>1</v>
      </c>
      <c r="K541" s="14"/>
      <c r="L541" s="14"/>
    </row>
    <row r="542" spans="1:12">
      <c r="A542" s="8"/>
      <c r="B542" s="14">
        <v>637</v>
      </c>
      <c r="C542" s="14" t="s">
        <v>2756</v>
      </c>
      <c r="D542" s="14">
        <v>34</v>
      </c>
      <c r="E542" s="14">
        <v>0</v>
      </c>
      <c r="F542" s="14">
        <v>7</v>
      </c>
      <c r="G542" s="14">
        <v>0</v>
      </c>
      <c r="H542" s="14">
        <v>1</v>
      </c>
      <c r="I542" s="14">
        <v>0</v>
      </c>
      <c r="J542" s="14">
        <v>0</v>
      </c>
      <c r="K542" s="14">
        <v>12</v>
      </c>
      <c r="L542" s="14">
        <v>21</v>
      </c>
    </row>
    <row r="543" spans="1:12">
      <c r="A543" s="8"/>
      <c r="B543" s="14">
        <v>638</v>
      </c>
      <c r="C543" s="14" t="s">
        <v>2725</v>
      </c>
      <c r="D543" s="14">
        <v>34</v>
      </c>
      <c r="E543" s="14">
        <v>166</v>
      </c>
      <c r="F543" s="14">
        <v>15</v>
      </c>
      <c r="G543" s="14">
        <v>149</v>
      </c>
      <c r="H543" s="14">
        <v>10</v>
      </c>
      <c r="I543" s="14">
        <v>0</v>
      </c>
      <c r="J543" s="14">
        <v>1</v>
      </c>
      <c r="K543" s="14"/>
      <c r="L543" s="14"/>
    </row>
    <row r="544" spans="1:12">
      <c r="A544" s="8"/>
      <c r="B544" s="14">
        <v>639</v>
      </c>
      <c r="C544" s="14" t="s">
        <v>2758</v>
      </c>
      <c r="D544" s="14">
        <v>20</v>
      </c>
      <c r="E544" s="14">
        <v>0</v>
      </c>
      <c r="F544" s="14">
        <v>14</v>
      </c>
      <c r="G544" s="14">
        <v>0</v>
      </c>
      <c r="H544" s="14">
        <v>10</v>
      </c>
      <c r="I544" s="14">
        <v>0</v>
      </c>
      <c r="J544" s="14">
        <v>0</v>
      </c>
      <c r="K544" s="14"/>
      <c r="L544" s="14"/>
    </row>
    <row r="545" spans="1:12">
      <c r="A545" s="8"/>
      <c r="B545" s="14">
        <v>640</v>
      </c>
      <c r="C545" s="14" t="s">
        <v>2757</v>
      </c>
      <c r="D545" s="14">
        <v>20</v>
      </c>
      <c r="E545" s="14">
        <v>167</v>
      </c>
      <c r="F545" s="14">
        <v>13</v>
      </c>
      <c r="G545" s="14">
        <v>138</v>
      </c>
      <c r="H545" s="14">
        <v>10</v>
      </c>
      <c r="I545" s="14">
        <v>0</v>
      </c>
      <c r="J545" s="14">
        <v>1</v>
      </c>
      <c r="K545" s="14"/>
      <c r="L545" s="14"/>
    </row>
    <row r="546" spans="1:12">
      <c r="A546" s="8"/>
      <c r="B546" s="14">
        <v>641</v>
      </c>
      <c r="C546" s="14" t="s">
        <v>2764</v>
      </c>
      <c r="D546" s="14">
        <v>38</v>
      </c>
      <c r="E546" s="14">
        <v>0</v>
      </c>
      <c r="F546" s="14">
        <v>10</v>
      </c>
      <c r="G546" s="14">
        <v>129</v>
      </c>
      <c r="H546" s="14">
        <v>10</v>
      </c>
      <c r="I546" s="14">
        <v>0</v>
      </c>
      <c r="J546" s="14">
        <v>0</v>
      </c>
      <c r="K546" s="14"/>
      <c r="L546" s="14"/>
    </row>
    <row r="547" spans="1:12">
      <c r="A547" s="8"/>
      <c r="B547" s="14">
        <v>642</v>
      </c>
      <c r="C547" s="14" t="s">
        <v>2766</v>
      </c>
      <c r="D547" s="14">
        <v>38</v>
      </c>
      <c r="E547" s="14">
        <v>168</v>
      </c>
      <c r="F547" s="14">
        <v>14</v>
      </c>
      <c r="G547" s="14">
        <v>0</v>
      </c>
      <c r="H547" s="14">
        <v>10</v>
      </c>
      <c r="I547" s="14">
        <v>0</v>
      </c>
      <c r="J547" s="14">
        <v>1</v>
      </c>
      <c r="K547" s="14"/>
      <c r="L547" s="14"/>
    </row>
    <row r="548" spans="1:12">
      <c r="A548" s="8"/>
      <c r="B548" s="14">
        <v>8001</v>
      </c>
      <c r="C548" s="14" t="s">
        <v>1492</v>
      </c>
      <c r="D548" s="14">
        <v>501</v>
      </c>
      <c r="E548" s="14">
        <v>0</v>
      </c>
      <c r="F548" s="14">
        <v>0</v>
      </c>
      <c r="G548" s="14">
        <v>0</v>
      </c>
      <c r="H548" s="14">
        <v>1</v>
      </c>
      <c r="I548" s="14">
        <v>0</v>
      </c>
      <c r="J548" s="14">
        <v>9</v>
      </c>
      <c r="K548" s="14"/>
      <c r="L548" s="14"/>
    </row>
    <row r="549" spans="1:12">
      <c r="A549" s="8"/>
      <c r="B549" s="14">
        <v>8002</v>
      </c>
      <c r="C549" s="14" t="s">
        <v>1620</v>
      </c>
      <c r="D549" s="14">
        <v>501</v>
      </c>
      <c r="E549" s="14">
        <v>0</v>
      </c>
      <c r="F549" s="14">
        <v>0</v>
      </c>
      <c r="G549" s="14">
        <v>0</v>
      </c>
      <c r="H549" s="14">
        <v>1</v>
      </c>
      <c r="I549" s="14">
        <v>0</v>
      </c>
      <c r="J549" s="14">
        <v>9</v>
      </c>
      <c r="K549" s="14"/>
      <c r="L549" s="14"/>
    </row>
    <row r="550" spans="1:12">
      <c r="A550" s="8"/>
      <c r="B550" s="14">
        <v>8003</v>
      </c>
      <c r="C550" s="14" t="s">
        <v>1763</v>
      </c>
      <c r="D550" s="14">
        <v>501</v>
      </c>
      <c r="E550" s="14">
        <v>0</v>
      </c>
      <c r="F550" s="14">
        <v>0</v>
      </c>
      <c r="G550" s="14">
        <v>0</v>
      </c>
      <c r="H550" s="14">
        <v>1</v>
      </c>
      <c r="I550" s="14">
        <v>0</v>
      </c>
      <c r="J550" s="14">
        <v>9</v>
      </c>
      <c r="K550" s="14"/>
      <c r="L550" s="14"/>
    </row>
    <row r="551" spans="1:12">
      <c r="A551" s="8"/>
      <c r="B551" s="14">
        <v>8004</v>
      </c>
      <c r="C551" s="14" t="s">
        <v>1949</v>
      </c>
      <c r="D551" s="14">
        <v>501</v>
      </c>
      <c r="E551" s="14">
        <v>0</v>
      </c>
      <c r="F551" s="14">
        <v>0</v>
      </c>
      <c r="G551" s="14">
        <v>0</v>
      </c>
      <c r="H551" s="14">
        <v>1</v>
      </c>
      <c r="I551" s="14">
        <v>0</v>
      </c>
      <c r="J551" s="14">
        <v>9</v>
      </c>
      <c r="K551" s="14"/>
      <c r="L551" s="14"/>
    </row>
    <row r="552" spans="1:12">
      <c r="A552" s="8"/>
      <c r="B552" s="14">
        <v>9001</v>
      </c>
      <c r="C552" s="14" t="s">
        <v>1705</v>
      </c>
      <c r="D552" s="14">
        <v>0</v>
      </c>
      <c r="E552" s="14">
        <v>0</v>
      </c>
      <c r="F552" s="14">
        <v>5</v>
      </c>
      <c r="G552" s="14">
        <v>450</v>
      </c>
      <c r="H552" s="14">
        <v>1</v>
      </c>
      <c r="I552" s="14">
        <v>0</v>
      </c>
      <c r="J552" s="14">
        <v>7</v>
      </c>
      <c r="K552" s="14"/>
      <c r="L552" s="14"/>
    </row>
    <row r="553" spans="1:12">
      <c r="A553" s="8"/>
      <c r="B553" s="14">
        <v>9002</v>
      </c>
      <c r="C553" s="14" t="s">
        <v>1509</v>
      </c>
      <c r="D553" s="14">
        <v>0</v>
      </c>
      <c r="E553" s="14">
        <v>0</v>
      </c>
      <c r="F553" s="14">
        <v>9</v>
      </c>
      <c r="G553" s="14">
        <v>450</v>
      </c>
      <c r="H553" s="14">
        <v>1</v>
      </c>
      <c r="I553" s="14">
        <v>0</v>
      </c>
      <c r="J553" s="14">
        <v>7</v>
      </c>
      <c r="K553" s="14"/>
      <c r="L553" s="14"/>
    </row>
    <row r="554" spans="1:12">
      <c r="A554" s="8"/>
      <c r="B554" s="14">
        <v>9003</v>
      </c>
      <c r="C554" s="14" t="s">
        <v>1504</v>
      </c>
      <c r="D554" s="14">
        <v>0</v>
      </c>
      <c r="E554" s="14">
        <v>0</v>
      </c>
      <c r="F554" s="14">
        <v>6</v>
      </c>
      <c r="G554" s="14">
        <v>0</v>
      </c>
      <c r="H554" s="14">
        <v>1</v>
      </c>
      <c r="I554" s="14">
        <v>0</v>
      </c>
      <c r="J554" s="14">
        <v>7</v>
      </c>
      <c r="K554" s="14"/>
      <c r="L554" s="14"/>
    </row>
    <row r="555" spans="1:12">
      <c r="A555" s="8"/>
      <c r="B555" s="14">
        <v>9004</v>
      </c>
      <c r="C555" s="14" t="s">
        <v>1507</v>
      </c>
      <c r="D555" s="14">
        <v>0</v>
      </c>
      <c r="E555" s="14">
        <v>0</v>
      </c>
      <c r="F555" s="14">
        <v>0</v>
      </c>
      <c r="G555" s="14">
        <v>450</v>
      </c>
      <c r="H555" s="14">
        <v>1</v>
      </c>
      <c r="I555" s="14">
        <v>0</v>
      </c>
      <c r="J555" s="14">
        <v>7</v>
      </c>
      <c r="K555" s="14"/>
      <c r="L555" s="14"/>
    </row>
    <row r="556" spans="1:12">
      <c r="A556" s="8"/>
      <c r="B556" s="14">
        <v>9005</v>
      </c>
      <c r="C556" s="14" t="s">
        <v>561</v>
      </c>
      <c r="D556" s="14">
        <v>0</v>
      </c>
      <c r="E556" s="14">
        <v>0</v>
      </c>
      <c r="F556" s="14">
        <v>4</v>
      </c>
      <c r="G556" s="14">
        <v>450</v>
      </c>
      <c r="H556" s="14">
        <v>1</v>
      </c>
      <c r="I556" s="14">
        <v>0</v>
      </c>
      <c r="J556" s="14">
        <v>7</v>
      </c>
      <c r="K556" s="14"/>
      <c r="L556" s="14"/>
    </row>
    <row r="557" spans="1:12">
      <c r="A557" s="8"/>
      <c r="B557" s="14">
        <v>9006</v>
      </c>
      <c r="C557" s="14" t="s">
        <v>507</v>
      </c>
      <c r="D557" s="14">
        <v>0</v>
      </c>
      <c r="E557" s="14">
        <v>0</v>
      </c>
      <c r="F557" s="14">
        <v>4</v>
      </c>
      <c r="G557" s="14">
        <v>450</v>
      </c>
      <c r="H557" s="14">
        <v>1</v>
      </c>
      <c r="I557" s="14">
        <v>0</v>
      </c>
      <c r="J557" s="14">
        <v>7</v>
      </c>
      <c r="K557" s="14"/>
      <c r="L557" s="14"/>
    </row>
    <row r="558" spans="1:12">
      <c r="A558" s="8"/>
      <c r="B558" s="14">
        <v>9007</v>
      </c>
      <c r="C558" s="14" t="s">
        <v>1505</v>
      </c>
      <c r="D558" s="14">
        <v>0</v>
      </c>
      <c r="E558" s="14">
        <v>0</v>
      </c>
      <c r="F558" s="14">
        <v>1</v>
      </c>
      <c r="G558" s="14">
        <v>0</v>
      </c>
      <c r="H558" s="14">
        <v>1</v>
      </c>
      <c r="I558" s="14">
        <v>0</v>
      </c>
      <c r="J558" s="14">
        <v>7</v>
      </c>
      <c r="K558" s="14"/>
      <c r="L558" s="14"/>
    </row>
    <row r="559" spans="1:12">
      <c r="A559" s="8"/>
      <c r="B559" s="14">
        <v>9008</v>
      </c>
      <c r="C559" s="14" t="s">
        <v>1508</v>
      </c>
      <c r="D559" s="14">
        <v>0</v>
      </c>
      <c r="E559" s="14">
        <v>0</v>
      </c>
      <c r="F559" s="14">
        <v>4</v>
      </c>
      <c r="G559" s="14">
        <v>450</v>
      </c>
      <c r="H559" s="14">
        <v>1</v>
      </c>
      <c r="I559" s="14">
        <v>0</v>
      </c>
      <c r="J559" s="14">
        <v>7</v>
      </c>
      <c r="K559" s="14"/>
      <c r="L559" s="14"/>
    </row>
    <row r="560" spans="1:12">
      <c r="A560" s="8"/>
      <c r="B560" s="14">
        <v>9009</v>
      </c>
      <c r="C560" s="14" t="s">
        <v>557</v>
      </c>
      <c r="D560" s="14">
        <v>0</v>
      </c>
      <c r="E560" s="14">
        <v>0</v>
      </c>
      <c r="F560" s="14">
        <v>9</v>
      </c>
      <c r="G560" s="14">
        <v>200</v>
      </c>
      <c r="H560" s="14">
        <v>1</v>
      </c>
      <c r="I560" s="14">
        <v>0</v>
      </c>
      <c r="J560" s="14">
        <v>7</v>
      </c>
      <c r="K560" s="14"/>
      <c r="L560" s="14"/>
    </row>
    <row r="561" spans="1:12">
      <c r="A561" s="8"/>
      <c r="B561" s="14">
        <v>9010</v>
      </c>
      <c r="C561" s="14" t="s">
        <v>1506</v>
      </c>
      <c r="D561" s="14">
        <v>0</v>
      </c>
      <c r="E561" s="14">
        <v>0</v>
      </c>
      <c r="F561" s="14">
        <v>6</v>
      </c>
      <c r="G561" s="14">
        <v>200</v>
      </c>
      <c r="H561" s="14">
        <v>1</v>
      </c>
      <c r="I561" s="14">
        <v>0</v>
      </c>
      <c r="J561" s="14">
        <v>7</v>
      </c>
      <c r="K561" s="14"/>
      <c r="L561" s="14"/>
    </row>
    <row r="562" spans="1:12">
      <c r="A562" s="8"/>
      <c r="B562" s="14">
        <v>9011</v>
      </c>
      <c r="C562" s="14" t="s">
        <v>1510</v>
      </c>
      <c r="D562" s="14">
        <v>0</v>
      </c>
      <c r="E562" s="14">
        <v>0</v>
      </c>
      <c r="F562" s="14">
        <v>6</v>
      </c>
      <c r="G562" s="14">
        <v>200</v>
      </c>
      <c r="H562" s="14">
        <v>1</v>
      </c>
      <c r="I562" s="14">
        <v>0</v>
      </c>
      <c r="J562" s="14">
        <v>7</v>
      </c>
      <c r="K562" s="14"/>
      <c r="L562" s="14"/>
    </row>
    <row r="563" spans="1:12">
      <c r="A563" s="8"/>
      <c r="B563" s="14">
        <v>9012</v>
      </c>
      <c r="C563" s="14" t="s">
        <v>1706</v>
      </c>
      <c r="D563" s="14">
        <v>0</v>
      </c>
      <c r="E563" s="14">
        <v>0</v>
      </c>
      <c r="F563" s="14">
        <v>6</v>
      </c>
      <c r="G563" s="14">
        <v>200</v>
      </c>
      <c r="H563" s="14">
        <v>1</v>
      </c>
      <c r="I563" s="14">
        <v>0</v>
      </c>
      <c r="J563" s="14">
        <v>7</v>
      </c>
      <c r="K563" s="14"/>
      <c r="L563" s="14"/>
    </row>
    <row r="564" spans="1:12">
      <c r="A564" s="8"/>
      <c r="B564" s="14">
        <v>9013</v>
      </c>
      <c r="C564" s="14" t="s">
        <v>1511</v>
      </c>
      <c r="D564" s="14">
        <v>0</v>
      </c>
      <c r="E564" s="14">
        <v>0</v>
      </c>
      <c r="F564" s="14">
        <v>6</v>
      </c>
      <c r="G564" s="14">
        <v>200</v>
      </c>
      <c r="H564" s="14">
        <v>1</v>
      </c>
      <c r="I564" s="14">
        <v>0</v>
      </c>
      <c r="J564" s="14">
        <v>7</v>
      </c>
      <c r="K564" s="14"/>
      <c r="L564" s="14"/>
    </row>
    <row r="565" spans="1:12">
      <c r="A565" s="8"/>
      <c r="B565" s="14">
        <v>9014</v>
      </c>
      <c r="C565" s="14" t="s">
        <v>2506</v>
      </c>
      <c r="D565" s="14">
        <v>0</v>
      </c>
      <c r="E565" s="14">
        <v>0</v>
      </c>
      <c r="F565" s="14">
        <v>6</v>
      </c>
      <c r="G565" s="14">
        <v>200</v>
      </c>
      <c r="H565" s="14">
        <v>1</v>
      </c>
      <c r="I565" s="14">
        <v>0</v>
      </c>
      <c r="J565" s="14">
        <v>7</v>
      </c>
      <c r="K565" s="14"/>
      <c r="L565" s="14"/>
    </row>
    <row r="566" spans="1:12">
      <c r="A566" s="8"/>
      <c r="B566" s="14">
        <v>9015</v>
      </c>
      <c r="C566" s="14" t="s">
        <v>1707</v>
      </c>
      <c r="D566" s="14">
        <v>0</v>
      </c>
      <c r="E566" s="14">
        <v>0</v>
      </c>
      <c r="F566" s="14">
        <v>6</v>
      </c>
      <c r="G566" s="14">
        <v>200</v>
      </c>
      <c r="H566" s="14">
        <v>1</v>
      </c>
      <c r="I566" s="14">
        <v>0</v>
      </c>
      <c r="J566" s="14">
        <v>7</v>
      </c>
      <c r="K566" s="14"/>
      <c r="L566" s="14"/>
    </row>
    <row r="567" spans="1:12">
      <c r="A567" s="8"/>
      <c r="B567" s="14">
        <v>9999</v>
      </c>
      <c r="C567" s="14" t="s">
        <v>2234</v>
      </c>
      <c r="D567" s="14">
        <v>0</v>
      </c>
      <c r="E567" s="14">
        <v>0</v>
      </c>
      <c r="F567" s="14">
        <v>0</v>
      </c>
      <c r="G567" s="14">
        <v>0</v>
      </c>
      <c r="H567" s="14">
        <v>0</v>
      </c>
      <c r="I567" s="14">
        <v>0</v>
      </c>
      <c r="J567" s="14">
        <v>0</v>
      </c>
      <c r="K567" s="14">
        <v>99</v>
      </c>
      <c r="L567" s="14"/>
    </row>
  </sheetData>
  <autoFilter ref="B6:L559" xr:uid="{A1A89490-671E-4788-B74F-81F3DA99257C}"/>
  <phoneticPr fontId="1"/>
  <dataValidations count="1">
    <dataValidation type="list" allowBlank="1" showInputMessage="1" showErrorMessage="1" sqref="A7:A567"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1" activePane="bottomLeft" state="frozen"/>
      <selection pane="bottomLeft" activeCell="C198" sqref="C198:C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2628</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2629</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2469</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2468</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2468</v>
      </c>
      <c r="E184" s="11" t="s">
        <v>2469</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2461</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2461</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2466</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2464</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2482</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2508</v>
      </c>
      <c r="E190" s="11" t="s">
        <v>697</v>
      </c>
      <c r="F190" s="14">
        <v>5</v>
      </c>
      <c r="G190" s="14">
        <v>0</v>
      </c>
      <c r="H190" s="14">
        <v>0</v>
      </c>
      <c r="I190" s="14">
        <v>1</v>
      </c>
      <c r="J190" s="14">
        <v>3033</v>
      </c>
      <c r="K190" s="14">
        <v>15165</v>
      </c>
      <c r="L190" s="14">
        <v>4</v>
      </c>
      <c r="M190" s="14">
        <v>3.875</v>
      </c>
      <c r="N190" s="14">
        <v>50</v>
      </c>
      <c r="O190" s="14">
        <v>0</v>
      </c>
      <c r="P190" s="13">
        <v>1</v>
      </c>
      <c r="Q190" s="11" t="s">
        <v>2509</v>
      </c>
      <c r="R190" s="14"/>
      <c r="S190" s="14"/>
      <c r="T190" s="14"/>
      <c r="U190" s="14"/>
      <c r="V190" s="1"/>
    </row>
    <row r="191" spans="1:22">
      <c r="A191" s="8"/>
      <c r="B191" s="14">
        <v>188</v>
      </c>
      <c r="C191" s="14">
        <v>621</v>
      </c>
      <c r="D191" s="14" t="s">
        <v>2530</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2532</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2529</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2627</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2569</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2637</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2725</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2757</v>
      </c>
      <c r="E198" s="11" t="s">
        <v>2020</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2757</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2757</v>
      </c>
      <c r="E200" s="11" t="s">
        <v>2066</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2757</v>
      </c>
      <c r="E201" s="11" t="s">
        <v>2067</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2757</v>
      </c>
      <c r="E202" s="11" t="s">
        <v>2068</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2757</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1876</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1908</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538</v>
      </c>
      <c r="D375" s="14" t="s">
        <v>1947</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2001</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2001</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2209</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2212</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2267</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2276</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2309</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2372</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2467</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2510</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2572</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2638</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2764</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300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235" activePane="bottomLeft" state="frozen"/>
      <selection pane="bottomLeft" activeCell="E255" sqref="E25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2482</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2482</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2482</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2529</v>
      </c>
      <c r="G223" s="14" t="s">
        <v>2533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2529</v>
      </c>
      <c r="G224" s="14" t="s">
        <v>2534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2627</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2627</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2565</v>
      </c>
      <c r="G228" s="14" t="s">
        <v>2631</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2565</v>
      </c>
      <c r="G229" s="14" t="s">
        <v>2632</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2637</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2637</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2637</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2725</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2725</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2722</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2722</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2722</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2722</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2757</v>
      </c>
      <c r="G243" s="14" t="s">
        <v>2020</v>
      </c>
      <c r="H243" s="14">
        <v>100</v>
      </c>
      <c r="I243" s="14">
        <v>100</v>
      </c>
      <c r="J243" s="14">
        <v>0</v>
      </c>
      <c r="K243" s="14">
        <v>1</v>
      </c>
      <c r="L243" s="14">
        <v>0</v>
      </c>
      <c r="M243" s="14">
        <v>0</v>
      </c>
      <c r="N243" s="14">
        <v>5</v>
      </c>
      <c r="O243" s="14">
        <v>0</v>
      </c>
      <c r="P243" s="14"/>
      <c r="Q243" s="14"/>
      <c r="R243" s="14"/>
    </row>
    <row r="244" spans="1:18">
      <c r="A244" s="8"/>
      <c r="B244" s="14">
        <v>256</v>
      </c>
      <c r="C244" s="14">
        <v>640</v>
      </c>
      <c r="D244" s="14">
        <v>7</v>
      </c>
      <c r="E244" s="14">
        <v>0</v>
      </c>
      <c r="F244" s="14" t="s">
        <v>2757</v>
      </c>
      <c r="G244" s="14" t="s">
        <v>2020</v>
      </c>
      <c r="H244" s="14">
        <v>100</v>
      </c>
      <c r="I244" s="14">
        <v>100</v>
      </c>
      <c r="J244" s="14">
        <v>0</v>
      </c>
      <c r="K244" s="14">
        <v>1</v>
      </c>
      <c r="L244" s="14">
        <v>0</v>
      </c>
      <c r="M244" s="14">
        <v>0</v>
      </c>
      <c r="N244" s="14">
        <v>5</v>
      </c>
      <c r="O244" s="14">
        <v>0</v>
      </c>
      <c r="P244" s="14"/>
      <c r="Q244" s="14"/>
      <c r="R244" s="14"/>
    </row>
    <row r="245" spans="1:18">
      <c r="A245" s="8"/>
      <c r="B245" s="14">
        <v>257</v>
      </c>
      <c r="C245" s="14">
        <v>640</v>
      </c>
      <c r="D245" s="14">
        <v>8</v>
      </c>
      <c r="E245" s="14">
        <v>1</v>
      </c>
      <c r="F245" s="14" t="s">
        <v>2757</v>
      </c>
      <c r="G245" s="14" t="s">
        <v>1499</v>
      </c>
      <c r="H245" s="14">
        <v>100</v>
      </c>
      <c r="I245" s="14">
        <v>100</v>
      </c>
      <c r="J245" s="14">
        <v>0</v>
      </c>
      <c r="K245" s="14">
        <v>1</v>
      </c>
      <c r="L245" s="14">
        <v>4</v>
      </c>
      <c r="M245" s="14">
        <v>0</v>
      </c>
      <c r="N245" s="14">
        <v>5</v>
      </c>
      <c r="O245" s="14">
        <v>0</v>
      </c>
      <c r="P245" s="14"/>
      <c r="Q245" s="14"/>
      <c r="R245" s="14"/>
    </row>
    <row r="246" spans="1:18">
      <c r="A246" s="8"/>
      <c r="B246" s="14">
        <v>258</v>
      </c>
      <c r="C246" s="14">
        <v>640</v>
      </c>
      <c r="D246" s="14">
        <v>9</v>
      </c>
      <c r="E246" s="14">
        <v>1</v>
      </c>
      <c r="F246" s="14" t="s">
        <v>2757</v>
      </c>
      <c r="G246" s="14" t="s">
        <v>1499</v>
      </c>
      <c r="H246" s="14">
        <v>90</v>
      </c>
      <c r="I246" s="14">
        <v>90</v>
      </c>
      <c r="J246" s="14">
        <v>0</v>
      </c>
      <c r="K246" s="14">
        <v>1</v>
      </c>
      <c r="L246" s="14">
        <v>4</v>
      </c>
      <c r="M246" s="14">
        <v>0</v>
      </c>
      <c r="N246" s="14">
        <v>5</v>
      </c>
      <c r="O246" s="14">
        <v>0</v>
      </c>
      <c r="P246" s="14"/>
      <c r="Q246" s="14"/>
      <c r="R246" s="14"/>
    </row>
    <row r="247" spans="1:18">
      <c r="A247" s="8"/>
      <c r="B247" s="14">
        <v>259</v>
      </c>
      <c r="C247" s="14">
        <v>640</v>
      </c>
      <c r="D247" s="14">
        <v>8</v>
      </c>
      <c r="E247" s="14">
        <v>2</v>
      </c>
      <c r="F247" s="14" t="s">
        <v>2757</v>
      </c>
      <c r="G247" s="14" t="s">
        <v>2066</v>
      </c>
      <c r="H247" s="14">
        <v>100</v>
      </c>
      <c r="I247" s="14">
        <v>100</v>
      </c>
      <c r="J247" s="14">
        <v>0</v>
      </c>
      <c r="K247" s="14">
        <v>1</v>
      </c>
      <c r="L247" s="14">
        <v>4</v>
      </c>
      <c r="M247" s="14">
        <v>0</v>
      </c>
      <c r="N247" s="14">
        <v>5</v>
      </c>
      <c r="O247" s="14">
        <v>0</v>
      </c>
      <c r="P247" s="14"/>
      <c r="Q247" s="14"/>
      <c r="R247" s="14"/>
    </row>
    <row r="248" spans="1:18">
      <c r="A248" s="8"/>
      <c r="B248" s="14">
        <v>260</v>
      </c>
      <c r="C248" s="14">
        <v>640</v>
      </c>
      <c r="D248" s="14">
        <v>9</v>
      </c>
      <c r="E248" s="14">
        <v>2</v>
      </c>
      <c r="F248" s="14" t="s">
        <v>2757</v>
      </c>
      <c r="G248" s="14" t="s">
        <v>2066</v>
      </c>
      <c r="H248" s="14">
        <v>90</v>
      </c>
      <c r="I248" s="14">
        <v>90</v>
      </c>
      <c r="J248" s="14">
        <v>0</v>
      </c>
      <c r="K248" s="14">
        <v>1</v>
      </c>
      <c r="L248" s="14">
        <v>4</v>
      </c>
      <c r="M248" s="14">
        <v>0</v>
      </c>
      <c r="N248" s="14">
        <v>5</v>
      </c>
      <c r="O248" s="14">
        <v>0</v>
      </c>
      <c r="P248" s="14"/>
      <c r="Q248" s="14"/>
      <c r="R248" s="14"/>
    </row>
    <row r="249" spans="1:18">
      <c r="A249" s="8"/>
      <c r="B249" s="14">
        <v>261</v>
      </c>
      <c r="C249" s="14">
        <v>640</v>
      </c>
      <c r="D249" s="14">
        <v>8</v>
      </c>
      <c r="E249" s="14">
        <v>3</v>
      </c>
      <c r="F249" s="14" t="s">
        <v>2757</v>
      </c>
      <c r="G249" s="14" t="s">
        <v>2067</v>
      </c>
      <c r="H249" s="14">
        <v>100</v>
      </c>
      <c r="I249" s="14">
        <v>100</v>
      </c>
      <c r="J249" s="14">
        <v>0</v>
      </c>
      <c r="K249" s="14">
        <v>1</v>
      </c>
      <c r="L249" s="14">
        <v>4</v>
      </c>
      <c r="M249" s="14">
        <v>0</v>
      </c>
      <c r="N249" s="14">
        <v>5</v>
      </c>
      <c r="O249" s="14">
        <v>0</v>
      </c>
      <c r="P249" s="14"/>
      <c r="Q249" s="14"/>
      <c r="R249" s="14"/>
    </row>
    <row r="250" spans="1:18">
      <c r="A250" s="8"/>
      <c r="B250" s="14">
        <v>262</v>
      </c>
      <c r="C250" s="14">
        <v>640</v>
      </c>
      <c r="D250" s="14">
        <v>9</v>
      </c>
      <c r="E250" s="14">
        <v>3</v>
      </c>
      <c r="F250" s="14" t="s">
        <v>2757</v>
      </c>
      <c r="G250" s="14" t="s">
        <v>2067</v>
      </c>
      <c r="H250" s="14">
        <v>90</v>
      </c>
      <c r="I250" s="14">
        <v>90</v>
      </c>
      <c r="J250" s="14">
        <v>0</v>
      </c>
      <c r="K250" s="14">
        <v>1</v>
      </c>
      <c r="L250" s="14">
        <v>4</v>
      </c>
      <c r="M250" s="14">
        <v>0</v>
      </c>
      <c r="N250" s="14">
        <v>5</v>
      </c>
      <c r="O250" s="14">
        <v>0</v>
      </c>
      <c r="P250" s="14"/>
      <c r="Q250" s="14"/>
      <c r="R250" s="14"/>
    </row>
    <row r="251" spans="1:18">
      <c r="A251" s="8"/>
      <c r="B251" s="14">
        <v>263</v>
      </c>
      <c r="C251" s="14">
        <v>640</v>
      </c>
      <c r="D251" s="14">
        <v>8</v>
      </c>
      <c r="E251" s="14">
        <v>4</v>
      </c>
      <c r="F251" s="14" t="s">
        <v>2757</v>
      </c>
      <c r="G251" s="14" t="s">
        <v>2068</v>
      </c>
      <c r="H251" s="14">
        <v>100</v>
      </c>
      <c r="I251" s="14">
        <v>100</v>
      </c>
      <c r="J251" s="14">
        <v>0</v>
      </c>
      <c r="K251" s="14">
        <v>1</v>
      </c>
      <c r="L251" s="14">
        <v>4</v>
      </c>
      <c r="M251" s="14">
        <v>0</v>
      </c>
      <c r="N251" s="14">
        <v>5</v>
      </c>
      <c r="O251" s="14">
        <v>0</v>
      </c>
      <c r="P251" s="14"/>
      <c r="Q251" s="14"/>
      <c r="R251" s="14"/>
    </row>
    <row r="252" spans="1:18">
      <c r="A252" s="8"/>
      <c r="B252" s="14">
        <v>264</v>
      </c>
      <c r="C252" s="14">
        <v>640</v>
      </c>
      <c r="D252" s="14">
        <v>9</v>
      </c>
      <c r="E252" s="14">
        <v>4</v>
      </c>
      <c r="F252" s="14" t="s">
        <v>2757</v>
      </c>
      <c r="G252" s="14" t="s">
        <v>2068</v>
      </c>
      <c r="H252" s="14">
        <v>90</v>
      </c>
      <c r="I252" s="14">
        <v>90</v>
      </c>
      <c r="J252" s="14">
        <v>0</v>
      </c>
      <c r="K252" s="14">
        <v>1</v>
      </c>
      <c r="L252" s="14">
        <v>4</v>
      </c>
      <c r="M252" s="14">
        <v>0</v>
      </c>
      <c r="N252" s="14">
        <v>5</v>
      </c>
      <c r="O252" s="14">
        <v>0</v>
      </c>
      <c r="P252" s="14"/>
      <c r="Q252" s="14"/>
      <c r="R252" s="14"/>
    </row>
    <row r="253" spans="1:18">
      <c r="A253" s="8"/>
      <c r="B253" s="14">
        <v>265</v>
      </c>
      <c r="C253" s="14">
        <v>640</v>
      </c>
      <c r="D253" s="14">
        <v>8</v>
      </c>
      <c r="E253" s="14">
        <v>5</v>
      </c>
      <c r="F253" s="14" t="s">
        <v>2757</v>
      </c>
      <c r="G253" s="14" t="s">
        <v>1500</v>
      </c>
      <c r="H253" s="14">
        <v>100</v>
      </c>
      <c r="I253" s="14">
        <v>100</v>
      </c>
      <c r="J253" s="14">
        <v>0</v>
      </c>
      <c r="K253" s="14">
        <v>1</v>
      </c>
      <c r="L253" s="14">
        <v>4</v>
      </c>
      <c r="M253" s="14">
        <v>0</v>
      </c>
      <c r="N253" s="14">
        <v>5</v>
      </c>
      <c r="O253" s="14">
        <v>0</v>
      </c>
      <c r="P253" s="14"/>
      <c r="Q253" s="14"/>
      <c r="R253" s="14"/>
    </row>
    <row r="254" spans="1:18">
      <c r="A254" s="8"/>
      <c r="B254" s="14">
        <v>266</v>
      </c>
      <c r="C254" s="14">
        <v>640</v>
      </c>
      <c r="D254" s="14">
        <v>9</v>
      </c>
      <c r="E254" s="14">
        <v>5</v>
      </c>
      <c r="F254" s="14" t="s">
        <v>2757</v>
      </c>
      <c r="G254" s="14" t="s">
        <v>1500</v>
      </c>
      <c r="H254" s="14">
        <v>90</v>
      </c>
      <c r="I254" s="14">
        <v>90</v>
      </c>
      <c r="J254" s="14">
        <v>0</v>
      </c>
      <c r="K254" s="14">
        <v>1</v>
      </c>
      <c r="L254" s="14">
        <v>4</v>
      </c>
      <c r="M254" s="14">
        <v>0</v>
      </c>
      <c r="N254" s="14">
        <v>5</v>
      </c>
      <c r="O254" s="14">
        <v>0</v>
      </c>
      <c r="P254" s="14"/>
      <c r="Q254" s="14"/>
      <c r="R254" s="14"/>
    </row>
    <row r="255" spans="1:18">
      <c r="A255" s="8"/>
      <c r="B255" s="14">
        <v>287</v>
      </c>
      <c r="C255" s="14">
        <v>642</v>
      </c>
      <c r="D255" s="14">
        <v>23</v>
      </c>
      <c r="E255" s="14">
        <v>0</v>
      </c>
      <c r="F255" s="14" t="s">
        <v>2766</v>
      </c>
      <c r="G255" s="14"/>
      <c r="H255" s="14">
        <v>5</v>
      </c>
      <c r="I255" s="14">
        <v>30</v>
      </c>
      <c r="J255" s="14">
        <v>0</v>
      </c>
      <c r="K255" s="14">
        <v>1</v>
      </c>
      <c r="L255" s="14">
        <v>7</v>
      </c>
      <c r="M255" s="14">
        <v>0</v>
      </c>
      <c r="N255" s="14">
        <v>0</v>
      </c>
      <c r="O255" s="14">
        <v>0</v>
      </c>
      <c r="P255" s="14"/>
      <c r="Q255" s="14"/>
      <c r="R255" s="14">
        <v>21</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1992</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2059</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2211</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2308</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2375</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2502</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2208</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2358</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2758</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2506</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2276</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2372</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2467</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2638</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1876</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2010</v>
      </c>
      <c r="G352" s="14" t="s">
        <v>2020</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1992</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2010</v>
      </c>
      <c r="G357" s="14" t="s">
        <v>2020</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2010</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2010</v>
      </c>
      <c r="G359" s="14" t="s">
        <v>2066</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2010</v>
      </c>
      <c r="G360" s="14" t="s">
        <v>2067</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2010</v>
      </c>
      <c r="G361" s="14" t="s">
        <v>2068</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2010</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2010</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2010</v>
      </c>
      <c r="G364" s="14" t="s">
        <v>2066</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2010</v>
      </c>
      <c r="G365" s="14" t="s">
        <v>2067</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2010</v>
      </c>
      <c r="G366" s="14" t="s">
        <v>2068</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2010</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2059</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2758</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2056</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2056</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2377</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2483</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1961</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2065</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2065</v>
      </c>
      <c r="G399" s="14" t="s">
        <v>2226</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2572</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1862</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1879</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548</v>
      </c>
      <c r="D428" s="14">
        <v>23</v>
      </c>
      <c r="E428" s="14">
        <v>0</v>
      </c>
      <c r="F428" s="14" t="s">
        <v>1996</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2362</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2378</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2465</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2483</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2510</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2501</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2273</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1872</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2238</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1865</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2531</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2734</v>
      </c>
      <c r="E19" s="14"/>
      <c r="F19" s="14">
        <v>12</v>
      </c>
      <c r="G19" s="14">
        <v>0</v>
      </c>
      <c r="H19" s="14">
        <v>3</v>
      </c>
      <c r="I19" s="14">
        <v>42</v>
      </c>
      <c r="J19" s="14">
        <v>2</v>
      </c>
    </row>
    <row r="20" spans="1:10">
      <c r="A20" s="8"/>
      <c r="B20" s="14">
        <v>601</v>
      </c>
      <c r="C20" s="14" t="s">
        <v>2380</v>
      </c>
      <c r="D20" s="14" t="s">
        <v>2450</v>
      </c>
      <c r="E20" s="14"/>
      <c r="F20" s="14">
        <v>12</v>
      </c>
      <c r="G20" s="14">
        <v>8</v>
      </c>
      <c r="H20" s="14">
        <v>3</v>
      </c>
      <c r="I20" s="14">
        <v>6</v>
      </c>
      <c r="J20" s="14">
        <v>2</v>
      </c>
    </row>
    <row r="21" spans="1:10">
      <c r="A21" s="8"/>
      <c r="B21" s="14">
        <v>606</v>
      </c>
      <c r="C21" s="14" t="s">
        <v>2477</v>
      </c>
      <c r="D21" s="14" t="s">
        <v>2478</v>
      </c>
      <c r="E21" s="14"/>
      <c r="F21" s="14">
        <v>99</v>
      </c>
      <c r="G21" s="14">
        <v>0</v>
      </c>
      <c r="H21" s="14">
        <v>0</v>
      </c>
      <c r="I21" s="14">
        <v>7</v>
      </c>
      <c r="J21" s="14">
        <v>0</v>
      </c>
    </row>
    <row r="22" spans="1:10">
      <c r="A22" s="8"/>
      <c r="B22" s="14">
        <v>611</v>
      </c>
      <c r="C22" s="14" t="s">
        <v>2463</v>
      </c>
      <c r="D22" s="14" t="s">
        <v>2479</v>
      </c>
      <c r="E22" s="14" t="s">
        <v>2480</v>
      </c>
      <c r="F22" s="14">
        <v>5</v>
      </c>
      <c r="G22" s="14">
        <v>1</v>
      </c>
      <c r="H22" s="14">
        <v>1</v>
      </c>
      <c r="I22" s="14">
        <v>7</v>
      </c>
      <c r="J22" s="14">
        <v>15</v>
      </c>
    </row>
    <row r="23" spans="1:10">
      <c r="A23" s="8"/>
      <c r="B23" s="14">
        <v>615</v>
      </c>
      <c r="C23" s="14" t="s">
        <v>2491</v>
      </c>
      <c r="D23" s="14" t="s">
        <v>2492</v>
      </c>
      <c r="E23" s="14"/>
      <c r="F23" s="14">
        <v>14</v>
      </c>
      <c r="G23" s="14">
        <v>0</v>
      </c>
      <c r="H23" s="14">
        <v>1</v>
      </c>
      <c r="I23" s="14">
        <v>99</v>
      </c>
      <c r="J23" s="14">
        <v>10</v>
      </c>
    </row>
    <row r="24" spans="1:10">
      <c r="A24" s="8"/>
      <c r="B24" s="14">
        <v>626</v>
      </c>
      <c r="C24" s="14" t="s">
        <v>2576</v>
      </c>
      <c r="D24" s="14" t="s">
        <v>2577</v>
      </c>
      <c r="E24" s="14"/>
      <c r="F24" s="14">
        <v>14</v>
      </c>
      <c r="G24" s="14">
        <v>8</v>
      </c>
      <c r="H24" s="14">
        <v>3</v>
      </c>
      <c r="I24" s="14">
        <v>99</v>
      </c>
      <c r="J24" s="14">
        <v>10</v>
      </c>
    </row>
    <row r="25" spans="1:10">
      <c r="A25" s="8"/>
      <c r="B25" s="14">
        <v>635</v>
      </c>
      <c r="C25" s="14" t="s">
        <v>2721</v>
      </c>
      <c r="D25" s="14" t="s">
        <v>2732</v>
      </c>
      <c r="E25" s="14" t="s">
        <v>2733</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2535</v>
      </c>
      <c r="F45" s="14" t="s">
        <v>2536</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6"/>
  <sheetViews>
    <sheetView zoomScale="85" zoomScaleNormal="85" workbookViewId="0">
      <pane ySplit="6" topLeftCell="A156" activePane="bottomLeft" state="frozen"/>
      <selection pane="bottomLeft" activeCell="I166" sqref="I166"/>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2500</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2458</v>
      </c>
      <c r="F161" s="11" t="s">
        <v>2457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2470</v>
      </c>
      <c r="F162" s="11" t="s">
        <v>2471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2484</v>
      </c>
      <c r="F163" s="11" t="s">
        <v>2485</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2498</v>
      </c>
      <c r="F164" s="11" t="s">
        <v>2499</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2503</v>
      </c>
      <c r="F165" s="11" t="s">
        <v>2504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2528</v>
      </c>
      <c r="F166" s="11" t="s">
        <v>2567</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2563</v>
      </c>
      <c r="F167" s="11" t="s">
        <v>2562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2573</v>
      </c>
      <c r="F168" s="11" t="s">
        <v>2574</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2634</v>
      </c>
      <c r="F169" s="11" t="s">
        <v>2635</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2719</v>
      </c>
      <c r="F170" s="11" t="s">
        <v>2731</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2724</v>
      </c>
      <c r="F171" s="11" t="s">
        <v>2759</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2755</v>
      </c>
      <c r="F172" s="11" t="s">
        <v>2754</v>
      </c>
      <c r="G172" s="14">
        <v>5</v>
      </c>
      <c r="H172" s="14">
        <v>3</v>
      </c>
      <c r="I172" s="14"/>
      <c r="J172" s="14">
        <v>3</v>
      </c>
      <c r="K172" s="14">
        <v>2001</v>
      </c>
      <c r="L172" s="14"/>
      <c r="M172" s="14">
        <v>1101</v>
      </c>
      <c r="N172" s="14">
        <v>603</v>
      </c>
      <c r="O172" s="14"/>
      <c r="P172" s="14"/>
      <c r="Q172" s="14"/>
    </row>
    <row r="173" spans="1:17">
      <c r="A173" s="8"/>
      <c r="B173" s="14">
        <v>5001</v>
      </c>
      <c r="C173" s="14">
        <v>1</v>
      </c>
      <c r="D173" s="14">
        <v>2</v>
      </c>
      <c r="E173" s="11" t="s">
        <v>932</v>
      </c>
      <c r="F173" s="11" t="s">
        <v>1002</v>
      </c>
      <c r="G173" s="14">
        <v>1</v>
      </c>
      <c r="H173" s="14">
        <v>0</v>
      </c>
      <c r="I173" s="14"/>
      <c r="J173" s="14">
        <v>1</v>
      </c>
      <c r="K173" s="14"/>
      <c r="L173" s="14"/>
      <c r="M173" s="14"/>
      <c r="N173" s="14">
        <v>1502</v>
      </c>
      <c r="O173" s="14"/>
      <c r="P173" s="14"/>
      <c r="Q173" s="14"/>
    </row>
    <row r="174" spans="1:17">
      <c r="A174" s="8"/>
      <c r="B174" s="14">
        <v>5002</v>
      </c>
      <c r="C174" s="14">
        <v>3</v>
      </c>
      <c r="D174" s="14">
        <v>2</v>
      </c>
      <c r="E174" s="11" t="s">
        <v>933</v>
      </c>
      <c r="F174" s="11" t="s">
        <v>1005</v>
      </c>
      <c r="G174" s="14">
        <v>6</v>
      </c>
      <c r="H174" s="14">
        <v>0</v>
      </c>
      <c r="I174" s="14"/>
      <c r="J174" s="14">
        <v>4</v>
      </c>
      <c r="K174" s="14"/>
      <c r="L174" s="14"/>
      <c r="M174" s="14"/>
      <c r="N174" s="14">
        <v>212</v>
      </c>
      <c r="O174" s="14"/>
      <c r="P174" s="14"/>
      <c r="Q174" s="14"/>
    </row>
    <row r="175" spans="1:17">
      <c r="A175" s="8"/>
      <c r="B175" s="14">
        <v>5003</v>
      </c>
      <c r="C175" s="14">
        <v>6</v>
      </c>
      <c r="D175" s="14">
        <v>2</v>
      </c>
      <c r="E175" s="11" t="s">
        <v>934</v>
      </c>
      <c r="F175" s="11" t="s">
        <v>1009</v>
      </c>
      <c r="G175" s="14">
        <v>4</v>
      </c>
      <c r="H175" s="14">
        <v>0</v>
      </c>
      <c r="I175" s="14"/>
      <c r="J175" s="14">
        <v>2</v>
      </c>
      <c r="K175" s="14"/>
      <c r="L175" s="14"/>
      <c r="M175" s="14"/>
      <c r="N175" s="14">
        <v>1109</v>
      </c>
      <c r="O175" s="14"/>
      <c r="P175" s="14"/>
      <c r="Q175" s="14"/>
    </row>
    <row r="176" spans="1:17">
      <c r="A176" s="8"/>
      <c r="B176" s="14">
        <v>5004</v>
      </c>
      <c r="C176" s="14">
        <v>7</v>
      </c>
      <c r="D176" s="14">
        <v>2</v>
      </c>
      <c r="E176" s="11" t="s">
        <v>935</v>
      </c>
      <c r="F176" s="11" t="s">
        <v>1011</v>
      </c>
      <c r="G176" s="14">
        <v>7</v>
      </c>
      <c r="H176" s="14">
        <v>0</v>
      </c>
      <c r="I176" s="14"/>
      <c r="J176" s="14">
        <v>6</v>
      </c>
      <c r="K176" s="14"/>
      <c r="L176" s="14"/>
      <c r="M176" s="14"/>
      <c r="N176" s="14">
        <v>1502</v>
      </c>
      <c r="O176" s="14"/>
      <c r="P176" s="14"/>
      <c r="Q176" s="14"/>
    </row>
    <row r="177" spans="1:17">
      <c r="A177" s="8"/>
      <c r="B177" s="14">
        <v>5005</v>
      </c>
      <c r="C177" s="14">
        <v>9</v>
      </c>
      <c r="D177" s="14">
        <v>2</v>
      </c>
      <c r="E177" s="11" t="s">
        <v>936</v>
      </c>
      <c r="F177" s="11" t="s">
        <v>1013</v>
      </c>
      <c r="G177" s="14">
        <v>2</v>
      </c>
      <c r="H177" s="14">
        <v>0</v>
      </c>
      <c r="I177" s="14"/>
      <c r="J177" s="14">
        <v>1</v>
      </c>
      <c r="K177" s="14"/>
      <c r="L177" s="14"/>
      <c r="M177" s="14"/>
      <c r="N177" s="14">
        <v>220</v>
      </c>
      <c r="O177" s="14"/>
      <c r="P177" s="14"/>
      <c r="Q177" s="14"/>
    </row>
    <row r="178" spans="1:17">
      <c r="A178" s="8"/>
      <c r="B178" s="14">
        <v>5006</v>
      </c>
      <c r="C178" s="14">
        <v>13</v>
      </c>
      <c r="D178" s="14">
        <v>2</v>
      </c>
      <c r="E178" s="11" t="s">
        <v>937</v>
      </c>
      <c r="F178" s="11" t="s">
        <v>1018</v>
      </c>
      <c r="G178" s="14">
        <v>1</v>
      </c>
      <c r="H178" s="14">
        <v>0</v>
      </c>
      <c r="I178" s="14"/>
      <c r="J178" s="14">
        <v>1</v>
      </c>
      <c r="K178" s="14"/>
      <c r="L178" s="14"/>
      <c r="M178" s="14"/>
      <c r="N178" s="14">
        <v>1114</v>
      </c>
      <c r="O178" s="14"/>
      <c r="P178" s="14"/>
      <c r="Q178" s="14"/>
    </row>
    <row r="179" spans="1:17">
      <c r="A179" s="8"/>
      <c r="B179" s="14">
        <v>5007</v>
      </c>
      <c r="C179" s="14">
        <v>16</v>
      </c>
      <c r="D179" s="14">
        <v>2</v>
      </c>
      <c r="E179" s="11" t="s">
        <v>938</v>
      </c>
      <c r="F179" s="11" t="s">
        <v>1023</v>
      </c>
      <c r="G179" s="14">
        <v>2</v>
      </c>
      <c r="H179" s="14">
        <v>0</v>
      </c>
      <c r="I179" s="14"/>
      <c r="J179" s="14">
        <v>1</v>
      </c>
      <c r="K179" s="14"/>
      <c r="L179" s="14"/>
      <c r="M179" s="14"/>
      <c r="N179" s="14">
        <v>1114</v>
      </c>
      <c r="O179" s="14"/>
      <c r="P179" s="14"/>
      <c r="Q179" s="14"/>
    </row>
    <row r="180" spans="1:17">
      <c r="A180" s="8"/>
      <c r="B180" s="14">
        <v>5008</v>
      </c>
      <c r="C180" s="14">
        <v>43</v>
      </c>
      <c r="D180" s="14">
        <v>2</v>
      </c>
      <c r="E180" s="11" t="s">
        <v>939</v>
      </c>
      <c r="F180" s="11" t="s">
        <v>1026</v>
      </c>
      <c r="G180" s="14">
        <v>1</v>
      </c>
      <c r="H180" s="14">
        <v>0</v>
      </c>
      <c r="I180" s="14"/>
      <c r="J180" s="14">
        <v>1</v>
      </c>
      <c r="K180" s="14"/>
      <c r="L180" s="14"/>
      <c r="M180" s="14"/>
      <c r="N180" s="14">
        <v>220</v>
      </c>
      <c r="O180" s="14"/>
      <c r="P180" s="14"/>
      <c r="Q180" s="14"/>
    </row>
    <row r="181" spans="1:17">
      <c r="A181" s="8"/>
      <c r="B181" s="14">
        <v>5009</v>
      </c>
      <c r="C181" s="14">
        <v>48</v>
      </c>
      <c r="D181" s="14">
        <v>2</v>
      </c>
      <c r="E181" s="11" t="s">
        <v>940</v>
      </c>
      <c r="F181" s="11" t="s">
        <v>1033</v>
      </c>
      <c r="G181" s="14">
        <v>3</v>
      </c>
      <c r="H181" s="14">
        <v>0</v>
      </c>
      <c r="I181" s="14"/>
      <c r="J181" s="14">
        <v>1</v>
      </c>
      <c r="K181" s="14"/>
      <c r="L181" s="14"/>
      <c r="M181" s="14"/>
      <c r="N181" s="14">
        <v>212</v>
      </c>
      <c r="O181" s="14"/>
      <c r="P181" s="14"/>
      <c r="Q181" s="14"/>
    </row>
    <row r="182" spans="1:17">
      <c r="A182" s="8"/>
      <c r="B182" s="14">
        <v>5010</v>
      </c>
      <c r="C182" s="14">
        <v>20</v>
      </c>
      <c r="D182" s="14">
        <v>2</v>
      </c>
      <c r="E182" s="11" t="s">
        <v>941</v>
      </c>
      <c r="F182" s="11" t="s">
        <v>1036</v>
      </c>
      <c r="G182" s="14">
        <v>5</v>
      </c>
      <c r="H182" s="14">
        <v>0</v>
      </c>
      <c r="I182" s="14"/>
      <c r="J182" s="14">
        <v>3</v>
      </c>
      <c r="K182" s="14"/>
      <c r="L182" s="14"/>
      <c r="M182" s="14"/>
      <c r="N182" s="14">
        <v>1114</v>
      </c>
      <c r="O182" s="14"/>
      <c r="P182" s="14"/>
      <c r="Q182" s="14"/>
    </row>
    <row r="183" spans="1:17">
      <c r="A183" s="8"/>
      <c r="B183" s="14">
        <v>5011</v>
      </c>
      <c r="C183" s="14">
        <v>22</v>
      </c>
      <c r="D183" s="14">
        <v>2</v>
      </c>
      <c r="E183" s="11" t="s">
        <v>942</v>
      </c>
      <c r="F183" s="11" t="s">
        <v>1039</v>
      </c>
      <c r="G183" s="14">
        <v>4</v>
      </c>
      <c r="H183" s="14">
        <v>0</v>
      </c>
      <c r="I183" s="14"/>
      <c r="J183" s="14">
        <v>2</v>
      </c>
      <c r="K183" s="14"/>
      <c r="L183" s="14"/>
      <c r="M183" s="14"/>
      <c r="N183" s="14">
        <v>1115</v>
      </c>
      <c r="O183" s="14"/>
      <c r="P183" s="14"/>
      <c r="Q183" s="14"/>
    </row>
    <row r="184" spans="1:17">
      <c r="A184" s="8"/>
      <c r="B184" s="14">
        <v>5012</v>
      </c>
      <c r="C184" s="14">
        <v>26</v>
      </c>
      <c r="D184" s="14">
        <v>2</v>
      </c>
      <c r="E184" s="11" t="s">
        <v>943</v>
      </c>
      <c r="F184" s="11" t="s">
        <v>1045</v>
      </c>
      <c r="G184" s="14">
        <v>3</v>
      </c>
      <c r="H184" s="14">
        <v>0</v>
      </c>
      <c r="I184" s="14"/>
      <c r="J184" s="14">
        <v>1</v>
      </c>
      <c r="K184" s="14"/>
      <c r="L184" s="14"/>
      <c r="M184" s="14"/>
      <c r="N184" s="14">
        <v>1109</v>
      </c>
      <c r="O184" s="14"/>
      <c r="P184" s="14"/>
      <c r="Q184" s="14"/>
    </row>
    <row r="185" spans="1:17">
      <c r="A185" s="8"/>
      <c r="B185" s="14">
        <v>5013</v>
      </c>
      <c r="C185" s="14">
        <v>27</v>
      </c>
      <c r="D185" s="14">
        <v>2</v>
      </c>
      <c r="E185" s="11" t="s">
        <v>944</v>
      </c>
      <c r="F185" s="11" t="s">
        <v>1047</v>
      </c>
      <c r="G185" s="14">
        <v>1</v>
      </c>
      <c r="H185" s="14">
        <v>0</v>
      </c>
      <c r="I185" s="14"/>
      <c r="J185" s="14">
        <v>1</v>
      </c>
      <c r="K185" s="14"/>
      <c r="L185" s="14"/>
      <c r="M185" s="14"/>
      <c r="N185" s="14">
        <v>212</v>
      </c>
      <c r="O185" s="14"/>
      <c r="P185" s="14"/>
      <c r="Q185" s="14"/>
    </row>
    <row r="186" spans="1:17">
      <c r="A186" s="8"/>
      <c r="B186" s="14">
        <v>5014</v>
      </c>
      <c r="C186" s="14">
        <v>31</v>
      </c>
      <c r="D186" s="14">
        <v>2</v>
      </c>
      <c r="E186" s="11" t="s">
        <v>945</v>
      </c>
      <c r="F186" s="11" t="s">
        <v>1052</v>
      </c>
      <c r="G186" s="14">
        <v>4</v>
      </c>
      <c r="H186" s="14">
        <v>0</v>
      </c>
      <c r="I186" s="14"/>
      <c r="J186" s="14">
        <v>2</v>
      </c>
      <c r="K186" s="14"/>
      <c r="L186" s="14"/>
      <c r="M186" s="14"/>
      <c r="N186" s="14">
        <v>1115</v>
      </c>
      <c r="O186" s="14"/>
      <c r="P186" s="14"/>
      <c r="Q186" s="14"/>
    </row>
    <row r="187" spans="1:17">
      <c r="A187" s="8"/>
      <c r="B187" s="14">
        <v>5015</v>
      </c>
      <c r="C187" s="14">
        <v>33</v>
      </c>
      <c r="D187" s="14">
        <v>2</v>
      </c>
      <c r="E187" s="11" t="s">
        <v>946</v>
      </c>
      <c r="F187" s="11" t="s">
        <v>1055</v>
      </c>
      <c r="G187" s="14">
        <v>5</v>
      </c>
      <c r="H187" s="14">
        <v>0</v>
      </c>
      <c r="I187" s="14"/>
      <c r="J187" s="14">
        <v>3</v>
      </c>
      <c r="K187" s="14"/>
      <c r="L187" s="14"/>
      <c r="M187" s="14"/>
      <c r="N187" s="14">
        <v>1116</v>
      </c>
      <c r="O187" s="14"/>
      <c r="P187" s="14"/>
      <c r="Q187" s="14"/>
    </row>
    <row r="188" spans="1:17">
      <c r="A188" s="8"/>
      <c r="B188" s="14">
        <v>5016</v>
      </c>
      <c r="C188" s="14">
        <v>38</v>
      </c>
      <c r="D188" s="14">
        <v>2</v>
      </c>
      <c r="E188" s="11" t="s">
        <v>947</v>
      </c>
      <c r="F188" s="11" t="s">
        <v>1060</v>
      </c>
      <c r="G188" s="14">
        <v>5</v>
      </c>
      <c r="H188" s="14">
        <v>0</v>
      </c>
      <c r="I188" s="14"/>
      <c r="J188" s="14">
        <v>3</v>
      </c>
      <c r="K188" s="14"/>
      <c r="L188" s="14"/>
      <c r="M188" s="14"/>
      <c r="N188" s="14">
        <v>1116</v>
      </c>
      <c r="O188" s="14"/>
      <c r="P188" s="14"/>
      <c r="Q188" s="14"/>
    </row>
    <row r="189" spans="1:17">
      <c r="A189" s="8"/>
      <c r="B189" s="14">
        <v>5017</v>
      </c>
      <c r="C189" s="14">
        <v>39</v>
      </c>
      <c r="D189" s="14">
        <v>2</v>
      </c>
      <c r="E189" s="11" t="s">
        <v>948</v>
      </c>
      <c r="F189" s="11" t="s">
        <v>1061</v>
      </c>
      <c r="G189" s="14">
        <v>2</v>
      </c>
      <c r="H189" s="14">
        <v>0</v>
      </c>
      <c r="I189" s="14"/>
      <c r="J189" s="14">
        <v>1</v>
      </c>
      <c r="K189" s="14"/>
      <c r="L189" s="14"/>
      <c r="M189" s="14"/>
      <c r="N189" s="14">
        <v>10</v>
      </c>
      <c r="O189" s="14"/>
      <c r="P189" s="14"/>
      <c r="Q189" s="14"/>
    </row>
    <row r="190" spans="1:17">
      <c r="A190" s="8"/>
      <c r="B190" s="14">
        <v>5018</v>
      </c>
      <c r="C190" s="14">
        <v>4</v>
      </c>
      <c r="D190" s="14">
        <v>2</v>
      </c>
      <c r="E190" s="11" t="s">
        <v>949</v>
      </c>
      <c r="F190" s="11" t="s">
        <v>1006</v>
      </c>
      <c r="G190" s="14">
        <v>5</v>
      </c>
      <c r="H190" s="14">
        <v>0</v>
      </c>
      <c r="I190" s="14"/>
      <c r="J190" s="14">
        <v>3</v>
      </c>
      <c r="K190" s="14"/>
      <c r="L190" s="14"/>
      <c r="M190" s="14"/>
      <c r="N190" s="14">
        <v>1114</v>
      </c>
      <c r="O190" s="14"/>
      <c r="P190" s="14"/>
      <c r="Q190" s="14"/>
    </row>
    <row r="191" spans="1:17">
      <c r="A191" s="8"/>
      <c r="B191" s="14">
        <v>5019</v>
      </c>
      <c r="C191" s="14">
        <v>17</v>
      </c>
      <c r="D191" s="14">
        <v>2</v>
      </c>
      <c r="E191" s="11" t="s">
        <v>950</v>
      </c>
      <c r="F191" s="11" t="s">
        <v>1024</v>
      </c>
      <c r="G191" s="14">
        <v>3</v>
      </c>
      <c r="H191" s="14">
        <v>0</v>
      </c>
      <c r="I191" s="14"/>
      <c r="J191" s="14">
        <v>1</v>
      </c>
      <c r="K191" s="14"/>
      <c r="L191" s="14"/>
      <c r="M191" s="14"/>
      <c r="N191" s="14">
        <v>212</v>
      </c>
      <c r="O191" s="14"/>
      <c r="P191" s="14"/>
      <c r="Q191" s="14">
        <v>242</v>
      </c>
    </row>
    <row r="192" spans="1:17">
      <c r="A192" s="8"/>
      <c r="B192" s="14">
        <v>5020</v>
      </c>
      <c r="C192" s="14">
        <v>47</v>
      </c>
      <c r="D192" s="14">
        <v>2</v>
      </c>
      <c r="E192" s="11" t="s">
        <v>951</v>
      </c>
      <c r="F192" s="11" t="s">
        <v>1032</v>
      </c>
      <c r="G192" s="14">
        <v>2</v>
      </c>
      <c r="H192" s="14">
        <v>0</v>
      </c>
      <c r="I192" s="14"/>
      <c r="J192" s="14">
        <v>1</v>
      </c>
      <c r="K192" s="14"/>
      <c r="L192" s="14"/>
      <c r="M192" s="14"/>
      <c r="N192" s="14">
        <v>301</v>
      </c>
      <c r="O192" s="14"/>
      <c r="P192" s="14"/>
      <c r="Q192" s="14"/>
    </row>
    <row r="193" spans="1:17">
      <c r="A193" s="8"/>
      <c r="B193" s="14">
        <v>5021</v>
      </c>
      <c r="C193" s="14">
        <v>42</v>
      </c>
      <c r="D193" s="14">
        <v>2</v>
      </c>
      <c r="E193" s="11" t="s">
        <v>952</v>
      </c>
      <c r="F193" s="11" t="s">
        <v>1065</v>
      </c>
      <c r="G193" s="14">
        <v>6</v>
      </c>
      <c r="H193" s="14">
        <v>0</v>
      </c>
      <c r="I193" s="14"/>
      <c r="J193" s="14">
        <v>1</v>
      </c>
      <c r="K193" s="14"/>
      <c r="L193" s="14"/>
      <c r="M193" s="14"/>
      <c r="N193" s="14">
        <v>1109</v>
      </c>
      <c r="O193" s="14"/>
      <c r="P193" s="14"/>
      <c r="Q193" s="14"/>
    </row>
    <row r="194" spans="1:17">
      <c r="A194" s="8"/>
      <c r="B194" s="14">
        <v>5022</v>
      </c>
      <c r="C194" s="14">
        <v>11</v>
      </c>
      <c r="D194" s="14">
        <v>2</v>
      </c>
      <c r="E194" s="11" t="s">
        <v>953</v>
      </c>
      <c r="F194" s="11" t="s">
        <v>1016</v>
      </c>
      <c r="G194" s="14">
        <v>6</v>
      </c>
      <c r="H194" s="14">
        <v>0</v>
      </c>
      <c r="I194" s="14"/>
      <c r="J194" s="14">
        <v>4</v>
      </c>
      <c r="K194" s="14"/>
      <c r="L194" s="14"/>
      <c r="M194" s="14"/>
      <c r="N194" s="14">
        <v>1502</v>
      </c>
      <c r="O194" s="14"/>
      <c r="P194" s="14"/>
      <c r="Q194" s="14">
        <v>243</v>
      </c>
    </row>
    <row r="195" spans="1:17">
      <c r="A195" s="8"/>
      <c r="B195" s="14">
        <v>5023</v>
      </c>
      <c r="C195" s="14">
        <v>5</v>
      </c>
      <c r="D195" s="14">
        <v>2</v>
      </c>
      <c r="E195" s="11" t="s">
        <v>954</v>
      </c>
      <c r="F195" s="11" t="s">
        <v>1007</v>
      </c>
      <c r="G195" s="14">
        <v>3</v>
      </c>
      <c r="H195" s="14">
        <v>0</v>
      </c>
      <c r="I195" s="14"/>
      <c r="J195" s="14">
        <v>1</v>
      </c>
      <c r="K195" s="14"/>
      <c r="L195" s="14"/>
      <c r="M195" s="14"/>
      <c r="N195" s="14">
        <v>212</v>
      </c>
      <c r="O195" s="14"/>
      <c r="P195" s="14"/>
      <c r="Q195" s="14"/>
    </row>
    <row r="196" spans="1:17">
      <c r="A196" s="8"/>
      <c r="B196" s="14">
        <v>5024</v>
      </c>
      <c r="C196" s="14">
        <v>23</v>
      </c>
      <c r="D196" s="14">
        <v>2</v>
      </c>
      <c r="E196" s="11" t="s">
        <v>955</v>
      </c>
      <c r="F196" s="11" t="s">
        <v>1041</v>
      </c>
      <c r="G196" s="14">
        <v>2</v>
      </c>
      <c r="H196" s="14">
        <v>0</v>
      </c>
      <c r="I196" s="14"/>
      <c r="J196" s="14">
        <v>1</v>
      </c>
      <c r="K196" s="14"/>
      <c r="L196" s="14"/>
      <c r="M196" s="14"/>
      <c r="N196" s="14">
        <v>9</v>
      </c>
      <c r="O196" s="14"/>
      <c r="P196" s="14"/>
      <c r="Q196" s="14">
        <v>245</v>
      </c>
    </row>
    <row r="197" spans="1:17">
      <c r="A197" s="8"/>
      <c r="B197" s="14">
        <v>5025</v>
      </c>
      <c r="C197" s="14">
        <v>30</v>
      </c>
      <c r="D197" s="14">
        <v>2</v>
      </c>
      <c r="E197" s="11" t="s">
        <v>956</v>
      </c>
      <c r="F197" s="11" t="s">
        <v>1050</v>
      </c>
      <c r="G197" s="14">
        <v>4</v>
      </c>
      <c r="H197" s="14">
        <v>0</v>
      </c>
      <c r="I197" s="14"/>
      <c r="J197" s="14">
        <v>2</v>
      </c>
      <c r="K197" s="14"/>
      <c r="L197" s="14"/>
      <c r="M197" s="14"/>
      <c r="N197" s="14">
        <v>1115</v>
      </c>
      <c r="O197" s="14"/>
      <c r="P197" s="14"/>
      <c r="Q197" s="14"/>
    </row>
    <row r="198" spans="1:17">
      <c r="A198" s="8"/>
      <c r="B198" s="14">
        <v>5026</v>
      </c>
      <c r="C198" s="14">
        <v>35</v>
      </c>
      <c r="D198" s="14">
        <v>2</v>
      </c>
      <c r="E198" s="11" t="s">
        <v>957</v>
      </c>
      <c r="F198" s="11" t="s">
        <v>1057</v>
      </c>
      <c r="G198" s="14">
        <v>1</v>
      </c>
      <c r="H198" s="14">
        <v>0</v>
      </c>
      <c r="I198" s="14"/>
      <c r="J198" s="14">
        <v>1</v>
      </c>
      <c r="K198" s="14"/>
      <c r="L198" s="14"/>
      <c r="M198" s="14"/>
      <c r="N198" s="14">
        <v>220</v>
      </c>
      <c r="O198" s="14"/>
      <c r="P198" s="14"/>
      <c r="Q198" s="14"/>
    </row>
    <row r="199" spans="1:17">
      <c r="A199" s="8"/>
      <c r="B199" s="14">
        <v>5027</v>
      </c>
      <c r="C199" s="14">
        <v>44</v>
      </c>
      <c r="D199" s="14">
        <v>2</v>
      </c>
      <c r="E199" s="11" t="s">
        <v>958</v>
      </c>
      <c r="F199" s="11" t="s">
        <v>1028</v>
      </c>
      <c r="G199" s="14">
        <v>1</v>
      </c>
      <c r="H199" s="14">
        <v>0</v>
      </c>
      <c r="I199" s="14"/>
      <c r="J199" s="14">
        <v>1</v>
      </c>
      <c r="K199" s="14"/>
      <c r="L199" s="14"/>
      <c r="M199" s="14"/>
      <c r="N199" s="14">
        <v>1508</v>
      </c>
      <c r="O199" s="14"/>
      <c r="P199" s="14"/>
      <c r="Q199" s="14">
        <v>244</v>
      </c>
    </row>
    <row r="200" spans="1:17">
      <c r="A200" s="8"/>
      <c r="B200" s="14">
        <v>5028</v>
      </c>
      <c r="C200" s="14">
        <v>45</v>
      </c>
      <c r="D200" s="14">
        <v>2</v>
      </c>
      <c r="E200" s="11" t="s">
        <v>959</v>
      </c>
      <c r="F200" s="11" t="s">
        <v>1029</v>
      </c>
      <c r="G200" s="14">
        <v>6</v>
      </c>
      <c r="H200" s="14">
        <v>0</v>
      </c>
      <c r="I200" s="14"/>
      <c r="J200" s="14">
        <v>4</v>
      </c>
      <c r="K200" s="14"/>
      <c r="L200" s="14"/>
      <c r="M200" s="14"/>
      <c r="N200" s="14">
        <v>1507</v>
      </c>
      <c r="O200" s="14"/>
      <c r="P200" s="14"/>
      <c r="Q200" s="14"/>
    </row>
    <row r="201" spans="1:17">
      <c r="A201" s="8"/>
      <c r="B201" s="14">
        <v>5029</v>
      </c>
      <c r="C201" s="14">
        <v>2</v>
      </c>
      <c r="D201" s="14">
        <v>2</v>
      </c>
      <c r="E201" s="11" t="s">
        <v>960</v>
      </c>
      <c r="F201" s="11" t="s">
        <v>1004</v>
      </c>
      <c r="G201" s="14">
        <v>2</v>
      </c>
      <c r="H201" s="14">
        <v>0</v>
      </c>
      <c r="I201" s="14"/>
      <c r="J201" s="14">
        <v>1</v>
      </c>
      <c r="K201" s="14"/>
      <c r="L201" s="14"/>
      <c r="M201" s="14"/>
      <c r="N201" s="14">
        <v>9</v>
      </c>
      <c r="O201" s="14"/>
      <c r="P201" s="14"/>
      <c r="Q201" s="14"/>
    </row>
    <row r="202" spans="1:17">
      <c r="A202" s="8"/>
      <c r="B202" s="14">
        <v>5030</v>
      </c>
      <c r="C202" s="14">
        <v>36</v>
      </c>
      <c r="D202" s="14">
        <v>2</v>
      </c>
      <c r="E202" s="11" t="s">
        <v>961</v>
      </c>
      <c r="F202" s="11" t="s">
        <v>1058</v>
      </c>
      <c r="G202" s="14">
        <v>3</v>
      </c>
      <c r="H202" s="14">
        <v>0</v>
      </c>
      <c r="I202" s="14"/>
      <c r="J202" s="14">
        <v>1</v>
      </c>
      <c r="K202" s="14"/>
      <c r="L202" s="14"/>
      <c r="M202" s="14"/>
      <c r="N202" s="14">
        <v>1113</v>
      </c>
      <c r="O202" s="14"/>
      <c r="P202" s="14"/>
      <c r="Q202" s="14">
        <v>248</v>
      </c>
    </row>
    <row r="203" spans="1:17">
      <c r="A203" s="8"/>
      <c r="B203" s="14">
        <v>5031</v>
      </c>
      <c r="C203" s="14">
        <v>14</v>
      </c>
      <c r="D203" s="14">
        <v>2</v>
      </c>
      <c r="E203" s="11" t="s">
        <v>962</v>
      </c>
      <c r="F203" s="11" t="s">
        <v>1020</v>
      </c>
      <c r="G203" s="14">
        <v>7</v>
      </c>
      <c r="H203" s="14">
        <v>0</v>
      </c>
      <c r="I203" s="14"/>
      <c r="J203" s="14">
        <v>6</v>
      </c>
      <c r="K203" s="14"/>
      <c r="L203" s="14"/>
      <c r="M203" s="14"/>
      <c r="N203" s="14">
        <v>1507</v>
      </c>
      <c r="O203" s="14"/>
      <c r="P203" s="14"/>
      <c r="Q203" s="14"/>
    </row>
    <row r="204" spans="1:17">
      <c r="A204" s="8"/>
      <c r="B204" s="14">
        <v>5032</v>
      </c>
      <c r="C204" s="14">
        <v>46</v>
      </c>
      <c r="D204" s="14">
        <v>2</v>
      </c>
      <c r="E204" s="11" t="s">
        <v>963</v>
      </c>
      <c r="F204" s="11" t="s">
        <v>1030</v>
      </c>
      <c r="G204" s="14">
        <v>4</v>
      </c>
      <c r="H204" s="14">
        <v>0</v>
      </c>
      <c r="I204" s="14"/>
      <c r="J204" s="14">
        <v>2</v>
      </c>
      <c r="K204" s="14"/>
      <c r="L204" s="14"/>
      <c r="M204" s="14"/>
      <c r="N204" s="14">
        <v>1502</v>
      </c>
      <c r="O204" s="14"/>
      <c r="P204" s="14"/>
      <c r="Q204" s="14"/>
    </row>
    <row r="205" spans="1:17">
      <c r="A205" s="8"/>
      <c r="B205" s="14">
        <v>5033</v>
      </c>
      <c r="C205" s="14">
        <v>28</v>
      </c>
      <c r="D205" s="14">
        <v>2</v>
      </c>
      <c r="E205" s="11" t="s">
        <v>964</v>
      </c>
      <c r="F205" s="11" t="s">
        <v>1048</v>
      </c>
      <c r="G205" s="14">
        <v>5</v>
      </c>
      <c r="H205" s="14">
        <v>0</v>
      </c>
      <c r="I205" s="14"/>
      <c r="J205" s="14">
        <v>3</v>
      </c>
      <c r="K205" s="14"/>
      <c r="L205" s="14"/>
      <c r="M205" s="14"/>
      <c r="N205" s="14">
        <v>1112</v>
      </c>
      <c r="O205" s="14"/>
      <c r="P205" s="14"/>
      <c r="Q205" s="14">
        <v>241</v>
      </c>
    </row>
    <row r="206" spans="1:17">
      <c r="A206" s="8"/>
      <c r="B206" s="14">
        <v>5034</v>
      </c>
      <c r="C206" s="14">
        <v>19</v>
      </c>
      <c r="D206" s="14">
        <v>2</v>
      </c>
      <c r="E206" s="11" t="s">
        <v>965</v>
      </c>
      <c r="F206" s="11" t="s">
        <v>1035</v>
      </c>
      <c r="G206" s="14">
        <v>1</v>
      </c>
      <c r="H206" s="14">
        <v>0</v>
      </c>
      <c r="I206" s="14"/>
      <c r="J206" s="14">
        <v>1</v>
      </c>
      <c r="K206" s="14"/>
      <c r="L206" s="14"/>
      <c r="M206" s="14"/>
      <c r="N206" s="14">
        <v>1109</v>
      </c>
      <c r="O206" s="14"/>
      <c r="P206" s="14"/>
      <c r="Q206" s="14"/>
    </row>
    <row r="207" spans="1:17">
      <c r="A207" s="8"/>
      <c r="B207" s="14">
        <v>5035</v>
      </c>
      <c r="C207" s="14">
        <v>6</v>
      </c>
      <c r="D207" s="14">
        <v>2</v>
      </c>
      <c r="E207" s="11" t="s">
        <v>966</v>
      </c>
      <c r="F207" s="11" t="s">
        <v>1010</v>
      </c>
      <c r="G207" s="14">
        <v>4</v>
      </c>
      <c r="H207" s="14">
        <v>0</v>
      </c>
      <c r="I207" s="14"/>
      <c r="J207" s="14">
        <v>2</v>
      </c>
      <c r="K207" s="14"/>
      <c r="L207" s="14"/>
      <c r="M207" s="14"/>
      <c r="N207" s="14">
        <v>1115</v>
      </c>
      <c r="O207" s="14"/>
      <c r="P207" s="14"/>
      <c r="Q207" s="14"/>
    </row>
    <row r="208" spans="1:17">
      <c r="A208" s="8"/>
      <c r="B208" s="14">
        <v>5036</v>
      </c>
      <c r="C208" s="14">
        <v>1</v>
      </c>
      <c r="D208" s="14">
        <v>2</v>
      </c>
      <c r="E208" s="11" t="s">
        <v>967</v>
      </c>
      <c r="F208" s="11" t="s">
        <v>1003</v>
      </c>
      <c r="G208" s="14">
        <v>1</v>
      </c>
      <c r="H208" s="14">
        <v>1</v>
      </c>
      <c r="I208" s="14"/>
      <c r="J208" s="14">
        <v>1</v>
      </c>
      <c r="K208" s="14"/>
      <c r="L208" s="14"/>
      <c r="M208" s="14"/>
      <c r="N208" s="14">
        <v>1109</v>
      </c>
      <c r="O208" s="14"/>
      <c r="P208" s="14"/>
      <c r="Q208" s="14">
        <v>240</v>
      </c>
    </row>
    <row r="209" spans="1:17">
      <c r="A209" s="8"/>
      <c r="B209" s="14">
        <v>5037</v>
      </c>
      <c r="C209" s="14">
        <v>40</v>
      </c>
      <c r="D209" s="14">
        <v>2</v>
      </c>
      <c r="E209" s="11" t="s">
        <v>968</v>
      </c>
      <c r="F209" s="11" t="s">
        <v>1062</v>
      </c>
      <c r="G209" s="14">
        <v>6</v>
      </c>
      <c r="H209" s="14">
        <v>0</v>
      </c>
      <c r="I209" s="14"/>
      <c r="J209" s="14">
        <v>6</v>
      </c>
      <c r="K209" s="14"/>
      <c r="L209" s="14"/>
      <c r="M209" s="14"/>
      <c r="N209" s="14">
        <v>1502</v>
      </c>
      <c r="O209" s="14"/>
      <c r="P209" s="14"/>
      <c r="Q209" s="14">
        <v>253</v>
      </c>
    </row>
    <row r="210" spans="1:17">
      <c r="A210" s="8"/>
      <c r="B210" s="14">
        <v>5038</v>
      </c>
      <c r="C210" s="14">
        <v>10</v>
      </c>
      <c r="D210" s="14">
        <v>2</v>
      </c>
      <c r="E210" s="11" t="s">
        <v>969</v>
      </c>
      <c r="F210" s="11" t="s">
        <v>1014</v>
      </c>
      <c r="G210" s="14">
        <v>5</v>
      </c>
      <c r="H210" s="14">
        <v>0</v>
      </c>
      <c r="I210" s="14"/>
      <c r="J210" s="14">
        <v>3</v>
      </c>
      <c r="K210" s="14"/>
      <c r="L210" s="14"/>
      <c r="M210" s="14"/>
      <c r="N210" s="14">
        <v>1113</v>
      </c>
      <c r="O210" s="14"/>
      <c r="P210" s="14"/>
      <c r="Q210" s="14"/>
    </row>
    <row r="211" spans="1:17">
      <c r="A211" s="8"/>
      <c r="B211" s="14">
        <v>5039</v>
      </c>
      <c r="C211" s="14">
        <v>48</v>
      </c>
      <c r="D211" s="14">
        <v>2</v>
      </c>
      <c r="E211" s="11" t="s">
        <v>970</v>
      </c>
      <c r="F211" s="11" t="s">
        <v>1034</v>
      </c>
      <c r="G211" s="14">
        <v>3</v>
      </c>
      <c r="H211" s="14">
        <v>0</v>
      </c>
      <c r="I211" s="14"/>
      <c r="J211" s="14">
        <v>1</v>
      </c>
      <c r="K211" s="14"/>
      <c r="L211" s="14"/>
      <c r="M211" s="14"/>
      <c r="N211" s="14">
        <v>10</v>
      </c>
      <c r="O211" s="14"/>
      <c r="P211" s="14"/>
      <c r="Q211" s="14">
        <v>246</v>
      </c>
    </row>
    <row r="212" spans="1:17">
      <c r="A212" s="8"/>
      <c r="B212" s="14">
        <v>5040</v>
      </c>
      <c r="C212" s="14">
        <v>24</v>
      </c>
      <c r="D212" s="14">
        <v>2</v>
      </c>
      <c r="E212" s="11" t="s">
        <v>971</v>
      </c>
      <c r="F212" s="11" t="s">
        <v>1042</v>
      </c>
      <c r="G212" s="14">
        <v>6</v>
      </c>
      <c r="H212" s="14">
        <v>0</v>
      </c>
      <c r="I212" s="14"/>
      <c r="J212" s="14">
        <v>4</v>
      </c>
      <c r="K212" s="14"/>
      <c r="L212" s="14"/>
      <c r="M212" s="14"/>
      <c r="N212" s="14">
        <v>1109</v>
      </c>
      <c r="O212" s="14"/>
      <c r="P212" s="14"/>
      <c r="Q212" s="14"/>
    </row>
    <row r="213" spans="1:17">
      <c r="A213" s="8"/>
      <c r="B213" s="14">
        <v>5041</v>
      </c>
      <c r="C213" s="14">
        <v>12</v>
      </c>
      <c r="D213" s="14">
        <v>2</v>
      </c>
      <c r="E213" s="11" t="s">
        <v>972</v>
      </c>
      <c r="F213" s="11" t="s">
        <v>1017</v>
      </c>
      <c r="G213" s="14">
        <v>3</v>
      </c>
      <c r="H213" s="14">
        <v>0</v>
      </c>
      <c r="I213" s="14"/>
      <c r="J213" s="14">
        <v>1</v>
      </c>
      <c r="K213" s="14"/>
      <c r="L213" s="14"/>
      <c r="M213" s="14"/>
      <c r="N213" s="14">
        <v>301</v>
      </c>
      <c r="O213" s="14"/>
      <c r="P213" s="14"/>
      <c r="Q213" s="14">
        <v>252</v>
      </c>
    </row>
    <row r="214" spans="1:17">
      <c r="A214" s="8"/>
      <c r="B214" s="14">
        <v>5042</v>
      </c>
      <c r="C214" s="14">
        <v>29</v>
      </c>
      <c r="D214" s="14">
        <v>2</v>
      </c>
      <c r="E214" s="11" t="s">
        <v>973</v>
      </c>
      <c r="F214" s="11" t="s">
        <v>1049</v>
      </c>
      <c r="G214" s="14">
        <v>6</v>
      </c>
      <c r="H214" s="14">
        <v>0</v>
      </c>
      <c r="I214" s="14"/>
      <c r="J214" s="14">
        <v>4</v>
      </c>
      <c r="K214" s="14"/>
      <c r="L214" s="14"/>
      <c r="M214" s="14"/>
      <c r="N214" s="14">
        <v>212</v>
      </c>
      <c r="O214" s="14"/>
      <c r="P214" s="14"/>
      <c r="Q214" s="14"/>
    </row>
    <row r="215" spans="1:17">
      <c r="A215" s="8"/>
      <c r="B215" s="14">
        <v>5043</v>
      </c>
      <c r="C215" s="14">
        <v>32</v>
      </c>
      <c r="D215" s="14">
        <v>2</v>
      </c>
      <c r="E215" s="11" t="s">
        <v>974</v>
      </c>
      <c r="F215" s="11" t="s">
        <v>1053</v>
      </c>
      <c r="G215" s="14">
        <v>2</v>
      </c>
      <c r="H215" s="14">
        <v>5</v>
      </c>
      <c r="I215" s="14"/>
      <c r="J215" s="14">
        <v>1</v>
      </c>
      <c r="K215" s="14"/>
      <c r="L215" s="14"/>
      <c r="M215" s="14"/>
      <c r="N215" s="14">
        <v>9</v>
      </c>
      <c r="O215" s="14"/>
      <c r="P215" s="14"/>
      <c r="Q215" s="14">
        <v>255</v>
      </c>
    </row>
    <row r="216" spans="1:17">
      <c r="A216" s="8"/>
      <c r="B216" s="14">
        <v>5044</v>
      </c>
      <c r="C216" s="14">
        <v>15</v>
      </c>
      <c r="D216" s="14">
        <v>2</v>
      </c>
      <c r="E216" s="11" t="s">
        <v>975</v>
      </c>
      <c r="F216" s="11" t="s">
        <v>1022</v>
      </c>
      <c r="G216" s="14">
        <v>6</v>
      </c>
      <c r="H216" s="14">
        <v>0</v>
      </c>
      <c r="I216" s="14"/>
      <c r="J216" s="14">
        <v>4</v>
      </c>
      <c r="K216" s="14"/>
      <c r="L216" s="14"/>
      <c r="M216" s="14"/>
      <c r="N216" s="14">
        <v>212</v>
      </c>
      <c r="O216" s="14"/>
      <c r="P216" s="14"/>
      <c r="Q216" s="14"/>
    </row>
    <row r="217" spans="1:17">
      <c r="A217" s="8"/>
      <c r="B217" s="14">
        <v>5045</v>
      </c>
      <c r="C217" s="14">
        <v>18</v>
      </c>
      <c r="D217" s="14">
        <v>2</v>
      </c>
      <c r="E217" s="11" t="s">
        <v>976</v>
      </c>
      <c r="F217" s="11" t="s">
        <v>1025</v>
      </c>
      <c r="G217" s="14">
        <v>5</v>
      </c>
      <c r="H217" s="14">
        <v>0</v>
      </c>
      <c r="I217" s="14"/>
      <c r="J217" s="14">
        <v>3</v>
      </c>
      <c r="K217" s="14"/>
      <c r="L217" s="14"/>
      <c r="M217" s="14"/>
      <c r="N217" s="14">
        <v>1109</v>
      </c>
      <c r="O217" s="14"/>
      <c r="P217" s="14"/>
      <c r="Q217" s="14">
        <v>247</v>
      </c>
    </row>
    <row r="218" spans="1:17">
      <c r="A218" s="8"/>
      <c r="B218" s="14">
        <v>5046</v>
      </c>
      <c r="C218" s="14">
        <v>37</v>
      </c>
      <c r="D218" s="14">
        <v>2</v>
      </c>
      <c r="E218" s="11" t="s">
        <v>977</v>
      </c>
      <c r="F218" s="11" t="s">
        <v>1059</v>
      </c>
      <c r="G218" s="14">
        <v>1</v>
      </c>
      <c r="H218" s="14">
        <v>0</v>
      </c>
      <c r="I218" s="14"/>
      <c r="J218" s="14">
        <v>1</v>
      </c>
      <c r="K218" s="14"/>
      <c r="L218" s="14"/>
      <c r="M218" s="14"/>
      <c r="N218" s="14">
        <v>10</v>
      </c>
      <c r="O218" s="14"/>
      <c r="P218" s="14"/>
      <c r="Q218" s="14"/>
    </row>
    <row r="219" spans="1:17">
      <c r="A219" s="8"/>
      <c r="B219" s="14">
        <v>5047</v>
      </c>
      <c r="C219" s="14">
        <v>103</v>
      </c>
      <c r="D219" s="14">
        <v>2</v>
      </c>
      <c r="E219" s="11" t="s">
        <v>978</v>
      </c>
      <c r="F219" s="11" t="s">
        <v>1066</v>
      </c>
      <c r="G219" s="14">
        <v>7</v>
      </c>
      <c r="H219" s="14">
        <v>0</v>
      </c>
      <c r="I219" s="14"/>
      <c r="J219" s="14">
        <v>2</v>
      </c>
      <c r="K219" s="14"/>
      <c r="L219" s="14"/>
      <c r="M219" s="14"/>
      <c r="N219" s="14">
        <v>1114</v>
      </c>
      <c r="O219" s="14"/>
      <c r="P219" s="14"/>
      <c r="Q219" s="14">
        <v>213</v>
      </c>
    </row>
    <row r="220" spans="1:17">
      <c r="A220" s="8"/>
      <c r="B220" s="14">
        <v>5048</v>
      </c>
      <c r="C220" s="14">
        <v>26</v>
      </c>
      <c r="D220" s="14">
        <v>2</v>
      </c>
      <c r="E220" s="11" t="s">
        <v>979</v>
      </c>
      <c r="F220" s="11" t="s">
        <v>1046</v>
      </c>
      <c r="G220" s="14">
        <v>3</v>
      </c>
      <c r="H220" s="14">
        <v>0</v>
      </c>
      <c r="I220" s="14"/>
      <c r="J220" s="14">
        <v>1</v>
      </c>
      <c r="K220" s="14"/>
      <c r="L220" s="14"/>
      <c r="M220" s="14"/>
      <c r="N220" s="14">
        <v>10</v>
      </c>
      <c r="O220" s="14"/>
      <c r="P220" s="14"/>
      <c r="Q220" s="14">
        <v>251</v>
      </c>
    </row>
    <row r="221" spans="1:17">
      <c r="A221" s="8"/>
      <c r="B221" s="14">
        <v>5049</v>
      </c>
      <c r="C221" s="14">
        <v>25</v>
      </c>
      <c r="D221" s="14">
        <v>2</v>
      </c>
      <c r="E221" s="11" t="s">
        <v>980</v>
      </c>
      <c r="F221" s="11" t="s">
        <v>1044</v>
      </c>
      <c r="G221" s="14">
        <v>7</v>
      </c>
      <c r="H221" s="14">
        <v>1</v>
      </c>
      <c r="I221" s="14"/>
      <c r="J221" s="14">
        <v>6</v>
      </c>
      <c r="K221" s="14"/>
      <c r="L221" s="14"/>
      <c r="M221" s="14"/>
      <c r="N221" s="14">
        <v>1502</v>
      </c>
      <c r="O221" s="14"/>
      <c r="P221" s="14"/>
      <c r="Q221" s="14"/>
    </row>
    <row r="222" spans="1:17">
      <c r="A222" s="8"/>
      <c r="B222" s="14">
        <v>5050</v>
      </c>
      <c r="C222" s="14">
        <v>13</v>
      </c>
      <c r="D222" s="14">
        <v>2</v>
      </c>
      <c r="E222" s="11" t="s">
        <v>981</v>
      </c>
      <c r="F222" s="11" t="s">
        <v>1019</v>
      </c>
      <c r="G222" s="14">
        <v>1</v>
      </c>
      <c r="H222" s="14">
        <v>0</v>
      </c>
      <c r="I222" s="14"/>
      <c r="J222" s="14">
        <v>1</v>
      </c>
      <c r="K222" s="14"/>
      <c r="L222" s="14"/>
      <c r="M222" s="14"/>
      <c r="N222" s="14">
        <v>212</v>
      </c>
      <c r="O222" s="14"/>
      <c r="P222" s="14"/>
      <c r="Q222" s="14">
        <v>256</v>
      </c>
    </row>
    <row r="223" spans="1:17">
      <c r="A223" s="8"/>
      <c r="B223" s="14">
        <v>5051</v>
      </c>
      <c r="C223" s="14">
        <v>43</v>
      </c>
      <c r="D223" s="14">
        <v>2</v>
      </c>
      <c r="E223" s="11" t="s">
        <v>982</v>
      </c>
      <c r="F223" s="11" t="s">
        <v>1027</v>
      </c>
      <c r="G223" s="14">
        <v>1</v>
      </c>
      <c r="H223" s="14">
        <v>4</v>
      </c>
      <c r="I223" s="14"/>
      <c r="J223" s="14">
        <v>1</v>
      </c>
      <c r="K223" s="14"/>
      <c r="L223" s="14"/>
      <c r="M223" s="14"/>
      <c r="N223" s="14">
        <v>10</v>
      </c>
      <c r="O223" s="14"/>
      <c r="P223" s="14"/>
      <c r="Q223" s="14"/>
    </row>
    <row r="224" spans="1:17">
      <c r="A224" s="8"/>
      <c r="B224" s="14">
        <v>5052</v>
      </c>
      <c r="C224" s="14">
        <v>8</v>
      </c>
      <c r="D224" s="14">
        <v>2</v>
      </c>
      <c r="E224" s="11" t="s">
        <v>983</v>
      </c>
      <c r="F224" s="11" t="s">
        <v>1012</v>
      </c>
      <c r="G224" s="14">
        <v>1</v>
      </c>
      <c r="H224" s="14">
        <v>3</v>
      </c>
      <c r="I224" s="14"/>
      <c r="J224" s="14">
        <v>1</v>
      </c>
      <c r="K224" s="14"/>
      <c r="L224" s="14"/>
      <c r="M224" s="14"/>
      <c r="N224" s="14">
        <v>220</v>
      </c>
      <c r="O224" s="14"/>
      <c r="P224" s="14"/>
      <c r="Q224" s="14">
        <v>257</v>
      </c>
    </row>
    <row r="225" spans="1:17">
      <c r="A225" s="8"/>
      <c r="B225" s="14">
        <v>5053</v>
      </c>
      <c r="C225" s="14">
        <v>22</v>
      </c>
      <c r="D225" s="14">
        <v>2</v>
      </c>
      <c r="E225" s="11" t="s">
        <v>984</v>
      </c>
      <c r="F225" s="11" t="s">
        <v>1040</v>
      </c>
      <c r="G225" s="14">
        <v>4</v>
      </c>
      <c r="H225" s="14">
        <v>0</v>
      </c>
      <c r="I225" s="14"/>
      <c r="J225" s="14">
        <v>2</v>
      </c>
      <c r="K225" s="14"/>
      <c r="L225" s="14"/>
      <c r="M225" s="14"/>
      <c r="N225" s="14">
        <v>1109</v>
      </c>
      <c r="O225" s="14"/>
      <c r="P225" s="14"/>
      <c r="Q225" s="14"/>
    </row>
    <row r="226" spans="1:17">
      <c r="A226" s="8"/>
      <c r="B226" s="14">
        <v>5054</v>
      </c>
      <c r="C226" s="14">
        <v>41</v>
      </c>
      <c r="D226" s="14">
        <v>2</v>
      </c>
      <c r="E226" s="11" t="s">
        <v>985</v>
      </c>
      <c r="F226" s="11" t="s">
        <v>1064</v>
      </c>
      <c r="G226" s="14">
        <v>4</v>
      </c>
      <c r="H226" s="14">
        <v>0</v>
      </c>
      <c r="I226" s="14"/>
      <c r="J226" s="14">
        <v>2</v>
      </c>
      <c r="K226" s="14"/>
      <c r="L226" s="14"/>
      <c r="M226" s="14"/>
      <c r="N226" s="14">
        <v>1115</v>
      </c>
      <c r="O226" s="14"/>
      <c r="P226" s="14"/>
      <c r="Q226" s="14">
        <v>258</v>
      </c>
    </row>
    <row r="227" spans="1:17">
      <c r="A227" s="8"/>
      <c r="B227" s="14">
        <v>5055</v>
      </c>
      <c r="C227" s="14">
        <v>21</v>
      </c>
      <c r="D227" s="14">
        <v>2</v>
      </c>
      <c r="E227" s="11" t="s">
        <v>986</v>
      </c>
      <c r="F227" s="11" t="s">
        <v>1038</v>
      </c>
      <c r="G227" s="14">
        <v>6</v>
      </c>
      <c r="H227" s="14">
        <v>0</v>
      </c>
      <c r="I227" s="14"/>
      <c r="J227" s="14">
        <v>4</v>
      </c>
      <c r="K227" s="14"/>
      <c r="L227" s="14"/>
      <c r="M227" s="14"/>
      <c r="N227" s="14">
        <v>9</v>
      </c>
      <c r="O227" s="14"/>
      <c r="P227" s="14"/>
      <c r="Q227" s="14">
        <v>266</v>
      </c>
    </row>
    <row r="228" spans="1:17">
      <c r="A228" s="8"/>
      <c r="B228" s="14">
        <v>5056</v>
      </c>
      <c r="C228" s="14">
        <v>20</v>
      </c>
      <c r="D228" s="14">
        <v>2</v>
      </c>
      <c r="E228" s="11" t="s">
        <v>987</v>
      </c>
      <c r="F228" s="11" t="s">
        <v>1037</v>
      </c>
      <c r="G228" s="14">
        <v>5</v>
      </c>
      <c r="H228" s="14">
        <v>5</v>
      </c>
      <c r="I228" s="14"/>
      <c r="J228" s="14">
        <v>3</v>
      </c>
      <c r="K228" s="14"/>
      <c r="L228" s="14"/>
      <c r="M228" s="14"/>
      <c r="N228" s="14">
        <v>1109</v>
      </c>
      <c r="O228" s="14"/>
      <c r="P228" s="14"/>
      <c r="Q228" s="14"/>
    </row>
    <row r="229" spans="1:17">
      <c r="A229" s="8"/>
      <c r="B229" s="14">
        <v>5057</v>
      </c>
      <c r="C229" s="14">
        <v>2</v>
      </c>
      <c r="D229" s="14">
        <v>2</v>
      </c>
      <c r="E229" s="11" t="s">
        <v>988</v>
      </c>
      <c r="F229" s="11" t="s">
        <v>1263</v>
      </c>
      <c r="G229" s="14">
        <v>2</v>
      </c>
      <c r="H229" s="14">
        <v>1</v>
      </c>
      <c r="I229" s="14"/>
      <c r="J229" s="14">
        <v>1</v>
      </c>
      <c r="K229" s="14"/>
      <c r="L229" s="14"/>
      <c r="M229" s="14"/>
      <c r="N229" s="14">
        <v>10</v>
      </c>
      <c r="O229" s="14"/>
      <c r="P229" s="14"/>
      <c r="Q229" s="14">
        <v>267</v>
      </c>
    </row>
    <row r="230" spans="1:17">
      <c r="A230" s="8"/>
      <c r="B230" s="14">
        <v>5058</v>
      </c>
      <c r="C230" s="14">
        <v>32</v>
      </c>
      <c r="D230" s="14">
        <v>2</v>
      </c>
      <c r="E230" s="11" t="s">
        <v>989</v>
      </c>
      <c r="F230" s="11" t="s">
        <v>1054</v>
      </c>
      <c r="G230" s="14">
        <v>2</v>
      </c>
      <c r="H230" s="14">
        <v>0</v>
      </c>
      <c r="I230" s="14"/>
      <c r="J230" s="14">
        <v>1</v>
      </c>
      <c r="K230" s="14"/>
      <c r="L230" s="14"/>
      <c r="M230" s="14"/>
      <c r="N230" s="14">
        <v>10</v>
      </c>
      <c r="O230" s="14"/>
      <c r="P230" s="14"/>
      <c r="Q230" s="14"/>
    </row>
    <row r="231" spans="1:17">
      <c r="A231" s="8"/>
      <c r="B231" s="14">
        <v>5059</v>
      </c>
      <c r="C231" s="14">
        <v>34</v>
      </c>
      <c r="D231" s="14">
        <v>2</v>
      </c>
      <c r="E231" s="11" t="s">
        <v>990</v>
      </c>
      <c r="F231" s="11" t="s">
        <v>1056</v>
      </c>
      <c r="G231" s="14">
        <v>7</v>
      </c>
      <c r="H231" s="14">
        <v>0</v>
      </c>
      <c r="I231" s="14"/>
      <c r="J231" s="14">
        <v>6</v>
      </c>
      <c r="K231" s="14"/>
      <c r="L231" s="14"/>
      <c r="M231" s="14"/>
      <c r="N231" s="14">
        <v>1502</v>
      </c>
      <c r="O231" s="14"/>
      <c r="P231" s="14"/>
      <c r="Q231" s="14">
        <v>268</v>
      </c>
    </row>
    <row r="232" spans="1:17">
      <c r="A232" s="8"/>
      <c r="B232" s="14">
        <v>5060</v>
      </c>
      <c r="C232" s="14">
        <v>5</v>
      </c>
      <c r="D232" s="14">
        <v>2</v>
      </c>
      <c r="E232" s="11" t="s">
        <v>991</v>
      </c>
      <c r="F232" s="11" t="s">
        <v>1008</v>
      </c>
      <c r="G232" s="14">
        <v>3</v>
      </c>
      <c r="H232" s="14">
        <v>1</v>
      </c>
      <c r="I232" s="14"/>
      <c r="J232" s="14">
        <v>1</v>
      </c>
      <c r="K232" s="14"/>
      <c r="L232" s="14"/>
      <c r="M232" s="14"/>
      <c r="N232" s="14">
        <v>239</v>
      </c>
      <c r="O232" s="14"/>
      <c r="P232" s="14"/>
      <c r="Q232" s="14"/>
    </row>
    <row r="233" spans="1:17">
      <c r="A233" s="8"/>
      <c r="B233" s="14">
        <v>5061</v>
      </c>
      <c r="C233" s="14">
        <v>30</v>
      </c>
      <c r="D233" s="14">
        <v>2</v>
      </c>
      <c r="E233" s="11" t="s">
        <v>992</v>
      </c>
      <c r="F233" s="11" t="s">
        <v>1051</v>
      </c>
      <c r="G233" s="14">
        <v>4</v>
      </c>
      <c r="H233" s="14">
        <v>1</v>
      </c>
      <c r="I233" s="14"/>
      <c r="J233" s="14">
        <v>2</v>
      </c>
      <c r="K233" s="14"/>
      <c r="L233" s="14"/>
      <c r="M233" s="14"/>
      <c r="N233" s="14">
        <v>1115</v>
      </c>
      <c r="O233" s="14"/>
      <c r="P233" s="14"/>
      <c r="Q233" s="14">
        <v>261</v>
      </c>
    </row>
    <row r="234" spans="1:17">
      <c r="A234" s="8"/>
      <c r="B234" s="14">
        <v>5062</v>
      </c>
      <c r="C234" s="14">
        <v>40</v>
      </c>
      <c r="D234" s="14">
        <v>2</v>
      </c>
      <c r="E234" s="11" t="s">
        <v>993</v>
      </c>
      <c r="F234" s="11" t="s">
        <v>1063</v>
      </c>
      <c r="G234" s="14">
        <v>7</v>
      </c>
      <c r="H234" s="14">
        <v>0</v>
      </c>
      <c r="I234" s="14"/>
      <c r="J234" s="14">
        <v>6</v>
      </c>
      <c r="K234" s="14"/>
      <c r="L234" s="14"/>
      <c r="M234" s="14"/>
      <c r="N234" s="14">
        <v>1502</v>
      </c>
      <c r="O234" s="14"/>
      <c r="P234" s="14"/>
      <c r="Q234" s="14"/>
    </row>
    <row r="235" spans="1:17">
      <c r="A235" s="8"/>
      <c r="B235" s="14">
        <v>5063</v>
      </c>
      <c r="C235" s="14">
        <v>46</v>
      </c>
      <c r="D235" s="14">
        <v>2</v>
      </c>
      <c r="E235" s="11" t="s">
        <v>994</v>
      </c>
      <c r="F235" s="11" t="s">
        <v>1031</v>
      </c>
      <c r="G235" s="14">
        <v>4</v>
      </c>
      <c r="H235" s="14">
        <v>0</v>
      </c>
      <c r="I235" s="14"/>
      <c r="J235" s="14">
        <v>2</v>
      </c>
      <c r="K235" s="14"/>
      <c r="L235" s="14"/>
      <c r="M235" s="14"/>
      <c r="N235" s="14">
        <v>1109</v>
      </c>
      <c r="O235" s="14"/>
      <c r="P235" s="14"/>
      <c r="Q235" s="14">
        <v>264</v>
      </c>
    </row>
    <row r="236" spans="1:17">
      <c r="A236" s="8"/>
      <c r="B236" s="14">
        <v>5064</v>
      </c>
      <c r="C236" s="14">
        <v>24</v>
      </c>
      <c r="D236" s="14">
        <v>2</v>
      </c>
      <c r="E236" s="11" t="s">
        <v>2269</v>
      </c>
      <c r="F236" s="11" t="s">
        <v>1043</v>
      </c>
      <c r="G236" s="14">
        <v>6</v>
      </c>
      <c r="H236" s="14">
        <v>2</v>
      </c>
      <c r="I236" s="14"/>
      <c r="J236" s="14">
        <v>1</v>
      </c>
      <c r="K236" s="14"/>
      <c r="L236" s="14"/>
      <c r="M236" s="14"/>
      <c r="N236" s="14">
        <v>220</v>
      </c>
      <c r="O236" s="14"/>
      <c r="P236" s="14"/>
      <c r="Q236" s="14">
        <v>262</v>
      </c>
    </row>
    <row r="237" spans="1:17">
      <c r="A237" s="8"/>
      <c r="B237" s="14">
        <v>5065</v>
      </c>
      <c r="C237" s="14">
        <v>10</v>
      </c>
      <c r="D237" s="14">
        <v>2</v>
      </c>
      <c r="E237" s="11" t="s">
        <v>995</v>
      </c>
      <c r="F237" s="11" t="s">
        <v>1015</v>
      </c>
      <c r="G237" s="14">
        <v>5</v>
      </c>
      <c r="H237" s="14">
        <v>1</v>
      </c>
      <c r="I237" s="14"/>
      <c r="J237" s="14">
        <v>1</v>
      </c>
      <c r="K237" s="14"/>
      <c r="L237" s="14"/>
      <c r="M237" s="14"/>
      <c r="N237" s="14">
        <v>1112</v>
      </c>
      <c r="O237" s="14"/>
      <c r="P237" s="14"/>
      <c r="Q237" s="14">
        <v>271</v>
      </c>
    </row>
    <row r="238" spans="1:17">
      <c r="A238" s="8"/>
      <c r="B238" s="14">
        <v>5066</v>
      </c>
      <c r="C238" s="14">
        <v>104</v>
      </c>
      <c r="D238" s="14">
        <v>2</v>
      </c>
      <c r="E238" s="11" t="s">
        <v>996</v>
      </c>
      <c r="F238" s="11" t="s">
        <v>776</v>
      </c>
      <c r="G238" s="14">
        <v>6</v>
      </c>
      <c r="H238" s="14">
        <v>2</v>
      </c>
      <c r="I238" s="14"/>
      <c r="J238" s="14">
        <v>4</v>
      </c>
      <c r="K238" s="14"/>
      <c r="L238" s="14"/>
      <c r="M238" s="14"/>
      <c r="N238" s="14">
        <v>1109</v>
      </c>
      <c r="O238" s="14"/>
      <c r="P238" s="14"/>
      <c r="Q238" s="14">
        <v>216</v>
      </c>
    </row>
    <row r="239" spans="1:17">
      <c r="A239" s="8"/>
      <c r="B239" s="14">
        <v>5067</v>
      </c>
      <c r="C239" s="14">
        <v>14</v>
      </c>
      <c r="D239" s="14">
        <v>2</v>
      </c>
      <c r="E239" s="11" t="s">
        <v>997</v>
      </c>
      <c r="F239" s="11" t="s">
        <v>1021</v>
      </c>
      <c r="G239" s="14">
        <v>7</v>
      </c>
      <c r="H239" s="14">
        <v>4</v>
      </c>
      <c r="I239" s="14"/>
      <c r="J239" s="14">
        <v>4</v>
      </c>
      <c r="K239" s="14"/>
      <c r="L239" s="14"/>
      <c r="M239" s="14"/>
      <c r="N239" s="14">
        <v>1502</v>
      </c>
      <c r="O239" s="14"/>
      <c r="P239" s="14"/>
      <c r="Q239" s="14">
        <v>1114</v>
      </c>
    </row>
    <row r="240" spans="1:17">
      <c r="A240" s="8"/>
      <c r="B240" s="14">
        <v>5068</v>
      </c>
      <c r="C240" s="14">
        <v>9</v>
      </c>
      <c r="D240" s="14">
        <v>2</v>
      </c>
      <c r="E240" s="11" t="s">
        <v>998</v>
      </c>
      <c r="F240" s="11" t="s">
        <v>1067</v>
      </c>
      <c r="G240" s="14">
        <v>2</v>
      </c>
      <c r="H240" s="14">
        <v>3</v>
      </c>
      <c r="I240" s="14"/>
      <c r="J240" s="14">
        <v>3</v>
      </c>
      <c r="K240" s="14"/>
      <c r="L240" s="14"/>
      <c r="M240" s="14"/>
      <c r="N240" s="14">
        <v>220</v>
      </c>
      <c r="O240" s="14"/>
      <c r="P240" s="14"/>
      <c r="Q240" s="14"/>
    </row>
    <row r="241" spans="1:17">
      <c r="A241" s="8"/>
      <c r="B241" s="14">
        <v>5069</v>
      </c>
      <c r="C241" s="14">
        <v>47</v>
      </c>
      <c r="D241" s="14">
        <v>2</v>
      </c>
      <c r="E241" s="11" t="s">
        <v>1474</v>
      </c>
      <c r="F241" s="11" t="s">
        <v>1477</v>
      </c>
      <c r="G241" s="14">
        <v>2</v>
      </c>
      <c r="H241" s="14">
        <v>2</v>
      </c>
      <c r="I241" s="14"/>
      <c r="J241" s="14">
        <v>1</v>
      </c>
      <c r="K241" s="14"/>
      <c r="L241" s="14"/>
      <c r="M241" s="14"/>
      <c r="N241" s="14">
        <v>242</v>
      </c>
      <c r="O241" s="14"/>
      <c r="P241" s="14"/>
      <c r="Q241" s="14">
        <v>216</v>
      </c>
    </row>
    <row r="242" spans="1:17">
      <c r="A242" s="8"/>
      <c r="B242" s="14">
        <v>5070</v>
      </c>
      <c r="C242" s="14">
        <v>19</v>
      </c>
      <c r="D242" s="14">
        <v>2</v>
      </c>
      <c r="E242" s="11" t="s">
        <v>1652</v>
      </c>
      <c r="F242" s="11" t="s">
        <v>1536</v>
      </c>
      <c r="G242" s="14">
        <v>1</v>
      </c>
      <c r="H242" s="14">
        <v>0</v>
      </c>
      <c r="I242" s="14"/>
      <c r="J242" s="14">
        <v>1</v>
      </c>
      <c r="K242" s="14"/>
      <c r="L242" s="14"/>
      <c r="M242" s="14"/>
      <c r="N242" s="14">
        <v>10</v>
      </c>
      <c r="O242" s="14"/>
      <c r="P242" s="14"/>
      <c r="Q242" s="14"/>
    </row>
    <row r="243" spans="1:17">
      <c r="A243" s="8"/>
      <c r="B243" s="14">
        <v>5071</v>
      </c>
      <c r="C243" s="14">
        <v>37</v>
      </c>
      <c r="D243" s="14">
        <v>2</v>
      </c>
      <c r="E243" s="11" t="s">
        <v>1558</v>
      </c>
      <c r="F243" s="11" t="s">
        <v>1559</v>
      </c>
      <c r="G243" s="14">
        <v>2</v>
      </c>
      <c r="H243" s="14">
        <v>3</v>
      </c>
      <c r="I243" s="14"/>
      <c r="J243" s="14">
        <v>1</v>
      </c>
      <c r="K243" s="14"/>
      <c r="L243" s="14"/>
      <c r="M243" s="14"/>
      <c r="N243" s="14">
        <v>238</v>
      </c>
      <c r="O243" s="14"/>
      <c r="P243" s="14"/>
      <c r="Q243" s="14">
        <v>1112</v>
      </c>
    </row>
    <row r="244" spans="1:17">
      <c r="A244" s="8"/>
      <c r="B244" s="14">
        <v>5072</v>
      </c>
      <c r="C244" s="14">
        <v>6</v>
      </c>
      <c r="D244" s="14">
        <v>2</v>
      </c>
      <c r="E244" s="11" t="s">
        <v>1722</v>
      </c>
      <c r="F244" s="11" t="s">
        <v>1723</v>
      </c>
      <c r="G244" s="14">
        <v>4</v>
      </c>
      <c r="H244" s="14">
        <v>0</v>
      </c>
      <c r="I244" s="14"/>
      <c r="J244" s="14">
        <v>2</v>
      </c>
      <c r="K244" s="14"/>
      <c r="L244" s="14"/>
      <c r="M244" s="14"/>
      <c r="N244" s="14">
        <v>1507</v>
      </c>
      <c r="O244" s="14"/>
      <c r="P244" s="14"/>
      <c r="Q244" s="14">
        <v>1115</v>
      </c>
    </row>
    <row r="245" spans="1:17">
      <c r="A245" s="8"/>
      <c r="B245" s="14">
        <v>5073</v>
      </c>
      <c r="C245" s="14">
        <v>4</v>
      </c>
      <c r="D245" s="14">
        <v>2</v>
      </c>
      <c r="E245" s="11" t="s">
        <v>1733</v>
      </c>
      <c r="F245" s="11" t="s">
        <v>1751</v>
      </c>
      <c r="G245" s="14">
        <v>5</v>
      </c>
      <c r="H245" s="14">
        <v>0</v>
      </c>
      <c r="I245" s="14"/>
      <c r="J245" s="14">
        <v>3</v>
      </c>
      <c r="K245" s="14"/>
      <c r="L245" s="14"/>
      <c r="M245" s="14"/>
      <c r="N245" s="14">
        <v>503</v>
      </c>
      <c r="O245" s="14"/>
      <c r="P245" s="14"/>
      <c r="Q245" s="14">
        <v>1007</v>
      </c>
    </row>
    <row r="246" spans="1:17">
      <c r="A246" s="8"/>
      <c r="B246" s="14">
        <v>5074</v>
      </c>
      <c r="C246" s="14">
        <v>31</v>
      </c>
      <c r="D246" s="14">
        <v>2</v>
      </c>
      <c r="E246" s="11" t="s">
        <v>2270</v>
      </c>
      <c r="F246" s="11" t="s">
        <v>1849</v>
      </c>
      <c r="G246" s="14">
        <v>5</v>
      </c>
      <c r="H246" s="14">
        <v>0</v>
      </c>
      <c r="I246" s="14"/>
      <c r="J246" s="14">
        <v>2</v>
      </c>
      <c r="K246" s="14"/>
      <c r="L246" s="14"/>
      <c r="M246" s="14"/>
      <c r="N246" s="14">
        <v>1112</v>
      </c>
      <c r="O246" s="14"/>
      <c r="P246" s="14"/>
      <c r="Q246" s="14">
        <v>1511</v>
      </c>
    </row>
    <row r="247" spans="1:17">
      <c r="A247" s="8"/>
      <c r="B247" s="14">
        <v>5075</v>
      </c>
      <c r="C247" s="14">
        <v>25</v>
      </c>
      <c r="D247" s="14">
        <v>2</v>
      </c>
      <c r="E247" s="11" t="s">
        <v>1883</v>
      </c>
      <c r="F247" s="11" t="s">
        <v>1884</v>
      </c>
      <c r="G247" s="14">
        <v>5</v>
      </c>
      <c r="H247" s="14">
        <v>0</v>
      </c>
      <c r="I247" s="14"/>
      <c r="J247" s="14">
        <v>3</v>
      </c>
      <c r="K247" s="14"/>
      <c r="L247" s="14"/>
      <c r="M247" s="14"/>
      <c r="N247" s="14">
        <v>258</v>
      </c>
      <c r="O247" s="14"/>
      <c r="P247" s="14"/>
      <c r="Q247" s="14">
        <v>1107</v>
      </c>
    </row>
    <row r="248" spans="1:17">
      <c r="A248" s="8"/>
      <c r="B248" s="14">
        <v>5076</v>
      </c>
      <c r="C248" s="14">
        <v>42</v>
      </c>
      <c r="D248" s="14">
        <v>2</v>
      </c>
      <c r="E248" s="11" t="s">
        <v>1906</v>
      </c>
      <c r="F248" s="11" t="s">
        <v>1907</v>
      </c>
      <c r="G248" s="14">
        <v>1</v>
      </c>
      <c r="H248" s="14">
        <v>5</v>
      </c>
      <c r="I248" s="14"/>
      <c r="J248" s="14">
        <v>1</v>
      </c>
      <c r="K248" s="14"/>
      <c r="L248" s="14"/>
      <c r="M248" s="14"/>
      <c r="N248" s="14">
        <v>9</v>
      </c>
      <c r="O248" s="14"/>
      <c r="P248" s="14"/>
      <c r="Q248" s="14"/>
    </row>
    <row r="249" spans="1:17">
      <c r="A249" s="8"/>
      <c r="B249" s="14">
        <v>5077</v>
      </c>
      <c r="C249" s="14">
        <v>7</v>
      </c>
      <c r="D249" s="14">
        <v>2</v>
      </c>
      <c r="E249" s="11" t="s">
        <v>1953</v>
      </c>
      <c r="F249" s="11" t="s">
        <v>1957</v>
      </c>
      <c r="G249" s="14">
        <v>7</v>
      </c>
      <c r="H249" s="14">
        <v>0</v>
      </c>
      <c r="I249" s="14"/>
      <c r="J249" s="14">
        <v>6</v>
      </c>
      <c r="K249" s="14"/>
      <c r="L249" s="14"/>
      <c r="M249" s="14"/>
      <c r="N249" s="14">
        <v>1507</v>
      </c>
      <c r="O249" s="14"/>
      <c r="P249" s="14"/>
      <c r="Q249" s="14">
        <v>1115</v>
      </c>
    </row>
    <row r="250" spans="1:17">
      <c r="A250" s="8"/>
      <c r="B250" s="14">
        <v>5078</v>
      </c>
      <c r="C250" s="14">
        <v>36</v>
      </c>
      <c r="D250" s="14">
        <v>2</v>
      </c>
      <c r="E250" s="11" t="s">
        <v>2002</v>
      </c>
      <c r="F250" s="11" t="s">
        <v>2003</v>
      </c>
      <c r="G250" s="14">
        <v>2</v>
      </c>
      <c r="H250" s="14">
        <v>3</v>
      </c>
      <c r="I250" s="14"/>
      <c r="J250" s="14">
        <v>1</v>
      </c>
      <c r="K250" s="14"/>
      <c r="L250" s="14"/>
      <c r="M250" s="14"/>
      <c r="N250" s="14">
        <v>9</v>
      </c>
      <c r="O250" s="14"/>
      <c r="P250" s="14"/>
      <c r="Q250" s="14"/>
    </row>
    <row r="251" spans="1:17">
      <c r="A251" s="8"/>
      <c r="B251" s="14">
        <v>5079</v>
      </c>
      <c r="C251" s="14">
        <v>22</v>
      </c>
      <c r="D251" s="14">
        <v>2</v>
      </c>
      <c r="E251" s="11" t="s">
        <v>2015</v>
      </c>
      <c r="F251" s="11" t="s">
        <v>2016</v>
      </c>
      <c r="G251" s="14">
        <v>4</v>
      </c>
      <c r="H251" s="14">
        <v>0</v>
      </c>
      <c r="I251" s="14"/>
      <c r="J251" s="14">
        <v>2</v>
      </c>
      <c r="K251" s="14"/>
      <c r="L251" s="14"/>
      <c r="M251" s="14"/>
      <c r="N251" s="14">
        <v>1115</v>
      </c>
      <c r="O251" s="14"/>
      <c r="P251" s="14"/>
      <c r="Q251" s="14">
        <v>1112</v>
      </c>
    </row>
    <row r="252" spans="1:17">
      <c r="A252" s="8"/>
      <c r="B252" s="14">
        <v>5080</v>
      </c>
      <c r="C252" s="14">
        <v>105</v>
      </c>
      <c r="D252" s="14">
        <v>2</v>
      </c>
      <c r="E252" s="11" t="s">
        <v>2197</v>
      </c>
      <c r="F252" s="11" t="s">
        <v>2198</v>
      </c>
      <c r="G252" s="14">
        <v>4</v>
      </c>
      <c r="H252" s="14">
        <v>0</v>
      </c>
      <c r="I252" s="14"/>
      <c r="J252" s="14">
        <v>2</v>
      </c>
      <c r="K252" s="14"/>
      <c r="L252" s="14"/>
      <c r="M252" s="14"/>
      <c r="N252" s="14">
        <v>1511</v>
      </c>
      <c r="O252" s="14"/>
      <c r="P252" s="14"/>
      <c r="Q252" s="14">
        <v>1134</v>
      </c>
    </row>
    <row r="253" spans="1:17">
      <c r="A253" s="8"/>
      <c r="B253" s="14">
        <v>5081</v>
      </c>
      <c r="C253" s="14">
        <v>45</v>
      </c>
      <c r="D253" s="14">
        <v>2</v>
      </c>
      <c r="E253" s="11" t="s">
        <v>2266</v>
      </c>
      <c r="F253" s="11" t="s">
        <v>2313</v>
      </c>
      <c r="G253" s="14">
        <v>6</v>
      </c>
      <c r="H253" s="14">
        <v>2</v>
      </c>
      <c r="I253" s="14"/>
      <c r="J253" s="14">
        <v>4</v>
      </c>
      <c r="K253" s="14"/>
      <c r="L253" s="14"/>
      <c r="M253" s="14"/>
      <c r="N253" s="14">
        <v>252</v>
      </c>
      <c r="O253" s="14"/>
      <c r="P253" s="14"/>
      <c r="Q253" s="14">
        <v>222</v>
      </c>
    </row>
    <row r="254" spans="1:17">
      <c r="A254" s="8"/>
      <c r="B254" s="14">
        <v>5082</v>
      </c>
      <c r="C254" s="14">
        <v>43</v>
      </c>
      <c r="D254" s="14">
        <v>2</v>
      </c>
      <c r="E254" s="11" t="s">
        <v>2486</v>
      </c>
      <c r="F254" s="11" t="s">
        <v>2487</v>
      </c>
      <c r="G254" s="14">
        <v>3</v>
      </c>
      <c r="H254" s="14">
        <v>4</v>
      </c>
      <c r="I254" s="14"/>
      <c r="J254" s="14">
        <v>1</v>
      </c>
      <c r="K254" s="14"/>
      <c r="L254" s="14"/>
      <c r="M254" s="14"/>
      <c r="N254" s="14">
        <v>256</v>
      </c>
      <c r="O254" s="14"/>
      <c r="P254" s="14"/>
      <c r="Q254" s="14"/>
    </row>
    <row r="255" spans="1:17">
      <c r="A255" s="8"/>
      <c r="B255" s="14">
        <v>5083</v>
      </c>
      <c r="C255" s="14">
        <v>27</v>
      </c>
      <c r="D255" s="14">
        <v>2</v>
      </c>
      <c r="E255" s="11" t="s">
        <v>2488</v>
      </c>
      <c r="F255" s="11" t="s">
        <v>2489</v>
      </c>
      <c r="G255" s="14">
        <v>1</v>
      </c>
      <c r="H255" s="14">
        <v>0</v>
      </c>
      <c r="I255" s="14"/>
      <c r="J255" s="14">
        <v>1</v>
      </c>
      <c r="K255" s="14"/>
      <c r="L255" s="14"/>
      <c r="M255" s="14"/>
      <c r="N255" s="14">
        <v>239</v>
      </c>
      <c r="O255" s="14"/>
      <c r="P255" s="14"/>
      <c r="Q255" s="14"/>
    </row>
    <row r="256" spans="1:17">
      <c r="A256" s="8"/>
      <c r="B256" s="14">
        <v>5084</v>
      </c>
      <c r="C256" s="14">
        <v>38</v>
      </c>
      <c r="D256" s="14">
        <v>2</v>
      </c>
      <c r="E256" s="11" t="s">
        <v>2511</v>
      </c>
      <c r="F256" s="11" t="s">
        <v>2512</v>
      </c>
      <c r="G256" s="14">
        <v>1</v>
      </c>
      <c r="H256" s="14">
        <v>1</v>
      </c>
      <c r="I256" s="14"/>
      <c r="J256" s="14">
        <v>3</v>
      </c>
      <c r="K256" s="14"/>
      <c r="L256" s="14"/>
      <c r="M256" s="14"/>
      <c r="N256" s="14">
        <v>1109</v>
      </c>
      <c r="O256" s="14"/>
      <c r="P256" s="14"/>
      <c r="Q256" s="14">
        <v>246</v>
      </c>
    </row>
    <row r="257" spans="1:17">
      <c r="A257" s="8"/>
      <c r="B257" s="14">
        <v>5085</v>
      </c>
      <c r="C257" s="14">
        <v>16</v>
      </c>
      <c r="D257" s="14">
        <v>2</v>
      </c>
      <c r="E257" s="11" t="s">
        <v>2571</v>
      </c>
      <c r="F257" s="11" t="s">
        <v>2575</v>
      </c>
      <c r="G257" s="14">
        <v>2</v>
      </c>
      <c r="H257" s="14">
        <v>0</v>
      </c>
      <c r="I257" s="14"/>
      <c r="J257" s="14">
        <v>4</v>
      </c>
      <c r="K257" s="14"/>
      <c r="L257" s="14"/>
      <c r="M257" s="14"/>
      <c r="N257" s="14">
        <v>220</v>
      </c>
      <c r="O257" s="14"/>
      <c r="P257" s="14"/>
      <c r="Q257" s="14">
        <v>267</v>
      </c>
    </row>
    <row r="258" spans="1:17">
      <c r="A258" s="8"/>
      <c r="B258" s="14">
        <v>5086</v>
      </c>
      <c r="C258" s="14">
        <v>32</v>
      </c>
      <c r="D258" s="14">
        <v>2</v>
      </c>
      <c r="E258" s="11" t="s">
        <v>2640</v>
      </c>
      <c r="F258" s="11" t="s">
        <v>2641</v>
      </c>
      <c r="G258" s="14">
        <v>2</v>
      </c>
      <c r="H258" s="14">
        <v>4</v>
      </c>
      <c r="I258" s="14"/>
      <c r="J258" s="14">
        <v>1</v>
      </c>
      <c r="K258" s="14"/>
      <c r="L258" s="14"/>
      <c r="M258" s="14"/>
      <c r="N258" s="14">
        <v>1109</v>
      </c>
      <c r="O258" s="14"/>
      <c r="P258" s="14"/>
      <c r="Q258" s="14"/>
    </row>
    <row r="259" spans="1:17">
      <c r="A259" s="8"/>
      <c r="B259" s="14">
        <v>9001</v>
      </c>
      <c r="C259" s="14">
        <v>1</v>
      </c>
      <c r="D259" s="14">
        <v>3</v>
      </c>
      <c r="E259" s="11" t="s">
        <v>838</v>
      </c>
      <c r="F259" s="11" t="s">
        <v>928</v>
      </c>
      <c r="G259" s="14">
        <v>1</v>
      </c>
      <c r="H259" s="14">
        <v>0</v>
      </c>
      <c r="I259" s="14"/>
      <c r="J259" s="14"/>
      <c r="K259" s="14"/>
      <c r="L259" s="14"/>
      <c r="M259" s="14"/>
      <c r="N259" s="14"/>
      <c r="O259" s="14"/>
      <c r="P259" s="14">
        <v>9</v>
      </c>
      <c r="Q259" s="14"/>
    </row>
    <row r="260" spans="1:17">
      <c r="A260" s="8"/>
      <c r="B260" s="14">
        <v>9002</v>
      </c>
      <c r="C260" s="14">
        <v>2</v>
      </c>
      <c r="D260" s="14">
        <v>3</v>
      </c>
      <c r="E260" s="11" t="s">
        <v>839</v>
      </c>
      <c r="F260" s="11" t="s">
        <v>927</v>
      </c>
      <c r="G260" s="14">
        <v>2</v>
      </c>
      <c r="H260" s="14">
        <v>0</v>
      </c>
      <c r="I260" s="14"/>
      <c r="J260" s="14"/>
      <c r="K260" s="14"/>
      <c r="L260" s="14"/>
      <c r="M260" s="14"/>
      <c r="N260" s="14"/>
      <c r="O260" s="14"/>
      <c r="P260" s="14">
        <v>238</v>
      </c>
      <c r="Q260" s="14"/>
    </row>
    <row r="261" spans="1:17">
      <c r="A261" s="8"/>
      <c r="B261" s="14">
        <v>9003</v>
      </c>
      <c r="C261" s="14">
        <v>3</v>
      </c>
      <c r="D261" s="14">
        <v>3</v>
      </c>
      <c r="E261" s="11" t="s">
        <v>840</v>
      </c>
      <c r="F261" s="11" t="s">
        <v>926</v>
      </c>
      <c r="G261" s="14">
        <v>6</v>
      </c>
      <c r="H261" s="14">
        <v>0</v>
      </c>
      <c r="I261" s="14"/>
      <c r="J261" s="14"/>
      <c r="K261" s="14"/>
      <c r="L261" s="14"/>
      <c r="M261" s="14"/>
      <c r="N261" s="14"/>
      <c r="O261" s="14"/>
      <c r="P261" s="14">
        <v>1007</v>
      </c>
      <c r="Q261" s="14"/>
    </row>
    <row r="262" spans="1:17">
      <c r="A262" s="8"/>
      <c r="B262" s="14">
        <v>9004</v>
      </c>
      <c r="C262" s="14">
        <v>4</v>
      </c>
      <c r="D262" s="14">
        <v>3</v>
      </c>
      <c r="E262" s="11" t="s">
        <v>841</v>
      </c>
      <c r="F262" s="11" t="s">
        <v>925</v>
      </c>
      <c r="G262" s="14">
        <v>5</v>
      </c>
      <c r="H262" s="14">
        <v>0</v>
      </c>
      <c r="I262" s="14"/>
      <c r="J262" s="14"/>
      <c r="K262" s="14"/>
      <c r="L262" s="14"/>
      <c r="M262" s="14"/>
      <c r="N262" s="14"/>
      <c r="O262" s="14"/>
      <c r="P262" s="14">
        <v>1112</v>
      </c>
      <c r="Q262" s="14"/>
    </row>
    <row r="263" spans="1:17">
      <c r="A263" s="8"/>
      <c r="B263" s="14">
        <v>9005</v>
      </c>
      <c r="C263" s="14">
        <v>5</v>
      </c>
      <c r="D263" s="14">
        <v>3</v>
      </c>
      <c r="E263" s="11" t="s">
        <v>842</v>
      </c>
      <c r="F263" s="11" t="s">
        <v>930</v>
      </c>
      <c r="G263" s="14">
        <v>3</v>
      </c>
      <c r="H263" s="14">
        <v>0</v>
      </c>
      <c r="I263" s="14"/>
      <c r="J263" s="14"/>
      <c r="K263" s="14"/>
      <c r="L263" s="14"/>
      <c r="M263" s="14"/>
      <c r="N263" s="14"/>
      <c r="O263" s="14"/>
      <c r="P263" s="14">
        <v>1007</v>
      </c>
      <c r="Q263" s="14"/>
    </row>
    <row r="264" spans="1:17">
      <c r="A264" s="8"/>
      <c r="B264" s="14">
        <v>9006</v>
      </c>
      <c r="C264" s="14">
        <v>6</v>
      </c>
      <c r="D264" s="14">
        <v>3</v>
      </c>
      <c r="E264" s="11" t="s">
        <v>843</v>
      </c>
      <c r="F264" s="11" t="s">
        <v>924</v>
      </c>
      <c r="G264" s="14">
        <v>4</v>
      </c>
      <c r="H264" s="14">
        <v>0</v>
      </c>
      <c r="I264" s="14"/>
      <c r="J264" s="14"/>
      <c r="K264" s="14"/>
      <c r="L264" s="14"/>
      <c r="M264" s="14"/>
      <c r="N264" s="14"/>
      <c r="O264" s="14"/>
      <c r="P264" s="14">
        <v>1507</v>
      </c>
      <c r="Q264" s="14"/>
    </row>
    <row r="265" spans="1:17">
      <c r="A265" s="8"/>
      <c r="B265" s="14">
        <v>9007</v>
      </c>
      <c r="C265" s="14">
        <v>7</v>
      </c>
      <c r="D265" s="14">
        <v>3</v>
      </c>
      <c r="E265" s="11" t="s">
        <v>844</v>
      </c>
      <c r="F265" s="11" t="s">
        <v>923</v>
      </c>
      <c r="G265" s="14">
        <v>7</v>
      </c>
      <c r="H265" s="14">
        <v>0</v>
      </c>
      <c r="I265" s="14"/>
      <c r="J265" s="14"/>
      <c r="K265" s="14"/>
      <c r="L265" s="14"/>
      <c r="M265" s="14"/>
      <c r="N265" s="14"/>
      <c r="O265" s="14"/>
      <c r="P265" s="14">
        <v>239</v>
      </c>
      <c r="Q265" s="14"/>
    </row>
    <row r="266" spans="1:17">
      <c r="A266" s="8"/>
      <c r="B266" s="14">
        <v>9008</v>
      </c>
      <c r="C266" s="14">
        <v>8</v>
      </c>
      <c r="D266" s="14">
        <v>3</v>
      </c>
      <c r="E266" s="11" t="s">
        <v>845</v>
      </c>
      <c r="F266" s="11" t="s">
        <v>922</v>
      </c>
      <c r="G266" s="14">
        <v>1</v>
      </c>
      <c r="H266" s="14">
        <v>0</v>
      </c>
      <c r="I266" s="14"/>
      <c r="J266" s="14"/>
      <c r="K266" s="14"/>
      <c r="L266" s="14"/>
      <c r="M266" s="14"/>
      <c r="N266" s="14"/>
      <c r="O266" s="14"/>
      <c r="P266" s="14">
        <v>238</v>
      </c>
      <c r="Q266" s="14"/>
    </row>
    <row r="267" spans="1:17">
      <c r="A267" s="8"/>
      <c r="B267" s="14">
        <v>9009</v>
      </c>
      <c r="C267" s="14">
        <v>9</v>
      </c>
      <c r="D267" s="14">
        <v>3</v>
      </c>
      <c r="E267" s="11" t="s">
        <v>846</v>
      </c>
      <c r="F267" s="11" t="s">
        <v>1264</v>
      </c>
      <c r="G267" s="14">
        <v>2</v>
      </c>
      <c r="H267" s="14">
        <v>0</v>
      </c>
      <c r="I267" s="14"/>
      <c r="J267" s="14"/>
      <c r="K267" s="14"/>
      <c r="L267" s="14"/>
      <c r="M267" s="14"/>
      <c r="N267" s="14"/>
      <c r="O267" s="14"/>
      <c r="P267" s="14">
        <v>238</v>
      </c>
      <c r="Q267" s="14"/>
    </row>
    <row r="268" spans="1:17">
      <c r="A268" s="8"/>
      <c r="B268" s="14">
        <v>9010</v>
      </c>
      <c r="C268" s="14">
        <v>10</v>
      </c>
      <c r="D268" s="14">
        <v>3</v>
      </c>
      <c r="E268" s="11" t="s">
        <v>847</v>
      </c>
      <c r="F268" s="11" t="s">
        <v>921</v>
      </c>
      <c r="G268" s="14">
        <v>5</v>
      </c>
      <c r="H268" s="14">
        <v>0</v>
      </c>
      <c r="I268" s="14"/>
      <c r="J268" s="14"/>
      <c r="K268" s="14"/>
      <c r="L268" s="14"/>
      <c r="M268" s="14"/>
      <c r="N268" s="14"/>
      <c r="O268" s="14"/>
      <c r="P268" s="14">
        <v>1006</v>
      </c>
      <c r="Q268" s="14"/>
    </row>
    <row r="269" spans="1:17">
      <c r="A269" s="8"/>
      <c r="B269" s="14">
        <v>9011</v>
      </c>
      <c r="C269" s="14">
        <v>11</v>
      </c>
      <c r="D269" s="14">
        <v>3</v>
      </c>
      <c r="E269" s="11" t="s">
        <v>848</v>
      </c>
      <c r="F269" s="11" t="s">
        <v>920</v>
      </c>
      <c r="G269" s="14">
        <v>6</v>
      </c>
      <c r="H269" s="14">
        <v>0</v>
      </c>
      <c r="I269" s="14"/>
      <c r="J269" s="14"/>
      <c r="K269" s="14"/>
      <c r="L269" s="14"/>
      <c r="M269" s="14"/>
      <c r="N269" s="14"/>
      <c r="O269" s="14"/>
      <c r="P269" s="14">
        <v>1008</v>
      </c>
      <c r="Q269" s="14"/>
    </row>
    <row r="270" spans="1:17">
      <c r="A270" s="8"/>
      <c r="B270" s="14">
        <v>9012</v>
      </c>
      <c r="C270" s="14">
        <v>12</v>
      </c>
      <c r="D270" s="14">
        <v>3</v>
      </c>
      <c r="E270" s="11" t="s">
        <v>849</v>
      </c>
      <c r="F270" s="11" t="s">
        <v>919</v>
      </c>
      <c r="G270" s="14">
        <v>3</v>
      </c>
      <c r="H270" s="14">
        <v>0</v>
      </c>
      <c r="I270" s="14"/>
      <c r="J270" s="14"/>
      <c r="K270" s="14"/>
      <c r="L270" s="14"/>
      <c r="M270" s="14"/>
      <c r="N270" s="14"/>
      <c r="O270" s="14"/>
      <c r="P270" s="14">
        <v>1507</v>
      </c>
      <c r="Q270" s="14"/>
    </row>
    <row r="271" spans="1:17">
      <c r="A271" s="8"/>
      <c r="B271" s="14">
        <v>9013</v>
      </c>
      <c r="C271" s="14">
        <v>13</v>
      </c>
      <c r="D271" s="14">
        <v>3</v>
      </c>
      <c r="E271" s="11" t="s">
        <v>850</v>
      </c>
      <c r="F271" s="11" t="s">
        <v>918</v>
      </c>
      <c r="G271" s="14">
        <v>1</v>
      </c>
      <c r="H271" s="14">
        <v>0</v>
      </c>
      <c r="I271" s="14"/>
      <c r="J271" s="14"/>
      <c r="K271" s="14"/>
      <c r="L271" s="14"/>
      <c r="M271" s="14"/>
      <c r="N271" s="14"/>
      <c r="O271" s="14"/>
      <c r="P271" s="14">
        <v>9</v>
      </c>
      <c r="Q271" s="14"/>
    </row>
    <row r="272" spans="1:17">
      <c r="A272" s="8"/>
      <c r="B272" s="14">
        <v>9014</v>
      </c>
      <c r="C272" s="14">
        <v>14</v>
      </c>
      <c r="D272" s="14">
        <v>3</v>
      </c>
      <c r="E272" s="11" t="s">
        <v>851</v>
      </c>
      <c r="F272" s="11" t="s">
        <v>917</v>
      </c>
      <c r="G272" s="14">
        <v>4</v>
      </c>
      <c r="H272" s="14">
        <v>0</v>
      </c>
      <c r="I272" s="14"/>
      <c r="J272" s="14"/>
      <c r="K272" s="14"/>
      <c r="L272" s="14"/>
      <c r="M272" s="14"/>
      <c r="N272" s="14"/>
      <c r="O272" s="14"/>
      <c r="P272" s="14">
        <v>239</v>
      </c>
      <c r="Q272" s="14"/>
    </row>
    <row r="273" spans="1:17">
      <c r="A273" s="8"/>
      <c r="B273" s="14">
        <v>9015</v>
      </c>
      <c r="C273" s="14">
        <v>15</v>
      </c>
      <c r="D273" s="14">
        <v>3</v>
      </c>
      <c r="E273" s="11" t="s">
        <v>852</v>
      </c>
      <c r="F273" s="11" t="s">
        <v>916</v>
      </c>
      <c r="G273" s="14">
        <v>6</v>
      </c>
      <c r="H273" s="14">
        <v>0</v>
      </c>
      <c r="I273" s="14"/>
      <c r="J273" s="14"/>
      <c r="K273" s="14"/>
      <c r="L273" s="14"/>
      <c r="M273" s="14"/>
      <c r="N273" s="14"/>
      <c r="O273" s="14"/>
      <c r="P273" s="14">
        <v>8</v>
      </c>
      <c r="Q273" s="14"/>
    </row>
    <row r="274" spans="1:17">
      <c r="A274" s="8"/>
      <c r="B274" s="14">
        <v>9016</v>
      </c>
      <c r="C274" s="14">
        <v>16</v>
      </c>
      <c r="D274" s="14">
        <v>3</v>
      </c>
      <c r="E274" s="11" t="s">
        <v>853</v>
      </c>
      <c r="F274" s="11" t="s">
        <v>915</v>
      </c>
      <c r="G274" s="14">
        <v>2</v>
      </c>
      <c r="H274" s="14">
        <v>0</v>
      </c>
      <c r="I274" s="14"/>
      <c r="J274" s="14"/>
      <c r="K274" s="14"/>
      <c r="L274" s="14"/>
      <c r="M274" s="14"/>
      <c r="N274" s="14"/>
      <c r="O274" s="14"/>
      <c r="P274" s="14">
        <v>1112</v>
      </c>
      <c r="Q274" s="14"/>
    </row>
    <row r="275" spans="1:17">
      <c r="A275" s="8"/>
      <c r="B275" s="14">
        <v>9017</v>
      </c>
      <c r="C275" s="14">
        <v>17</v>
      </c>
      <c r="D275" s="14">
        <v>3</v>
      </c>
      <c r="E275" s="11" t="s">
        <v>854</v>
      </c>
      <c r="F275" s="11" t="s">
        <v>914</v>
      </c>
      <c r="G275" s="14">
        <v>3</v>
      </c>
      <c r="H275" s="14">
        <v>0</v>
      </c>
      <c r="I275" s="14"/>
      <c r="J275" s="14"/>
      <c r="K275" s="14"/>
      <c r="L275" s="14"/>
      <c r="M275" s="14"/>
      <c r="N275" s="14"/>
      <c r="O275" s="14"/>
      <c r="P275" s="14">
        <v>1507</v>
      </c>
      <c r="Q275" s="14"/>
    </row>
    <row r="276" spans="1:17">
      <c r="A276" s="8"/>
      <c r="B276" s="14">
        <v>9018</v>
      </c>
      <c r="C276" s="14">
        <v>18</v>
      </c>
      <c r="D276" s="14">
        <v>3</v>
      </c>
      <c r="E276" s="11" t="s">
        <v>855</v>
      </c>
      <c r="F276" s="11" t="s">
        <v>913</v>
      </c>
      <c r="G276" s="14">
        <v>5</v>
      </c>
      <c r="H276" s="14">
        <v>0</v>
      </c>
      <c r="I276" s="14"/>
      <c r="J276" s="14"/>
      <c r="K276" s="14"/>
      <c r="L276" s="14"/>
      <c r="M276" s="14"/>
      <c r="N276" s="14"/>
      <c r="O276" s="14"/>
      <c r="P276" s="14">
        <v>1113</v>
      </c>
      <c r="Q276" s="14"/>
    </row>
    <row r="277" spans="1:17">
      <c r="A277" s="8"/>
      <c r="B277" s="14">
        <v>9019</v>
      </c>
      <c r="C277" s="14">
        <v>19</v>
      </c>
      <c r="D277" s="14">
        <v>3</v>
      </c>
      <c r="E277" s="11" t="s">
        <v>856</v>
      </c>
      <c r="F277" s="11" t="s">
        <v>929</v>
      </c>
      <c r="G277" s="14">
        <v>1</v>
      </c>
      <c r="H277" s="14">
        <v>0</v>
      </c>
      <c r="I277" s="14"/>
      <c r="J277" s="14"/>
      <c r="K277" s="14"/>
      <c r="L277" s="14"/>
      <c r="M277" s="14"/>
      <c r="N277" s="14"/>
      <c r="O277" s="14"/>
      <c r="P277" s="14">
        <v>1507</v>
      </c>
      <c r="Q277" s="14"/>
    </row>
    <row r="278" spans="1:17">
      <c r="A278" s="8"/>
      <c r="B278" s="14">
        <v>9020</v>
      </c>
      <c r="C278" s="14">
        <v>20</v>
      </c>
      <c r="D278" s="14">
        <v>3</v>
      </c>
      <c r="E278" s="11" t="s">
        <v>857</v>
      </c>
      <c r="F278" s="11" t="s">
        <v>907</v>
      </c>
      <c r="G278" s="14">
        <v>5</v>
      </c>
      <c r="H278" s="14">
        <v>0</v>
      </c>
      <c r="I278" s="14"/>
      <c r="J278" s="14"/>
      <c r="K278" s="14"/>
      <c r="L278" s="14"/>
      <c r="M278" s="14"/>
      <c r="N278" s="14"/>
      <c r="O278" s="14"/>
      <c r="P278" s="14">
        <v>1007</v>
      </c>
      <c r="Q278" s="14"/>
    </row>
    <row r="279" spans="1:17">
      <c r="A279" s="8"/>
      <c r="B279" s="14">
        <v>9021</v>
      </c>
      <c r="C279" s="14">
        <v>21</v>
      </c>
      <c r="D279" s="14">
        <v>3</v>
      </c>
      <c r="E279" s="11" t="s">
        <v>858</v>
      </c>
      <c r="F279" s="11" t="s">
        <v>906</v>
      </c>
      <c r="G279" s="14">
        <v>6</v>
      </c>
      <c r="H279" s="14">
        <v>0</v>
      </c>
      <c r="I279" s="14"/>
      <c r="J279" s="14"/>
      <c r="K279" s="14"/>
      <c r="L279" s="14"/>
      <c r="M279" s="14"/>
      <c r="N279" s="14"/>
      <c r="O279" s="14"/>
      <c r="P279" s="14">
        <v>238</v>
      </c>
      <c r="Q279" s="14"/>
    </row>
    <row r="280" spans="1:17">
      <c r="A280" s="8"/>
      <c r="B280" s="14">
        <v>9022</v>
      </c>
      <c r="C280" s="14">
        <v>22</v>
      </c>
      <c r="D280" s="14">
        <v>3</v>
      </c>
      <c r="E280" s="11" t="s">
        <v>859</v>
      </c>
      <c r="F280" s="11" t="s">
        <v>905</v>
      </c>
      <c r="G280" s="14">
        <v>4</v>
      </c>
      <c r="H280" s="14">
        <v>0</v>
      </c>
      <c r="I280" s="14"/>
      <c r="J280" s="14"/>
      <c r="K280" s="14"/>
      <c r="L280" s="14"/>
      <c r="M280" s="14"/>
      <c r="N280" s="14"/>
      <c r="O280" s="14"/>
      <c r="P280" s="14">
        <v>1113</v>
      </c>
      <c r="Q280" s="14"/>
    </row>
    <row r="281" spans="1:17">
      <c r="A281" s="8"/>
      <c r="B281" s="14">
        <v>9023</v>
      </c>
      <c r="C281" s="14">
        <v>23</v>
      </c>
      <c r="D281" s="14">
        <v>3</v>
      </c>
      <c r="E281" s="11" t="s">
        <v>860</v>
      </c>
      <c r="F281" s="11" t="s">
        <v>904</v>
      </c>
      <c r="G281" s="14">
        <v>2</v>
      </c>
      <c r="H281" s="14">
        <v>0</v>
      </c>
      <c r="I281" s="14"/>
      <c r="J281" s="14"/>
      <c r="K281" s="14"/>
      <c r="L281" s="14"/>
      <c r="M281" s="14"/>
      <c r="N281" s="14"/>
      <c r="O281" s="14"/>
      <c r="P281" s="14">
        <v>9</v>
      </c>
      <c r="Q281" s="14"/>
    </row>
    <row r="282" spans="1:17">
      <c r="A282" s="8"/>
      <c r="B282" s="14">
        <v>9024</v>
      </c>
      <c r="C282" s="14">
        <v>24</v>
      </c>
      <c r="D282" s="14">
        <v>3</v>
      </c>
      <c r="E282" s="11" t="s">
        <v>861</v>
      </c>
      <c r="F282" s="11" t="s">
        <v>903</v>
      </c>
      <c r="G282" s="14">
        <v>6</v>
      </c>
      <c r="H282" s="14">
        <v>0</v>
      </c>
      <c r="I282" s="14"/>
      <c r="J282" s="14"/>
      <c r="K282" s="14"/>
      <c r="L282" s="14"/>
      <c r="M282" s="14"/>
      <c r="N282" s="14"/>
      <c r="O282" s="14"/>
      <c r="P282" s="14">
        <v>8</v>
      </c>
      <c r="Q282" s="14"/>
    </row>
    <row r="283" spans="1:17">
      <c r="A283" s="8"/>
      <c r="B283" s="14">
        <v>9025</v>
      </c>
      <c r="C283" s="14">
        <v>25</v>
      </c>
      <c r="D283" s="14">
        <v>3</v>
      </c>
      <c r="E283" s="11" t="s">
        <v>862</v>
      </c>
      <c r="F283" s="11" t="s">
        <v>931</v>
      </c>
      <c r="G283" s="14">
        <v>7</v>
      </c>
      <c r="H283" s="14">
        <v>0</v>
      </c>
      <c r="I283" s="14"/>
      <c r="J283" s="14"/>
      <c r="K283" s="14"/>
      <c r="L283" s="14"/>
      <c r="M283" s="14"/>
      <c r="N283" s="14"/>
      <c r="O283" s="14"/>
      <c r="P283" s="14">
        <v>1008</v>
      </c>
      <c r="Q283" s="14"/>
    </row>
    <row r="284" spans="1:17">
      <c r="A284" s="8"/>
      <c r="B284" s="14">
        <v>9026</v>
      </c>
      <c r="C284" s="14">
        <v>26</v>
      </c>
      <c r="D284" s="14">
        <v>3</v>
      </c>
      <c r="E284" s="11" t="s">
        <v>863</v>
      </c>
      <c r="F284" s="11" t="s">
        <v>902</v>
      </c>
      <c r="G284" s="14">
        <v>3</v>
      </c>
      <c r="H284" s="14">
        <v>0</v>
      </c>
      <c r="I284" s="14"/>
      <c r="J284" s="14"/>
      <c r="K284" s="14"/>
      <c r="L284" s="14"/>
      <c r="M284" s="14"/>
      <c r="N284" s="14"/>
      <c r="O284" s="14"/>
      <c r="P284" s="14">
        <v>1007</v>
      </c>
      <c r="Q284" s="14"/>
    </row>
    <row r="285" spans="1:17">
      <c r="A285" s="8"/>
      <c r="B285" s="14">
        <v>9027</v>
      </c>
      <c r="C285" s="14">
        <v>27</v>
      </c>
      <c r="D285" s="14">
        <v>3</v>
      </c>
      <c r="E285" s="11" t="s">
        <v>864</v>
      </c>
      <c r="F285" s="11" t="s">
        <v>901</v>
      </c>
      <c r="G285" s="14">
        <v>1</v>
      </c>
      <c r="H285" s="14">
        <v>0</v>
      </c>
      <c r="I285" s="14"/>
      <c r="J285" s="14"/>
      <c r="K285" s="14"/>
      <c r="L285" s="14"/>
      <c r="M285" s="14"/>
      <c r="N285" s="14"/>
      <c r="O285" s="14"/>
      <c r="P285" s="14">
        <v>1006</v>
      </c>
      <c r="Q285" s="14"/>
    </row>
    <row r="286" spans="1:17">
      <c r="A286" s="8"/>
      <c r="B286" s="14">
        <v>9028</v>
      </c>
      <c r="C286" s="14">
        <v>28</v>
      </c>
      <c r="D286" s="14">
        <v>3</v>
      </c>
      <c r="E286" s="11" t="s">
        <v>865</v>
      </c>
      <c r="F286" s="11" t="s">
        <v>900</v>
      </c>
      <c r="G286" s="14">
        <v>5</v>
      </c>
      <c r="H286" s="14">
        <v>0</v>
      </c>
      <c r="I286" s="14"/>
      <c r="J286" s="14"/>
      <c r="K286" s="14"/>
      <c r="L286" s="14"/>
      <c r="M286" s="14"/>
      <c r="N286" s="14"/>
      <c r="O286" s="14"/>
      <c r="P286" s="14">
        <v>1007</v>
      </c>
      <c r="Q286" s="14"/>
    </row>
    <row r="287" spans="1:17">
      <c r="A287" s="8"/>
      <c r="B287" s="14">
        <v>9029</v>
      </c>
      <c r="C287" s="14">
        <v>29</v>
      </c>
      <c r="D287" s="14">
        <v>3</v>
      </c>
      <c r="E287" s="11" t="s">
        <v>866</v>
      </c>
      <c r="F287" s="11" t="s">
        <v>899</v>
      </c>
      <c r="G287" s="14">
        <v>6</v>
      </c>
      <c r="H287" s="14">
        <v>0</v>
      </c>
      <c r="I287" s="14"/>
      <c r="J287" s="14"/>
      <c r="K287" s="14"/>
      <c r="L287" s="14"/>
      <c r="M287" s="14"/>
      <c r="N287" s="14"/>
      <c r="O287" s="14"/>
      <c r="P287" s="14">
        <v>8</v>
      </c>
      <c r="Q287" s="14"/>
    </row>
    <row r="288" spans="1:17">
      <c r="A288" s="8"/>
      <c r="B288" s="14">
        <v>9030</v>
      </c>
      <c r="C288" s="14">
        <v>30</v>
      </c>
      <c r="D288" s="14">
        <v>3</v>
      </c>
      <c r="E288" s="11" t="s">
        <v>867</v>
      </c>
      <c r="F288" s="11" t="s">
        <v>898</v>
      </c>
      <c r="G288" s="14">
        <v>4</v>
      </c>
      <c r="H288" s="14">
        <v>0</v>
      </c>
      <c r="I288" s="14"/>
      <c r="J288" s="14"/>
      <c r="K288" s="14"/>
      <c r="L288" s="14"/>
      <c r="M288" s="14"/>
      <c r="N288" s="14"/>
      <c r="O288" s="14"/>
      <c r="P288" s="14">
        <v>1113</v>
      </c>
      <c r="Q288" s="14"/>
    </row>
    <row r="289" spans="1:17">
      <c r="A289" s="8"/>
      <c r="B289" s="14">
        <v>9031</v>
      </c>
      <c r="C289" s="14">
        <v>31</v>
      </c>
      <c r="D289" s="14">
        <v>3</v>
      </c>
      <c r="E289" s="11" t="s">
        <v>868</v>
      </c>
      <c r="F289" s="11" t="s">
        <v>897</v>
      </c>
      <c r="G289" s="14">
        <v>4</v>
      </c>
      <c r="H289" s="14">
        <v>0</v>
      </c>
      <c r="I289" s="14"/>
      <c r="J289" s="14"/>
      <c r="K289" s="14"/>
      <c r="L289" s="14"/>
      <c r="M289" s="14"/>
      <c r="N289" s="14"/>
      <c r="O289" s="14"/>
      <c r="P289" s="14">
        <v>1112</v>
      </c>
      <c r="Q289" s="14"/>
    </row>
    <row r="290" spans="1:17">
      <c r="A290" s="8"/>
      <c r="B290" s="14">
        <v>9032</v>
      </c>
      <c r="C290" s="14">
        <v>32</v>
      </c>
      <c r="D290" s="14">
        <v>3</v>
      </c>
      <c r="E290" s="11" t="s">
        <v>869</v>
      </c>
      <c r="F290" s="11" t="s">
        <v>896</v>
      </c>
      <c r="G290" s="14">
        <v>2</v>
      </c>
      <c r="H290" s="14">
        <v>0</v>
      </c>
      <c r="I290" s="14"/>
      <c r="J290" s="14"/>
      <c r="K290" s="14"/>
      <c r="L290" s="14"/>
      <c r="M290" s="14"/>
      <c r="N290" s="14"/>
      <c r="O290" s="14"/>
      <c r="P290" s="14">
        <v>239</v>
      </c>
      <c r="Q290" s="14"/>
    </row>
    <row r="291" spans="1:17">
      <c r="A291" s="8"/>
      <c r="B291" s="14">
        <v>9033</v>
      </c>
      <c r="C291" s="14">
        <v>33</v>
      </c>
      <c r="D291" s="14">
        <v>3</v>
      </c>
      <c r="E291" s="11" t="s">
        <v>870</v>
      </c>
      <c r="F291" s="11" t="s">
        <v>895</v>
      </c>
      <c r="G291" s="14">
        <v>5</v>
      </c>
      <c r="H291" s="14">
        <v>0</v>
      </c>
      <c r="I291" s="14"/>
      <c r="J291" s="14"/>
      <c r="K291" s="14"/>
      <c r="L291" s="14"/>
      <c r="M291" s="14"/>
      <c r="N291" s="14"/>
      <c r="O291" s="14"/>
      <c r="P291" s="14">
        <v>1007</v>
      </c>
      <c r="Q291" s="14"/>
    </row>
    <row r="292" spans="1:17">
      <c r="A292" s="8"/>
      <c r="B292" s="14">
        <v>9034</v>
      </c>
      <c r="C292" s="14">
        <v>34</v>
      </c>
      <c r="D292" s="14">
        <v>3</v>
      </c>
      <c r="E292" s="11" t="s">
        <v>871</v>
      </c>
      <c r="F292" s="11" t="s">
        <v>894</v>
      </c>
      <c r="G292" s="14">
        <v>7</v>
      </c>
      <c r="H292" s="14">
        <v>0</v>
      </c>
      <c r="I292" s="14"/>
      <c r="J292" s="14"/>
      <c r="K292" s="14"/>
      <c r="L292" s="14"/>
      <c r="M292" s="14"/>
      <c r="N292" s="14"/>
      <c r="O292" s="14"/>
      <c r="P292" s="14">
        <v>8</v>
      </c>
      <c r="Q292" s="14"/>
    </row>
    <row r="293" spans="1:17">
      <c r="A293" s="8"/>
      <c r="B293" s="14">
        <v>9035</v>
      </c>
      <c r="C293" s="14">
        <v>35</v>
      </c>
      <c r="D293" s="14">
        <v>3</v>
      </c>
      <c r="E293" s="11" t="s">
        <v>872</v>
      </c>
      <c r="F293" s="11" t="s">
        <v>893</v>
      </c>
      <c r="G293" s="14">
        <v>1</v>
      </c>
      <c r="H293" s="14">
        <v>0</v>
      </c>
      <c r="I293" s="14"/>
      <c r="J293" s="14"/>
      <c r="K293" s="14"/>
      <c r="L293" s="14"/>
      <c r="M293" s="14"/>
      <c r="N293" s="14"/>
      <c r="O293" s="14"/>
      <c r="P293" s="14">
        <v>238</v>
      </c>
      <c r="Q293" s="14"/>
    </row>
    <row r="294" spans="1:17">
      <c r="A294" s="8"/>
      <c r="B294" s="14">
        <v>9036</v>
      </c>
      <c r="C294" s="14">
        <v>36</v>
      </c>
      <c r="D294" s="14">
        <v>3</v>
      </c>
      <c r="E294" s="11" t="s">
        <v>873</v>
      </c>
      <c r="F294" s="11" t="s">
        <v>892</v>
      </c>
      <c r="G294" s="14">
        <v>3</v>
      </c>
      <c r="H294" s="14">
        <v>0</v>
      </c>
      <c r="I294" s="14"/>
      <c r="J294" s="14"/>
      <c r="K294" s="14"/>
      <c r="L294" s="14"/>
      <c r="M294" s="14"/>
      <c r="N294" s="14"/>
      <c r="O294" s="14"/>
      <c r="P294" s="14">
        <v>8</v>
      </c>
      <c r="Q294" s="14"/>
    </row>
    <row r="295" spans="1:17">
      <c r="A295" s="8"/>
      <c r="B295" s="14">
        <v>9037</v>
      </c>
      <c r="C295" s="14">
        <v>37</v>
      </c>
      <c r="D295" s="14">
        <v>3</v>
      </c>
      <c r="E295" s="11" t="s">
        <v>874</v>
      </c>
      <c r="F295" s="11" t="s">
        <v>891</v>
      </c>
      <c r="G295" s="14">
        <v>1</v>
      </c>
      <c r="H295" s="14">
        <v>0</v>
      </c>
      <c r="I295" s="14"/>
      <c r="J295" s="14"/>
      <c r="K295" s="14"/>
      <c r="L295" s="14"/>
      <c r="M295" s="14"/>
      <c r="N295" s="14"/>
      <c r="O295" s="14"/>
      <c r="P295" s="14">
        <v>238</v>
      </c>
      <c r="Q295" s="14"/>
    </row>
    <row r="296" spans="1:17">
      <c r="A296" s="8"/>
      <c r="B296" s="14">
        <v>9038</v>
      </c>
      <c r="C296" s="14">
        <v>38</v>
      </c>
      <c r="D296" s="14">
        <v>3</v>
      </c>
      <c r="E296" s="11" t="s">
        <v>875</v>
      </c>
      <c r="F296" s="11" t="s">
        <v>890</v>
      </c>
      <c r="G296" s="14">
        <v>5</v>
      </c>
      <c r="H296" s="14">
        <v>0</v>
      </c>
      <c r="I296" s="14"/>
      <c r="J296" s="14"/>
      <c r="K296" s="14"/>
      <c r="L296" s="14"/>
      <c r="M296" s="14"/>
      <c r="N296" s="14"/>
      <c r="O296" s="14"/>
      <c r="P296" s="14">
        <v>1112</v>
      </c>
      <c r="Q296" s="14"/>
    </row>
    <row r="297" spans="1:17">
      <c r="A297" s="8"/>
      <c r="B297" s="14">
        <v>9039</v>
      </c>
      <c r="C297" s="14">
        <v>39</v>
      </c>
      <c r="D297" s="14">
        <v>3</v>
      </c>
      <c r="E297" s="11" t="s">
        <v>876</v>
      </c>
      <c r="F297" s="11" t="s">
        <v>889</v>
      </c>
      <c r="G297" s="14">
        <v>2</v>
      </c>
      <c r="H297" s="14">
        <v>0</v>
      </c>
      <c r="I297" s="14"/>
      <c r="J297" s="14"/>
      <c r="K297" s="14"/>
      <c r="L297" s="14"/>
      <c r="M297" s="14"/>
      <c r="N297" s="14"/>
      <c r="O297" s="14"/>
      <c r="P297" s="14">
        <v>9</v>
      </c>
      <c r="Q297" s="14"/>
    </row>
    <row r="298" spans="1:17">
      <c r="A298" s="8"/>
      <c r="B298" s="14">
        <v>9040</v>
      </c>
      <c r="C298" s="14">
        <v>40</v>
      </c>
      <c r="D298" s="14">
        <v>3</v>
      </c>
      <c r="E298" s="11" t="s">
        <v>877</v>
      </c>
      <c r="F298" s="11" t="s">
        <v>888</v>
      </c>
      <c r="G298" s="14">
        <v>6</v>
      </c>
      <c r="H298" s="14">
        <v>0</v>
      </c>
      <c r="I298" s="14"/>
      <c r="J298" s="14"/>
      <c r="K298" s="14"/>
      <c r="L298" s="14"/>
      <c r="M298" s="14"/>
      <c r="N298" s="14"/>
      <c r="O298" s="14"/>
      <c r="P298" s="14">
        <v>1507</v>
      </c>
      <c r="Q298" s="14"/>
    </row>
    <row r="299" spans="1:17">
      <c r="A299" s="8"/>
      <c r="B299" s="14">
        <v>9041</v>
      </c>
      <c r="C299" s="14">
        <v>41</v>
      </c>
      <c r="D299" s="14">
        <v>3</v>
      </c>
      <c r="E299" s="11" t="s">
        <v>878</v>
      </c>
      <c r="F299" s="11" t="s">
        <v>887</v>
      </c>
      <c r="G299" s="14">
        <v>4</v>
      </c>
      <c r="H299" s="14">
        <v>0</v>
      </c>
      <c r="I299" s="14"/>
      <c r="J299" s="14"/>
      <c r="K299" s="14"/>
      <c r="L299" s="14"/>
      <c r="M299" s="14"/>
      <c r="N299" s="14"/>
      <c r="O299" s="14"/>
      <c r="P299" s="14">
        <v>1508</v>
      </c>
      <c r="Q299" s="14"/>
    </row>
    <row r="300" spans="1:17">
      <c r="A300" s="8"/>
      <c r="B300" s="14">
        <v>9042</v>
      </c>
      <c r="C300" s="14">
        <v>42</v>
      </c>
      <c r="D300" s="14">
        <v>3</v>
      </c>
      <c r="E300" s="11" t="s">
        <v>879</v>
      </c>
      <c r="F300" s="11" t="s">
        <v>886</v>
      </c>
      <c r="G300" s="14">
        <v>6</v>
      </c>
      <c r="H300" s="14">
        <v>0</v>
      </c>
      <c r="I300" s="14"/>
      <c r="J300" s="14"/>
      <c r="K300" s="14"/>
      <c r="L300" s="14"/>
      <c r="M300" s="14"/>
      <c r="N300" s="14"/>
      <c r="O300" s="14"/>
      <c r="P300" s="14">
        <v>238</v>
      </c>
      <c r="Q300" s="14"/>
    </row>
    <row r="301" spans="1:17">
      <c r="A301" s="8"/>
      <c r="B301" s="14">
        <v>9043</v>
      </c>
      <c r="C301" s="14">
        <v>43</v>
      </c>
      <c r="D301" s="14">
        <v>3</v>
      </c>
      <c r="E301" s="11" t="s">
        <v>880</v>
      </c>
      <c r="F301" s="11" t="s">
        <v>912</v>
      </c>
      <c r="G301" s="14">
        <v>1</v>
      </c>
      <c r="H301" s="14">
        <v>0</v>
      </c>
      <c r="I301" s="14"/>
      <c r="J301" s="14"/>
      <c r="K301" s="14"/>
      <c r="L301" s="14"/>
      <c r="M301" s="14"/>
      <c r="N301" s="14"/>
      <c r="O301" s="14"/>
      <c r="P301" s="14">
        <v>1507</v>
      </c>
      <c r="Q301" s="14"/>
    </row>
    <row r="302" spans="1:17">
      <c r="A302" s="8"/>
      <c r="B302" s="14">
        <v>9044</v>
      </c>
      <c r="C302" s="14">
        <v>44</v>
      </c>
      <c r="D302" s="14">
        <v>3</v>
      </c>
      <c r="E302" s="11" t="s">
        <v>881</v>
      </c>
      <c r="F302" s="11" t="s">
        <v>911</v>
      </c>
      <c r="G302" s="14">
        <v>1</v>
      </c>
      <c r="H302" s="14">
        <v>0</v>
      </c>
      <c r="I302" s="14"/>
      <c r="J302" s="14"/>
      <c r="K302" s="14"/>
      <c r="L302" s="14"/>
      <c r="M302" s="14"/>
      <c r="N302" s="14"/>
      <c r="O302" s="14"/>
      <c r="P302" s="14">
        <v>1508</v>
      </c>
      <c r="Q302" s="14"/>
    </row>
    <row r="303" spans="1:17">
      <c r="A303" s="8"/>
      <c r="B303" s="14">
        <v>9045</v>
      </c>
      <c r="C303" s="14">
        <v>45</v>
      </c>
      <c r="D303" s="14">
        <v>3</v>
      </c>
      <c r="E303" s="11" t="s">
        <v>882</v>
      </c>
      <c r="F303" s="11" t="s">
        <v>910</v>
      </c>
      <c r="G303" s="14">
        <v>6</v>
      </c>
      <c r="H303" s="14">
        <v>0</v>
      </c>
      <c r="I303" s="14"/>
      <c r="J303" s="14"/>
      <c r="K303" s="14"/>
      <c r="L303" s="14"/>
      <c r="M303" s="14"/>
      <c r="N303" s="14"/>
      <c r="O303" s="14"/>
      <c r="P303" s="14">
        <v>1006</v>
      </c>
      <c r="Q303" s="14"/>
    </row>
    <row r="304" spans="1:17">
      <c r="A304" s="8"/>
      <c r="B304" s="14">
        <v>9046</v>
      </c>
      <c r="C304" s="14">
        <v>46</v>
      </c>
      <c r="D304" s="14">
        <v>3</v>
      </c>
      <c r="E304" s="11" t="s">
        <v>883</v>
      </c>
      <c r="F304" s="11" t="s">
        <v>909</v>
      </c>
      <c r="G304" s="14">
        <v>4</v>
      </c>
      <c r="H304" s="14">
        <v>0</v>
      </c>
      <c r="I304" s="14"/>
      <c r="J304" s="14"/>
      <c r="K304" s="14"/>
      <c r="L304" s="14"/>
      <c r="M304" s="14"/>
      <c r="N304" s="14"/>
      <c r="O304" s="14"/>
      <c r="P304" s="14">
        <v>1008</v>
      </c>
      <c r="Q304" s="14"/>
    </row>
    <row r="305" spans="1:17">
      <c r="A305" s="8"/>
      <c r="B305" s="14">
        <v>9047</v>
      </c>
      <c r="C305" s="14">
        <v>47</v>
      </c>
      <c r="D305" s="14">
        <v>3</v>
      </c>
      <c r="E305" s="11" t="s">
        <v>884</v>
      </c>
      <c r="F305" s="11" t="s">
        <v>908</v>
      </c>
      <c r="G305" s="14">
        <v>2</v>
      </c>
      <c r="H305" s="14">
        <v>0</v>
      </c>
      <c r="I305" s="14"/>
      <c r="J305" s="14"/>
      <c r="K305" s="14"/>
      <c r="L305" s="14"/>
      <c r="M305" s="14"/>
      <c r="N305" s="14"/>
      <c r="O305" s="14"/>
      <c r="P305" s="14">
        <v>8</v>
      </c>
      <c r="Q305" s="14"/>
    </row>
    <row r="306" spans="1:17">
      <c r="A306" s="8"/>
      <c r="B306" s="14">
        <v>9048</v>
      </c>
      <c r="C306" s="14">
        <v>48</v>
      </c>
      <c r="D306" s="14">
        <v>3</v>
      </c>
      <c r="E306" s="11" t="s">
        <v>885</v>
      </c>
      <c r="F306" s="11" t="s">
        <v>1265</v>
      </c>
      <c r="G306" s="14">
        <v>3</v>
      </c>
      <c r="H306" s="14">
        <v>0</v>
      </c>
      <c r="I306" s="14"/>
      <c r="J306" s="14"/>
      <c r="K306" s="14"/>
      <c r="L306" s="14"/>
      <c r="M306" s="14"/>
      <c r="N306" s="14"/>
      <c r="O306" s="14"/>
      <c r="P306" s="14">
        <v>1112</v>
      </c>
      <c r="Q306" s="14"/>
    </row>
  </sheetData>
  <autoFilter ref="B6:Q291" xr:uid="{4F50CC2A-12B5-49E2-92E9-163E113D81D3}"/>
  <phoneticPr fontId="1"/>
  <dataValidations count="1">
    <dataValidation type="list" allowBlank="1" showInputMessage="1" showErrorMessage="1" sqref="A7:A306" xr:uid="{7CEA92B7-6623-4F41-B5D0-54759AB54D0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207" activePane="bottomLeft" state="frozen"/>
      <selection activeCell="D1" sqref="D1"/>
      <selection pane="bottomLeft" activeCell="A207" sqref="A206:A2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2460</v>
      </c>
      <c r="D84" s="11" t="s">
        <v>2650</v>
      </c>
      <c r="E84" s="11" t="s">
        <v>2650</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2651</v>
      </c>
      <c r="D107" s="11" t="s">
        <v>2652</v>
      </c>
      <c r="E107" s="11" t="s">
        <v>2653</v>
      </c>
      <c r="F107" s="14">
        <v>99</v>
      </c>
      <c r="G107" s="14">
        <v>0</v>
      </c>
      <c r="H107" s="14" t="s">
        <v>2654</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2710</v>
      </c>
      <c r="D112" s="11" t="s">
        <v>2711</v>
      </c>
      <c r="E112" s="11" t="s">
        <v>2712</v>
      </c>
      <c r="F112" s="14">
        <v>99</v>
      </c>
      <c r="G112" s="14">
        <v>3</v>
      </c>
      <c r="H112" s="14" t="s">
        <v>2713</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2655</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2656</v>
      </c>
      <c r="D129" s="11" t="s">
        <v>2657</v>
      </c>
      <c r="E129" s="11" t="s">
        <v>697</v>
      </c>
      <c r="F129" s="14">
        <v>0</v>
      </c>
      <c r="G129" s="14">
        <v>3</v>
      </c>
      <c r="H129" s="14"/>
      <c r="I129" s="23">
        <v>7</v>
      </c>
      <c r="J129" s="14">
        <v>0</v>
      </c>
      <c r="K129" s="14">
        <v>0</v>
      </c>
      <c r="L129" s="14">
        <v>0</v>
      </c>
      <c r="M129" s="14">
        <v>39</v>
      </c>
      <c r="N129" s="14"/>
      <c r="O129" s="14">
        <v>0</v>
      </c>
    </row>
    <row r="130" spans="1:15">
      <c r="A130" s="8"/>
      <c r="B130" s="14">
        <v>1020</v>
      </c>
      <c r="C130" s="11" t="s">
        <v>2658</v>
      </c>
      <c r="D130" s="11" t="s">
        <v>2657</v>
      </c>
      <c r="E130" s="11" t="s">
        <v>697</v>
      </c>
      <c r="F130" s="14">
        <v>0</v>
      </c>
      <c r="G130" s="14">
        <v>3</v>
      </c>
      <c r="H130" s="14"/>
      <c r="I130" s="23">
        <v>7</v>
      </c>
      <c r="J130" s="14">
        <v>0</v>
      </c>
      <c r="K130" s="14">
        <v>0</v>
      </c>
      <c r="L130" s="14">
        <v>0</v>
      </c>
      <c r="M130" s="14">
        <v>39</v>
      </c>
      <c r="N130" s="14"/>
      <c r="O130" s="14">
        <v>0</v>
      </c>
    </row>
    <row r="131" spans="1:15">
      <c r="A131" s="8"/>
      <c r="B131" s="14">
        <v>1021</v>
      </c>
      <c r="C131" s="11" t="s">
        <v>2659</v>
      </c>
      <c r="D131" s="11" t="s">
        <v>2657</v>
      </c>
      <c r="E131" s="11" t="s">
        <v>697</v>
      </c>
      <c r="F131" s="14">
        <v>0</v>
      </c>
      <c r="G131" s="14">
        <v>3</v>
      </c>
      <c r="H131" s="14"/>
      <c r="I131" s="23">
        <v>7</v>
      </c>
      <c r="J131" s="14">
        <v>0</v>
      </c>
      <c r="K131" s="14">
        <v>0</v>
      </c>
      <c r="L131" s="14">
        <v>0</v>
      </c>
      <c r="M131" s="14">
        <v>39</v>
      </c>
      <c r="N131" s="14"/>
      <c r="O131" s="14">
        <v>0</v>
      </c>
    </row>
    <row r="132" spans="1:15">
      <c r="A132" s="8"/>
      <c r="B132" s="14">
        <v>1022</v>
      </c>
      <c r="C132" s="11" t="s">
        <v>2660</v>
      </c>
      <c r="D132" s="11" t="s">
        <v>2661</v>
      </c>
      <c r="E132" s="11" t="s">
        <v>697</v>
      </c>
      <c r="F132" s="14">
        <v>0</v>
      </c>
      <c r="G132" s="14">
        <v>2</v>
      </c>
      <c r="H132" s="14"/>
      <c r="I132" s="23">
        <v>4</v>
      </c>
      <c r="J132" s="14">
        <v>0</v>
      </c>
      <c r="K132" s="14">
        <v>0</v>
      </c>
      <c r="L132" s="14">
        <v>0</v>
      </c>
      <c r="M132" s="14">
        <v>12</v>
      </c>
      <c r="N132" s="14">
        <v>1</v>
      </c>
      <c r="O132" s="14"/>
    </row>
    <row r="133" spans="1:15">
      <c r="A133" s="8"/>
      <c r="B133" s="14">
        <v>1023</v>
      </c>
      <c r="C133" s="11" t="s">
        <v>2708</v>
      </c>
      <c r="D133" s="11" t="s">
        <v>2709</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2662</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2663</v>
      </c>
      <c r="D159" s="11" t="s">
        <v>2431</v>
      </c>
      <c r="E159" s="11" t="s">
        <v>697</v>
      </c>
      <c r="F159" s="14">
        <v>1</v>
      </c>
      <c r="G159" s="14">
        <v>3</v>
      </c>
      <c r="H159" s="14" t="s">
        <v>2664</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3</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2665</v>
      </c>
      <c r="I161" s="23">
        <v>6</v>
      </c>
      <c r="J161" s="14">
        <v>0</v>
      </c>
      <c r="K161" s="14">
        <v>0</v>
      </c>
      <c r="L161" s="14">
        <v>0</v>
      </c>
      <c r="M161" s="14">
        <v>12</v>
      </c>
      <c r="N161" s="14">
        <v>5</v>
      </c>
      <c r="O161" s="14"/>
    </row>
    <row r="162" spans="1:15">
      <c r="A162" s="8"/>
      <c r="B162" s="14">
        <v>1139</v>
      </c>
      <c r="C162" s="11" t="s">
        <v>2666</v>
      </c>
      <c r="D162" s="11" t="s">
        <v>2667</v>
      </c>
      <c r="E162" s="11" t="s">
        <v>697</v>
      </c>
      <c r="F162" s="14">
        <v>1</v>
      </c>
      <c r="G162" s="14">
        <v>3</v>
      </c>
      <c r="H162" s="14"/>
      <c r="I162" s="23">
        <v>7</v>
      </c>
      <c r="J162" s="14">
        <v>0</v>
      </c>
      <c r="K162" s="14">
        <v>0</v>
      </c>
      <c r="L162" s="14">
        <v>0</v>
      </c>
      <c r="M162" s="14">
        <v>30</v>
      </c>
      <c r="N162" s="14">
        <v>1</v>
      </c>
      <c r="O162" s="14"/>
    </row>
    <row r="163" spans="1:15">
      <c r="A163" s="8"/>
      <c r="B163" s="14">
        <v>1140</v>
      </c>
      <c r="C163" s="11" t="s">
        <v>2668</v>
      </c>
      <c r="D163" s="11" t="s">
        <v>2669</v>
      </c>
      <c r="E163" s="11" t="s">
        <v>697</v>
      </c>
      <c r="F163" s="14">
        <v>1</v>
      </c>
      <c r="G163" s="14">
        <v>3</v>
      </c>
      <c r="H163" s="14" t="s">
        <v>2670</v>
      </c>
      <c r="I163" s="23">
        <v>6</v>
      </c>
      <c r="J163" s="14">
        <v>0</v>
      </c>
      <c r="K163" s="14">
        <v>0</v>
      </c>
      <c r="L163" s="14">
        <v>0</v>
      </c>
      <c r="M163" s="14">
        <v>12</v>
      </c>
      <c r="N163" s="14">
        <v>1</v>
      </c>
      <c r="O163" s="14"/>
    </row>
    <row r="164" spans="1:15">
      <c r="A164" s="8"/>
      <c r="B164" s="14">
        <v>1141</v>
      </c>
      <c r="C164" s="11" t="s">
        <v>2671</v>
      </c>
      <c r="D164" s="11" t="s">
        <v>2672</v>
      </c>
      <c r="E164" s="11" t="s">
        <v>697</v>
      </c>
      <c r="F164" s="14">
        <v>1</v>
      </c>
      <c r="G164" s="14">
        <v>2</v>
      </c>
      <c r="H164" s="14"/>
      <c r="I164" s="23">
        <v>99</v>
      </c>
      <c r="J164" s="14">
        <v>0</v>
      </c>
      <c r="K164" s="14">
        <v>0</v>
      </c>
      <c r="L164" s="14">
        <v>0</v>
      </c>
      <c r="M164" s="14">
        <v>14</v>
      </c>
      <c r="N164" s="14">
        <v>5</v>
      </c>
      <c r="O164" s="14"/>
    </row>
    <row r="165" spans="1:15">
      <c r="A165" s="8"/>
      <c r="B165" s="14">
        <v>1142</v>
      </c>
      <c r="C165" s="11" t="s">
        <v>2716</v>
      </c>
      <c r="D165" s="11" t="s">
        <v>2717</v>
      </c>
      <c r="E165" s="11" t="s">
        <v>697</v>
      </c>
      <c r="F165" s="14">
        <v>1</v>
      </c>
      <c r="G165" s="14">
        <v>3</v>
      </c>
      <c r="H165" s="14" t="s">
        <v>2730</v>
      </c>
      <c r="I165" s="23">
        <v>4</v>
      </c>
      <c r="J165" s="14">
        <v>0</v>
      </c>
      <c r="K165" s="14">
        <v>0</v>
      </c>
      <c r="L165" s="14">
        <v>0</v>
      </c>
      <c r="M165" s="14">
        <v>12</v>
      </c>
      <c r="N165" s="14">
        <v>1</v>
      </c>
      <c r="O165" s="14"/>
    </row>
    <row r="166" spans="1:15">
      <c r="A166" s="8"/>
      <c r="B166" s="14">
        <v>1143</v>
      </c>
      <c r="C166" s="11" t="s">
        <v>2747</v>
      </c>
      <c r="D166" s="11" t="s">
        <v>2748</v>
      </c>
      <c r="E166" s="11" t="s">
        <v>697</v>
      </c>
      <c r="F166" s="14">
        <v>1</v>
      </c>
      <c r="G166" s="14">
        <v>3</v>
      </c>
      <c r="H166" s="14" t="s">
        <v>2749</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1834</v>
      </c>
      <c r="D168" s="11" t="s">
        <v>1835</v>
      </c>
      <c r="E168" s="11" t="s">
        <v>697</v>
      </c>
      <c r="F168" s="14">
        <v>1</v>
      </c>
      <c r="G168" s="14">
        <v>1</v>
      </c>
      <c r="H168" s="14" t="s">
        <v>1836</v>
      </c>
      <c r="I168" s="23">
        <v>6</v>
      </c>
      <c r="J168" s="14">
        <v>0</v>
      </c>
      <c r="K168" s="14">
        <v>0</v>
      </c>
      <c r="L168" s="14">
        <v>0</v>
      </c>
      <c r="M168" s="14">
        <v>12</v>
      </c>
      <c r="N168" s="14">
        <v>1</v>
      </c>
      <c r="O168" s="14"/>
    </row>
    <row r="169" spans="1:15">
      <c r="A169" s="8"/>
      <c r="B169" s="14">
        <v>1205</v>
      </c>
      <c r="C169" s="11" t="s">
        <v>1577</v>
      </c>
      <c r="D169" s="11" t="s">
        <v>1837</v>
      </c>
      <c r="E169" s="11" t="s">
        <v>697</v>
      </c>
      <c r="F169" s="14">
        <v>2</v>
      </c>
      <c r="G169" s="14">
        <v>3</v>
      </c>
      <c r="H169" s="14" t="s">
        <v>1836</v>
      </c>
      <c r="I169" s="23">
        <v>99</v>
      </c>
      <c r="J169" s="14">
        <v>0</v>
      </c>
      <c r="K169" s="14">
        <v>0</v>
      </c>
      <c r="L169" s="14">
        <v>0</v>
      </c>
      <c r="M169" s="14">
        <v>13</v>
      </c>
      <c r="N169" s="14">
        <v>15</v>
      </c>
      <c r="O169" s="14"/>
    </row>
    <row r="170" spans="1:15">
      <c r="A170" s="8"/>
      <c r="B170" s="14">
        <v>1206</v>
      </c>
      <c r="C170" s="11" t="s">
        <v>2673</v>
      </c>
      <c r="D170" s="11" t="s">
        <v>2674</v>
      </c>
      <c r="E170" s="11" t="s">
        <v>697</v>
      </c>
      <c r="F170" s="14">
        <v>1</v>
      </c>
      <c r="G170" s="14">
        <v>3</v>
      </c>
      <c r="H170" s="14" t="s">
        <v>2675</v>
      </c>
      <c r="I170" s="23">
        <v>7</v>
      </c>
      <c r="J170" s="14">
        <v>0</v>
      </c>
      <c r="K170" s="14">
        <v>0</v>
      </c>
      <c r="L170" s="14">
        <v>0</v>
      </c>
      <c r="M170" s="14">
        <v>12</v>
      </c>
      <c r="N170" s="14">
        <v>1</v>
      </c>
      <c r="O170" s="14"/>
    </row>
    <row r="171" spans="1:15">
      <c r="A171" s="8"/>
      <c r="B171" s="14">
        <v>1207</v>
      </c>
      <c r="C171" s="11" t="s">
        <v>2676</v>
      </c>
      <c r="D171" s="11" t="s">
        <v>2677</v>
      </c>
      <c r="E171" s="11" t="s">
        <v>697</v>
      </c>
      <c r="F171" s="14">
        <v>1</v>
      </c>
      <c r="G171" s="14">
        <v>3</v>
      </c>
      <c r="H171" s="14" t="s">
        <v>2678</v>
      </c>
      <c r="I171" s="23">
        <v>99</v>
      </c>
      <c r="J171" s="14">
        <v>0</v>
      </c>
      <c r="K171" s="14">
        <v>0</v>
      </c>
      <c r="L171" s="14">
        <v>0</v>
      </c>
      <c r="M171" s="14">
        <v>14</v>
      </c>
      <c r="N171" s="14">
        <v>50</v>
      </c>
      <c r="O171" s="14"/>
    </row>
    <row r="172" spans="1:15">
      <c r="A172" s="8"/>
      <c r="B172" s="14">
        <v>1208</v>
      </c>
      <c r="C172" s="11" t="s">
        <v>2679</v>
      </c>
      <c r="D172" s="11" t="s">
        <v>2680</v>
      </c>
      <c r="E172" s="11" t="s">
        <v>697</v>
      </c>
      <c r="F172" s="14">
        <v>1</v>
      </c>
      <c r="G172" s="14">
        <v>3</v>
      </c>
      <c r="H172" s="14" t="s">
        <v>2681</v>
      </c>
      <c r="I172" s="23">
        <v>6</v>
      </c>
      <c r="J172" s="14">
        <v>0</v>
      </c>
      <c r="K172" s="14">
        <v>0</v>
      </c>
      <c r="L172" s="14">
        <v>0</v>
      </c>
      <c r="M172" s="14">
        <v>12</v>
      </c>
      <c r="N172" s="14">
        <v>1</v>
      </c>
      <c r="O172" s="14"/>
    </row>
    <row r="173" spans="1:15">
      <c r="A173" s="8"/>
      <c r="B173" s="14">
        <v>1209</v>
      </c>
      <c r="C173" s="11" t="s">
        <v>2682</v>
      </c>
      <c r="D173" s="11" t="s">
        <v>2683</v>
      </c>
      <c r="E173" s="11" t="s">
        <v>697</v>
      </c>
      <c r="F173" s="14">
        <v>1</v>
      </c>
      <c r="G173" s="14">
        <v>3</v>
      </c>
      <c r="H173" s="14" t="s">
        <v>2684</v>
      </c>
      <c r="I173" s="23">
        <v>99</v>
      </c>
      <c r="J173" s="14">
        <v>0</v>
      </c>
      <c r="K173" s="14">
        <v>0</v>
      </c>
      <c r="L173" s="14">
        <v>0</v>
      </c>
      <c r="M173" s="14">
        <v>14</v>
      </c>
      <c r="N173" s="14">
        <v>100</v>
      </c>
      <c r="O173" s="14"/>
    </row>
    <row r="174" spans="1:15">
      <c r="A174" s="8"/>
      <c r="B174" s="14">
        <v>1210</v>
      </c>
      <c r="C174" s="11" t="s">
        <v>2726</v>
      </c>
      <c r="D174" s="11" t="s">
        <v>2727</v>
      </c>
      <c r="E174" s="11" t="s">
        <v>697</v>
      </c>
      <c r="F174" s="14">
        <v>1</v>
      </c>
      <c r="G174" s="14">
        <v>0</v>
      </c>
      <c r="H174" s="14" t="s">
        <v>2728</v>
      </c>
      <c r="I174" s="23">
        <v>4</v>
      </c>
      <c r="J174" s="14">
        <v>0</v>
      </c>
      <c r="K174" s="14">
        <v>0</v>
      </c>
      <c r="L174" s="14">
        <v>0</v>
      </c>
      <c r="M174" s="14">
        <v>12</v>
      </c>
      <c r="N174" s="14">
        <v>5</v>
      </c>
      <c r="O174" s="14"/>
    </row>
    <row r="175" spans="1:15">
      <c r="A175" s="8"/>
      <c r="B175" s="14">
        <v>1302</v>
      </c>
      <c r="C175" s="11" t="s">
        <v>2039</v>
      </c>
      <c r="D175" s="11" t="s">
        <v>2685</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2686</v>
      </c>
      <c r="D176" s="11" t="s">
        <v>2436</v>
      </c>
      <c r="E176" s="11" t="s">
        <v>697</v>
      </c>
      <c r="F176" s="14">
        <v>4</v>
      </c>
      <c r="G176" s="14">
        <v>1</v>
      </c>
      <c r="H176" s="14"/>
      <c r="I176" s="23">
        <v>7</v>
      </c>
      <c r="J176" s="14">
        <v>0</v>
      </c>
      <c r="K176" s="14">
        <v>0</v>
      </c>
      <c r="L176" s="14">
        <v>0</v>
      </c>
      <c r="M176" s="14">
        <v>30</v>
      </c>
      <c r="N176" s="14">
        <v>2</v>
      </c>
      <c r="O176" s="14"/>
    </row>
    <row r="177" spans="1:15">
      <c r="A177" s="8"/>
      <c r="B177" s="14">
        <v>1402</v>
      </c>
      <c r="C177" s="11" t="s">
        <v>2437</v>
      </c>
      <c r="D177" s="11" t="s">
        <v>2687</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2688</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1838</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2689</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1839</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1840</v>
      </c>
      <c r="D190" s="11" t="s">
        <v>1841</v>
      </c>
      <c r="E190" s="11" t="s">
        <v>697</v>
      </c>
      <c r="F190" s="14">
        <v>99</v>
      </c>
      <c r="G190" s="14">
        <v>0</v>
      </c>
      <c r="H190" s="14" t="s">
        <v>1842</v>
      </c>
      <c r="I190" s="23">
        <v>6</v>
      </c>
      <c r="J190" s="14">
        <v>0</v>
      </c>
      <c r="K190" s="14">
        <v>5</v>
      </c>
      <c r="L190" s="14">
        <v>0</v>
      </c>
      <c r="M190" s="14">
        <v>12</v>
      </c>
      <c r="N190" s="14">
        <v>25</v>
      </c>
      <c r="O190" s="14"/>
    </row>
    <row r="191" spans="1:15">
      <c r="A191" s="8"/>
      <c r="B191" s="14">
        <v>1514</v>
      </c>
      <c r="C191" s="11" t="s">
        <v>1843</v>
      </c>
      <c r="D191" s="11" t="s">
        <v>1844</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2040</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2041</v>
      </c>
      <c r="D193" s="11" t="s">
        <v>2042</v>
      </c>
      <c r="E193" s="11" t="s">
        <v>697</v>
      </c>
      <c r="F193" s="14">
        <v>99</v>
      </c>
      <c r="G193" s="14">
        <v>3</v>
      </c>
      <c r="H193" s="14"/>
      <c r="I193" s="23">
        <v>7</v>
      </c>
      <c r="J193" s="14">
        <v>0</v>
      </c>
      <c r="K193" s="14">
        <v>0</v>
      </c>
      <c r="L193" s="14">
        <v>0</v>
      </c>
      <c r="M193" s="14">
        <v>0</v>
      </c>
      <c r="N193" s="14">
        <v>1</v>
      </c>
      <c r="O193" s="14"/>
    </row>
    <row r="194" spans="1:15">
      <c r="A194" s="8"/>
      <c r="B194" s="14">
        <v>1517</v>
      </c>
      <c r="C194" s="11" t="s">
        <v>2043</v>
      </c>
      <c r="D194" s="11" t="s">
        <v>2042</v>
      </c>
      <c r="E194" s="11" t="s">
        <v>697</v>
      </c>
      <c r="F194" s="14">
        <v>99</v>
      </c>
      <c r="G194" s="14">
        <v>3</v>
      </c>
      <c r="H194" s="14"/>
      <c r="I194" s="23">
        <v>7</v>
      </c>
      <c r="J194" s="14">
        <v>0</v>
      </c>
      <c r="K194" s="14">
        <v>0</v>
      </c>
      <c r="L194" s="14">
        <v>0</v>
      </c>
      <c r="M194" s="14">
        <v>0</v>
      </c>
      <c r="N194" s="14">
        <v>1</v>
      </c>
      <c r="O194" s="14"/>
    </row>
    <row r="195" spans="1:15">
      <c r="A195" s="8"/>
      <c r="B195" s="14">
        <v>1518</v>
      </c>
      <c r="C195" s="11" t="s">
        <v>2044</v>
      </c>
      <c r="D195" s="11" t="s">
        <v>2045</v>
      </c>
      <c r="E195" s="11" t="s">
        <v>697</v>
      </c>
      <c r="F195" s="14">
        <v>99</v>
      </c>
      <c r="G195" s="14">
        <v>0</v>
      </c>
      <c r="H195" s="14"/>
      <c r="I195" s="23">
        <v>7</v>
      </c>
      <c r="J195" s="14">
        <v>0</v>
      </c>
      <c r="K195" s="14">
        <v>0</v>
      </c>
      <c r="L195" s="14">
        <v>0</v>
      </c>
      <c r="M195" s="14">
        <v>16</v>
      </c>
      <c r="N195" s="14">
        <v>2</v>
      </c>
      <c r="O195" s="14"/>
    </row>
    <row r="196" spans="1:15">
      <c r="A196" s="8"/>
      <c r="B196" s="14">
        <v>1519</v>
      </c>
      <c r="C196" s="11" t="s">
        <v>1988</v>
      </c>
      <c r="D196" s="11" t="s">
        <v>2046</v>
      </c>
      <c r="E196" s="11" t="s">
        <v>697</v>
      </c>
      <c r="F196" s="14">
        <v>99</v>
      </c>
      <c r="G196" s="14">
        <v>0</v>
      </c>
      <c r="H196" s="14"/>
      <c r="I196" s="23">
        <v>7</v>
      </c>
      <c r="J196" s="14">
        <v>0</v>
      </c>
      <c r="K196" s="14">
        <v>0</v>
      </c>
      <c r="L196" s="14">
        <v>0</v>
      </c>
      <c r="M196" s="14">
        <v>0</v>
      </c>
      <c r="N196" s="14">
        <v>1</v>
      </c>
      <c r="O196" s="14"/>
    </row>
    <row r="197" spans="1:15">
      <c r="A197" s="8"/>
      <c r="B197" s="14">
        <v>1521</v>
      </c>
      <c r="C197" s="11" t="s">
        <v>2048</v>
      </c>
      <c r="D197" s="11" t="s">
        <v>2049</v>
      </c>
      <c r="E197" s="11" t="s">
        <v>697</v>
      </c>
      <c r="F197" s="14">
        <v>99</v>
      </c>
      <c r="G197" s="14">
        <v>3</v>
      </c>
      <c r="H197" s="14" t="s">
        <v>1960</v>
      </c>
      <c r="I197" s="23">
        <v>7</v>
      </c>
      <c r="J197" s="14">
        <v>0</v>
      </c>
      <c r="K197" s="14">
        <v>0</v>
      </c>
      <c r="L197" s="14">
        <v>0</v>
      </c>
      <c r="M197" s="14">
        <v>15</v>
      </c>
      <c r="N197" s="14">
        <v>2</v>
      </c>
      <c r="O197" s="14"/>
    </row>
    <row r="198" spans="1:15">
      <c r="A198" s="8"/>
      <c r="B198" s="14">
        <v>1522</v>
      </c>
      <c r="C198" s="11" t="s">
        <v>2438</v>
      </c>
      <c r="D198" s="11" t="s">
        <v>2439</v>
      </c>
      <c r="E198" s="11" t="s">
        <v>697</v>
      </c>
      <c r="F198" s="14">
        <v>99</v>
      </c>
      <c r="G198" s="14">
        <v>3</v>
      </c>
      <c r="H198" s="14" t="s">
        <v>2226</v>
      </c>
      <c r="I198" s="23">
        <v>7</v>
      </c>
      <c r="J198" s="14">
        <v>0</v>
      </c>
      <c r="K198" s="14">
        <v>0</v>
      </c>
      <c r="L198" s="14">
        <v>0</v>
      </c>
      <c r="M198" s="14">
        <v>15</v>
      </c>
      <c r="N198" s="14">
        <v>2</v>
      </c>
      <c r="O198" s="14"/>
    </row>
    <row r="199" spans="1:15">
      <c r="A199" s="8"/>
      <c r="B199" s="14">
        <v>1523</v>
      </c>
      <c r="C199" s="11" t="s">
        <v>2690</v>
      </c>
      <c r="D199" s="11" t="s">
        <v>2440</v>
      </c>
      <c r="E199" s="11" t="s">
        <v>697</v>
      </c>
      <c r="F199" s="14">
        <v>99</v>
      </c>
      <c r="G199" s="14">
        <v>0</v>
      </c>
      <c r="H199" s="14"/>
      <c r="I199" s="23">
        <v>7</v>
      </c>
      <c r="J199" s="14">
        <v>0</v>
      </c>
      <c r="K199" s="14">
        <v>0</v>
      </c>
      <c r="L199" s="14">
        <v>0</v>
      </c>
      <c r="M199" s="14">
        <v>29</v>
      </c>
      <c r="N199" s="14">
        <v>1</v>
      </c>
      <c r="O199" s="14"/>
    </row>
    <row r="200" spans="1:15">
      <c r="A200" s="8"/>
      <c r="B200" s="14">
        <v>1524</v>
      </c>
      <c r="C200" s="11" t="s">
        <v>2441</v>
      </c>
      <c r="D200" s="11" t="s">
        <v>2442</v>
      </c>
      <c r="E200" s="11" t="s">
        <v>697</v>
      </c>
      <c r="F200" s="14">
        <v>99</v>
      </c>
      <c r="G200" s="14">
        <v>0</v>
      </c>
      <c r="H200" s="14"/>
      <c r="I200" s="23">
        <v>7</v>
      </c>
      <c r="J200" s="14">
        <v>0</v>
      </c>
      <c r="K200" s="14">
        <v>0</v>
      </c>
      <c r="L200" s="14">
        <v>0</v>
      </c>
      <c r="M200" s="14">
        <v>0</v>
      </c>
      <c r="N200" s="14"/>
      <c r="O200" s="14"/>
    </row>
    <row r="201" spans="1:15">
      <c r="A201" s="8"/>
      <c r="B201" s="14">
        <v>1525</v>
      </c>
      <c r="C201" s="11" t="s">
        <v>2691</v>
      </c>
      <c r="D201" s="11" t="s">
        <v>2443</v>
      </c>
      <c r="E201" s="11" t="s">
        <v>697</v>
      </c>
      <c r="F201" s="14">
        <v>99</v>
      </c>
      <c r="G201" s="14">
        <v>3</v>
      </c>
      <c r="H201" s="14" t="s">
        <v>2399</v>
      </c>
      <c r="I201" s="23">
        <v>7</v>
      </c>
      <c r="J201" s="14">
        <v>0</v>
      </c>
      <c r="K201" s="14">
        <v>0</v>
      </c>
      <c r="L201" s="14">
        <v>0</v>
      </c>
      <c r="M201" s="14">
        <v>15</v>
      </c>
      <c r="N201" s="14">
        <v>2</v>
      </c>
      <c r="O201" s="14"/>
    </row>
    <row r="202" spans="1:15">
      <c r="A202" s="8"/>
      <c r="B202" s="14">
        <v>1526</v>
      </c>
      <c r="C202" s="11" t="s">
        <v>2444</v>
      </c>
      <c r="D202" s="11" t="s">
        <v>2445</v>
      </c>
      <c r="E202" s="11" t="s">
        <v>697</v>
      </c>
      <c r="F202" s="14">
        <v>99</v>
      </c>
      <c r="G202" s="14">
        <v>3</v>
      </c>
      <c r="H202" s="14"/>
      <c r="I202" s="23">
        <v>7</v>
      </c>
      <c r="J202" s="14">
        <v>0</v>
      </c>
      <c r="K202" s="14">
        <v>0</v>
      </c>
      <c r="L202" s="14">
        <v>0</v>
      </c>
      <c r="M202" s="14">
        <v>12</v>
      </c>
      <c r="N202" s="14">
        <v>2</v>
      </c>
      <c r="O202" s="14"/>
    </row>
    <row r="203" spans="1:15">
      <c r="A203" s="8"/>
      <c r="B203" s="14">
        <v>1527</v>
      </c>
      <c r="C203" s="11" t="s">
        <v>2692</v>
      </c>
      <c r="D203" s="11" t="s">
        <v>2693</v>
      </c>
      <c r="E203" s="11" t="s">
        <v>697</v>
      </c>
      <c r="F203" s="14">
        <v>2</v>
      </c>
      <c r="G203" s="14">
        <v>0</v>
      </c>
      <c r="H203" s="14"/>
      <c r="I203" s="23">
        <v>99</v>
      </c>
      <c r="J203" s="14">
        <v>0</v>
      </c>
      <c r="K203" s="14">
        <v>0</v>
      </c>
      <c r="L203" s="14">
        <v>0</v>
      </c>
      <c r="M203" s="14">
        <v>0</v>
      </c>
      <c r="N203" s="14">
        <v>20</v>
      </c>
      <c r="O203" s="14"/>
    </row>
    <row r="204" spans="1:15">
      <c r="A204" s="8"/>
      <c r="B204" s="14">
        <v>1528</v>
      </c>
      <c r="C204" s="11" t="s">
        <v>2694</v>
      </c>
      <c r="D204" s="11" t="s">
        <v>2695</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2696</v>
      </c>
      <c r="D205" s="11" t="s">
        <v>2697</v>
      </c>
      <c r="E205" s="11" t="s">
        <v>697</v>
      </c>
      <c r="F205" s="14">
        <v>99</v>
      </c>
      <c r="G205" s="14">
        <v>0</v>
      </c>
      <c r="H205" s="14"/>
      <c r="I205" s="23">
        <v>6</v>
      </c>
      <c r="J205" s="14">
        <v>0</v>
      </c>
      <c r="K205" s="14">
        <v>0</v>
      </c>
      <c r="L205" s="14">
        <v>0</v>
      </c>
      <c r="M205" s="14">
        <v>0</v>
      </c>
      <c r="N205" s="14">
        <v>0</v>
      </c>
      <c r="O205" s="14"/>
    </row>
    <row r="206" spans="1:15">
      <c r="A206" s="8"/>
      <c r="B206" s="14">
        <v>1530</v>
      </c>
      <c r="C206" s="11" t="s">
        <v>2729</v>
      </c>
      <c r="D206" s="11" t="s">
        <v>2698</v>
      </c>
      <c r="E206" s="11" t="s">
        <v>697</v>
      </c>
      <c r="F206" s="14">
        <v>99</v>
      </c>
      <c r="G206" s="14">
        <v>0</v>
      </c>
      <c r="H206" s="14"/>
      <c r="I206" s="23">
        <v>7</v>
      </c>
      <c r="J206" s="14">
        <v>0</v>
      </c>
      <c r="K206" s="14">
        <v>0</v>
      </c>
      <c r="L206" s="14">
        <v>0</v>
      </c>
      <c r="M206" s="14">
        <v>0</v>
      </c>
      <c r="N206" s="14">
        <v>0</v>
      </c>
      <c r="O206" s="14"/>
    </row>
    <row r="207" spans="1:15">
      <c r="A207" s="8"/>
      <c r="B207" s="14">
        <v>1531</v>
      </c>
      <c r="C207" s="11" t="s">
        <v>2691</v>
      </c>
      <c r="D207" s="11" t="s">
        <v>2751</v>
      </c>
      <c r="E207" s="11" t="s">
        <v>697</v>
      </c>
      <c r="F207" s="14">
        <v>99</v>
      </c>
      <c r="G207" s="14">
        <v>3</v>
      </c>
      <c r="H207" s="14" t="s">
        <v>2749</v>
      </c>
      <c r="I207" s="23">
        <v>7</v>
      </c>
      <c r="J207" s="14">
        <v>0</v>
      </c>
      <c r="K207" s="14">
        <v>0</v>
      </c>
      <c r="L207" s="14">
        <v>0</v>
      </c>
      <c r="M207" s="14">
        <v>15</v>
      </c>
      <c r="N207" s="14">
        <v>2</v>
      </c>
      <c r="O207" s="14"/>
    </row>
    <row r="208" spans="1:15">
      <c r="A208" s="8"/>
      <c r="B208" s="14">
        <v>1601</v>
      </c>
      <c r="C208" s="11" t="s">
        <v>2750</v>
      </c>
      <c r="D208" s="11" t="s">
        <v>2446</v>
      </c>
      <c r="E208" s="11" t="s">
        <v>697</v>
      </c>
      <c r="F208" s="14">
        <v>8</v>
      </c>
      <c r="G208" s="14">
        <v>0</v>
      </c>
      <c r="H208" s="14"/>
      <c r="I208" s="23">
        <v>6</v>
      </c>
      <c r="J208" s="14">
        <v>0</v>
      </c>
      <c r="K208" s="14">
        <v>0</v>
      </c>
      <c r="L208" s="14">
        <v>5</v>
      </c>
      <c r="M208" s="14">
        <v>16</v>
      </c>
      <c r="N208" s="14">
        <v>2</v>
      </c>
      <c r="O208" s="14"/>
    </row>
    <row r="209" spans="1:15">
      <c r="A209" s="8"/>
      <c r="B209" s="14">
        <v>1602</v>
      </c>
      <c r="C209" s="11" t="s">
        <v>2447</v>
      </c>
      <c r="D209" s="11" t="s">
        <v>2448</v>
      </c>
      <c r="E209" s="11" t="s">
        <v>697</v>
      </c>
      <c r="F209" s="14">
        <v>8</v>
      </c>
      <c r="G209" s="14">
        <v>0</v>
      </c>
      <c r="H209" s="14"/>
      <c r="I209" s="23">
        <v>6</v>
      </c>
      <c r="J209" s="14">
        <v>0</v>
      </c>
      <c r="K209" s="14">
        <v>0</v>
      </c>
      <c r="L209" s="14">
        <v>0</v>
      </c>
      <c r="M209" s="14">
        <v>14</v>
      </c>
      <c r="N209" s="14">
        <v>10</v>
      </c>
      <c r="O209" s="14"/>
    </row>
    <row r="210" spans="1:15">
      <c r="A210" s="8"/>
      <c r="B210" s="14">
        <v>1603</v>
      </c>
      <c r="C210" s="11" t="s">
        <v>2449</v>
      </c>
      <c r="D210" s="11" t="s">
        <v>2450</v>
      </c>
      <c r="E210" s="11" t="s">
        <v>697</v>
      </c>
      <c r="F210" s="14">
        <v>8</v>
      </c>
      <c r="G210" s="14">
        <v>0</v>
      </c>
      <c r="H210" s="14"/>
      <c r="I210" s="23">
        <v>6</v>
      </c>
      <c r="J210" s="14">
        <v>0</v>
      </c>
      <c r="K210" s="14">
        <v>0</v>
      </c>
      <c r="L210" s="14">
        <v>0</v>
      </c>
      <c r="M210" s="14">
        <v>12</v>
      </c>
      <c r="N210" s="14">
        <v>2</v>
      </c>
      <c r="O210" s="14"/>
    </row>
    <row r="211" spans="1:15">
      <c r="A211" s="8"/>
      <c r="B211" s="14">
        <v>1604</v>
      </c>
      <c r="C211" s="11" t="s">
        <v>2699</v>
      </c>
      <c r="D211" s="11" t="s">
        <v>2451</v>
      </c>
      <c r="E211" s="11" t="s">
        <v>697</v>
      </c>
      <c r="F211" s="14">
        <v>99</v>
      </c>
      <c r="G211" s="14">
        <v>0</v>
      </c>
      <c r="H211" s="14" t="s">
        <v>2452</v>
      </c>
      <c r="I211" s="23">
        <v>6</v>
      </c>
      <c r="J211" s="14">
        <v>0</v>
      </c>
      <c r="K211" s="14">
        <v>0</v>
      </c>
      <c r="L211" s="14">
        <v>0</v>
      </c>
      <c r="M211" s="14">
        <v>14</v>
      </c>
      <c r="N211" s="14">
        <v>50</v>
      </c>
      <c r="O211" s="14"/>
    </row>
    <row r="212" spans="1:15">
      <c r="A212" s="8"/>
      <c r="B212" s="14">
        <v>1605</v>
      </c>
      <c r="C212" s="11" t="s">
        <v>2453</v>
      </c>
      <c r="D212" s="11" t="s">
        <v>2454</v>
      </c>
      <c r="E212" s="11" t="s">
        <v>697</v>
      </c>
      <c r="F212" s="14">
        <v>99</v>
      </c>
      <c r="G212" s="14">
        <v>0</v>
      </c>
      <c r="H212" s="14"/>
      <c r="I212" s="23">
        <v>7</v>
      </c>
      <c r="J212" s="14">
        <v>0</v>
      </c>
      <c r="K212" s="14">
        <v>0</v>
      </c>
      <c r="L212" s="14">
        <v>0</v>
      </c>
      <c r="M212" s="14">
        <v>12</v>
      </c>
      <c r="N212" s="14">
        <v>3</v>
      </c>
      <c r="O212" s="14"/>
    </row>
    <row r="213" spans="1:15">
      <c r="A213" s="8"/>
      <c r="B213" s="14">
        <v>1606</v>
      </c>
      <c r="C213" s="11" t="s">
        <v>2455</v>
      </c>
      <c r="D213" s="11" t="s">
        <v>2456</v>
      </c>
      <c r="E213" s="11" t="s">
        <v>697</v>
      </c>
      <c r="F213" s="14">
        <v>99</v>
      </c>
      <c r="G213" s="14">
        <v>0</v>
      </c>
      <c r="H213" s="14"/>
      <c r="I213" s="23">
        <v>8</v>
      </c>
      <c r="J213" s="14">
        <v>0</v>
      </c>
      <c r="K213" s="14">
        <v>0</v>
      </c>
      <c r="L213" s="14">
        <v>0</v>
      </c>
      <c r="M213" s="14">
        <v>12</v>
      </c>
      <c r="N213" s="14">
        <v>2</v>
      </c>
      <c r="O213" s="14"/>
    </row>
    <row r="214" spans="1:15">
      <c r="A214" s="8"/>
      <c r="B214" s="14">
        <v>1607</v>
      </c>
      <c r="C214" s="11" t="s">
        <v>2459</v>
      </c>
      <c r="D214" s="11" t="s">
        <v>2700</v>
      </c>
      <c r="E214" s="11" t="s">
        <v>697</v>
      </c>
      <c r="F214" s="14">
        <v>8</v>
      </c>
      <c r="G214" s="14">
        <v>0</v>
      </c>
      <c r="H214" s="14"/>
      <c r="I214" s="23">
        <v>6</v>
      </c>
      <c r="J214" s="14">
        <v>0</v>
      </c>
      <c r="K214" s="14">
        <v>0</v>
      </c>
      <c r="L214" s="14">
        <v>0</v>
      </c>
      <c r="M214" s="14">
        <v>29</v>
      </c>
      <c r="N214" s="14">
        <v>2</v>
      </c>
      <c r="O214" s="14"/>
    </row>
    <row r="215" spans="1:15">
      <c r="A215" s="8"/>
      <c r="B215" s="14">
        <v>1608</v>
      </c>
      <c r="C215" s="11" t="s">
        <v>2701</v>
      </c>
      <c r="D215" s="11" t="s">
        <v>2702</v>
      </c>
      <c r="E215" s="11" t="s">
        <v>697</v>
      </c>
      <c r="F215" s="14">
        <v>8</v>
      </c>
      <c r="G215" s="14">
        <v>0</v>
      </c>
      <c r="H215" s="14"/>
      <c r="I215" s="23">
        <v>6</v>
      </c>
      <c r="J215" s="14">
        <v>0</v>
      </c>
      <c r="K215" s="14">
        <v>0</v>
      </c>
      <c r="L215" s="14">
        <v>0</v>
      </c>
      <c r="M215" s="14">
        <v>16</v>
      </c>
      <c r="N215" s="14">
        <v>2</v>
      </c>
      <c r="O215" s="14"/>
    </row>
    <row r="216" spans="1:15">
      <c r="A216" s="8"/>
      <c r="B216" s="14">
        <v>1609</v>
      </c>
      <c r="C216" s="11" t="s">
        <v>2703</v>
      </c>
      <c r="D216" s="11" t="s">
        <v>2704</v>
      </c>
      <c r="E216" s="11" t="s">
        <v>697</v>
      </c>
      <c r="F216" s="14">
        <v>6</v>
      </c>
      <c r="G216" s="14">
        <v>0</v>
      </c>
      <c r="H216" s="14"/>
      <c r="I216" s="23">
        <v>6</v>
      </c>
      <c r="J216" s="14">
        <v>0</v>
      </c>
      <c r="K216" s="14">
        <v>0</v>
      </c>
      <c r="L216" s="14">
        <v>0</v>
      </c>
      <c r="M216" s="14">
        <v>0</v>
      </c>
      <c r="N216" s="14">
        <v>0</v>
      </c>
      <c r="O216" s="14"/>
    </row>
    <row r="217" spans="1:15">
      <c r="A217" s="8"/>
      <c r="B217" s="14">
        <v>1610</v>
      </c>
      <c r="C217" s="11" t="s">
        <v>2705</v>
      </c>
      <c r="D217" s="11" t="s">
        <v>2456</v>
      </c>
      <c r="E217" s="11" t="s">
        <v>697</v>
      </c>
      <c r="F217" s="14">
        <v>99</v>
      </c>
      <c r="G217" s="14">
        <v>0</v>
      </c>
      <c r="H217" s="14"/>
      <c r="I217" s="23">
        <v>8</v>
      </c>
      <c r="J217" s="14">
        <v>0</v>
      </c>
      <c r="K217" s="14">
        <v>0</v>
      </c>
      <c r="L217" s="14">
        <v>0</v>
      </c>
      <c r="M217" s="14">
        <v>12</v>
      </c>
      <c r="N217" s="14">
        <v>2</v>
      </c>
      <c r="O217" s="14"/>
    </row>
    <row r="218" spans="1:15">
      <c r="A218" s="8"/>
      <c r="B218" s="14">
        <v>1611</v>
      </c>
      <c r="C218" s="11" t="s">
        <v>2714</v>
      </c>
      <c r="D218" s="11" t="s">
        <v>2715</v>
      </c>
      <c r="E218" s="11" t="s">
        <v>697</v>
      </c>
      <c r="F218" s="14">
        <v>8</v>
      </c>
      <c r="G218" s="14">
        <v>0</v>
      </c>
      <c r="H218" s="14"/>
      <c r="I218" s="23">
        <v>7</v>
      </c>
      <c r="J218" s="14">
        <v>0</v>
      </c>
      <c r="K218" s="14">
        <v>0</v>
      </c>
      <c r="L218" s="14">
        <v>0</v>
      </c>
      <c r="M218" s="14">
        <v>8</v>
      </c>
      <c r="N218" s="14">
        <v>2</v>
      </c>
      <c r="O218" s="14">
        <v>0</v>
      </c>
    </row>
    <row r="219" spans="1:15">
      <c r="A219" s="8"/>
      <c r="B219" s="14">
        <v>1901</v>
      </c>
      <c r="C219" s="11" t="s">
        <v>2706</v>
      </c>
      <c r="D219" s="11" t="s">
        <v>2707</v>
      </c>
      <c r="E219" s="11" t="s">
        <v>697</v>
      </c>
      <c r="F219" s="14">
        <v>9</v>
      </c>
      <c r="G219" s="14">
        <v>2</v>
      </c>
      <c r="H219" s="14"/>
      <c r="I219" s="23">
        <v>4</v>
      </c>
      <c r="J219" s="14">
        <v>0</v>
      </c>
      <c r="K219" s="14">
        <v>0</v>
      </c>
      <c r="L219" s="14">
        <v>0</v>
      </c>
      <c r="M219" s="14">
        <v>12</v>
      </c>
      <c r="N219" s="14">
        <v>2</v>
      </c>
      <c r="O219" s="14"/>
    </row>
    <row r="220" spans="1:15">
      <c r="A220" s="8"/>
      <c r="B220" s="14">
        <v>2001</v>
      </c>
      <c r="C220" s="11" t="s">
        <v>2753</v>
      </c>
      <c r="D220" s="11" t="s">
        <v>2752</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2474</v>
      </c>
      <c r="R2" s="9" t="s">
        <v>2475</v>
      </c>
      <c r="S2" s="9" t="s">
        <v>2476</v>
      </c>
      <c r="T2" s="9" t="s">
        <v>2783</v>
      </c>
      <c r="U2" s="9" t="s">
        <v>2784</v>
      </c>
      <c r="V2" s="9" t="s">
        <v>2785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2589</v>
      </c>
      <c r="F16" s="14">
        <v>10</v>
      </c>
      <c r="G16" s="14">
        <v>0</v>
      </c>
      <c r="H16" s="11" t="s">
        <v>2301</v>
      </c>
      <c r="I16" s="14">
        <v>50</v>
      </c>
      <c r="J16" s="11" t="s">
        <v>697</v>
      </c>
      <c r="K16" s="11" t="s">
        <v>2580</v>
      </c>
      <c r="L16" s="11">
        <v>-150</v>
      </c>
      <c r="M16" s="11" t="s">
        <v>697</v>
      </c>
      <c r="N16" s="11" t="s">
        <v>2590</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2581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2591</v>
      </c>
      <c r="F20" s="14">
        <v>10</v>
      </c>
      <c r="G20" s="14">
        <v>0</v>
      </c>
      <c r="H20" s="11" t="s">
        <v>2592</v>
      </c>
      <c r="I20" s="14">
        <v>10</v>
      </c>
      <c r="J20" s="11" t="s">
        <v>2593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2594</v>
      </c>
      <c r="F22" s="14">
        <v>15</v>
      </c>
      <c r="G22" s="14">
        <v>0</v>
      </c>
      <c r="H22" s="11" t="s">
        <v>697</v>
      </c>
      <c r="I22" s="14"/>
      <c r="J22" s="11" t="s">
        <v>697</v>
      </c>
      <c r="K22" s="11" t="s">
        <v>2590</v>
      </c>
      <c r="L22" s="11">
        <v>150</v>
      </c>
      <c r="M22" s="11" t="s">
        <v>697</v>
      </c>
      <c r="N22" s="11" t="s">
        <v>2595</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2597</v>
      </c>
      <c r="F25" s="14">
        <v>15</v>
      </c>
      <c r="G25" s="14">
        <v>0</v>
      </c>
      <c r="H25" s="11" t="s">
        <v>697</v>
      </c>
      <c r="I25" s="14"/>
      <c r="J25" s="11" t="s">
        <v>697</v>
      </c>
      <c r="K25" s="11" t="s">
        <v>2590</v>
      </c>
      <c r="L25" s="11">
        <v>150</v>
      </c>
      <c r="M25" s="11" t="s">
        <v>697</v>
      </c>
      <c r="N25" s="11" t="s">
        <v>2295</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2599</v>
      </c>
      <c r="F28" s="14">
        <v>10</v>
      </c>
      <c r="G28" s="14">
        <v>0</v>
      </c>
      <c r="H28" s="11" t="s">
        <v>2592</v>
      </c>
      <c r="I28" s="14">
        <v>15</v>
      </c>
      <c r="J28" s="11" t="s">
        <v>697</v>
      </c>
      <c r="K28" s="11" t="s">
        <v>2295</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2600</v>
      </c>
      <c r="F29" s="14">
        <v>10</v>
      </c>
      <c r="G29" s="14">
        <v>0</v>
      </c>
      <c r="H29" s="11" t="s">
        <v>2581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2601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2602</v>
      </c>
      <c r="F31" s="14">
        <v>0</v>
      </c>
      <c r="G31" s="14">
        <v>0</v>
      </c>
      <c r="H31" s="11" t="s">
        <v>2603</v>
      </c>
      <c r="I31" s="14">
        <v>15</v>
      </c>
      <c r="J31" s="11" t="s">
        <v>2604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2600</v>
      </c>
      <c r="F32" s="14">
        <v>10</v>
      </c>
      <c r="G32" s="14">
        <v>0</v>
      </c>
      <c r="H32" s="11" t="s">
        <v>2581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2608</v>
      </c>
      <c r="F38" s="14">
        <v>10</v>
      </c>
      <c r="G38" s="14">
        <v>0</v>
      </c>
      <c r="H38" s="11" t="s">
        <v>2582</v>
      </c>
      <c r="I38" s="14">
        <v>50</v>
      </c>
      <c r="J38" s="11" t="s">
        <v>697</v>
      </c>
      <c r="K38" s="11" t="s">
        <v>2583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2581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2609</v>
      </c>
      <c r="F47" s="14">
        <v>10</v>
      </c>
      <c r="G47" s="14">
        <v>0</v>
      </c>
      <c r="H47" s="11" t="s">
        <v>2580</v>
      </c>
      <c r="I47" s="14">
        <v>-150</v>
      </c>
      <c r="J47" s="11" t="s">
        <v>697</v>
      </c>
      <c r="K47" s="11" t="s">
        <v>2590</v>
      </c>
      <c r="L47" s="11">
        <v>-150</v>
      </c>
      <c r="M47" s="11" t="s">
        <v>697</v>
      </c>
      <c r="N47" s="11" t="s">
        <v>2595</v>
      </c>
      <c r="O47" s="11">
        <v>-150</v>
      </c>
      <c r="P47" s="11" t="s">
        <v>697</v>
      </c>
      <c r="Q47" s="11" t="s">
        <v>2610</v>
      </c>
      <c r="R47" s="11">
        <v>-150</v>
      </c>
      <c r="S47" s="11" t="s">
        <v>697</v>
      </c>
      <c r="T47" s="11" t="s">
        <v>2610</v>
      </c>
      <c r="U47" s="11">
        <v>-150</v>
      </c>
      <c r="V47" s="11" t="s">
        <v>697</v>
      </c>
    </row>
    <row r="48" spans="1:22">
      <c r="A48" s="8"/>
      <c r="B48" s="14">
        <v>70</v>
      </c>
      <c r="C48" s="14">
        <v>2</v>
      </c>
      <c r="D48" s="14">
        <v>2</v>
      </c>
      <c r="E48" s="11" t="s">
        <v>2611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2600</v>
      </c>
      <c r="F51" s="14">
        <v>10</v>
      </c>
      <c r="G51" s="14">
        <v>0</v>
      </c>
      <c r="H51" s="11" t="s">
        <v>2581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2613</v>
      </c>
      <c r="F52" s="14">
        <v>10</v>
      </c>
      <c r="G52" s="14">
        <v>0</v>
      </c>
      <c r="H52" s="11" t="s">
        <v>2614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2616</v>
      </c>
      <c r="F56" s="14">
        <v>15</v>
      </c>
      <c r="G56" s="14">
        <v>0</v>
      </c>
      <c r="H56" s="11" t="s">
        <v>2295</v>
      </c>
      <c r="I56" s="14">
        <v>150</v>
      </c>
      <c r="J56" s="11" t="s">
        <v>697</v>
      </c>
      <c r="K56" s="11" t="s">
        <v>2595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2619</v>
      </c>
      <c r="F60" s="14">
        <v>10</v>
      </c>
      <c r="G60" s="14">
        <v>0</v>
      </c>
      <c r="H60" s="11" t="s">
        <v>2620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2621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2623</v>
      </c>
      <c r="F65" s="14">
        <v>15</v>
      </c>
      <c r="G65" s="14">
        <v>0</v>
      </c>
      <c r="H65" s="11" t="s">
        <v>2620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2624</v>
      </c>
      <c r="F66" s="14">
        <v>10</v>
      </c>
      <c r="G66" s="14">
        <v>0</v>
      </c>
      <c r="H66" s="11" t="s">
        <v>2630</v>
      </c>
      <c r="I66" s="14">
        <v>50</v>
      </c>
      <c r="J66" s="11" t="s">
        <v>697</v>
      </c>
      <c r="K66" s="11" t="s">
        <v>2583</v>
      </c>
      <c r="L66" s="11" t="s">
        <v>2626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2633</v>
      </c>
      <c r="F67" s="14">
        <v>10</v>
      </c>
      <c r="G67" s="14">
        <v>0</v>
      </c>
      <c r="H67" s="11" t="s">
        <v>2592</v>
      </c>
      <c r="I67" s="14">
        <v>20</v>
      </c>
      <c r="J67" s="11" t="s">
        <v>697</v>
      </c>
      <c r="K67" s="11" t="s">
        <v>2610</v>
      </c>
      <c r="L67" s="11">
        <v>150</v>
      </c>
      <c r="M67" s="11" t="s">
        <v>697</v>
      </c>
      <c r="N67" s="11" t="s">
        <v>2580</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2581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2625</v>
      </c>
      <c r="F69" s="14">
        <v>0</v>
      </c>
      <c r="G69" s="14">
        <v>0</v>
      </c>
      <c r="H69" s="11" t="s">
        <v>2582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2619</v>
      </c>
      <c r="F70" s="14">
        <v>10</v>
      </c>
      <c r="G70" s="14">
        <v>0</v>
      </c>
      <c r="H70" s="11" t="s">
        <v>2620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2644</v>
      </c>
      <c r="F72" s="14">
        <v>15</v>
      </c>
      <c r="G72" s="14">
        <v>0</v>
      </c>
      <c r="H72" s="11" t="s">
        <v>2592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2648</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2645</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2646</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2581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2649</v>
      </c>
      <c r="F77" s="14">
        <v>0</v>
      </c>
      <c r="G77" s="14">
        <v>0</v>
      </c>
      <c r="H77" s="11" t="s">
        <v>2647</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2742</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2743</v>
      </c>
      <c r="F81" s="14">
        <v>0</v>
      </c>
      <c r="G81" s="14">
        <v>0</v>
      </c>
      <c r="H81" s="11" t="s">
        <v>2582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2739</v>
      </c>
      <c r="F82" s="14">
        <v>10</v>
      </c>
      <c r="G82" s="14">
        <v>0</v>
      </c>
      <c r="H82" s="11" t="s">
        <v>2580</v>
      </c>
      <c r="I82" s="14">
        <v>-150</v>
      </c>
      <c r="J82" s="11" t="s">
        <v>697</v>
      </c>
      <c r="K82" s="11" t="s">
        <v>2590</v>
      </c>
      <c r="L82" s="11">
        <v>-150</v>
      </c>
      <c r="M82" s="11" t="s">
        <v>697</v>
      </c>
      <c r="N82" s="11" t="s">
        <v>197</v>
      </c>
      <c r="O82" s="11" t="s">
        <v>2740</v>
      </c>
      <c r="P82" s="11" t="s">
        <v>697</v>
      </c>
      <c r="Q82" s="11" t="s">
        <v>2610</v>
      </c>
      <c r="R82" s="11">
        <v>-150</v>
      </c>
      <c r="S82" s="11" t="s">
        <v>697</v>
      </c>
      <c r="T82" s="11" t="s">
        <v>2610</v>
      </c>
      <c r="U82" s="11">
        <v>-150</v>
      </c>
      <c r="V82" s="11" t="s">
        <v>697</v>
      </c>
    </row>
    <row r="83" spans="1:22">
      <c r="A83" s="8"/>
      <c r="B83" s="14">
        <v>75</v>
      </c>
      <c r="C83" s="14">
        <v>2</v>
      </c>
      <c r="D83" s="14">
        <v>2</v>
      </c>
      <c r="E83" s="11" t="s">
        <v>2741</v>
      </c>
      <c r="F83" s="14">
        <v>10</v>
      </c>
      <c r="G83" s="14">
        <v>0</v>
      </c>
      <c r="H83" s="11" t="s">
        <v>2581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2744</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2745</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2598</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1517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2621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2778</v>
      </c>
      <c r="F89" s="14">
        <v>0</v>
      </c>
      <c r="G89" s="14">
        <v>0</v>
      </c>
      <c r="H89" s="11" t="s">
        <v>2603</v>
      </c>
      <c r="I89" s="14">
        <v>15</v>
      </c>
      <c r="J89" s="11"/>
      <c r="K89" s="11"/>
      <c r="L89" s="11"/>
      <c r="M89" s="11"/>
      <c r="N89" s="11"/>
      <c r="O89" s="11"/>
      <c r="P89" s="11"/>
      <c r="Q89" s="11"/>
      <c r="R89" s="11"/>
      <c r="S89" s="11"/>
      <c r="T89" s="11"/>
      <c r="U89" s="11"/>
      <c r="V89" s="11"/>
    </row>
    <row r="90" spans="1:22">
      <c r="A90" s="8"/>
      <c r="B90" s="14">
        <v>76</v>
      </c>
      <c r="C90" s="14">
        <v>2</v>
      </c>
      <c r="D90" s="14">
        <v>1</v>
      </c>
      <c r="E90" s="11" t="s">
        <v>2779</v>
      </c>
      <c r="F90" s="14">
        <v>10</v>
      </c>
      <c r="G90" s="14">
        <v>0</v>
      </c>
      <c r="H90" s="11" t="s">
        <v>2603</v>
      </c>
      <c r="I90" s="14">
        <v>15</v>
      </c>
      <c r="J90" s="11" t="s">
        <v>697</v>
      </c>
      <c r="K90" s="11" t="s">
        <v>2595</v>
      </c>
      <c r="L90" s="11" t="s">
        <v>2780</v>
      </c>
      <c r="M90" s="11" t="s">
        <v>697</v>
      </c>
      <c r="N90" s="11" t="s">
        <v>197</v>
      </c>
      <c r="O90" s="11" t="s">
        <v>2780</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2781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2782</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2326</v>
      </c>
      <c r="D1" s="9" t="s">
        <v>2297</v>
      </c>
      <c r="E1" s="9" t="s">
        <v>2327</v>
      </c>
      <c r="F1" s="9" t="s">
        <v>2735</v>
      </c>
      <c r="G1" s="9" t="s">
        <v>2736</v>
      </c>
    </row>
    <row r="2" spans="1:7">
      <c r="A2" t="s">
        <v>2324</v>
      </c>
      <c r="B2" s="9" t="s">
        <v>683</v>
      </c>
      <c r="C2" s="9" t="s">
        <v>696</v>
      </c>
      <c r="D2" s="9" t="s">
        <v>2322</v>
      </c>
      <c r="E2" s="9" t="s">
        <v>1106</v>
      </c>
      <c r="F2" s="9" t="s">
        <v>2323</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2325</v>
      </c>
      <c r="E7" s="11" t="s">
        <v>196</v>
      </c>
      <c r="F7" s="11" t="s">
        <v>2329</v>
      </c>
      <c r="G7" s="11" t="s">
        <v>2328</v>
      </c>
    </row>
    <row r="8" spans="1:7">
      <c r="A8" s="8"/>
      <c r="B8" s="14">
        <v>68</v>
      </c>
      <c r="C8" s="14">
        <v>0</v>
      </c>
      <c r="D8" s="11" t="s">
        <v>2326</v>
      </c>
      <c r="E8" s="11" t="s">
        <v>197</v>
      </c>
      <c r="F8" s="11" t="s">
        <v>2329</v>
      </c>
      <c r="G8" s="11" t="s">
        <v>2328</v>
      </c>
    </row>
    <row r="9" spans="1:7">
      <c r="A9" s="8"/>
      <c r="B9" s="14">
        <v>68</v>
      </c>
      <c r="C9" s="14">
        <v>0</v>
      </c>
      <c r="D9" s="11" t="s">
        <v>2297</v>
      </c>
      <c r="E9" s="11" t="s">
        <v>188</v>
      </c>
      <c r="F9" s="11" t="s">
        <v>2329</v>
      </c>
      <c r="G9" s="11" t="s">
        <v>2296</v>
      </c>
    </row>
    <row r="10" spans="1:7">
      <c r="A10" s="8"/>
      <c r="B10" s="14">
        <v>68</v>
      </c>
      <c r="C10" s="14">
        <v>0</v>
      </c>
      <c r="D10" s="11" t="s">
        <v>2327</v>
      </c>
      <c r="E10" s="11" t="s">
        <v>189</v>
      </c>
      <c r="F10" s="11" t="s">
        <v>2329</v>
      </c>
      <c r="G10" s="11" t="s">
        <v>2296</v>
      </c>
    </row>
    <row r="11" spans="1:7">
      <c r="A11" s="8"/>
      <c r="B11" s="14">
        <v>69</v>
      </c>
      <c r="C11" s="14">
        <v>0</v>
      </c>
      <c r="D11" s="11" t="s">
        <v>2325</v>
      </c>
      <c r="E11" s="11" t="s">
        <v>194</v>
      </c>
      <c r="F11" s="11" t="s">
        <v>2329</v>
      </c>
      <c r="G11" s="11" t="s">
        <v>2328</v>
      </c>
    </row>
    <row r="12" spans="1:7">
      <c r="A12" s="8"/>
      <c r="B12" s="14">
        <v>69</v>
      </c>
      <c r="C12" s="14">
        <v>0</v>
      </c>
      <c r="D12" s="11" t="s">
        <v>2326</v>
      </c>
      <c r="E12" s="11" t="s">
        <v>195</v>
      </c>
      <c r="F12" s="11" t="s">
        <v>2329</v>
      </c>
      <c r="G12" s="11" t="s">
        <v>2328</v>
      </c>
    </row>
    <row r="13" spans="1:7">
      <c r="A13" s="8"/>
      <c r="B13" s="14">
        <v>69</v>
      </c>
      <c r="C13" s="14">
        <v>0</v>
      </c>
      <c r="D13" s="11" t="s">
        <v>2297</v>
      </c>
      <c r="E13" s="11" t="s">
        <v>188</v>
      </c>
      <c r="F13" s="11" t="s">
        <v>2329</v>
      </c>
      <c r="G13" s="11" t="s">
        <v>2296</v>
      </c>
    </row>
    <row r="14" spans="1:7">
      <c r="A14" s="8"/>
      <c r="B14" s="14">
        <v>69</v>
      </c>
      <c r="C14" s="14">
        <v>0</v>
      </c>
      <c r="D14" s="11" t="s">
        <v>2327</v>
      </c>
      <c r="E14" s="11" t="s">
        <v>190</v>
      </c>
      <c r="F14" s="11" t="s">
        <v>2329</v>
      </c>
      <c r="G14" s="11" t="s">
        <v>2296</v>
      </c>
    </row>
    <row r="15" spans="1:7">
      <c r="A15" s="8"/>
      <c r="B15" s="14">
        <v>70</v>
      </c>
      <c r="C15" s="14">
        <v>0</v>
      </c>
      <c r="D15" s="11" t="s">
        <v>2325</v>
      </c>
      <c r="E15" s="11" t="s">
        <v>197</v>
      </c>
      <c r="F15" s="11" t="s">
        <v>2329</v>
      </c>
      <c r="G15" s="11" t="s">
        <v>2328</v>
      </c>
    </row>
    <row r="16" spans="1:7">
      <c r="A16" s="8"/>
      <c r="B16" s="14">
        <v>70</v>
      </c>
      <c r="C16" s="14">
        <v>0</v>
      </c>
      <c r="D16" s="11" t="s">
        <v>2326</v>
      </c>
      <c r="E16" s="11" t="s">
        <v>198</v>
      </c>
      <c r="F16" s="11" t="s">
        <v>2329</v>
      </c>
      <c r="G16" s="11" t="s">
        <v>2328</v>
      </c>
    </row>
    <row r="17" spans="1:7">
      <c r="A17" s="8"/>
      <c r="B17" s="14">
        <v>70</v>
      </c>
      <c r="C17" s="14">
        <v>0</v>
      </c>
      <c r="D17" s="11" t="s">
        <v>2297</v>
      </c>
      <c r="E17" s="11" t="s">
        <v>190</v>
      </c>
      <c r="F17" s="11" t="s">
        <v>2329</v>
      </c>
      <c r="G17" s="11" t="s">
        <v>2296</v>
      </c>
    </row>
    <row r="18" spans="1:7">
      <c r="A18" s="8"/>
      <c r="B18" s="14">
        <v>70</v>
      </c>
      <c r="C18" s="14">
        <v>0</v>
      </c>
      <c r="D18" s="11" t="s">
        <v>2327</v>
      </c>
      <c r="E18" s="11" t="s">
        <v>189</v>
      </c>
      <c r="F18" s="11" t="s">
        <v>2329</v>
      </c>
      <c r="G18" s="11" t="s">
        <v>2296</v>
      </c>
    </row>
    <row r="19" spans="1:7">
      <c r="A19" s="8"/>
      <c r="B19" s="14">
        <v>71</v>
      </c>
      <c r="C19" s="14">
        <v>0</v>
      </c>
      <c r="D19" s="11" t="s">
        <v>2325</v>
      </c>
      <c r="E19" s="11" t="s">
        <v>197</v>
      </c>
      <c r="F19" s="11" t="s">
        <v>2329</v>
      </c>
      <c r="G19" s="11" t="s">
        <v>2328</v>
      </c>
    </row>
    <row r="20" spans="1:7">
      <c r="A20" s="8"/>
      <c r="B20" s="14">
        <v>71</v>
      </c>
      <c r="C20" s="14">
        <v>0</v>
      </c>
      <c r="D20" s="11" t="s">
        <v>2326</v>
      </c>
      <c r="E20" s="11" t="s">
        <v>196</v>
      </c>
      <c r="F20" s="11" t="s">
        <v>2329</v>
      </c>
      <c r="G20" s="11" t="s">
        <v>2328</v>
      </c>
    </row>
    <row r="21" spans="1:7">
      <c r="A21" s="8"/>
      <c r="B21" s="14">
        <v>71</v>
      </c>
      <c r="C21" s="14">
        <v>0</v>
      </c>
      <c r="D21" s="11" t="s">
        <v>2297</v>
      </c>
      <c r="E21" s="11" t="s">
        <v>190</v>
      </c>
      <c r="F21" s="11" t="s">
        <v>2329</v>
      </c>
      <c r="G21" s="11" t="s">
        <v>2296</v>
      </c>
    </row>
    <row r="22" spans="1:7">
      <c r="A22" s="8"/>
      <c r="B22" s="14">
        <v>71</v>
      </c>
      <c r="C22" s="14">
        <v>0</v>
      </c>
      <c r="D22" s="11" t="s">
        <v>2327</v>
      </c>
      <c r="E22" s="11" t="s">
        <v>188</v>
      </c>
      <c r="F22" s="11" t="s">
        <v>2329</v>
      </c>
      <c r="G22" s="11" t="s">
        <v>2296</v>
      </c>
    </row>
    <row r="23" spans="1:7">
      <c r="A23" s="8"/>
      <c r="B23" s="14">
        <v>72</v>
      </c>
      <c r="C23" s="14">
        <v>0</v>
      </c>
      <c r="D23" s="11" t="s">
        <v>2325</v>
      </c>
      <c r="E23" s="11" t="s">
        <v>194</v>
      </c>
      <c r="F23" s="11" t="s">
        <v>2329</v>
      </c>
      <c r="G23" s="11" t="s">
        <v>2328</v>
      </c>
    </row>
    <row r="24" spans="1:7">
      <c r="A24" s="8"/>
      <c r="B24" s="14">
        <v>72</v>
      </c>
      <c r="C24" s="14">
        <v>0</v>
      </c>
      <c r="D24" s="11" t="s">
        <v>2297</v>
      </c>
      <c r="E24" s="11" t="s">
        <v>189</v>
      </c>
      <c r="F24" s="11" t="s">
        <v>2329</v>
      </c>
      <c r="G24" s="11" t="s">
        <v>2296</v>
      </c>
    </row>
    <row r="25" spans="1:7">
      <c r="A25" s="8"/>
      <c r="B25" s="14">
        <v>72</v>
      </c>
      <c r="C25" s="14">
        <v>0</v>
      </c>
      <c r="D25" s="11" t="s">
        <v>2327</v>
      </c>
      <c r="E25" s="11" t="s">
        <v>190</v>
      </c>
      <c r="F25" s="11" t="s">
        <v>2329</v>
      </c>
      <c r="G25" s="11" t="s">
        <v>2296</v>
      </c>
    </row>
    <row r="26" spans="1:7">
      <c r="A26" s="8"/>
      <c r="B26" s="14">
        <v>73</v>
      </c>
      <c r="C26" s="14">
        <v>0</v>
      </c>
      <c r="D26" s="11" t="s">
        <v>2325</v>
      </c>
      <c r="E26" s="11" t="s">
        <v>198</v>
      </c>
      <c r="F26" s="11" t="s">
        <v>2329</v>
      </c>
      <c r="G26" s="11" t="s">
        <v>2328</v>
      </c>
    </row>
    <row r="27" spans="1:7">
      <c r="A27" s="8"/>
      <c r="B27" s="14">
        <v>73</v>
      </c>
      <c r="C27" s="14">
        <v>0</v>
      </c>
      <c r="D27" s="11" t="s">
        <v>2326</v>
      </c>
      <c r="E27" s="11" t="s">
        <v>194</v>
      </c>
      <c r="F27" s="11" t="s">
        <v>2329</v>
      </c>
      <c r="G27" s="11" t="s">
        <v>2328</v>
      </c>
    </row>
    <row r="28" spans="1:7">
      <c r="A28" s="8"/>
      <c r="B28" s="14">
        <v>73</v>
      </c>
      <c r="C28" s="14">
        <v>0</v>
      </c>
      <c r="D28" s="11" t="s">
        <v>2297</v>
      </c>
      <c r="E28" s="11" t="s">
        <v>190</v>
      </c>
      <c r="F28" s="11" t="s">
        <v>2329</v>
      </c>
      <c r="G28" s="11" t="s">
        <v>2296</v>
      </c>
    </row>
    <row r="29" spans="1:7">
      <c r="A29" s="8"/>
      <c r="B29" s="14">
        <v>73</v>
      </c>
      <c r="C29" s="14">
        <v>0</v>
      </c>
      <c r="D29" s="11" t="s">
        <v>2327</v>
      </c>
      <c r="E29" s="11" t="s">
        <v>189</v>
      </c>
      <c r="F29" s="11" t="s">
        <v>2329</v>
      </c>
      <c r="G29" s="11" t="s">
        <v>2296</v>
      </c>
    </row>
    <row r="30" spans="1:7">
      <c r="A30" s="8"/>
      <c r="B30" s="14">
        <v>74</v>
      </c>
      <c r="C30" s="14">
        <v>0</v>
      </c>
      <c r="D30" s="11" t="s">
        <v>2325</v>
      </c>
      <c r="E30" s="11" t="s">
        <v>198</v>
      </c>
      <c r="F30" s="11" t="s">
        <v>2329</v>
      </c>
      <c r="G30" s="11" t="s">
        <v>2328</v>
      </c>
    </row>
    <row r="31" spans="1:7">
      <c r="A31" s="8"/>
      <c r="B31" s="14">
        <v>74</v>
      </c>
      <c r="C31" s="14">
        <v>0</v>
      </c>
      <c r="D31" s="11" t="s">
        <v>2326</v>
      </c>
      <c r="E31" s="11" t="s">
        <v>197</v>
      </c>
      <c r="F31" s="11" t="s">
        <v>2329</v>
      </c>
      <c r="G31" s="11" t="s">
        <v>2328</v>
      </c>
    </row>
    <row r="32" spans="1:7">
      <c r="A32" s="8"/>
      <c r="B32" s="14">
        <v>74</v>
      </c>
      <c r="C32" s="14">
        <v>0</v>
      </c>
      <c r="D32" s="11" t="s">
        <v>2297</v>
      </c>
      <c r="E32" s="11" t="s">
        <v>190</v>
      </c>
      <c r="F32" s="11" t="s">
        <v>2329</v>
      </c>
      <c r="G32" s="11" t="s">
        <v>2296</v>
      </c>
    </row>
    <row r="33" spans="1:7">
      <c r="A33" s="8"/>
      <c r="B33" s="14">
        <v>74</v>
      </c>
      <c r="C33" s="14">
        <v>0</v>
      </c>
      <c r="D33" s="11" t="s">
        <v>2327</v>
      </c>
      <c r="E33" s="11" t="s">
        <v>188</v>
      </c>
      <c r="F33" s="11" t="s">
        <v>2329</v>
      </c>
      <c r="G33" s="11" t="s">
        <v>2296</v>
      </c>
    </row>
    <row r="34" spans="1:7">
      <c r="A34" s="8"/>
      <c r="B34" s="14">
        <v>75</v>
      </c>
      <c r="C34" s="14">
        <v>1</v>
      </c>
      <c r="D34" s="11" t="s">
        <v>2325</v>
      </c>
      <c r="E34" s="11" t="s">
        <v>196</v>
      </c>
      <c r="F34" s="11" t="s">
        <v>2329</v>
      </c>
      <c r="G34" s="11" t="s">
        <v>2328</v>
      </c>
    </row>
    <row r="35" spans="1:7">
      <c r="A35" s="8"/>
      <c r="B35" s="14">
        <v>75</v>
      </c>
      <c r="C35" s="14">
        <v>1</v>
      </c>
      <c r="D35" s="11" t="s">
        <v>2326</v>
      </c>
      <c r="E35" s="11" t="s">
        <v>190</v>
      </c>
      <c r="F35" s="11" t="s">
        <v>2329</v>
      </c>
      <c r="G35" s="11" t="s">
        <v>2296</v>
      </c>
    </row>
    <row r="36" spans="1:7">
      <c r="A36" s="8"/>
      <c r="B36" s="14">
        <v>75</v>
      </c>
      <c r="C36" s="14">
        <v>1</v>
      </c>
      <c r="D36" s="11" t="s">
        <v>2297</v>
      </c>
      <c r="E36" s="11" t="s">
        <v>189</v>
      </c>
      <c r="F36" s="11" t="s">
        <v>2329</v>
      </c>
      <c r="G36" s="11" t="s">
        <v>2296</v>
      </c>
    </row>
    <row r="37" spans="1:7">
      <c r="A37" s="8"/>
      <c r="B37" s="14">
        <v>75</v>
      </c>
      <c r="C37" s="14">
        <v>2</v>
      </c>
      <c r="D37" s="11" t="s">
        <v>2325</v>
      </c>
      <c r="E37" s="11" t="s">
        <v>194</v>
      </c>
      <c r="F37" s="11" t="s">
        <v>2329</v>
      </c>
      <c r="G37" s="11" t="s">
        <v>2328</v>
      </c>
    </row>
    <row r="38" spans="1:7">
      <c r="A38" s="8"/>
      <c r="B38" s="14">
        <v>75</v>
      </c>
      <c r="C38" s="14">
        <v>2</v>
      </c>
      <c r="D38" s="11" t="s">
        <v>2326</v>
      </c>
      <c r="E38" s="11" t="s">
        <v>195</v>
      </c>
      <c r="F38" s="11" t="s">
        <v>2329</v>
      </c>
      <c r="G38" s="11" t="s">
        <v>2328</v>
      </c>
    </row>
    <row r="39" spans="1:7">
      <c r="A39" s="8"/>
      <c r="B39" s="14">
        <v>75</v>
      </c>
      <c r="C39" s="14">
        <v>2</v>
      </c>
      <c r="D39" s="11" t="s">
        <v>2297</v>
      </c>
      <c r="E39" s="11" t="s">
        <v>2595</v>
      </c>
      <c r="F39" s="11" t="s">
        <v>2329</v>
      </c>
      <c r="G39" s="11" t="s">
        <v>2328</v>
      </c>
    </row>
    <row r="40" spans="1:7">
      <c r="A40" s="8"/>
      <c r="B40" s="14">
        <v>75</v>
      </c>
      <c r="C40" s="14">
        <v>2</v>
      </c>
      <c r="D40" s="11" t="s">
        <v>2327</v>
      </c>
      <c r="E40" s="11" t="s">
        <v>2295</v>
      </c>
      <c r="F40" s="11" t="s">
        <v>2329</v>
      </c>
      <c r="G40" s="11" t="s">
        <v>2328</v>
      </c>
    </row>
    <row r="41" spans="1:7">
      <c r="A41" s="8"/>
      <c r="B41" s="14">
        <v>75</v>
      </c>
      <c r="C41" s="14">
        <v>2</v>
      </c>
      <c r="D41" s="11" t="s">
        <v>2735</v>
      </c>
      <c r="E41" s="11" t="s">
        <v>2610</v>
      </c>
      <c r="F41" s="11" t="s">
        <v>2329</v>
      </c>
      <c r="G41" s="11" t="s">
        <v>2328</v>
      </c>
    </row>
    <row r="42" spans="1:7">
      <c r="A42" s="8"/>
      <c r="B42" s="14">
        <v>75</v>
      </c>
      <c r="C42" s="14">
        <v>2</v>
      </c>
      <c r="D42" s="11" t="s">
        <v>2736</v>
      </c>
      <c r="E42" s="11" t="s">
        <v>188</v>
      </c>
      <c r="F42" s="11" t="s">
        <v>2329</v>
      </c>
      <c r="G42" s="11" t="s">
        <v>2296</v>
      </c>
    </row>
    <row r="43" spans="1:7">
      <c r="A43" s="8"/>
      <c r="B43" s="14">
        <v>75</v>
      </c>
      <c r="C43" s="14">
        <v>2</v>
      </c>
      <c r="D43" s="11" t="s">
        <v>2737</v>
      </c>
      <c r="E43" s="11" t="s">
        <v>189</v>
      </c>
      <c r="F43" s="11" t="s">
        <v>2329</v>
      </c>
      <c r="G43" s="11" t="s">
        <v>2296</v>
      </c>
    </row>
    <row r="44" spans="1:7">
      <c r="A44" s="8"/>
      <c r="B44" s="14">
        <v>75</v>
      </c>
      <c r="C44" s="14">
        <v>2</v>
      </c>
      <c r="D44" s="11" t="s">
        <v>2738</v>
      </c>
      <c r="E44" s="11" t="s">
        <v>190</v>
      </c>
      <c r="F44" s="11" t="s">
        <v>2329</v>
      </c>
      <c r="G44" s="11" t="s">
        <v>2296</v>
      </c>
    </row>
    <row r="45" spans="1:7">
      <c r="A45" s="8"/>
      <c r="B45" s="14">
        <v>76</v>
      </c>
      <c r="C45" s="14">
        <v>0</v>
      </c>
      <c r="D45" s="11" t="s">
        <v>2325</v>
      </c>
      <c r="E45" s="11" t="s">
        <v>196</v>
      </c>
      <c r="F45" s="11" t="s">
        <v>2329</v>
      </c>
      <c r="G45" s="11" t="s">
        <v>2328</v>
      </c>
    </row>
    <row r="46" spans="1:7">
      <c r="A46" s="8"/>
      <c r="B46" s="14">
        <v>76</v>
      </c>
      <c r="C46" s="14">
        <v>0</v>
      </c>
      <c r="D46" s="11" t="s">
        <v>2326</v>
      </c>
      <c r="E46" s="11" t="s">
        <v>197</v>
      </c>
      <c r="F46" s="11" t="s">
        <v>2329</v>
      </c>
      <c r="G46" s="11" t="s">
        <v>2328</v>
      </c>
    </row>
    <row r="47" spans="1:7">
      <c r="A47" s="8"/>
      <c r="B47" s="14">
        <v>76</v>
      </c>
      <c r="C47" s="14">
        <v>0</v>
      </c>
      <c r="D47" s="11" t="s">
        <v>2297</v>
      </c>
      <c r="E47" s="11" t="s">
        <v>195</v>
      </c>
      <c r="F47" s="11" t="s">
        <v>2329</v>
      </c>
      <c r="G47" s="11" t="s">
        <v>2328</v>
      </c>
    </row>
    <row r="48" spans="1:7">
      <c r="A48" s="8"/>
      <c r="B48" s="14">
        <v>76</v>
      </c>
      <c r="C48" s="14">
        <v>0</v>
      </c>
      <c r="D48" s="11" t="s">
        <v>2775</v>
      </c>
      <c r="E48" s="11" t="s">
        <v>198</v>
      </c>
      <c r="F48" s="11" t="s">
        <v>2329</v>
      </c>
      <c r="G48" s="11" t="s">
        <v>2328</v>
      </c>
    </row>
    <row r="49" spans="1:7">
      <c r="A49" s="8"/>
      <c r="B49" s="14">
        <v>76</v>
      </c>
      <c r="C49" s="14">
        <v>0</v>
      </c>
      <c r="D49" s="11" t="s">
        <v>2776</v>
      </c>
      <c r="E49" s="11" t="s">
        <v>188</v>
      </c>
      <c r="F49" s="11" t="s">
        <v>2329</v>
      </c>
      <c r="G49" s="11" t="s">
        <v>2296</v>
      </c>
    </row>
    <row r="50" spans="1:7">
      <c r="A50" s="8"/>
      <c r="B50" s="14">
        <v>76</v>
      </c>
      <c r="C50" s="14">
        <v>0</v>
      </c>
      <c r="D50" s="11" t="s">
        <v>2777</v>
      </c>
      <c r="E50" s="11" t="s">
        <v>189</v>
      </c>
      <c r="F50" s="11" t="s">
        <v>2329</v>
      </c>
      <c r="G50" s="11" t="s">
        <v>2296</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2025-06-12T17:41:52Z</dcterms:modified>
</cp:coreProperties>
</file>