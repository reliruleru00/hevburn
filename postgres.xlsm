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C87F563-F205-497F-8FFB-53298AFA11C7}" xr6:coauthVersionLast="47" xr6:coauthVersionMax="47" xr10:uidLastSave="{00000000-0000-0000-0000-000000000000}"/>
  <bookViews>
    <workbookView xWindow="28680" yWindow="-120" windowWidth="29040" windowHeight="15840" firstSheet="3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skill_buff!$B$6:$Q$310</definedName>
    <definedName name="_xlnm._FilterDatabase" localSheetId="7" hidden="1">skill_list!$B$6:$J$519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1" i="59" l="1"/>
  <c r="F246" i="59"/>
  <c r="F209" i="59"/>
  <c r="F165" i="59"/>
  <c r="F164" i="59"/>
  <c r="F282" i="59"/>
  <c r="F227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8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81" i="59"/>
  <c r="F280" i="59"/>
  <c r="F145" i="59"/>
  <c r="F279" i="59"/>
  <c r="F278" i="59"/>
  <c r="F277" i="59"/>
  <c r="F276" i="59"/>
  <c r="F275" i="59"/>
  <c r="F274" i="59"/>
  <c r="F273" i="59"/>
  <c r="F272" i="59"/>
  <c r="F271" i="59"/>
  <c r="F270" i="59"/>
  <c r="F269" i="59"/>
  <c r="F268" i="59"/>
  <c r="F267" i="59"/>
  <c r="F266" i="59"/>
  <c r="F310" i="59"/>
  <c r="F143" i="59"/>
  <c r="F144" i="59"/>
  <c r="F142" i="59"/>
  <c r="F309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7" i="59"/>
  <c r="F306" i="59"/>
  <c r="F305" i="59"/>
  <c r="F304" i="59"/>
  <c r="F303" i="59"/>
  <c r="F302" i="59"/>
  <c r="F301" i="59"/>
  <c r="F300" i="59"/>
  <c r="F299" i="59"/>
  <c r="F292" i="59"/>
  <c r="F298" i="59"/>
  <c r="F297" i="59"/>
  <c r="F296" i="59"/>
  <c r="F295" i="59"/>
  <c r="F294" i="59"/>
  <c r="F293" i="59"/>
  <c r="F291" i="59"/>
  <c r="F136" i="59"/>
  <c r="F135" i="59"/>
  <c r="F290" i="59"/>
  <c r="F289" i="59"/>
  <c r="F241" i="59"/>
  <c r="F193" i="59"/>
  <c r="D318" i="58"/>
  <c r="D139" i="58"/>
  <c r="D319" i="58"/>
  <c r="D137" i="58"/>
  <c r="D136" i="58"/>
  <c r="D135" i="58"/>
  <c r="F288" i="59"/>
  <c r="F287" i="59"/>
  <c r="F286" i="59"/>
  <c r="F285" i="59"/>
  <c r="F284" i="59"/>
  <c r="F130" i="59"/>
  <c r="F131" i="59"/>
  <c r="F132" i="59"/>
  <c r="F283" i="59"/>
  <c r="F133" i="59"/>
  <c r="F134" i="59"/>
  <c r="F129" i="59"/>
  <c r="F252" i="59"/>
  <c r="A1" i="60"/>
  <c r="F265" i="59"/>
  <c r="F264" i="59"/>
  <c r="F263" i="59"/>
  <c r="F262" i="59"/>
  <c r="F260" i="59"/>
  <c r="F259" i="59"/>
  <c r="F258" i="59"/>
  <c r="F257" i="59"/>
  <c r="F256" i="59"/>
  <c r="F255" i="59"/>
  <c r="F254" i="59"/>
  <c r="F253" i="59"/>
  <c r="F251" i="59"/>
  <c r="F250" i="59"/>
  <c r="F249" i="59"/>
  <c r="F248" i="59"/>
  <c r="F247" i="59"/>
  <c r="F245" i="59"/>
  <c r="F244" i="59"/>
  <c r="F243" i="59"/>
  <c r="F242" i="59"/>
  <c r="F240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<sst xmlns="http://schemas.openxmlformats.org/spreadsheetml/2006/main" count="3763" uniqueCount="2171">
  <si>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</si>
  <si>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</si>
  <si>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</si>
  <si>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</si>
  <si>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</si>
  <si>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</si>
  <si>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</si>
  <si>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</si>
  <si>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</si>
  <si>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</si>
  <si>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</si>
  <si>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</si>
  <si>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</si>
  <si>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</si>
  <si>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</si>
  <si>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</si>
  <si>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</si>
  <si>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</si>
  <si>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</si>
  <si>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</si>
  <si>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</si>
  <si>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</si>
  <si>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</si>
  <si>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</si>
  <si>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</si>
  <si>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</si>
  <si>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</si>
  <si>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</si>
  <si>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</si>
  <si>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</si>
  <si>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</si>
  <si>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</si>
  <si>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</si>
  <si>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</si>
  <si>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</si>
  <si>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</si>
  <si>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</si>
  <si>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</si>
  <si>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</si>
  <si>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</si>
  <si>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</si>
  <si>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</si>
  <si>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</si>
  <si>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</si>
  <si>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</si>
  <si>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</si>
  <si>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</si>
  <si>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</si>
  <si>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</si>
  <si>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</si>
  <si>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</si>
  <si>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</si>
  <si>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</si>
  <si>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</si>
  <si>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</si>
  <si>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</si>
  <si>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</si>
  <si>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</si>
  <si>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</si>
  <si>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</si>
  <si>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</si>
  <si>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</si>
  <si>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</si>
  <si>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</si>
  <si>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</si>
  <si>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</si>
  <si>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</si>
  <si>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</si>
  <si>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</si>
  <si>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</si>
  <si>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</si>
  <si>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</si>
  <si>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</si>
  <si>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</si>
  <si>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</si>
  <si>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</si>
  <si>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</si>
  <si>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</si>
  <si>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</si>
  <si>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</si>
  <si>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</si>
  <si>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</si>
  <si>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</si>
  <si>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</si>
  <si>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</si>
  <si>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</si>
  <si>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</si>
  <si>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</si>
  <si>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</si>
  <si>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</si>
  <si>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</si>
  <si>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</si>
  <si>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</si>
  <si>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</si>
  <si>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</si>
  <si>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</si>
  <si>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</si>
  <si>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</si>
  <si>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</si>
  <si>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</si>
  <si>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</si>
  <si>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</si>
  <si>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</si>
  <si>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</si>
  <si>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</si>
  <si>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</si>
  <si>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</si>
  <si>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</si>
  <si>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</si>
  <si>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</si>
  <si>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</si>
  <si>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</si>
  <si>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</si>
  <si>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</si>
  <si>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</si>
  <si>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</si>
  <si>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</si>
  <si>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</si>
  <si>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</si>
  <si>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</si>
  <si>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</si>
  <si>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</si>
  <si>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</si>
  <si>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</si>
  <si>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</si>
  <si>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</si>
  <si>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</si>
  <si>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</si>
  <si>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</si>
  <si>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</si>
  <si>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</si>
  <si>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</si>
  <si>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</si>
  <si>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</si>
  <si>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</si>
  <si>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</si>
  <si>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</si>
  <si>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</si>
  <si>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</si>
  <si>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</si>
  <si>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</si>
  <si>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</si>
  <si>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</si>
  <si>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</si>
  <si>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</si>
  <si>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</si>
  <si>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</si>
  <si>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</si>
  <si>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</si>
  <si>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</si>
  <si>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</si>
  <si>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</si>
  <si>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</si>
  <si>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</si>
  <si>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</si>
  <si>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</si>
  <si>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</si>
  <si>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</si>
  <si>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</si>
  <si>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</si>
  <si>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</si>
  <si>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</si>
  <si>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</si>
  <si>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</si>
  <si>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</si>
  <si>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</si>
  <si>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</si>
  <si>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</si>
  <si>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</si>
  <si>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</si>
  <si>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</si>
  <si>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</si>
  <si>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</si>
  <si>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</si>
  <si>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</si>
  <si>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</si>
  <si>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</si>
  <si>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</si>
  <si>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</si>
  <si>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</si>
  <si>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</si>
  <si>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</si>
  <si>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</si>
  <si>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</si>
  <si>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</si>
  <si>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</si>
  <si>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</si>
  <si>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</si>
  <si>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</si>
  <si>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</si>
  <si>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</si>
  <si>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</si>
  <si>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</si>
  <si>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</si>
  <si>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</si>
  <si>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</si>
  <si>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</si>
  <si>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</si>
  <si>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</si>
  <si>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</si>
  <si>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</si>
  <si>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</si>
  <si>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</si>
  <si>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</si>
  <si>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</si>
  <si>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</si>
  <si>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</si>
  <si>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</si>
  <si>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</si>
  <si>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</si>
  <si>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</si>
  <si>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</si>
  <si>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</si>
  <si>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</si>
  <si>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</si>
  <si>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</si>
  <si>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</si>
  <si>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</si>
  <si>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</si>
  <si>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</si>
  <si>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</si>
  <si>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</si>
  <si>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</si>
  <si>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</si>
  <si>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</si>
  <si>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</si>
  <si>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</si>
  <si>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</si>
  <si>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</si>
  <si>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</si>
  <si>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</si>
  <si>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</si>
  <si>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</si>
  <si>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</si>
  <si>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</si>
  <si>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</si>
  <si>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</si>
  <si>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</si>
  <si>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</si>
  <si>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</si>
  <si>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</si>
  <si>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</si>
  <si>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</si>
  <si>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</si>
  <si>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</si>
  <si>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</si>
  <si>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</si>
  <si>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</si>
  <si>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</si>
  <si>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</si>
  <si>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</si>
  <si>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</si>
  <si>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</si>
  <si>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</si>
  <si>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</si>
  <si>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</si>
  <si>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</si>
  <si>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</si>
  <si>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</si>
  <si>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</si>
  <si>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</si>
  <si>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</si>
  <si>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</si>
  <si>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</si>
  <si>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</si>
  <si>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</si>
  <si>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</si>
  <si>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</si>
  <si>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</si>
  <si>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</si>
  <si>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</si>
  <si>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</si>
  <si>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</si>
  <si>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</si>
  <si>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</si>
  <si>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</si>
  <si>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</si>
  <si>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</si>
  <si>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</si>
  <si>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</si>
  <si>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</si>
  <si>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</si>
  <si>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</si>
  <si>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</si>
  <si>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</si>
  <si>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</si>
  <si>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</si>
  <si>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</si>
  <si>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</si>
  <si>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</si>
  <si>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</si>
  <si>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</si>
  <si>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</si>
  <si>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</si>
  <si>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</si>
  <si>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</si>
  <si>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</si>
  <si>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</si>
  <si>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</si>
  <si>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</si>
  <si>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</si>
  <si>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</si>
  <si>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</si>
  <si>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</si>
  <si>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</si>
  <si>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</si>
  <si>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</si>
  <si>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</si>
  <si>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</si>
  <si>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</si>
  <si>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</si>
  <si>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</si>
  <si>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</si>
  <si>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</si>
  <si>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</si>
  <si>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</si>
  <si>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</si>
  <si>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</si>
  <si>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</si>
  <si>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</si>
  <si>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</si>
  <si>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</si>
  <si>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</si>
  <si>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</si>
  <si>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</si>
  <si>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</si>
  <si>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</si>
  <si>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</si>
  <si>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</si>
  <si>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</si>
  <si>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</si>
  <si>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</si>
  <si>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</si>
  <si>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</si>
  <si>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</si>
  <si>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</si>
  <si>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</si>
  <si>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</si>
  <si>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</si>
  <si>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</si>
  <si>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</si>
  <si>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</si>
  <si>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</si>
  <si>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</si>
  <si>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</si>
  <si>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</si>
  <si>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</si>
  <si>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</si>
  <si>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</si>
  <si>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</si>
  <si>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</si>
  <si>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</si>
  <si>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</si>
  <si>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</si>
  <si>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</si>
  <si>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</si>
  <si>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</si>
  <si>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</si>
  <si>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</si>
  <si>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</si>
  <si>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</si>
  <si>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</si>
  <si>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</si>
  <si>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</si>
  <si>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</si>
  <si>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</si>
  <si>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</si>
  <si>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</si>
  <si>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</si>
  <si>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</si>
  <si>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</si>
  <si>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</si>
  <si>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</si>
  <si>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</si>
  <si>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</si>
  <si>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</si>
  <si>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</si>
  <si>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</si>
  <si>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</si>
  <si>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</si>
  <si>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</si>
  <si>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</si>
  <si>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</si>
  <si>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</si>
  <si>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</si>
  <si>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</si>
  <si>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</si>
  <si>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</si>
  <si>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</si>
  <si>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</si>
  <si>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</si>
  <si>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</si>
  <si>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</si>
  <si>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</si>
  <si>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</si>
  <si>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</si>
  <si>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</si>
  <si>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</si>
  <si>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</si>
  <si>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</si>
  <si>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</si>
  <si>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</si>
  <si>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</si>
  <si>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</si>
  <si>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</si>
  <si>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</si>
  <si>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</si>
  <si>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</si>
  <si>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</si>
  <si>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</si>
  <si>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</si>
  <si>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</si>
  <si>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</si>
  <si>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</si>
  <si>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</si>
  <si>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</si>
  <si>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</si>
  <si>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</si>
  <si>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</si>
  <si>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</si>
  <si>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</si>
  <si>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</si>
  <si>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</si>
  <si>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</si>
  <si>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</si>
  <si>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</si>
  <si>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</si>
  <si>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</si>
  <si>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</si>
  <si>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</si>
  <si>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</si>
  <si>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</si>
  <si>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</si>
  <si>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</si>
  <si>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</si>
  <si>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</si>
  <si>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</si>
  <si>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</si>
  <si>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</si>
  <si>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</si>
  <si>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</si>
  <si>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</si>
  <si>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</si>
  <si>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</si>
  <si>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</si>
  <si>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</si>
  <si>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</si>
  <si>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</si>
  <si>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</si>
  <si>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</si>
  <si>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</si>
  <si>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</si>
  <si>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</si>
  <si>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</si>
  <si>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</si>
  <si>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</si>
  <si>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</si>
  <si>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</si>
  <si>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</si>
  <si>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</si>
  <si>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</si>
  <si>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</si>
  <si>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</si>
  <si>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</si>
  <si>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</si>
  <si>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</si>
  <si>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</si>
  <si>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</si>
  <si>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</si>
  <si>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</si>
  <si>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</si>
  <si>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</si>
  <si>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</si>
  <si>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</si>
  <si>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</si>
  <si>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</si>
  <si>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</si>
  <si>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</si>
  <si>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</si>
  <si>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</si>
  <si>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</si>
  <si>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</si>
  <si>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</si>
  <si>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</si>
  <si>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</si>
  <si>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</si>
  <si>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</si>
  <si>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</si>
  <si>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</si>
  <si>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</si>
  <si>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</si>
  <si>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</si>
  <si>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</si>
  <si>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</si>
  <si>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</si>
  <si>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</si>
  <si>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</si>
  <si>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</si>
  <si>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</si>
  <si>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</si>
  <si>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</si>
  <si>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</si>
  <si>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</si>
  <si>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</si>
  <si>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</si>
  <si>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</si>
  <si>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</si>
  <si>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</si>
  <si>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</si>
  <si>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</si>
  <si>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</si>
  <si>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</si>
  <si>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</si>
  <si>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</si>
  <si>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</si>
  <si>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</si>
  <si>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</si>
  <si>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</si>
  <si>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</si>
  <si>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</si>
  <si>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</si>
  <si>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</si>
  <si>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</si>
  <si>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</si>
  <si>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</si>
  <si>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</si>
  <si>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</si>
  <si>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</si>
  <si>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</si>
  <si>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</si>
  <si>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</si>
  <si>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</si>
  <si>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</si>
  <si>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</si>
  <si>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</si>
  <si>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</si>
  <si>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</si>
  <si>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</si>
  <si>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</si>
  <si>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</si>
  <si>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</si>
  <si>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</si>
  <si>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</si>
  <si>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</si>
  <si>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</si>
  <si>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</si>
  <si>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</si>
  <si>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</si>
  <si>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</si>
  <si>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</si>
  <si>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</si>
  <si>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</si>
  <si>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</si>
  <si>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</si>
  <si>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</si>
  <si>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</si>
  <si>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</si>
  <si>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</si>
  <si>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</si>
  <si>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</si>
  <si>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</si>
  <si>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</si>
  <si>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</si>
  <si>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</si>
  <si>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</si>
  <si>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</si>
  <si>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</si>
  <si>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</si>
  <si>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</si>
  <si>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</si>
  <si>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</si>
  <si>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</si>
  <si>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</si>
  <si>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</si>
  <si>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</si>
  <si>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</si>
  <si>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</si>
  <si>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</si>
  <si>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</si>
  <si>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</si>
  <si>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</si>
  <si>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</si>
  <si>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</si>
  <si>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</si>
  <si>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</si>
  <si>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</si>
  <si>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</si>
  <si>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</si>
  <si>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</si>
  <si>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</si>
  <si>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</si>
  <si>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</si>
  <si>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</si>
  <si>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</si>
  <si>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</si>
  <si>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</si>
  <si>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</si>
  <si>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</si>
  <si>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</si>
  <si>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</si>
  <si>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</si>
  <si>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</si>
  <si>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</si>
  <si>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</si>
  <si>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</si>
  <si>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</si>
  <si>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</si>
  <si>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</si>
  <si>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</si>
  <si>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</si>
  <si>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</si>
  <si>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</si>
  <si>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</si>
  <si>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</si>
  <si>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</si>
  <si>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</si>
  <si>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</si>
  <si>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</si>
  <si>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</si>
  <si>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</si>
  <si>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</si>
  <si>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</si>
  <si>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</si>
  <si>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</si>
  <si>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</si>
  <si>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</si>
  <si>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</si>
  <si>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</si>
  <si>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</si>
  <si>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</si>
  <si>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</si>
  <si>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</si>
  <si>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</si>
  <si>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</si>
  <si>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</si>
  <si>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</si>
  <si>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</si>
  <si>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</si>
  <si>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</si>
  <si>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</si>
  <si>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</si>
  <si>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</si>
  <si>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</si>
  <si>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</si>
  <si>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</si>
  <si>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</si>
  <si>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</si>
  <si>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</si>
  <si>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</si>
  <si>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</si>
  <si>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</si>
  <si>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</si>
  <si>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</si>
  <si>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</si>
  <si>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</si>
  <si>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</si>
  <si>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</si>
  <si>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</si>
  <si>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</si>
  <si>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</si>
  <si>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</si>
  <si>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</si>
  <si>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</si>
  <si>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</si>
  <si>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</si>
  <si>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</si>
  <si>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</si>
  <si>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</si>
  <si>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</si>
  <si>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</si>
  <si>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</si>
  <si>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</si>
  <si>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</si>
  <si>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</si>
  <si>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</si>
  <si>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</si>
  <si>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</si>
  <si>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</si>
  <si>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</si>
  <si>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</si>
  <si>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</si>
  <si>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</si>
  <si>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</si>
  <si>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</si>
  <si>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</si>
  <si>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</si>
  <si>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</si>
  <si>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</si>
  <si>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</si>
  <si>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</si>
  <si>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</si>
  <si>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</si>
  <si>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</si>
  <si>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</si>
  <si>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</si>
  <si>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</si>
  <si>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</si>
  <si>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</si>
  <si>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</si>
  <si>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</si>
  <si>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</si>
  <si>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</si>
  <si>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</si>
  <si>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</si>
  <si>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</si>
  <si>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</si>
  <si>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</si>
  <si>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</si>
  <si>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</si>
  <si>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</si>
  <si>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</si>
  <si>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</si>
  <si>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</si>
  <si>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</si>
  <si>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</si>
  <si>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</si>
  <si>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</si>
  <si>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</si>
  <si>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</si>
  <si>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</si>
  <si>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</si>
  <si>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</si>
  <si>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</si>
  <si>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</si>
  <si>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</si>
  <si>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</si>
  <si>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</si>
  <si>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</si>
  <si>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</si>
  <si>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</si>
  <si>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</si>
  <si>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</si>
  <si>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</si>
  <si>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</si>
  <si>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</si>
  <si>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</si>
  <si>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</si>
  <si>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</si>
  <si>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</si>
  <si>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</si>
  <si>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</si>
  <si>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</si>
  <si>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</si>
  <si>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</si>
  <si>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</si>
  <si>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</si>
  <si>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</si>
  <si>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</si>
  <si>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</si>
  <si>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</si>
  <si>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</si>
  <si>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</si>
  <si>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</si>
  <si>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</si>
  <si>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</si>
  <si>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</si>
  <si>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</si>
  <si>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</si>
  <si>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</si>
  <si>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</si>
  <si>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</si>
  <si>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</si>
  <si>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</si>
  <si>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</si>
  <si>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</si>
  <si>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</si>
  <si>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</si>
  <si>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</si>
  <si>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</si>
  <si>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</si>
  <si>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</si>
  <si>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</si>
  <si>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</si>
  <si>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</si>
  <si>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</si>
  <si>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</si>
  <si>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</si>
  <si>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</si>
  <si>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</si>
  <si>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</si>
  <si>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</si>
  <si>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</si>
  <si>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</si>
  <si>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</si>
  <si>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</si>
  <si>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</si>
  <si>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</si>
  <si>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</si>
  <si>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</si>
  <si>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</si>
  <si>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</si>
  <si>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</si>
  <si>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</si>
  <si>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</si>
  <si>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</si>
  <si>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</si>
  <si>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</si>
  <si>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</si>
  <si>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</si>
  <si>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</si>
  <si>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</si>
  <si>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</si>
  <si>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</si>
  <si>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</si>
  <si>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</si>
  <si>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</si>
  <si>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</si>
  <si>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</si>
  <si>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</si>
  <si>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</si>
  <si>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</si>
  <si>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</si>
  <si>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</si>
  <si>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</si>
  <si>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</si>
  <si>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</si>
  <si>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</si>
  <si>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</si>
  <si>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</si>
  <si>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</si>
  <si>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</si>
  <si>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</si>
  <si>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</si>
  <si>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</si>
  <si>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</si>
  <si>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</si>
  <si>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</si>
  <si>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</si>
  <si>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</si>
  <si>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</si>
  <si>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</si>
  <si>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</si>
  <si>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</si>
  <si>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</si>
  <si>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</si>
  <si>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</si>
  <si>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</si>
  <si>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</si>
  <si>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</si>
  <si>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</si>
  <si>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</si>
  <si>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</si>
  <si>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</si>
  <si>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</si>
  <si>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</si>
  <si>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</si>
  <si>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</si>
  <si>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</si>
  <si>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</si>
  <si>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</si>
  <si>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</si>
  <si>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</si>
  <si>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</si>
  <si>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</si>
  <si>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</si>
  <si>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</si>
  <si>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</si>
  <si>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</si>
  <si>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</si>
  <si>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</si>
  <si>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</si>
  <si>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</si>
  <si>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</si>
  <si>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</si>
  <si>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</si>
  <si>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</si>
  <si>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</si>
  <si>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</si>
  <si>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</si>
  <si>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</si>
  <si>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</si>
  <si>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</si>
  <si>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</si>
  <si>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</si>
  <si>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</si>
  <si>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</si>
  <si>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</si>
  <si>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</si>
  <si>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</si>
  <si>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</si>
  <si>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</si>
  <si>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</si>
  <si>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</si>
  <si>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</si>
  <si>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</si>
  <si>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</si>
  <si>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</si>
  <si>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</si>
  <si>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</si>
  <si>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</si>
  <si>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</si>
  <si>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</si>
  <si>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</si>
  <si>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</si>
  <si>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</si>
  <si>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</si>
  <si>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</si>
  <si>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</si>
  <si>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</si>
  <si>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</si>
  <si>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</si>
  <si>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</si>
  <si>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</si>
  <si>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</si>
  <si>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</si>
  <si>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</si>
  <si>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</si>
  <si>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</si>
  <si>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</si>
  <si>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</si>
  <si>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</si>
  <si>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</si>
  <si>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</si>
  <si>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</si>
  <si>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</si>
  <si>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</si>
  <si>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</si>
  <si>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</si>
  <si>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</si>
  <si>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</si>
  <si>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</si>
  <si>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</si>
  <si>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</si>
  <si>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</si>
  <si>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</si>
  <si>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</si>
  <si>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</si>
  <si>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</si>
  <si>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</si>
  <si>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</si>
  <si>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</si>
  <si>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</si>
  <si>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</si>
  <si>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</si>
  <si>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</si>
  <si>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</si>
  <si>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</si>
  <si>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</si>
  <si>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</si>
  <si>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</si>
  <si>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</si>
  <si>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</si>
  <si>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</si>
  <si>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</si>
  <si>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</si>
  <si>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</si>
  <si>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</si>
  <si>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</si>
  <si>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</si>
  <si>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</si>
  <si>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</si>
  <si>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</si>
  <si>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</si>
  <si>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</si>
  <si>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</si>
  <si>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</si>
  <si>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</si>
  <si>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</si>
  <si>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</si>
  <si>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</si>
  <si>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</si>
  <si>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</si>
  <si>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</si>
  <si>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</si>
  <si>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</si>
  <si>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</si>
  <si>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</si>
  <si>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</si>
  <si>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</si>
  <si>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</si>
  <si>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</si>
  <si>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</si>
  <si>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</si>
  <si>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</si>
  <si>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</si>
  <si>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</si>
  <si>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</si>
  <si>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</si>
  <si>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</si>
  <si>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</si>
  <si>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</si>
  <si>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</si>
  <si>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</si>
  <si>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</si>
  <si>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</si>
  <si>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</si>
  <si>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</si>
  <si>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</si>
  <si>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</si>
  <si>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</si>
  <si>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</si>
  <si>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</si>
  <si>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</si>
  <si>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</si>
  <si>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</si>
  <si>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</si>
  <si>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</si>
  <si>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</si>
  <si>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</si>
  <si>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</si>
  <si>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</si>
  <si>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</si>
  <si>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</si>
  <si>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</si>
  <si>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</si>
  <si>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</si>
  <si>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</si>
  <si>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</si>
  <si>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</si>
  <si>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</si>
  <si>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</si>
  <si>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</si>
  <si>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</si>
  <si>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</si>
  <si>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</si>
  <si>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</si>
  <si>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</si>
  <si>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</si>
  <si>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</si>
  <si>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</si>
  <si>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</si>
  <si>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</si>
  <si>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</si>
  <si>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</si>
  <si>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</si>
  <si>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</si>
  <si>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</si>
  <si>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</si>
  <si>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</si>
  <si>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</si>
  <si>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</si>
  <si>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</si>
  <si>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</si>
  <si>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</si>
  <si>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</si>
  <si>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</si>
  <si>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</si>
  <si>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</si>
  <si>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</si>
  <si>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</si>
  <si>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</si>
  <si>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</si>
  <si>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</si>
  <si>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</si>
  <si>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</si>
  <si>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</si>
  <si>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</si>
  <si>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</si>
  <si>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</si>
  <si>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</si>
  <si>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</si>
  <si>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</si>
  <si>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</si>
  <si>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</si>
  <si>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</si>
  <si>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</si>
  <si>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</si>
  <si>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</si>
  <si>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</si>
  <si>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</si>
  <si>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</si>
  <si>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</si>
  <si>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</si>
  <si>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</si>
  <si>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</si>
  <si>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</si>
  <si>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</si>
  <si>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</si>
  <si>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</si>
  <si>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</si>
  <si>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</si>
  <si>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</si>
  <si>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</si>
  <si>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</si>
  <si>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</si>
  <si>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</si>
  <si>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</si>
  <si>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</si>
  <si>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</si>
  <si>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</si>
  <si>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</si>
  <si>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</si>
  <si>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</si>
  <si>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</si>
  <si>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</si>
  <si>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</si>
  <si>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</si>
  <si>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</si>
  <si>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</si>
  <si>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</si>
  <si>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</si>
  <si>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</si>
  <si>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</si>
  <si>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</si>
  <si>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</si>
  <si>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</si>
  <si>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</si>
  <si>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</si>
  <si>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</si>
  <si>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</si>
  <si>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</si>
  <si>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</si>
  <si>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</si>
  <si>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</si>
  <si>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</si>
  <si>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</si>
  <si>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</si>
  <si>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</si>
  <si>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</si>
  <si>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</si>
  <si>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</si>
  <si>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</si>
  <si>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</si>
  <si>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</si>
  <si>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</si>
  <si>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</si>
  <si>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</si>
  <si>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</si>
  <si>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</si>
  <si>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</si>
  <si>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</si>
  <si>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</si>
  <si>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</si>
  <si>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</si>
  <si>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</si>
  <si>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</si>
  <si>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</si>
  <si>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</si>
  <si>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</si>
  <si>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</si>
  <si>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</si>
  <si>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</si>
  <si>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</si>
  <si>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</si>
  <si>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</si>
  <si>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</si>
  <si>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</si>
  <si>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</si>
  <si>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</si>
  <si>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</si>
  <si>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</si>
  <si>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</si>
  <si>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</si>
  <si>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</si>
  <si>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</si>
  <si>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</si>
  <si>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</si>
  <si>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</si>
  <si>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</si>
  <si>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</si>
  <si>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</si>
  <si>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</si>
  <si>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</si>
  <si>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</si>
  <si>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</si>
  <si>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</si>
  <si>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</si>
  <si>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</si>
  <si>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</si>
  <si>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</si>
  <si>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</si>
  <si>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</si>
  <si>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</si>
  <si>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</si>
  <si>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</si>
  <si>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</si>
  <si>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</si>
  <si>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</si>
  <si>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</si>
  <si>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</si>
  <si>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</si>
  <si>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</si>
  <si>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</si>
  <si>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</si>
  <si>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</si>
  <si>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</si>
  <si>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</si>
  <si>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</si>
  <si>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</si>
  <si>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</si>
  <si>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</si>
  <si>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</si>
  <si>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</si>
  <si>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</si>
  <si>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</si>
  <si>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</si>
  <si>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</si>
  <si>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</si>
  <si>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</si>
  <si>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</si>
  <si>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</si>
  <si>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</si>
  <si>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</si>
  <si>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</si>
  <si>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</si>
  <si>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</si>
  <si>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</si>
  <si>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</si>
  <si>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</si>
  <si>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</si>
  <si>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</si>
  <si>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</si>
  <si>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</si>
  <si>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</si>
  <si>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</si>
  <si>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</si>
  <si>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</si>
  <si>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</si>
  <si>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</si>
  <si>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</si>
  <si>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</si>
  <si>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</si>
  <si>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</si>
  <si>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</si>
  <si>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</si>
  <si>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</si>
  <si>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</si>
  <si>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</si>
  <si>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</si>
  <si>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</si>
  <si>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</si>
  <si>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</si>
  <si>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</si>
  <si>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</si>
  <si>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</si>
  <si>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</si>
  <si>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</si>
  <si>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</si>
  <si>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</si>
  <si>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</si>
  <si>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</si>
  <si>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</si>
  <si>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</si>
  <si>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</si>
  <si>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</si>
  <si>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</si>
  <si>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</si>
  <si>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</si>
  <si>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</si>
  <si>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</si>
  <si>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</si>
  <si>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</si>
  <si>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</si>
  <si>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</si>
  <si>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</si>
  <si>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</si>
  <si>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</si>
  <si>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</si>
  <si>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</si>
  <si>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</si>
  <si>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</si>
  <si>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</si>
  <si>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</si>
  <si>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</si>
  <si>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</si>
  <si>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</si>
  <si>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</si>
  <si>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</si>
  <si>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</si>
  <si>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</si>
  <si>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</si>
  <si>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</si>
  <si>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</si>
  <si>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</si>
  <si>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</si>
  <si>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</si>
  <si>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</si>
  <si>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</si>
  <si>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</si>
  <si>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</si>
  <si>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</si>
  <si>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</si>
  <si>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</si>
  <si>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</si>
  <si>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</si>
  <si>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</si>
  <si>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</si>
  <si>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</si>
  <si>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</si>
  <si>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</si>
  <si>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</si>
  <si>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</si>
  <si>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</si>
  <si>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</si>
  <si>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</si>
  <si>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</si>
  <si>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</si>
  <si>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</si>
  <si>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</si>
  <si>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</si>
  <si>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</si>
  <si>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</si>
  <si>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</si>
  <si>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</si>
  <si>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</si>
  <si>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</si>
  <si>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</si>
  <si>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</si>
  <si>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</si>
  <si>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</si>
  <si>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</si>
  <si>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</si>
  <si>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</si>
  <si>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</si>
  <si>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</si>
  <si>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</si>
  <si>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</si>
  <si>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</si>
  <si>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</si>
  <si>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</si>
  <si>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</si>
  <si>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</si>
  <si>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</si>
  <si>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</si>
  <si>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</si>
  <si>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</si>
  <si>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</si>
  <si>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</si>
  <si>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</si>
  <si>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</si>
  <si>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</si>
  <si>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</si>
  <si>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</si>
  <si>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</si>
  <si>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</si>
  <si>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</si>
  <si>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</si>
  <si>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</si>
  <si>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</si>
  <si>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</si>
  <si>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</si>
  <si>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</si>
  <si>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</si>
  <si>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</si>
  <si>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</si>
  <si>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</si>
  <si>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</si>
  <si>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</si>
  <si>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</si>
  <si>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</si>
  <si>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</si>
  <si>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</si>
  <si>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</si>
  <si>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</si>
  <si>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</si>
  <si>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</si>
  <si>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</si>
  <si>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</si>
  <si>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</si>
  <si>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</si>
  <si>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</si>
  <si>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</si>
  <si>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</si>
  <si>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</si>
  <si>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</si>
  <si>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</si>
  <si>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</si>
  <si>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</si>
  <si>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</si>
  <si>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</si>
  <si>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</si>
  <si>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</si>
  <si>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</si>
  <si>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</si>
  <si>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</si>
  <si>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</si>
  <si>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</si>
  <si>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</si>
  <si>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</si>
  <si>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</si>
  <si>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</si>
  <si>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</si>
  <si>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</si>
  <si>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</si>
  <si>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</si>
  <si>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</si>
  <si>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</si>
  <si>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</si>
  <si>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</si>
  <si>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</si>
  <si>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</si>
  <si>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</si>
  <si>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</si>
  <si>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</si>
  <si>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</si>
  <si>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</si>
  <si>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</si>
  <si>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</si>
  <si>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</si>
  <si>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</si>
  <si>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</si>
  <si>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</si>
  <si>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</si>
  <si>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</si>
  <si>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</si>
  <si>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</si>
  <si>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</si>
  <si>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</si>
  <si>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</si>
  <si>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</si>
  <si>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</si>
  <si>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</si>
  <si>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</si>
  <si>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</si>
  <si>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</si>
  <si>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</si>
  <si>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</si>
  <si>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</si>
  <si>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</si>
  <si>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</si>
  <si>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</si>
  <si>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</si>
  <si>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</si>
  <si>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</si>
  <si>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</si>
  <si>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</si>
  <si>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</si>
  <si>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</si>
  <si>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</si>
  <si>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</si>
  <si>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</si>
  <si>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</si>
  <si>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</si>
  <si>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</si>
  <si>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</si>
  <si>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</si>
  <si>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</si>
  <si>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</si>
  <si>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</si>
  <si>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</si>
  <si>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</si>
  <si>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</si>
  <si>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</si>
  <si>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</si>
  <si>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</si>
  <si>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</si>
  <si>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</si>
  <si>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</si>
  <si>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</si>
  <si>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</si>
  <si>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</si>
  <si>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</si>
  <si>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</si>
  <si>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</si>
  <si>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</si>
  <si>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</si>
  <si>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</si>
  <si>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</si>
  <si>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</si>
  <si>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</si>
  <si>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</si>
  <si>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</si>
  <si>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</si>
  <si>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</si>
  <si>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</si>
  <si>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</si>
  <si>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</si>
  <si>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</si>
  <si>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</si>
  <si>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</si>
  <si>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</si>
  <si>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</si>
  <si>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</si>
  <si>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</si>
  <si>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</si>
  <si>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</si>
  <si>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</si>
  <si>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</si>
  <si>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</si>
  <si>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</si>
  <si>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</si>
  <si>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</si>
  <si>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</si>
  <si>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</si>
  <si>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</si>
  <si>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</si>
  <si>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</si>
  <si>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</si>
  <si>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</si>
  <si>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</si>
  <si>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</si>
  <si>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</si>
  <si>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</si>
  <si>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</si>
  <si>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</si>
  <si>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</si>
  <si>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</si>
  <si>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</si>
  <si>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</si>
  <si>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</si>
  <si>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</si>
  <si>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</si>
  <si>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</si>
  <si>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</si>
  <si>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</si>
  <si>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</si>
  <si>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</si>
  <si>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</si>
  <si>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</si>
  <si>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</si>
  <si>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</si>
  <si>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</si>
  <si>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</si>
  <si>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</si>
  <si>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</si>
  <si>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</si>
  <si>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</si>
  <si>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</si>
  <si>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</si>
  <si>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</si>
  <si>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</si>
  <si>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</si>
  <si>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</si>
  <si>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</si>
  <si>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</si>
  <si>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</si>
  <si>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</si>
  <si>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</si>
  <si>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</si>
  <si>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</si>
  <si>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</si>
  <si>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</si>
  <si>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</si>
  <si>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</si>
  <si>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</si>
  <si>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</si>
  <si>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</si>
  <si>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</si>
  <si>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</si>
  <si>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</si>
  <si>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</si>
  <si>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</si>
  <si>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</si>
  <si>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</si>
  <si>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</si>
  <si>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</si>
  <si>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</si>
  <si>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</si>
  <si>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</si>
  <si>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</si>
  <si>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</si>
  <si>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</si>
  <si>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</si>
  <si>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</si>
  <si>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</si>
  <si>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</si>
  <si>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</si>
  <si>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</si>
  <si>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</si>
  <si>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</si>
  <si>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</si>
  <si>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</si>
  <si>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</si>
  <si>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</si>
  <si>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</si>
  <si>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</si>
  <si>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</si>
  <si>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</si>
  <si>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</si>
  <si>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</si>
  <si>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</si>
  <si>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</si>
  <si>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</si>
  <si>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</si>
  <si>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</si>
  <si>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</si>
  <si>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</si>
  <si>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</si>
  <si>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</si>
  <si>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</si>
  <si>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</si>
  <si>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</si>
  <si>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</si>
  <si>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</si>
  <si>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</si>
  <si>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</si>
  <si>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</si>
  <si>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</si>
  <si>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</si>
  <si>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</si>
  <si>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</si>
  <si>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</si>
  <si>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</si>
  <si>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</si>
  <si>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</si>
  <si>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</si>
  <si>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</si>
  <si>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</si>
  <si>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</si>
  <si>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</si>
  <si>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</si>
  <si>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</si>
  <si>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</si>
  <si>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</si>
  <si>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</si>
  <si>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</si>
  <si>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</si>
  <si>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</si>
  <si>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</si>
  <si>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</si>
  <si>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</si>
  <si>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</si>
  <si>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</si>
  <si>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</si>
  <si>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</si>
  <si>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</si>
  <si>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</si>
  <si>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</si>
  <si>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</si>
  <si>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</si>
  <si>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</si>
  <si>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</si>
  <si>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</si>
  <si>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</si>
  <si>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</si>
  <si>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</si>
  <si>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</si>
  <si>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</si>
  <si>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</si>
  <si>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</si>
  <si>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</si>
  <si>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</si>
  <si>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</si>
  <si>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</si>
  <si>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</si>
  <si>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</si>
  <si>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</si>
  <si>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</si>
  <si>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</si>
  <si>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</si>
  <si>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</si>
  <si>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</si>
  <si>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</si>
  <si>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</si>
  <si>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</si>
  <si>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</si>
  <si>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</si>
  <si>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</si>
  <si>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</si>
  <si>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</si>
  <si>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</si>
  <si>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</si>
  <si>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</si>
  <si>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</si>
  <si>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</si>
  <si>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</si>
  <si>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</si>
  <si>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</si>
  <si>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</si>
  <si>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</si>
  <si>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</si>
  <si>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</si>
  <si>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</si>
  <si>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</si>
  <si>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</si>
  <si>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</si>
  <si>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</si>
  <si>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</si>
  <si>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</si>
  <si>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</si>
  <si>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</si>
  <si>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</si>
  <si>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</si>
  <si>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</si>
  <si>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</si>
  <si>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</si>
  <si>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</si>
  <si>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</si>
  <si>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</si>
  <si>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</si>
  <si>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</si>
  <si>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</si>
  <si>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</si>
  <si>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</si>
  <si>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</si>
  <si>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</si>
  <si>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</si>
  <si>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</si>
  <si>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</si>
  <si>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</si>
  <si>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</si>
  <si>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</si>
  <si>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</si>
  <si>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</si>
  <si>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</si>
  <si>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</si>
  <si>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</si>
  <si>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</si>
  <si>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</si>
  <si>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</si>
  <si>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</si>
  <si>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</si>
  <si>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</si>
  <si>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</si>
  <si>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</si>
  <si>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</si>
  <si>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</si>
  <si>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</si>
  <si>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</si>
  <si>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</si>
  <si>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</si>
  <si>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</si>
  <si>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</si>
  <si>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</si>
  <si>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</si>
  <si>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</si>
  <si>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</si>
  <si>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</si>
  <si>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</si>
  <si>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</si>
  <si>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</si>
  <si>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</si>
  <si>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</si>
  <si>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</si>
  <si>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</si>
  <si>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</si>
  <si>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</si>
  <si>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</si>
  <si>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</si>
  <si>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</si>
  <si>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</si>
  <si>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</si>
  <si>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</si>
  <si>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</si>
  <si>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</si>
  <si>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</si>
  <si>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</si>
  <si>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</si>
  <si>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</si>
  <si>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</si>
  <si>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</si>
  <si>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</si>
  <si>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</si>
  <si>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</si>
  <si>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</si>
  <si>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</si>
  <si>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</si>
  <si>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</si>
  <si>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</si>
  <si>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</si>
  <si>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</si>
  <si>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</si>
  <si>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</si>
  <si>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</si>
  <si>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</si>
  <si>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</si>
  <si>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</si>
  <si>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</si>
  <si>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</si>
  <si>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</si>
  <si>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</si>
  <si>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</si>
  <si>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</si>
  <si>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</si>
  <si>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</si>
  <si>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</si>
  <si>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</si>
  <si>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</si>
  <si>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</si>
  <si>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</si>
  <si>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</si>
  <si>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</si>
  <si>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</si>
  <si>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</si>
  <si>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</si>
  <si>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</si>
  <si>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</si>
  <si>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</si>
  <si>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</si>
  <si>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</si>
  <si>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</si>
  <si>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</si>
  <si>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</si>
  <si>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</si>
  <si>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</si>
  <si>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</si>
  <si>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</si>
  <si>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</si>
  <si>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</si>
  <si>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</si>
  <si>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</si>
  <si>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</si>
  <si>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</si>
  <si>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</si>
  <si>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</si>
  <si>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</si>
  <si>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</si>
  <si>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</si>
  <si>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</si>
  <si>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</si>
  <si>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</si>
  <si>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</si>
  <si>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</si>
  <si>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</si>
  <si>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</si>
  <si>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</si>
  <si>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</si>
  <si>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</si>
  <si>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</si>
  <si>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</si>
  <si>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</si>
  <si>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</si>
  <si>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</si>
  <si>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</si>
  <si>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</si>
  <si>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</si>
  <si>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</si>
  <si>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</si>
  <si>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</si>
  <si>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</si>
  <si>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</si>
  <si>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</si>
  <si>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</si>
  <si>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</si>
  <si>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</si>
  <si>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</si>
  <si>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</si>
  <si>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</si>
  <si>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</si>
  <si>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</si>
  <si>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</si>
  <si>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</si>
  <si>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</si>
  <si>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</si>
  <si>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</si>
  <si>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</si>
  <si>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</si>
  <si>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</si>
  <si>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</si>
  <si>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</si>
  <si>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</si>
  <si>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</si>
  <si>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</si>
  <si>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</si>
  <si>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</si>
  <si>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</si>
  <si>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</si>
  <si>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</si>
  <si>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</si>
  <si>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</si>
  <si>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</si>
  <si>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</si>
  <si>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</si>
  <si>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</si>
  <si>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</si>
  <si>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</si>
  <si>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</si>
  <si>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</si>
  <si>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</si>
  <si>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</si>
  <si>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</si>
  <si>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</si>
  <si>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</si>
  <si>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</si>
  <si>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</si>
  <si>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</si>
  <si>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</si>
  <si>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</si>
  <si>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</si>
  <si>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</si>
  <si>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</si>
  <si>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</si>
  <si>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</si>
  <si>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</si>
  <si>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</si>
  <si>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</si>
  <si>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</si>
  <si>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</si>
  <si>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</si>
  <si>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</si>
  <si>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</si>
  <si>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</si>
  <si>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</si>
  <si>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</si>
  <si>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</si>
  <si>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</si>
  <si>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</si>
  <si>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</si>
  <si>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</si>
  <si>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</si>
  <si>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</si>
  <si>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</si>
  <si>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</si>
  <si>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</si>
  <si>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</si>
  <si>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</si>
  <si>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</si>
  <si>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</si>
  <si>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</si>
  <si>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</si>
  <si>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</si>
  <si>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</si>
  <si>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</si>
  <si>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</si>
  <si>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</si>
  <si>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</si>
  <si>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</si>
  <si>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</si>
  <si>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</si>
  <si>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</si>
  <si>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</si>
  <si>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</si>
  <si>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</si>
  <si>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</si>
  <si>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</si>
  <si>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</si>
  <si>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</si>
  <si>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</si>
  <si>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</si>
  <si>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</si>
  <si>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</si>
  <si>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</si>
  <si>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</si>
  <si>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</si>
  <si>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</si>
  <si>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</si>
  <si>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</si>
  <si>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</si>
  <si>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</si>
  <si>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</si>
  <si>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</si>
  <si>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</si>
  <si>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</si>
  <si>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</si>
  <si>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</si>
  <si>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</si>
  <si>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</si>
  <si>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</si>
  <si>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</si>
  <si>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</si>
  <si>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</si>
  <si>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</si>
  <si>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</si>
  <si>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</si>
  <si>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</si>
  <si>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</si>
  <si>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</si>
  <si>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</si>
  <si>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</si>
  <si>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</si>
  <si>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</si>
  <si>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</si>
  <si>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</si>
  <si>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</si>
  <si>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</si>
  <si>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</si>
  <si>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</si>
  <si>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</si>
  <si>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</si>
  <si>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</si>
  <si>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</si>
  <si>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</si>
  <si>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</si>
  <si>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</si>
  <si>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</si>
  <si>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</si>
  <si>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</si>
  <si>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</si>
  <si>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</si>
  <si>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</si>
  <si>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</si>
  <si>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</si>
  <si>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</si>
  <si>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</si>
  <si>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</si>
  <si>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</si>
  <si>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</si>
  <si>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</si>
  <si>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</si>
  <si>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</si>
  <si>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</si>
  <si>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</si>
  <si>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</si>
  <si>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</si>
  <si>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</si>
  <si>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</si>
  <si>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</si>
  <si>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</si>
  <si>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</si>
  <si>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</si>
  <si>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</si>
  <si>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</si>
  <si>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</si>
  <si>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</si>
  <si>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</si>
  <si>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</si>
  <si>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</si>
  <si>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</si>
  <si>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</si>
  <si>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</si>
  <si>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</si>
  <si>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</si>
  <si>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</si>
  <si>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</si>
  <si>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</si>
  <si>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</si>
  <si>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</si>
  <si>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</si>
  <si>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</si>
  <si>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</si>
  <si>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</si>
  <si>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</si>
  <si>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</si>
  <si>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</si>
  <si>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</si>
  <si>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</si>
  <si>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</si>
  <si>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</si>
  <si>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</si>
  <si>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</si>
  <si>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</si>
  <si>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</si>
  <si>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</si>
  <si>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</si>
  <si>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</si>
  <si>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</si>
  <si>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</si>
  <si>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</si>
  <si>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</si>
  <si>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</si>
  <si>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</si>
  <si>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</si>
  <si>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</si>
  <si>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</si>
  <si>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</si>
  <si>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</si>
  <si>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</si>
  <si>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</si>
  <si>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</si>
  <si>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</si>
  <si>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</si>
  <si>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</si>
  <si>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</si>
  <si>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</si>
  <si>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</si>
  <si>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</si>
  <si>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</si>
  <si>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</si>
  <si>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</si>
  <si>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</si>
  <si>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</si>
  <si>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</si>
  <si>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</si>
  <si>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</si>
  <si>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</si>
  <si>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</si>
  <si>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</si>
  <si>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</si>
  <si>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</si>
  <si>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</si>
  <si>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</si>
  <si>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</si>
  <si>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</si>
  <si>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</si>
  <si>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</si>
  <si>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</si>
  <si>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</si>
  <si>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</si>
  <si>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</si>
  <si>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</si>
  <si>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</si>
  <si>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</si>
  <si>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</si>
  <si>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</si>
  <si>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</si>
  <si>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</si>
  <si>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</si>
  <si>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</si>
  <si>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</si>
  <si>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</si>
  <si>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</si>
  <si>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</si>
  <si>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</si>
  <si>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</si>
  <si>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</si>
  <si>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</si>
  <si>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</si>
  <si>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</si>
  <si>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</si>
  <si>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</si>
  <si>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</si>
  <si>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</si>
  <si>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</si>
  <si>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</si>
  <si>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</si>
  <si>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</si>
  <si>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</si>
  <si>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</si>
  <si>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</si>
  <si>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</si>
  <si>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</si>
  <si>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</si>
  <si>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</si>
  <si>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</si>
  <si>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</si>
  <si>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</si>
  <si>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</si>
  <si>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</si>
  <si>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</si>
  <si>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</si>
  <si>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</si>
  <si>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</si>
  <si>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</si>
  <si>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</si>
  <si>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</si>
  <si>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</si>
  <si>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</si>
  <si>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</si>
  <si>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</si>
  <si>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</si>
  <si>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</si>
  <si>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</si>
  <si>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</si>
  <si>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</si>
  <si>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</si>
  <si>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</si>
  <si>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</si>
  <si>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</si>
  <si>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</si>
  <si>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</si>
  <si>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</si>
  <si>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</si>
  <si>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</si>
  <si>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</si>
  <si>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</si>
  <si>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</si>
  <si>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</si>
  <si>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</si>
  <si>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</si>
  <si>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</si>
  <si>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</si>
  <si>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</si>
  <si>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</si>
  <si>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</si>
  <si>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</si>
  <si>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</si>
  <si>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</si>
  <si>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</si>
  <si>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</si>
  <si>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</si>
  <si>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</si>
  <si>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</si>
  <si>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</si>
  <si>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</si>
  <si>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</si>
  <si>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</si>
  <si>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</si>
  <si>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</si>
  <si>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</si>
  <si>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</si>
  <si>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</si>
  <si>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</si>
  <si>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</si>
  <si>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</si>
  <si>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</si>
  <si>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</si>
  <si>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</si>
  <si>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</si>
  <si>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</si>
  <si>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</si>
  <si>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</si>
  <si>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</si>
  <si>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</si>
  <si>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</si>
  <si>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</si>
  <si>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</si>
  <si>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</si>
  <si>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</si>
  <si>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</si>
  <si>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</si>
  <si>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連撃＋</t>
    <rPh sb="0" eb="2">
      <t>レンゲキ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</si>
</sst>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A59" s="8"/>
      <c r="B59" s="14">
        <v>500</v>
      </c>
      <c r="C59" s="11" t="s">
        <v>2167</v>
      </c>
      <c r="D59" s="11" t="s">
        <v>2168</v>
      </c>
      <c r="E59" s="11" t="s">
        <v>2169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7"/>
  <sheetViews>
    <sheetView zoomScale="85" zoomScaleNormal="85" workbookViewId="0">
      <pane ySplit="6" topLeftCell="A148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2148</v>
      </c>
      <c r="E25" s="15">
        <v>400</v>
      </c>
      <c r="F25" s="11" t="s">
        <v>2153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2149</v>
      </c>
      <c r="E26" s="15">
        <v>400</v>
      </c>
      <c r="F26" s="11" t="s">
        <v>2153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2150</v>
      </c>
      <c r="E27" s="15">
        <v>400</v>
      </c>
      <c r="F27" s="11" t="s">
        <v>2153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2151</v>
      </c>
      <c r="E28" s="15">
        <v>400</v>
      </c>
      <c r="F28" s="11" t="s">
        <v>2153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2152</v>
      </c>
      <c r="E29" s="15">
        <v>400</v>
      </c>
      <c r="F29" s="11" t="s">
        <v>2153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6</v>
      </c>
      <c r="C167" s="15">
        <v>12</v>
      </c>
      <c r="D167" s="11" t="s">
        <v>2161</v>
      </c>
      <c r="E167" s="15">
        <v>300</v>
      </c>
      <c r="F167" s="11" t="s">
        <v>2164</v>
      </c>
      <c r="G167" s="15">
        <v>7050500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5</v>
      </c>
      <c r="N167" s="15">
        <v>250</v>
      </c>
      <c r="O167" s="15">
        <v>100</v>
      </c>
      <c r="P167" s="15">
        <v>100</v>
      </c>
      <c r="Q167" s="15">
        <v>100</v>
      </c>
      <c r="R167" s="15">
        <v>100</v>
      </c>
      <c r="S167" s="15">
        <v>57</v>
      </c>
    </row>
    <row r="168" spans="1:19">
      <c r="A168" s="8"/>
      <c r="B168" s="15">
        <v>7</v>
      </c>
      <c r="C168" s="15">
        <v>1</v>
      </c>
      <c r="D168" s="11" t="s">
        <v>581</v>
      </c>
      <c r="E168" s="15">
        <v>400</v>
      </c>
      <c r="F168" s="11" t="s">
        <v>808</v>
      </c>
      <c r="G168" s="15">
        <v>235000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2</v>
      </c>
      <c r="D169" s="11" t="s">
        <v>582</v>
      </c>
      <c r="E169" s="15">
        <v>380</v>
      </c>
      <c r="F169" s="11" t="s">
        <v>809</v>
      </c>
      <c r="G169" s="15">
        <v>175000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3</v>
      </c>
      <c r="D170" s="11" t="s">
        <v>583</v>
      </c>
      <c r="E170" s="15">
        <v>360</v>
      </c>
      <c r="F170" s="11" t="s">
        <v>810</v>
      </c>
      <c r="G170" s="15">
        <v>124000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7</v>
      </c>
      <c r="C171" s="15">
        <v>4</v>
      </c>
      <c r="D171" s="11" t="s">
        <v>584</v>
      </c>
      <c r="E171" s="15">
        <v>340</v>
      </c>
      <c r="F171" s="11" t="s">
        <v>811</v>
      </c>
      <c r="G171" s="15">
        <v>82500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</v>
      </c>
      <c r="S171" s="15"/>
    </row>
    <row r="172" spans="1:19">
      <c r="A172" s="8"/>
      <c r="B172" s="15">
        <v>8</v>
      </c>
      <c r="C172" s="15">
        <v>1</v>
      </c>
      <c r="D172" s="11" t="s">
        <v>882</v>
      </c>
      <c r="E172" s="15">
        <v>355</v>
      </c>
      <c r="F172" s="11" t="s">
        <v>899</v>
      </c>
      <c r="G172" s="15">
        <v>238600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2</v>
      </c>
      <c r="D173" s="11" t="s">
        <v>884</v>
      </c>
      <c r="E173" s="15">
        <v>355</v>
      </c>
      <c r="F173" s="11" t="s">
        <v>898</v>
      </c>
      <c r="G173" s="15">
        <v>2164700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3</v>
      </c>
      <c r="D174" s="11" t="s">
        <v>881</v>
      </c>
      <c r="E174" s="15">
        <v>370</v>
      </c>
      <c r="F174" s="11" t="s">
        <v>897</v>
      </c>
      <c r="G174" s="15">
        <v>320900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4</v>
      </c>
      <c r="D175" s="11" t="s">
        <v>883</v>
      </c>
      <c r="E175" s="15">
        <v>370</v>
      </c>
      <c r="F175" s="11" t="s">
        <v>896</v>
      </c>
      <c r="G175" s="15">
        <v>2911200</v>
      </c>
      <c r="H175" s="15">
        <v>5</v>
      </c>
      <c r="I175" s="15">
        <v>300</v>
      </c>
      <c r="J175" s="15">
        <v>250</v>
      </c>
      <c r="K175" s="15">
        <v>100</v>
      </c>
      <c r="L175" s="15">
        <v>100</v>
      </c>
      <c r="M175" s="15">
        <v>250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5</v>
      </c>
      <c r="D176" s="11" t="s">
        <v>720</v>
      </c>
      <c r="E176" s="15">
        <v>330</v>
      </c>
      <c r="F176" s="11" t="s">
        <v>812</v>
      </c>
      <c r="G176" s="15">
        <v>4000000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6</v>
      </c>
      <c r="D177" s="11" t="s">
        <v>719</v>
      </c>
      <c r="E177" s="15">
        <v>340</v>
      </c>
      <c r="F177" s="11" t="s">
        <v>789</v>
      </c>
      <c r="G177" s="15">
        <v>10000000</v>
      </c>
      <c r="H177" s="15">
        <v>5</v>
      </c>
      <c r="I177" s="15">
        <v>999</v>
      </c>
      <c r="J177" s="15">
        <v>250</v>
      </c>
      <c r="K177" s="15">
        <v>250</v>
      </c>
      <c r="L177" s="15">
        <v>250</v>
      </c>
      <c r="M177" s="15">
        <v>250</v>
      </c>
      <c r="N177" s="15">
        <v>250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7</v>
      </c>
      <c r="D178" s="11" t="s">
        <v>2123</v>
      </c>
      <c r="E178" s="15">
        <v>355</v>
      </c>
      <c r="F178" s="11" t="s">
        <v>1867</v>
      </c>
      <c r="G178" s="15">
        <v>4000000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8</v>
      </c>
      <c r="C179" s="15">
        <v>8</v>
      </c>
      <c r="D179" s="11" t="s">
        <v>2124</v>
      </c>
      <c r="E179" s="15">
        <v>370</v>
      </c>
      <c r="F179" s="11" t="s">
        <v>796</v>
      </c>
      <c r="G179" s="15">
        <v>8500000</v>
      </c>
      <c r="H179" s="15">
        <v>5</v>
      </c>
      <c r="I179" s="15">
        <v>300</v>
      </c>
      <c r="J179" s="15">
        <v>250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1</v>
      </c>
      <c r="D180" s="11" t="s">
        <v>845</v>
      </c>
      <c r="E180" s="15">
        <v>290</v>
      </c>
      <c r="F180" s="11" t="s">
        <v>834</v>
      </c>
      <c r="G180" s="15">
        <v>4500000</v>
      </c>
      <c r="H180" s="15">
        <v>5</v>
      </c>
      <c r="I180" s="15">
        <v>400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150</v>
      </c>
      <c r="P180" s="15">
        <v>50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2</v>
      </c>
      <c r="D181" s="11" t="s">
        <v>846</v>
      </c>
      <c r="E181" s="15">
        <v>360</v>
      </c>
      <c r="F181" s="11" t="s">
        <v>835</v>
      </c>
      <c r="G181" s="15">
        <v>12000000</v>
      </c>
      <c r="H181" s="15">
        <v>5</v>
      </c>
      <c r="I181" s="15">
        <v>300</v>
      </c>
      <c r="J181" s="15">
        <v>250</v>
      </c>
      <c r="K181" s="15">
        <v>250</v>
      </c>
      <c r="L181" s="15">
        <v>250</v>
      </c>
      <c r="M181" s="15">
        <v>250</v>
      </c>
      <c r="N181" s="15">
        <v>250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3</v>
      </c>
      <c r="D182" s="11" t="s">
        <v>1653</v>
      </c>
      <c r="E182" s="15">
        <v>400</v>
      </c>
      <c r="F182" s="11" t="s">
        <v>1654</v>
      </c>
      <c r="G182" s="15">
        <v>42000000</v>
      </c>
      <c r="H182" s="15">
        <v>5</v>
      </c>
      <c r="I182" s="15">
        <v>700</v>
      </c>
      <c r="J182" s="15">
        <v>100</v>
      </c>
      <c r="K182" s="15">
        <v>400</v>
      </c>
      <c r="L182" s="15">
        <v>100</v>
      </c>
      <c r="M182" s="15">
        <v>100</v>
      </c>
      <c r="N182" s="15">
        <v>400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4</v>
      </c>
      <c r="D183" s="11" t="s">
        <v>2132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</v>
      </c>
      <c r="C184" s="15">
        <v>5</v>
      </c>
      <c r="D184" s="11" t="s">
        <v>2133</v>
      </c>
      <c r="E184" s="15">
        <v>400</v>
      </c>
      <c r="F184" s="11" t="s">
        <v>2139</v>
      </c>
      <c r="G184" s="15">
        <v>15000000</v>
      </c>
      <c r="H184" s="15">
        <v>5</v>
      </c>
      <c r="I184" s="15">
        <v>600</v>
      </c>
      <c r="J184" s="15">
        <v>400</v>
      </c>
      <c r="K184" s="15">
        <v>100</v>
      </c>
      <c r="L184" s="15">
        <v>100</v>
      </c>
      <c r="M184" s="15">
        <v>400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10</v>
      </c>
      <c r="C185" s="15">
        <v>1</v>
      </c>
      <c r="D185" s="11" t="s">
        <v>2125</v>
      </c>
      <c r="E185" s="15">
        <v>361</v>
      </c>
      <c r="F185" s="11" t="s">
        <v>758</v>
      </c>
      <c r="G185" s="15">
        <v>35100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11</v>
      </c>
      <c r="C186" s="15">
        <v>1</v>
      </c>
      <c r="D186" s="11" t="s">
        <v>2162</v>
      </c>
      <c r="E186" s="15">
        <v>649</v>
      </c>
      <c r="F186" s="11" t="s">
        <v>2165</v>
      </c>
      <c r="G186" s="15">
        <v>7254000</v>
      </c>
      <c r="H186" s="15">
        <v>10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50</v>
      </c>
      <c r="P186" s="15">
        <v>100</v>
      </c>
      <c r="Q186" s="15">
        <v>150</v>
      </c>
      <c r="R186" s="15">
        <v>100</v>
      </c>
      <c r="S186" s="15"/>
    </row>
    <row r="187" spans="1:19">
      <c r="A187" s="8"/>
      <c r="B187" s="15">
        <v>11</v>
      </c>
      <c r="C187" s="15">
        <v>2</v>
      </c>
      <c r="D187" s="11" t="s">
        <v>2163</v>
      </c>
      <c r="E187" s="15">
        <v>673</v>
      </c>
      <c r="F187" s="11" t="s">
        <v>2166</v>
      </c>
      <c r="G187" s="15">
        <v>2808000</v>
      </c>
      <c r="H187" s="15">
        <v>10</v>
      </c>
      <c r="I187" s="15">
        <v>999</v>
      </c>
      <c r="J187" s="15">
        <v>150</v>
      </c>
      <c r="K187" s="15">
        <v>150</v>
      </c>
      <c r="L187" s="15">
        <v>150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1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2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3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4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5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6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7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  <row r="195" spans="1:19">
      <c r="A195" s="8"/>
      <c r="B195" s="15">
        <v>99</v>
      </c>
      <c r="C195" s="15">
        <v>8</v>
      </c>
      <c r="D195" s="11" t="s">
        <v>874</v>
      </c>
      <c r="E195" s="15">
        <v>360</v>
      </c>
      <c r="F195" s="11" t="s">
        <v>875</v>
      </c>
      <c r="G195" s="15">
        <v>10000000</v>
      </c>
      <c r="H195" s="15">
        <v>8</v>
      </c>
      <c r="I195" s="15">
        <v>999</v>
      </c>
      <c r="J195" s="15">
        <v>100</v>
      </c>
      <c r="K195" s="15">
        <v>100</v>
      </c>
      <c r="L195" s="15">
        <v>100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/>
    </row>
    <row r="196" spans="1:19">
      <c r="A196" s="8"/>
      <c r="B196" s="15">
        <v>99</v>
      </c>
      <c r="C196" s="15">
        <v>9</v>
      </c>
      <c r="D196" s="11" t="s">
        <v>874</v>
      </c>
      <c r="E196" s="15">
        <v>360</v>
      </c>
      <c r="F196" s="11" t="s">
        <v>875</v>
      </c>
      <c r="G196" s="15">
        <v>10000000</v>
      </c>
      <c r="H196" s="15">
        <v>8</v>
      </c>
      <c r="I196" s="15">
        <v>999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/>
    </row>
    <row r="197" spans="1:19">
      <c r="A197" s="8"/>
      <c r="B197" s="15">
        <v>99</v>
      </c>
      <c r="C197" s="15">
        <v>10</v>
      </c>
      <c r="D197" s="11" t="s">
        <v>874</v>
      </c>
      <c r="E197" s="15">
        <v>360</v>
      </c>
      <c r="F197" s="11" t="s">
        <v>875</v>
      </c>
      <c r="G197" s="15">
        <v>10000000</v>
      </c>
      <c r="H197" s="15">
        <v>8</v>
      </c>
      <c r="I197" s="15">
        <v>999</v>
      </c>
      <c r="J197" s="15">
        <v>100</v>
      </c>
      <c r="K197" s="15">
        <v>100</v>
      </c>
      <c r="L197" s="15">
        <v>100</v>
      </c>
      <c r="M197" s="15">
        <v>100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/>
    </row>
  </sheetData>
  <phoneticPr fontId="1"/>
  <dataValidations count="1">
    <dataValidation type="list" allowBlank="1" showInputMessage="1" showErrorMessage="1" sqref="A7:A197" xr:uid="{D165E579-D785-4EE9-B0EA-00D204F7ACF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0"/>
  <sheetViews>
    <sheetView zoomScale="85" zoomScaleNormal="85" workbookViewId="0">
      <pane ySplit="6" topLeftCell="A505" activePane="bottomLeft" state="frozen"/>
      <selection pane="bottomLeft" activeCell="L510" sqref="L51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8001</v>
      </c>
      <c r="C513" s="15" t="s">
        <v>550</v>
      </c>
      <c r="D513" s="15">
        <v>501</v>
      </c>
      <c r="E513" s="15">
        <v>0</v>
      </c>
      <c r="F513" s="15">
        <v>0</v>
      </c>
      <c r="G513" s="15">
        <v>0</v>
      </c>
      <c r="H513" s="15">
        <v>1</v>
      </c>
      <c r="I513" s="15"/>
    </row>
    <row r="514" spans="1:9">
      <c r="A514" s="8"/>
      <c r="B514" s="15">
        <v>8002</v>
      </c>
      <c r="C514" s="15" t="s">
        <v>538</v>
      </c>
      <c r="D514" s="15">
        <v>501</v>
      </c>
      <c r="E514" s="15">
        <v>0</v>
      </c>
      <c r="F514" s="15">
        <v>0</v>
      </c>
      <c r="G514" s="15">
        <v>0</v>
      </c>
      <c r="H514" s="15">
        <v>1</v>
      </c>
      <c r="I514" s="15"/>
    </row>
    <row r="515" spans="1:9">
      <c r="A515" s="8"/>
      <c r="B515" s="15">
        <v>8003</v>
      </c>
      <c r="C515" s="15" t="s">
        <v>2170</v>
      </c>
      <c r="D515" s="15">
        <v>501</v>
      </c>
      <c r="E515" s="15">
        <v>0</v>
      </c>
      <c r="F515" s="15">
        <v>0</v>
      </c>
      <c r="G515" s="15">
        <v>0</v>
      </c>
      <c r="H515" s="15">
        <v>1</v>
      </c>
      <c r="I515" s="15"/>
    </row>
    <row r="516" spans="1:9">
      <c r="A516" s="8"/>
      <c r="B516" s="15">
        <v>9001</v>
      </c>
      <c r="C516" s="15" t="s">
        <v>2028</v>
      </c>
      <c r="D516" s="15">
        <v>0</v>
      </c>
      <c r="E516" s="15">
        <v>0</v>
      </c>
      <c r="F516" s="15">
        <v>5</v>
      </c>
      <c r="G516" s="15">
        <v>450</v>
      </c>
      <c r="H516" s="15">
        <v>1</v>
      </c>
      <c r="I516" s="15"/>
    </row>
    <row r="517" spans="1:9">
      <c r="A517" s="8"/>
      <c r="B517" s="15">
        <v>9002</v>
      </c>
      <c r="C517" s="15" t="s">
        <v>1661</v>
      </c>
      <c r="D517" s="15">
        <v>0</v>
      </c>
      <c r="E517" s="15">
        <v>0</v>
      </c>
      <c r="F517" s="15">
        <v>11</v>
      </c>
      <c r="G517" s="15">
        <v>450</v>
      </c>
      <c r="H517" s="15">
        <v>1</v>
      </c>
      <c r="I517" s="15"/>
    </row>
    <row r="518" spans="1:9">
      <c r="A518" s="8"/>
      <c r="B518" s="15">
        <v>9003</v>
      </c>
      <c r="C518" s="15" t="s">
        <v>1656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9004</v>
      </c>
      <c r="C519" s="15" t="s">
        <v>1659</v>
      </c>
      <c r="D519" s="15">
        <v>0</v>
      </c>
      <c r="E519" s="15">
        <v>0</v>
      </c>
      <c r="F519" s="15">
        <v>3</v>
      </c>
      <c r="G519" s="15">
        <v>450</v>
      </c>
      <c r="H519" s="15">
        <v>1</v>
      </c>
      <c r="I519" s="15"/>
    </row>
    <row r="520" spans="1:9">
      <c r="A520" s="8"/>
      <c r="B520" s="15">
        <v>9005</v>
      </c>
      <c r="C520" s="15" t="s">
        <v>590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9006</v>
      </c>
      <c r="C521" s="15" t="s">
        <v>530</v>
      </c>
      <c r="D521" s="15">
        <v>0</v>
      </c>
      <c r="E521" s="15">
        <v>0</v>
      </c>
      <c r="F521" s="15">
        <v>4</v>
      </c>
      <c r="G521" s="15">
        <v>450</v>
      </c>
      <c r="H521" s="15">
        <v>1</v>
      </c>
      <c r="I521" s="15"/>
    </row>
    <row r="522" spans="1:9">
      <c r="A522" s="8"/>
      <c r="B522" s="15">
        <v>9007</v>
      </c>
      <c r="C522" s="15" t="s">
        <v>1657</v>
      </c>
      <c r="D522" s="15">
        <v>0</v>
      </c>
      <c r="E522" s="15">
        <v>0</v>
      </c>
      <c r="F522" s="15">
        <v>1</v>
      </c>
      <c r="G522" s="15">
        <v>0</v>
      </c>
      <c r="H522" s="15">
        <v>1</v>
      </c>
      <c r="I522" s="15"/>
    </row>
    <row r="523" spans="1:9">
      <c r="A523" s="8"/>
      <c r="B523" s="15">
        <v>9008</v>
      </c>
      <c r="C523" s="15" t="s">
        <v>1660</v>
      </c>
      <c r="D523" s="15">
        <v>0</v>
      </c>
      <c r="E523" s="15">
        <v>0</v>
      </c>
      <c r="F523" s="15">
        <v>4</v>
      </c>
      <c r="G523" s="15">
        <v>450</v>
      </c>
      <c r="H523" s="15">
        <v>1</v>
      </c>
      <c r="I523" s="15"/>
    </row>
    <row r="524" spans="1:9">
      <c r="A524" s="8"/>
      <c r="B524" s="15">
        <v>9009</v>
      </c>
      <c r="C524" s="15" t="s">
        <v>586</v>
      </c>
      <c r="D524" s="15">
        <v>0</v>
      </c>
      <c r="E524" s="15">
        <v>0</v>
      </c>
      <c r="F524" s="15">
        <v>9</v>
      </c>
      <c r="G524" s="15">
        <v>200</v>
      </c>
      <c r="H524" s="15">
        <v>1</v>
      </c>
      <c r="I524" s="15"/>
    </row>
    <row r="525" spans="1:9">
      <c r="A525" s="8"/>
      <c r="B525" s="15">
        <v>9010</v>
      </c>
      <c r="C525" s="15" t="s">
        <v>1658</v>
      </c>
      <c r="D525" s="15">
        <v>0</v>
      </c>
      <c r="E525" s="15">
        <v>0</v>
      </c>
      <c r="F525" s="15">
        <v>6</v>
      </c>
      <c r="G525" s="15">
        <v>200</v>
      </c>
      <c r="H525" s="15">
        <v>1</v>
      </c>
      <c r="I525" s="15"/>
    </row>
    <row r="526" spans="1:9">
      <c r="A526" s="8"/>
      <c r="B526" s="15">
        <v>9011</v>
      </c>
      <c r="C526" s="15" t="s">
        <v>1662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9012</v>
      </c>
      <c r="C527" s="15" t="s">
        <v>2029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  <row r="528" spans="1:9">
      <c r="A528" s="8"/>
      <c r="B528" s="15">
        <v>9013</v>
      </c>
      <c r="C528" s="15" t="s">
        <v>1663</v>
      </c>
      <c r="D528" s="15">
        <v>0</v>
      </c>
      <c r="E528" s="15">
        <v>0</v>
      </c>
      <c r="F528" s="15">
        <v>6</v>
      </c>
      <c r="G528" s="15">
        <v>0</v>
      </c>
      <c r="H528" s="15">
        <v>1</v>
      </c>
      <c r="I528" s="15"/>
    </row>
    <row r="529" spans="1:9">
      <c r="A529" s="8"/>
      <c r="B529" s="15">
        <v>9014</v>
      </c>
      <c r="C529" s="15" t="s">
        <v>2030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/>
    </row>
    <row r="530" spans="1:9">
      <c r="A530" s="8"/>
      <c r="B530" s="15">
        <v>9015</v>
      </c>
      <c r="C530" s="15" t="s">
        <v>2031</v>
      </c>
      <c r="D530" s="15">
        <v>0</v>
      </c>
      <c r="E530" s="15">
        <v>0</v>
      </c>
      <c r="F530" s="15">
        <v>6</v>
      </c>
      <c r="G530" s="15">
        <v>0</v>
      </c>
      <c r="H530" s="15">
        <v>1</v>
      </c>
      <c r="I530" s="15"/>
    </row>
  </sheetData>
  <autoFilter ref="B6:J519" xr:uid="{3F84FBC2-D1A1-4918-8ACB-795AE24453E5}"/>
  <phoneticPr fontId="1"/>
  <dataValidations count="1">
    <dataValidation type="list" allowBlank="1" showInputMessage="1" showErrorMessage="1" sqref="A7:A530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75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VLOOKUP(C7,skill_list!$B$7:$C$1033,2)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VLOOKUP(C8,skill_list!$B$7:$C$1033,2)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VLOOKUP(C9,skill_list!$B$7:$C$1033,2)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VLOOKUP(C10,skill_list!$B$7:$C$1033,2)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VLOOKUP(C11,skill_list!$B$7:$C$1033,2)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VLOOKUP(C12,skill_list!$B$7:$C$1033,2)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VLOOKUP(C13,skill_list!$B$7:$C$1033,2)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VLOOKUP(C14,skill_list!$B$7:$C$1033,2)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VLOOKUP(C15,skill_list!$B$7:$C$1033,2)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VLOOKUP(C16,skill_list!$B$7:$C$1033,2)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VLOOKUP(C17,skill_list!$B$7:$C$1033,2)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VLOOKUP(C18,skill_list!$B$7:$C$1033,2)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VLOOKUP(C19,skill_list!$B$7:$C$1033,2)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VLOOKUP(C20,skill_list!$B$7:$C$1033,2)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VLOOKUP(C21,skill_list!$B$7:$C$1033,2)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VLOOKUP(C22,skill_list!$B$7:$C$1033,2)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VLOOKUP(C23,skill_list!$B$7:$C$1033,2)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VLOOKUP(C24,skill_list!$B$7:$C$1033,2)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VLOOKUP(C25,skill_list!$B$7:$C$1033,2)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VLOOKUP(C26,skill_list!$B$7:$C$1033,2)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VLOOKUP(C27,skill_list!$B$7:$C$1033,2)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VLOOKUP(C28,skill_list!$B$7:$C$1033,2)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VLOOKUP(C29,skill_list!$B$7:$C$1033,2)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VLOOKUP(C30,skill_list!$B$7:$C$1033,2)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VLOOKUP(C31,skill_list!$B$7:$C$1033,2)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VLOOKUP(C32,skill_list!$B$7:$C$1033,2)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VLOOKUP(C33,skill_list!$B$7:$C$1033,2)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VLOOKUP(C34,skill_list!$B$7:$C$1033,2)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VLOOKUP(C35,skill_list!$B$7:$C$1033,2)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VLOOKUP(C36,skill_list!$B$7:$C$1033,2)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VLOOKUP(C37,skill_list!$B$7:$C$1033,2)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VLOOKUP(C38,skill_list!$B$7:$C$1033,2)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VLOOKUP(C39,skill_list!$B$7:$C$1033,2)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VLOOKUP(C40,skill_list!$B$7:$C$1033,2)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VLOOKUP(C41,skill_list!$B$7:$C$1033,2)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VLOOKUP(C42,skill_list!$B$7:$C$1033,2)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VLOOKUP(C43,skill_list!$B$7:$C$1033,2)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VLOOKUP(C44,skill_list!$B$7:$C$1033,2)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VLOOKUP(C45,skill_list!$B$7:$C$1033,2)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VLOOKUP(C46,skill_list!$B$7:$C$1033,2)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VLOOKUP(C47,skill_list!$B$7:$C$1033,2)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VLOOKUP(C48,skill_list!$B$7:$C$1033,2)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VLOOKUP(C49,skill_list!$B$7:$C$1033,2)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VLOOKUP(C50,skill_list!$B$7:$C$1033,2)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VLOOKUP(C51,skill_list!$B$7:$C$1033,2)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VLOOKUP(C52,skill_list!$B$7:$C$1033,2)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VLOOKUP(C53,skill_list!$B$7:$C$1033,2)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VLOOKUP(C54,skill_list!$B$7:$C$1033,2)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VLOOKUP(C55,skill_list!$B$7:$C$1033,2)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VLOOKUP(C56,skill_list!$B$7:$C$1033,2)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VLOOKUP(C57,skill_list!$B$7:$C$1033,2)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VLOOKUP(C58,skill_list!$B$7:$C$1033,2)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VLOOKUP(C59,skill_list!$B$7:$C$1033,2)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VLOOKUP(C60,skill_list!$B$7:$C$1033,2)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VLOOKUP(C61,skill_list!$B$7:$C$1033,2)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VLOOKUP(C62,skill_list!$B$7:$C$1033,2)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VLOOKUP(C63,skill_list!$B$7:$C$1033,2)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VLOOKUP(C64,skill_list!$B$7:$C$1033,2)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VLOOKUP(C65,skill_list!$B$7:$C$1033,2)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VLOOKUP(C66,skill_list!$B$7:$C$1033,2)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VLOOKUP(C67,skill_list!$B$7:$C$1033,2)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VLOOKUP(C68,skill_list!$B$7:$C$1033,2)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VLOOKUP(C69,skill_list!$B$7:$C$1033,2)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VLOOKUP(C70,skill_list!$B$7:$C$1033,2)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VLOOKUP(C71,skill_list!$B$7:$C$1033,2)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VLOOKUP(C72,skill_list!$B$7:$C$1033,2)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VLOOKUP(C73,skill_list!$B$7:$C$1033,2)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VLOOKUP(C74,skill_list!$B$7:$C$1033,2)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VLOOKUP(C75,skill_list!$B$7:$C$1033,2)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VLOOKUP(C76,skill_list!$B$7:$C$1033,2)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VLOOKUP(C77,skill_list!$B$7:$C$1033,2)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VLOOKUP(C78,skill_list!$B$7:$C$1033,2)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VLOOKUP(C79,skill_list!$B$7:$C$1033,2)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VLOOKUP(C80,skill_list!$B$7:$C$1033,2)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VLOOKUP(C81,skill_list!$B$7:$C$1033,2)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VLOOKUP(C82,skill_list!$B$7:$C$1033,2)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VLOOKUP(C83,skill_list!$B$7:$C$1033,2)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VLOOKUP(C84,skill_list!$B$7:$C$1033,2)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VLOOKUP(C85,skill_list!$B$7:$C$1033,2)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VLOOKUP(C86,skill_list!$B$7:$C$1033,2)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VLOOKUP(C87,skill_list!$B$7:$C$1033,2)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VLOOKUP(C88,skill_list!$B$7:$C$1033,2)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VLOOKUP(C89,skill_list!$B$7:$C$1033,2)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VLOOKUP(C90,skill_list!$B$7:$C$1033,2)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VLOOKUP(C91,skill_list!$B$7:$C$1033,2)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VLOOKUP(C92,skill_list!$B$7:$C$1033,2)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VLOOKUP(C93,skill_list!$B$7:$C$1033,2)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VLOOKUP(C94,skill_list!$B$7:$C$1033,2)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VLOOKUP(C95,skill_list!$B$7:$C$1033,2)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VLOOKUP(C96,skill_list!$B$7:$C$1033,2)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VLOOKUP(C97,skill_list!$B$7:$C$1033,2)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VLOOKUP(C98,skill_list!$B$7:$C$1033,2)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VLOOKUP(C99,skill_list!$B$7:$C$1033,2)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VLOOKUP(C100,skill_list!$B$7:$C$1033,2)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VLOOKUP(C101,skill_list!$B$7:$C$1033,2)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VLOOKUP(C102,skill_list!$B$7:$C$1033,2)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VLOOKUP(C103,skill_list!$B$7:$C$1033,2)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VLOOKUP(C104,skill_list!$B$7:$C$1033,2)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VLOOKUP(C105,skill_list!$B$7:$C$1033,2)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VLOOKUP(C106,skill_list!$B$7:$C$1033,2)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VLOOKUP(C107,skill_list!$B$7:$C$1033,2)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VLOOKUP(C108,skill_list!$B$7:$C$1033,2)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VLOOKUP(C109,skill_list!$B$7:$C$1033,2)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VLOOKUP(C110,skill_list!$B$7:$C$1033,2)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VLOOKUP(C111,skill_list!$B$7:$C$1033,2)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VLOOKUP(C112,skill_list!$B$7:$C$1033,2)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VLOOKUP(C113,skill_list!$B$7:$C$1033,2)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VLOOKUP(C114,skill_list!$B$7:$C$1033,2)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VLOOKUP(C115,skill_list!$B$7:$C$1033,2)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VLOOKUP(C116,skill_list!$B$7:$C$1033,2)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VLOOKUP(C117,skill_list!$B$7:$C$1033,2)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VLOOKUP(C118,skill_list!$B$7:$C$1033,2)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VLOOKUP(C119,skill_list!$B$7:$C$1033,2)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VLOOKUP(C120,skill_list!$B$7:$C$1033,2)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VLOOKUP(C121,skill_list!$B$7:$C$1033,2)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VLOOKUP(C122,skill_list!$B$7:$C$1033,2)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VLOOKUP(C123,skill_list!$B$7:$C$1033,2)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VLOOKUP(C124,skill_list!$B$7:$C$1033,2)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VLOOKUP(C125,skill_list!$B$7:$C$1033,2)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VLOOKUP(C126,skill_list!$B$7:$C$1033,2)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VLOOKUP(C127,skill_list!$B$7:$C$1033,2)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VLOOKUP(C128,skill_list!$B$7:$C$1033,2)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VLOOKUP(C129,skill_list!$B$7:$C$1033,2)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VLOOKUP(C130,skill_list!$B$7:$C$1033,2)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VLOOKUP(C131,skill_list!$B$7:$C$1033,2)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VLOOKUP(C132,skill_list!$B$7:$C$1033,2)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VLOOKUP(C133,skill_list!$B$7:$C$1033,2)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VLOOKUP(C134,skill_list!$B$7:$C$1033,2)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VLOOKUP(C135,skill_list!$B$7:$C$1033,2)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VLOOKUP(C136,skill_list!$B$7:$C$1033,2)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VLOOKUP(C137,skill_list!$B$7:$C$1033,2)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VLOOKUP(C138,skill_list!$B$7:$C$1033,2)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VLOOKUP(C139,skill_list!$B$7:$C$1033,2)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VLOOKUP(C140,skill_list!$B$7:$C$1033,2)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VLOOKUP(C141,skill_list!$B$7:$C$1033,2)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VLOOKUP(C142,skill_list!$B$7:$C$1033,2)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VLOOKUP(C143,skill_list!$B$7:$C$1033,2)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VLOOKUP(C144,skill_list!$B$7:$C$1033,2)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VLOOKUP(C145,skill_list!$B$7:$C$1033,2)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VLOOKUP(C146,skill_list!$B$7:$C$1033,2)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VLOOKUP(C147,skill_list!$B$7:$C$1033,2)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VLOOKUP(C148,skill_list!$B$7:$C$1033,2)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VLOOKUP(C149,skill_list!$B$7:$C$1033,2)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VLOOKUP(C150,skill_list!$B$7:$C$1033,2)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VLOOKUP(C151,skill_list!$B$7:$C$1033,2)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VLOOKUP(C152,skill_list!$B$7:$C$1033,2)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VLOOKUP(C153,skill_list!$B$7:$C$1033,2)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VLOOKUP(C154,skill_list!$B$7:$C$1033,2)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VLOOKUP(C155,skill_list!$B$7:$C$1033,2)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VLOOKUP(C156,skill_list!$B$7:$C$1033,2)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VLOOKUP(C157,skill_list!$B$7:$C$1033,2)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VLOOKUP(C158,skill_list!$B$7:$C$1033,2)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VLOOKUP(C159,skill_list!$B$7:$C$1033,2)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VLOOKUP(C160,skill_list!$B$7:$C$1033,2)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VLOOKUP(C161,skill_list!$B$7:$C$1033,2)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VLOOKUP(C162,skill_list!$B$7:$C$1033,2)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VLOOKUP(C163,skill_list!$B$7:$C$1033,2)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VLOOKUP(C164,skill_list!$B$7:$C$1033,2)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VLOOKUP(C165,skill_list!$B$7:$C$1033,2)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VLOOKUP(C166,skill_list!$B$7:$C$1033,2)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VLOOKUP(C167,skill_list!$B$7:$C$1033,2)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VLOOKUP(C168,skill_list!$B$7:$C$1033,2)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VLOOKUP(C169,skill_list!$B$7:$C$1033,2)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VLOOKUP(C170,skill_list!$B$7:$C$1033,2)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VLOOKUP(C171,skill_list!$B$7:$C$1033,2)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VLOOKUP(C172,skill_list!$B$7:$C$1033,2)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VLOOKUP(C173,skill_list!$B$7:$C$1033,2)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VLOOKUP(C174,skill_list!$B$7:$C$1033,2)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VLOOKUP(C175,skill_list!$B$7:$C$1033,2)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VLOOKUP(C176,skill_list!$B$7:$C$1033,2)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VLOOKUP(C177,skill_list!$B$7:$C$1033,2)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VLOOKUP(C178,skill_list!$B$7:$C$1033,2)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VLOOKUP(C179,skill_list!$B$7:$C$1033,2)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VLOOKUP(C180,skill_list!$B$7:$C$1033,2)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VLOOKUP(C181,skill_list!$B$7:$C$1033,2)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VLOOKUP(C182,skill_list!$B$7:$C$1033,2)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VLOOKUP(C183,skill_list!$B$7:$C$1033,2)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VLOOKUP(C184,skill_list!$B$7:$C$1033,2)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VLOOKUP(C185,skill_list!$B$7:$C$1033,2)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VLOOKUP(C186,skill_list!$B$7:$C$1033,2)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VLOOKUP(C187,skill_list!$B$7:$C$1033,2)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VLOOKUP(C188,skill_list!$B$7:$C$1033,2)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VLOOKUP(C189,skill_list!$B$7:$C$1033,2)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VLOOKUP(C190,skill_list!$B$7:$C$1033,2)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VLOOKUP(C191,skill_list!$B$7:$C$1033,2)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VLOOKUP(C192,skill_list!$B$7:$C$1033,2)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VLOOKUP(C193,skill_list!$B$7:$C$1033,2)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VLOOKUP(C194,skill_list!$B$7:$C$1033,2)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VLOOKUP(C195,skill_list!$B$7:$C$1033,2)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VLOOKUP(C196,skill_list!$B$7:$C$1033,2)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VLOOKUP(C197,skill_list!$B$7:$C$1033,2)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VLOOKUP(C198,skill_list!$B$7:$C$1033,2)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VLOOKUP(C199,skill_list!$B$7:$C$1033,2)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VLOOKUP(C200,skill_list!$B$7:$C$1033,2)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VLOOKUP(C201,skill_list!$B$7:$C$1033,2)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VLOOKUP(C202,skill_list!$B$7:$C$1033,2)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VLOOKUP(C203,skill_list!$B$7:$C$1033,2)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VLOOKUP(C204,skill_list!$B$7:$C$1033,2)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VLOOKUP(C205,skill_list!$B$7:$C$1033,2)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VLOOKUP(C206,skill_list!$B$7:$C$1033,2)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VLOOKUP(C207,skill_list!$B$7:$C$1033,2)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VLOOKUP(C208,skill_list!$B$7:$C$1033,2)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VLOOKUP(C209,skill_list!$B$7:$C$1033,2)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VLOOKUP(C210,skill_list!$B$7:$C$1033,2)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VLOOKUP(C211,skill_list!$B$7:$C$1033,2)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VLOOKUP(C212,skill_list!$B$7:$C$1033,2)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VLOOKUP(C213,skill_list!$B$7:$C$1033,2)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VLOOKUP(C214,skill_list!$B$7:$C$1033,2)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VLOOKUP(C215,skill_list!$B$7:$C$1033,2)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VLOOKUP(C216,skill_list!$B$7:$C$1033,2)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VLOOKUP(C217,skill_list!$B$7:$C$1033,2)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VLOOKUP(C218,skill_list!$B$7:$C$1033,2)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VLOOKUP(C219,skill_list!$B$7:$C$1033,2)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VLOOKUP(C220,skill_list!$B$7:$C$1033,2)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VLOOKUP(C221,skill_list!$B$7:$C$1033,2)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VLOOKUP(C222,skill_list!$B$7:$C$1033,2)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VLOOKUP(C223,skill_list!$B$7:$C$1033,2)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VLOOKUP(C224,skill_list!$B$7:$C$1033,2)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VLOOKUP(C225,skill_list!$B$7:$C$1033,2)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VLOOKUP(C226,skill_list!$B$7:$C$1033,2)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VLOOKUP(C227,skill_list!$B$7:$C$1033,2)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VLOOKUP(C228,skill_list!$B$7:$C$1033,2)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VLOOKUP(C229,skill_list!$B$7:$C$1033,2)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VLOOKUP(C230,skill_list!$B$7:$C$1033,2)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VLOOKUP(C231,skill_list!$B$7:$C$1033,2)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VLOOKUP(C232,skill_list!$B$7:$C$1033,2)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VLOOKUP(C233,skill_list!$B$7:$C$1033,2)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VLOOKUP(C234,skill_list!$B$7:$C$1033,2)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VLOOKUP(C235,skill_list!$B$7:$C$1033,2)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VLOOKUP(C236,skill_list!$B$7:$C$1033,2)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VLOOKUP(C237,skill_list!$B$7:$C$1033,2)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VLOOKUP(C238,skill_list!$B$7:$C$1033,2)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VLOOKUP(C239,skill_list!$B$7:$C$1033,2)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VLOOKUP(C240,skill_list!$B$7:$C$1033,2)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VLOOKUP(C241,skill_list!$B$7:$C$1033,2)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VLOOKUP(C242,skill_list!$B$7:$C$1033,2)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VLOOKUP(C243,skill_list!$B$7:$C$1033,2)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VLOOKUP(C244,skill_list!$B$7:$C$1033,2)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VLOOKUP(C245,skill_list!$B$7:$C$1033,2)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VLOOKUP(C246,skill_list!$B$7:$C$1033,2)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VLOOKUP(C247,skill_list!$B$7:$C$1033,2)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VLOOKUP(C248,skill_list!$B$7:$C$1033,2)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VLOOKUP(C249,skill_list!$B$7:$C$1033,2)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VLOOKUP(C250,skill_list!$B$7:$C$1033,2)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VLOOKUP(C251,skill_list!$B$7:$C$1033,2)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VLOOKUP(C252,skill_list!$B$7:$C$1033,2)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VLOOKUP(C253,skill_list!$B$7:$C$1033,2)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VLOOKUP(C254,skill_list!$B$7:$C$1033,2)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VLOOKUP(C255,skill_list!$B$7:$C$1033,2)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VLOOKUP(C256,skill_list!$B$7:$C$1033,2)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VLOOKUP(C257,skill_list!$B$7:$C$1033,2)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VLOOKUP(C258,skill_list!$B$7:$C$1033,2)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VLOOKUP(C259,skill_list!$B$7:$C$1033,2)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VLOOKUP(C260,skill_list!$B$7:$C$1033,2)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VLOOKUP(C261,skill_list!$B$7:$C$1033,2)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VLOOKUP(C262,skill_list!$B$7:$C$1033,2)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VLOOKUP(C263,skill_list!$B$7:$C$1033,2)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VLOOKUP(C264,skill_list!$B$7:$C$1033,2)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VLOOKUP(C265,skill_list!$B$7:$C$1033,2)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VLOOKUP(C266,skill_list!$B$7:$C$1033,2)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VLOOKUP(C267,skill_list!$B$7:$C$1033,2)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VLOOKUP(C268,skill_list!$B$7:$C$1033,2)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VLOOKUP(C269,skill_list!$B$7:$C$1033,2)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VLOOKUP(C270,skill_list!$B$7:$C$1033,2)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VLOOKUP(C271,skill_list!$B$7:$C$1033,2)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VLOOKUP(C272,skill_list!$B$7:$C$1033,2)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VLOOKUP(C273,skill_list!$B$7:$C$1033,2)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VLOOKUP(C274,skill_list!$B$7:$C$1033,2)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VLOOKUP(C275,skill_list!$B$7:$C$1033,2)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VLOOKUP(C276,skill_list!$B$7:$C$1033,2)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VLOOKUP(C277,skill_list!$B$7:$C$1033,2)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VLOOKUP(C278,skill_list!$B$7:$C$1033,2)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VLOOKUP(C279,skill_list!$B$7:$C$1033,2)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VLOOKUP(C280,skill_list!$B$7:$C$1033,2)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VLOOKUP(C281,skill_list!$B$7:$C$1033,2)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VLOOKUP(C282,skill_list!$B$7:$C$1033,2)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VLOOKUP(C283,skill_list!$B$7:$C$1033,2)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VLOOKUP(C284,skill_list!$B$7:$C$1033,2)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VLOOKUP(C285,skill_list!$B$7:$C$1033,2)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VLOOKUP(C286,skill_list!$B$7:$C$1033,2)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VLOOKUP(C287,skill_list!$B$7:$C$1033,2)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VLOOKUP(C288,skill_list!$B$7:$C$1033,2)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VLOOKUP(C289,skill_list!$B$7:$C$1033,2)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VLOOKUP(C290,skill_list!$B$7:$C$1033,2)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VLOOKUP(C291,skill_list!$B$7:$C$1033,2)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VLOOKUP(C292,skill_list!$B$7:$C$1033,2)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VLOOKUP(C293,skill_list!$B$7:$C$1033,2)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VLOOKUP(C294,skill_list!$B$7:$C$1033,2)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VLOOKUP(C295,skill_list!$B$7:$C$1033,2)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VLOOKUP(C296,skill_list!$B$7:$C$1033,2)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VLOOKUP(C297,skill_list!$B$7:$C$1033,2)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VLOOKUP(C298,skill_list!$B$7:$C$1033,2)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VLOOKUP(C299,skill_list!$B$7:$C$1033,2)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VLOOKUP(C300,skill_list!$B$7:$C$1033,2)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VLOOKUP(C301,skill_list!$B$7:$C$1033,2)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VLOOKUP(C302,skill_list!$B$7:$C$1033,2)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VLOOKUP(C303,skill_list!$B$7:$C$1033,2)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VLOOKUP(C304,skill_list!$B$7:$C$1033,2)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VLOOKUP(C305,skill_list!$B$7:$C$1033,2)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VLOOKUP(C306,skill_list!$B$7:$C$1033,2)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VLOOKUP(C307,skill_list!$B$7:$C$1033,2)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VLOOKUP(C308,skill_list!$B$7:$C$1033,2)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VLOOKUP(C309,skill_list!$B$7:$C$1033,2)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VLOOKUP(C310,skill_list!$B$7:$C$1033,2)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VLOOKUP(C311,skill_list!$B$7:$C$1033,2)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VLOOKUP(C312,skill_list!$B$7:$C$1033,2)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VLOOKUP(C313,skill_list!$B$7:$C$1033,2)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VLOOKUP(C314,skill_list!$B$7:$C$1033,2)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VLOOKUP(C315,skill_list!$B$7:$C$1033,2)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VLOOKUP(C316,skill_list!$B$7:$C$1033,2)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VLOOKUP(C317,skill_list!$B$7:$C$1033,2)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VLOOKUP(C318,skill_list!$B$7:$C$1033,2)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VLOOKUP(C319,skill_list!$B$7:$C$1033,2)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10"/>
  <sheetViews>
    <sheetView tabSelected="1" zoomScale="85" zoomScaleNormal="85" workbookViewId="0">
      <pane ySplit="6" topLeftCell="A7" activePane="bottomLeft" state="frozen"/>
      <selection pane="bottomLeft" activeCell="D7" sqref="D7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1203</v>
      </c>
      <c r="C209" s="15">
        <v>8002</v>
      </c>
      <c r="D209" s="15">
        <v>2</v>
      </c>
      <c r="E209" s="15">
        <v>0</v>
      </c>
      <c r="F209" s="14" t="str">
        <f>VLOOKUP(C209,skill_list!B:C,2)</f>
        <v>心眼</v>
      </c>
      <c r="G209" s="11"/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>
        <v>0</v>
      </c>
      <c r="P209" s="15"/>
      <c r="Q209" s="15">
        <v>1</v>
      </c>
    </row>
    <row r="210" spans="1:17">
      <c r="A210" s="8"/>
      <c r="B210" s="15">
        <v>1300</v>
      </c>
      <c r="C210" s="15">
        <v>9009</v>
      </c>
      <c r="D210" s="15">
        <v>3</v>
      </c>
      <c r="E210" s="15">
        <v>0</v>
      </c>
      <c r="F210" s="14" t="str">
        <f>VLOOKUP(C210,skill_list!B:C,2)</f>
        <v>ソフニング</v>
      </c>
      <c r="G210" s="11"/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1301</v>
      </c>
      <c r="C211" s="15">
        <v>173</v>
      </c>
      <c r="D211" s="15">
        <v>3</v>
      </c>
      <c r="E211" s="15">
        <v>0</v>
      </c>
      <c r="F211" s="14" t="str">
        <f>VLOOKUP(C211,skill_list!B:C,2)</f>
        <v>臥龍演舞斬</v>
      </c>
      <c r="G211" s="11"/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1302</v>
      </c>
      <c r="C212" s="15">
        <v>16</v>
      </c>
      <c r="D212" s="15">
        <v>3</v>
      </c>
      <c r="E212" s="15">
        <v>0</v>
      </c>
      <c r="F212" s="14" t="str">
        <f>VLOOKUP(C212,skill_list!B:C,2)</f>
        <v>ハードブレード</v>
      </c>
      <c r="G212" s="11"/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1303</v>
      </c>
      <c r="C213" s="15">
        <v>70</v>
      </c>
      <c r="D213" s="15">
        <v>3</v>
      </c>
      <c r="E213" s="15">
        <v>0</v>
      </c>
      <c r="F213" s="14" t="str">
        <f>VLOOKUP(C213,skill_list!B:C,2)</f>
        <v>ウィザードショット</v>
      </c>
      <c r="G213" s="11"/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1304</v>
      </c>
      <c r="C214" s="15">
        <v>467</v>
      </c>
      <c r="D214" s="15">
        <v>3</v>
      </c>
      <c r="E214" s="15">
        <v>0</v>
      </c>
      <c r="F214" s="14" t="str">
        <f>VLOOKUP(C214,skill_list!B:C,2)</f>
        <v>螳螂之斧</v>
      </c>
      <c r="G214" s="11"/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1351</v>
      </c>
      <c r="C215" s="15">
        <v>116</v>
      </c>
      <c r="D215" s="15">
        <v>3</v>
      </c>
      <c r="E215" s="15">
        <v>0</v>
      </c>
      <c r="F215" s="14" t="str">
        <f>VLOOKUP(C215,skill_list!B:C,2)</f>
        <v>レイジングシャウト</v>
      </c>
      <c r="G215" s="11"/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1352</v>
      </c>
      <c r="C216" s="15">
        <v>126</v>
      </c>
      <c r="D216" s="15">
        <v>3</v>
      </c>
      <c r="E216" s="15">
        <v>0</v>
      </c>
      <c r="F216" s="14" t="str">
        <f>VLOOKUP(C216,skill_list!B:C,2)</f>
        <v>ラブカ・ブレード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1401</v>
      </c>
      <c r="C217" s="15">
        <v>204</v>
      </c>
      <c r="D217" s="15">
        <v>4</v>
      </c>
      <c r="E217" s="15">
        <v>3</v>
      </c>
      <c r="F217" s="14" t="str">
        <f>VLOOKUP(C217,skill_list!B:C,2)</f>
        <v>ミストイングレイブ</v>
      </c>
      <c r="G217" s="11"/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1402</v>
      </c>
      <c r="C218" s="15">
        <v>328</v>
      </c>
      <c r="D218" s="15">
        <v>4</v>
      </c>
      <c r="E218" s="15">
        <v>5</v>
      </c>
      <c r="F218" s="14" t="str">
        <f>VLOOKUP(C218,skill_list!B:C,2)</f>
        <v>先に逝くなよ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1403</v>
      </c>
      <c r="C219" s="15">
        <v>282</v>
      </c>
      <c r="D219" s="15">
        <v>4</v>
      </c>
      <c r="E219" s="15">
        <v>1</v>
      </c>
      <c r="F219" s="14" t="str">
        <f>VLOOKUP(C219,skill_list!B:C,2)</f>
        <v>ヴィクタープラクティス</v>
      </c>
      <c r="G219" s="11"/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1404</v>
      </c>
      <c r="C220" s="15">
        <v>222</v>
      </c>
      <c r="D220" s="15">
        <v>4</v>
      </c>
      <c r="E220" s="15">
        <v>4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>
      <c r="A221" s="8"/>
      <c r="B221" s="15">
        <v>1405</v>
      </c>
      <c r="C221" s="15">
        <v>222</v>
      </c>
      <c r="D221" s="15">
        <v>4</v>
      </c>
      <c r="E221" s="15">
        <v>5</v>
      </c>
      <c r="F221" s="14" t="str">
        <f>VLOOKUP(C221,skill_list!B:C,2)</f>
        <v>夜雨</v>
      </c>
      <c r="G221" s="11"/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 ht="18" customHeight="1">
      <c r="A222" s="8"/>
      <c r="B222" s="15">
        <v>1406</v>
      </c>
      <c r="C222" s="15">
        <v>446</v>
      </c>
      <c r="D222" s="15">
        <v>4</v>
      </c>
      <c r="E222" s="15">
        <v>2</v>
      </c>
      <c r="F222" s="14" t="str">
        <f>VLOOKUP(C222,skill_list!B:C,2)</f>
        <v>コールドクラッシュ</v>
      </c>
      <c r="G222" s="11"/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1451</v>
      </c>
      <c r="C223" s="15">
        <v>241</v>
      </c>
      <c r="D223" s="15">
        <v>4</v>
      </c>
      <c r="E223" s="15">
        <v>1</v>
      </c>
      <c r="F223" s="14" t="str">
        <f>VLOOKUP(C223,skill_list!B:C,2)</f>
        <v>怒裂昂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1452</v>
      </c>
      <c r="C224" s="15">
        <v>77</v>
      </c>
      <c r="D224" s="15">
        <v>4</v>
      </c>
      <c r="E224" s="15">
        <v>2</v>
      </c>
      <c r="F224" s="14" t="str">
        <f>VLOOKUP(C224,skill_list!B:C,2)</f>
        <v>ビスコッティ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1453</v>
      </c>
      <c r="C225" s="15">
        <v>410</v>
      </c>
      <c r="D225" s="15">
        <v>4</v>
      </c>
      <c r="E225" s="15">
        <v>3</v>
      </c>
      <c r="F225" s="14" t="str">
        <f>VLOOKUP(C225,skill_list!B:C,2)</f>
        <v>ザヴィーシマスチ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0</v>
      </c>
      <c r="P225" s="15"/>
      <c r="Q225" s="15"/>
    </row>
    <row r="226" spans="1:17">
      <c r="A226" s="8"/>
      <c r="B226" s="15">
        <v>1454</v>
      </c>
      <c r="C226" s="15">
        <v>476</v>
      </c>
      <c r="D226" s="15">
        <v>4</v>
      </c>
      <c r="E226" s="15">
        <v>5</v>
      </c>
      <c r="F226" s="14" t="str">
        <f>VLOOKUP(C226,skill_list!B:C,2)</f>
        <v>ヌラルジャ</v>
      </c>
      <c r="G226" s="11"/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1455</v>
      </c>
      <c r="C227" s="15">
        <v>249</v>
      </c>
      <c r="D227" s="15">
        <v>4</v>
      </c>
      <c r="E227" s="15">
        <v>1</v>
      </c>
      <c r="F227" s="14" t="str">
        <f>VLOOKUP(C227,skill_list!B:C,2)</f>
        <v>シルキーフレア</v>
      </c>
      <c r="G227" s="11"/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</row>
    <row r="228" spans="1:17">
      <c r="A228" s="8"/>
      <c r="B228" s="15">
        <v>1501</v>
      </c>
      <c r="C228" s="15">
        <v>94</v>
      </c>
      <c r="D228" s="15">
        <v>5</v>
      </c>
      <c r="E228" s="15">
        <v>0</v>
      </c>
      <c r="F228" s="14" t="str">
        <f>VLOOKUP(C228,skill_list!B:C,2)</f>
        <v>呪怨の矢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1502</v>
      </c>
      <c r="C229" s="15">
        <v>272</v>
      </c>
      <c r="D229" s="15">
        <v>5</v>
      </c>
      <c r="E229" s="15">
        <v>0</v>
      </c>
      <c r="F229" s="14" t="str">
        <f>VLOOKUP(C229,skill_list!B:C,2)</f>
        <v>ディープブロー</v>
      </c>
      <c r="G229" s="11"/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1551</v>
      </c>
      <c r="C230" s="15">
        <v>195</v>
      </c>
      <c r="D230" s="15">
        <v>5</v>
      </c>
      <c r="E230" s="15">
        <v>0</v>
      </c>
      <c r="F230" s="14" t="str">
        <f>VLOOKUP(C230,skill_list!B:C,2)</f>
        <v>ネイキッドイレイザー</v>
      </c>
      <c r="G230" s="11"/>
      <c r="H230" s="15">
        <v>35</v>
      </c>
      <c r="I230" s="15">
        <v>50</v>
      </c>
      <c r="J230" s="15">
        <v>132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1552</v>
      </c>
      <c r="C231" s="15">
        <v>218</v>
      </c>
      <c r="D231" s="15">
        <v>5</v>
      </c>
      <c r="E231" s="15">
        <v>0</v>
      </c>
      <c r="F231" s="14" t="str">
        <f>VLOOKUP(C231,skill_list!B:C,2)</f>
        <v>薙の矢</v>
      </c>
      <c r="G231" s="11"/>
      <c r="H231" s="15">
        <v>35</v>
      </c>
      <c r="I231" s="15">
        <v>50</v>
      </c>
      <c r="J231" s="15">
        <v>126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1553</v>
      </c>
      <c r="C232" s="15">
        <v>349</v>
      </c>
      <c r="D232" s="15">
        <v>5</v>
      </c>
      <c r="E232" s="15">
        <v>0</v>
      </c>
      <c r="F232" s="14" t="str">
        <f>VLOOKUP(C232,skill_list!B:C,2)</f>
        <v>大海原</v>
      </c>
      <c r="G232" s="11"/>
      <c r="H232" s="15">
        <v>35</v>
      </c>
      <c r="I232" s="15">
        <v>50</v>
      </c>
      <c r="J232" s="15">
        <v>129</v>
      </c>
      <c r="K232" s="15">
        <v>1</v>
      </c>
      <c r="L232" s="15">
        <v>2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1600</v>
      </c>
      <c r="C233" s="15">
        <v>9001</v>
      </c>
      <c r="D233" s="15">
        <v>6</v>
      </c>
      <c r="E233" s="15">
        <v>0</v>
      </c>
      <c r="F233" s="14" t="str">
        <f>VLOOKUP(C233,skill_list!B:C,2)</f>
        <v>クリティカルシンキング</v>
      </c>
      <c r="G233" s="11"/>
      <c r="H233" s="15">
        <v>40</v>
      </c>
      <c r="I233" s="15">
        <v>70</v>
      </c>
      <c r="J233" s="15">
        <v>450</v>
      </c>
      <c r="K233" s="15">
        <v>1</v>
      </c>
      <c r="L233" s="15">
        <v>7</v>
      </c>
      <c r="M233" s="15">
        <v>0</v>
      </c>
      <c r="N233" s="15">
        <v>1</v>
      </c>
      <c r="O233" s="15">
        <v>0</v>
      </c>
      <c r="P233" s="15"/>
      <c r="Q233" s="15"/>
    </row>
    <row r="234" spans="1:17">
      <c r="A234" s="8"/>
      <c r="B234" s="15">
        <v>1601</v>
      </c>
      <c r="C234" s="15">
        <v>71</v>
      </c>
      <c r="D234" s="15">
        <v>6</v>
      </c>
      <c r="E234" s="15">
        <v>0</v>
      </c>
      <c r="F234" s="14" t="str">
        <f>VLOOKUP(C234,skill_list!B:C,2)</f>
        <v>ルーンバースト</v>
      </c>
      <c r="G234" s="11"/>
      <c r="H234" s="15">
        <v>35</v>
      </c>
      <c r="I234" s="15">
        <v>45</v>
      </c>
      <c r="J234" s="15">
        <v>132</v>
      </c>
      <c r="K234" s="15">
        <v>1</v>
      </c>
      <c r="L234" s="15">
        <v>7</v>
      </c>
      <c r="M234" s="15">
        <v>0</v>
      </c>
      <c r="N234" s="15">
        <v>1</v>
      </c>
      <c r="O234" s="15">
        <v>999</v>
      </c>
      <c r="P234" s="15"/>
      <c r="Q234" s="15"/>
    </row>
    <row r="235" spans="1:17">
      <c r="A235" s="8"/>
      <c r="B235" s="15">
        <v>1602</v>
      </c>
      <c r="C235" s="15">
        <v>255</v>
      </c>
      <c r="D235" s="15">
        <v>6</v>
      </c>
      <c r="E235" s="15">
        <v>0</v>
      </c>
      <c r="F235" s="14" t="str">
        <f>VLOOKUP(C235,skill_list!B:C,2)</f>
        <v>ホールドアップマインド</v>
      </c>
      <c r="G235" s="11"/>
      <c r="H235" s="15">
        <v>35</v>
      </c>
      <c r="I235" s="15">
        <v>45</v>
      </c>
      <c r="J235" s="15">
        <v>224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1603</v>
      </c>
      <c r="C236" s="15">
        <v>378</v>
      </c>
      <c r="D236" s="15">
        <v>6</v>
      </c>
      <c r="E236" s="15">
        <v>0</v>
      </c>
      <c r="F236" s="14" t="str">
        <f>VLOOKUP(C236,skill_list!B:C,2)</f>
        <v>冀望</v>
      </c>
      <c r="G236" s="11"/>
      <c r="H236" s="15">
        <v>40</v>
      </c>
      <c r="I236" s="15">
        <v>70</v>
      </c>
      <c r="J236" s="15">
        <v>216</v>
      </c>
      <c r="K236" s="15">
        <v>10</v>
      </c>
      <c r="L236" s="15">
        <v>7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1604</v>
      </c>
      <c r="C237" s="15">
        <v>462</v>
      </c>
      <c r="D237" s="15">
        <v>6</v>
      </c>
      <c r="E237" s="15">
        <v>0</v>
      </c>
      <c r="F237" s="14" t="str">
        <f>VLOOKUP(C237,skill_list!B:C,2)</f>
        <v>一途なスマイル</v>
      </c>
      <c r="G237" s="11"/>
      <c r="H237" s="15">
        <v>40</v>
      </c>
      <c r="I237" s="15">
        <v>70</v>
      </c>
      <c r="J237" s="15">
        <v>232</v>
      </c>
      <c r="K237" s="15">
        <v>10</v>
      </c>
      <c r="L237" s="15">
        <v>3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1605</v>
      </c>
      <c r="C238" s="15">
        <v>471</v>
      </c>
      <c r="D238" s="15">
        <v>6</v>
      </c>
      <c r="E238" s="15">
        <v>0</v>
      </c>
      <c r="F238" s="14" t="str">
        <f>VLOOKUP(C238,skill_list!B:C,2)</f>
        <v>おしおき</v>
      </c>
      <c r="G238" s="11"/>
      <c r="H238" s="15">
        <v>40</v>
      </c>
      <c r="I238" s="15">
        <v>70</v>
      </c>
      <c r="J238" s="15">
        <v>200</v>
      </c>
      <c r="K238" s="15">
        <v>10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1700</v>
      </c>
      <c r="C239" s="15">
        <v>9006</v>
      </c>
      <c r="D239" s="15">
        <v>7</v>
      </c>
      <c r="E239" s="15">
        <v>0</v>
      </c>
      <c r="F239" s="14" t="str">
        <f>VLOOKUP(C239,skill_list!B:C,2)</f>
        <v>コンセントレーション</v>
      </c>
      <c r="G239" s="11"/>
      <c r="H239" s="15">
        <v>10</v>
      </c>
      <c r="I239" s="15">
        <v>20</v>
      </c>
      <c r="J239" s="15">
        <v>450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1701</v>
      </c>
      <c r="C240" s="15">
        <v>462</v>
      </c>
      <c r="D240" s="15">
        <v>7</v>
      </c>
      <c r="E240" s="15">
        <v>0</v>
      </c>
      <c r="F240" s="14" t="str">
        <f>VLOOKUP(C240,skill_list!B:C,2)</f>
        <v>一途なスマイル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3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1702</v>
      </c>
      <c r="C241" s="15">
        <v>482</v>
      </c>
      <c r="D241" s="15">
        <v>7</v>
      </c>
      <c r="E241" s="15">
        <v>0</v>
      </c>
      <c r="F241" s="14" t="str">
        <f>VLOOKUP(C241,skill_list!B:C,2)</f>
        <v>解けない謎はない</v>
      </c>
      <c r="G241" s="11"/>
      <c r="H241" s="15">
        <v>30</v>
      </c>
      <c r="I241" s="15">
        <v>30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2001</v>
      </c>
      <c r="C242" s="15">
        <v>378</v>
      </c>
      <c r="D242" s="15">
        <v>10</v>
      </c>
      <c r="E242" s="15">
        <v>0</v>
      </c>
      <c r="F242" s="14" t="str">
        <f>VLOOKUP(C242,skill_list!B:C,2)</f>
        <v>冀望</v>
      </c>
      <c r="G242" s="11"/>
      <c r="H242" s="15">
        <v>20</v>
      </c>
      <c r="I242" s="15">
        <v>30</v>
      </c>
      <c r="J242" s="15">
        <v>216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2002</v>
      </c>
      <c r="C243" s="15">
        <v>157</v>
      </c>
      <c r="D243" s="15">
        <v>10</v>
      </c>
      <c r="E243" s="15">
        <v>0</v>
      </c>
      <c r="F243" s="14" t="str">
        <f>VLOOKUP(C243,skill_list!B:C,2)</f>
        <v>聖域のカンタータ</v>
      </c>
      <c r="G243" s="11"/>
      <c r="H243" s="15">
        <v>20</v>
      </c>
      <c r="I243" s="15">
        <v>30</v>
      </c>
      <c r="J243" s="15">
        <v>216</v>
      </c>
      <c r="K243" s="15">
        <v>10</v>
      </c>
      <c r="L243" s="15">
        <v>6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2003</v>
      </c>
      <c r="C244" s="15">
        <v>346</v>
      </c>
      <c r="D244" s="15">
        <v>10</v>
      </c>
      <c r="E244" s="15">
        <v>0</v>
      </c>
      <c r="F244" s="14" t="str">
        <f>VLOOKUP(C244,skill_list!B:C,2)</f>
        <v>メイドの嗜み</v>
      </c>
      <c r="G244" s="11"/>
      <c r="H244" s="15">
        <v>20</v>
      </c>
      <c r="I244" s="15">
        <v>30</v>
      </c>
      <c r="J244" s="15">
        <v>200</v>
      </c>
      <c r="K244" s="15">
        <v>10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2004</v>
      </c>
      <c r="C245" s="15">
        <v>478</v>
      </c>
      <c r="D245" s="15">
        <v>10</v>
      </c>
      <c r="E245" s="15">
        <v>0</v>
      </c>
      <c r="F245" s="14" t="str">
        <f>VLOOKUP(C245,skill_list!B:C,2)</f>
        <v>春爛漫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2005</v>
      </c>
      <c r="C246" s="15">
        <v>8001</v>
      </c>
      <c r="D246" s="15">
        <v>10</v>
      </c>
      <c r="E246" s="15">
        <v>0</v>
      </c>
      <c r="F246" s="14" t="str">
        <f>VLOOKUP(C246,skill_list!B:C,2)</f>
        <v>チャージ</v>
      </c>
      <c r="G246" s="11"/>
      <c r="H246" s="15">
        <v>30</v>
      </c>
      <c r="I246" s="15">
        <v>30</v>
      </c>
      <c r="J246" s="15">
        <v>1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>
        <v>1</v>
      </c>
    </row>
    <row r="247" spans="1:17">
      <c r="A247" s="8"/>
      <c r="B247" s="15">
        <v>2051</v>
      </c>
      <c r="C247" s="15">
        <v>226</v>
      </c>
      <c r="D247" s="15">
        <v>10</v>
      </c>
      <c r="E247" s="15">
        <v>0</v>
      </c>
      <c r="F247" s="14" t="str">
        <f>VLOOKUP(C247,skill_list!B:C,2)</f>
        <v>ハイセンス・ショット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2052</v>
      </c>
      <c r="C248" s="15">
        <v>163</v>
      </c>
      <c r="D248" s="15">
        <v>10</v>
      </c>
      <c r="E248" s="15">
        <v>0</v>
      </c>
      <c r="F248" s="14" t="str">
        <f>VLOOKUP(C248,skill_list!B:C,2)</f>
        <v>残心</v>
      </c>
      <c r="G248" s="11"/>
      <c r="H248" s="15">
        <v>20</v>
      </c>
      <c r="I248" s="15">
        <v>30</v>
      </c>
      <c r="J248" s="15">
        <v>123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  <c r="Q248" s="15"/>
    </row>
    <row r="249" spans="1:17">
      <c r="A249" s="8"/>
      <c r="B249" s="15">
        <v>2053</v>
      </c>
      <c r="C249" s="15">
        <v>228</v>
      </c>
      <c r="D249" s="15">
        <v>10</v>
      </c>
      <c r="E249" s="15">
        <v>0</v>
      </c>
      <c r="F249" s="14" t="str">
        <f>VLOOKUP(C249,skill_list!B:C,2)</f>
        <v>喧嘩上等！！</v>
      </c>
      <c r="G249" s="11"/>
      <c r="H249" s="15">
        <v>20</v>
      </c>
      <c r="I249" s="15">
        <v>30</v>
      </c>
      <c r="J249" s="15">
        <v>132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  <c r="Q249" s="15"/>
    </row>
    <row r="250" spans="1:17">
      <c r="A250" s="8"/>
      <c r="B250" s="15">
        <v>2201</v>
      </c>
      <c r="C250" s="15">
        <v>321</v>
      </c>
      <c r="D250" s="15">
        <v>12</v>
      </c>
      <c r="E250" s="15">
        <v>0</v>
      </c>
      <c r="F250" s="14" t="str">
        <f>VLOOKUP(C250,skill_list!B:C,2)</f>
        <v>ファーストラヴ</v>
      </c>
      <c r="G250" s="11"/>
      <c r="H250" s="15">
        <v>50</v>
      </c>
      <c r="I250" s="15">
        <v>50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  <c r="Q250" s="15"/>
    </row>
    <row r="251" spans="1:17">
      <c r="A251" s="8"/>
      <c r="B251" s="15">
        <v>2300</v>
      </c>
      <c r="C251" s="15">
        <v>9003</v>
      </c>
      <c r="D251" s="15">
        <v>13</v>
      </c>
      <c r="E251" s="15">
        <v>0</v>
      </c>
      <c r="F251" s="14" t="str">
        <f>VLOOKUP(C251,skill_list!B:C,2)</f>
        <v>ドライブゲイン</v>
      </c>
      <c r="G251" s="11"/>
      <c r="H251" s="15">
        <v>15</v>
      </c>
      <c r="I251" s="15">
        <v>15</v>
      </c>
      <c r="J251" s="15">
        <v>0</v>
      </c>
      <c r="K251" s="15">
        <v>1</v>
      </c>
      <c r="L251" s="15">
        <v>0</v>
      </c>
      <c r="M251" s="15">
        <v>0</v>
      </c>
      <c r="N251" s="15">
        <v>0</v>
      </c>
      <c r="O251" s="15">
        <v>0</v>
      </c>
      <c r="P251" s="15"/>
      <c r="Q251" s="15"/>
    </row>
    <row r="252" spans="1:17">
      <c r="A252" s="8"/>
      <c r="B252" s="15">
        <v>2301</v>
      </c>
      <c r="C252" s="15">
        <v>123</v>
      </c>
      <c r="D252" s="15">
        <v>13</v>
      </c>
      <c r="E252" s="15">
        <v>0</v>
      </c>
      <c r="F252" s="14" t="str">
        <f>VLOOKUP(C252,skill_list!B:C,2)</f>
        <v>サービス・エース</v>
      </c>
      <c r="G252" s="11"/>
      <c r="H252" s="15">
        <v>10</v>
      </c>
      <c r="I252" s="15">
        <v>15</v>
      </c>
      <c r="J252" s="15">
        <v>117</v>
      </c>
      <c r="K252" s="15">
        <v>1</v>
      </c>
      <c r="L252" s="15">
        <v>0</v>
      </c>
      <c r="M252" s="15">
        <v>0</v>
      </c>
      <c r="N252" s="15">
        <v>0</v>
      </c>
      <c r="O252" s="15">
        <v>0</v>
      </c>
      <c r="P252" s="15"/>
      <c r="Q252" s="15"/>
    </row>
    <row r="253" spans="1:17">
      <c r="A253" s="8"/>
      <c r="B253" s="15">
        <v>2401</v>
      </c>
      <c r="C253" s="15">
        <v>293</v>
      </c>
      <c r="D253" s="15">
        <v>14</v>
      </c>
      <c r="E253" s="15">
        <v>0</v>
      </c>
      <c r="F253" s="14" t="str">
        <f>VLOOKUP(C253,skill_list!B:C,2)</f>
        <v>きらめきのエール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4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2501</v>
      </c>
      <c r="C254" s="15">
        <v>275</v>
      </c>
      <c r="D254" s="15">
        <v>15</v>
      </c>
      <c r="E254" s="15">
        <v>0</v>
      </c>
      <c r="F254" s="14" t="str">
        <f>VLOOKUP(C254,skill_list!B:C,2)</f>
        <v>カースサイス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2502</v>
      </c>
      <c r="C255" s="15">
        <v>380</v>
      </c>
      <c r="D255" s="15">
        <v>15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2503</v>
      </c>
      <c r="C256" s="15">
        <v>265</v>
      </c>
      <c r="D256" s="15">
        <v>15</v>
      </c>
      <c r="E256" s="15">
        <v>0</v>
      </c>
      <c r="F256" s="14" t="str">
        <f>VLOOKUP(C256,skill_list!B:C,2)</f>
        <v>神妙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2</v>
      </c>
      <c r="M256" s="15">
        <v>0</v>
      </c>
      <c r="N256" s="15">
        <v>2</v>
      </c>
      <c r="O256" s="15">
        <v>0</v>
      </c>
      <c r="P256" s="15"/>
      <c r="Q256" s="15"/>
    </row>
    <row r="257" spans="1:17">
      <c r="A257" s="8"/>
      <c r="B257" s="15">
        <v>2504</v>
      </c>
      <c r="C257" s="15">
        <v>417</v>
      </c>
      <c r="D257" s="15">
        <v>15</v>
      </c>
      <c r="E257" s="15">
        <v>0</v>
      </c>
      <c r="F257" s="14" t="str">
        <f>VLOOKUP(C257,skill_list!B:C,2)</f>
        <v>ナイトフォール</v>
      </c>
      <c r="G257" s="11"/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>
        <v>0</v>
      </c>
      <c r="P257" s="15"/>
      <c r="Q257" s="15"/>
    </row>
    <row r="258" spans="1:17">
      <c r="A258" s="8"/>
      <c r="B258" s="15">
        <v>2601</v>
      </c>
      <c r="C258" s="15">
        <v>331</v>
      </c>
      <c r="D258" s="15">
        <v>16</v>
      </c>
      <c r="E258" s="15">
        <v>0</v>
      </c>
      <c r="F258" s="14" t="str">
        <f>VLOOKUP(C258,skill_list!B:C,2)</f>
        <v>イチコロスマイル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2602</v>
      </c>
      <c r="C259" s="15">
        <v>384</v>
      </c>
      <c r="D259" s="15">
        <v>16</v>
      </c>
      <c r="E259" s="15">
        <v>0</v>
      </c>
      <c r="F259" s="14" t="str">
        <f>VLOOKUP(C259,skill_list!B:C,2)</f>
        <v>バックラッシュ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2603</v>
      </c>
      <c r="C260" s="15">
        <v>425</v>
      </c>
      <c r="D260" s="15">
        <v>16</v>
      </c>
      <c r="E260" s="15">
        <v>0</v>
      </c>
      <c r="F260" s="14" t="str">
        <f>VLOOKUP(C260,skill_list!B:C,2)</f>
        <v>セルフパッション</v>
      </c>
      <c r="G260" s="11"/>
      <c r="H260" s="15">
        <v>5</v>
      </c>
      <c r="I260" s="15">
        <v>5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2604</v>
      </c>
      <c r="C261" s="15">
        <v>8003</v>
      </c>
      <c r="D261" s="15">
        <v>16</v>
      </c>
      <c r="E261" s="15">
        <v>0</v>
      </c>
      <c r="F261" s="14" t="str">
        <f>VLOOKUP(C261,skill_list!B:C,2)</f>
        <v>連撃＋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>
        <v>1</v>
      </c>
    </row>
    <row r="262" spans="1:17">
      <c r="A262" s="8"/>
      <c r="B262" s="15">
        <v>2701</v>
      </c>
      <c r="C262" s="15">
        <v>189</v>
      </c>
      <c r="D262" s="15">
        <v>17</v>
      </c>
      <c r="E262" s="15">
        <v>0</v>
      </c>
      <c r="F262" s="14" t="str">
        <f>VLOOKUP(C262,skill_list!B:C,2)</f>
        <v>心意活性</v>
      </c>
      <c r="G262" s="11"/>
      <c r="H262" s="15">
        <v>2</v>
      </c>
      <c r="I262" s="15">
        <v>3</v>
      </c>
      <c r="J262" s="15">
        <v>129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2702</v>
      </c>
      <c r="C263" s="15">
        <v>255</v>
      </c>
      <c r="D263" s="15">
        <v>17</v>
      </c>
      <c r="E263" s="15">
        <v>0</v>
      </c>
      <c r="F263" s="14" t="str">
        <f>VLOOKUP(C263,skill_list!B:C,2)</f>
        <v>ホールドアップマインド</v>
      </c>
      <c r="G263" s="11"/>
      <c r="H263" s="15">
        <v>2</v>
      </c>
      <c r="I263" s="15">
        <v>2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0</v>
      </c>
      <c r="P263" s="15"/>
      <c r="Q263" s="15"/>
    </row>
    <row r="264" spans="1:17">
      <c r="A264" s="8"/>
      <c r="B264" s="15">
        <v>2703</v>
      </c>
      <c r="C264" s="15">
        <v>236</v>
      </c>
      <c r="D264" s="15">
        <v>17</v>
      </c>
      <c r="E264" s="15">
        <v>0</v>
      </c>
      <c r="F264" s="14" t="str">
        <f>VLOOKUP(C264,skill_list!B:C,2)</f>
        <v>ブリリアント・グローリー</v>
      </c>
      <c r="G264" s="11"/>
      <c r="H264" s="15">
        <v>2</v>
      </c>
      <c r="I264" s="15">
        <v>3</v>
      </c>
      <c r="J264" s="15">
        <v>208</v>
      </c>
      <c r="K264" s="15">
        <v>1</v>
      </c>
      <c r="L264" s="15">
        <v>7</v>
      </c>
      <c r="M264" s="15">
        <v>0</v>
      </c>
      <c r="N264" s="15">
        <v>1</v>
      </c>
      <c r="O264" s="15">
        <v>0</v>
      </c>
      <c r="P264" s="15"/>
      <c r="Q264" s="15"/>
    </row>
    <row r="265" spans="1:17">
      <c r="A265" s="8"/>
      <c r="B265" s="15">
        <v>3300</v>
      </c>
      <c r="C265" s="15">
        <v>9007</v>
      </c>
      <c r="D265" s="15">
        <v>23</v>
      </c>
      <c r="E265" s="15">
        <v>0</v>
      </c>
      <c r="F265" s="14" t="str">
        <f>VLOOKUP(C265,skill_list!B:C,2)</f>
        <v>ポイントケア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0</v>
      </c>
      <c r="P265" s="15"/>
      <c r="Q265" s="15"/>
    </row>
    <row r="266" spans="1:17">
      <c r="A266" s="8"/>
      <c r="B266" s="15">
        <v>3301</v>
      </c>
      <c r="C266" s="15">
        <v>22</v>
      </c>
      <c r="D266" s="15">
        <v>23</v>
      </c>
      <c r="E266" s="15">
        <v>0</v>
      </c>
      <c r="F266" s="14" t="str">
        <f>VLOOKUP(C266,skill_list!B:C,2)</f>
        <v>ブレスショット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3302</v>
      </c>
      <c r="C267" s="15">
        <v>33</v>
      </c>
      <c r="D267" s="15">
        <v>23</v>
      </c>
      <c r="E267" s="15">
        <v>0</v>
      </c>
      <c r="F267" s="14" t="str">
        <f>VLOOKUP(C267,skill_list!B:C,2)</f>
        <v>闘気斬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3303</v>
      </c>
      <c r="C268" s="15">
        <v>113</v>
      </c>
      <c r="D268" s="15">
        <v>23</v>
      </c>
      <c r="E268" s="15">
        <v>0</v>
      </c>
      <c r="F268" s="14" t="str">
        <f>VLOOKUP(C268,skill_list!B:C,2)</f>
        <v>ヴィヴィットシュート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3304</v>
      </c>
      <c r="C269" s="15">
        <v>120</v>
      </c>
      <c r="D269" s="15">
        <v>23</v>
      </c>
      <c r="E269" s="15">
        <v>0</v>
      </c>
      <c r="F269" s="14" t="str">
        <f>VLOOKUP(C269,skill_list!B:C,2)</f>
        <v>リバースショット</v>
      </c>
      <c r="G269" s="11"/>
      <c r="H269" s="15">
        <v>2</v>
      </c>
      <c r="I269" s="15">
        <v>2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3305</v>
      </c>
      <c r="C270" s="15">
        <v>132</v>
      </c>
      <c r="D270" s="15">
        <v>23</v>
      </c>
      <c r="E270" s="15">
        <v>0</v>
      </c>
      <c r="F270" s="14" t="str">
        <f>VLOOKUP(C270,skill_list!B:C,2)</f>
        <v>砕華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3306</v>
      </c>
      <c r="C271" s="15">
        <v>190</v>
      </c>
      <c r="D271" s="15">
        <v>23</v>
      </c>
      <c r="E271" s="15">
        <v>0</v>
      </c>
      <c r="F271" s="14" t="str">
        <f>VLOOKUP(C271,skill_list!B:C,2)</f>
        <v>ゲインカノン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3307</v>
      </c>
      <c r="C272" s="15">
        <v>212</v>
      </c>
      <c r="D272" s="15">
        <v>23</v>
      </c>
      <c r="E272" s="15">
        <v>0</v>
      </c>
      <c r="F272" s="14" t="str">
        <f>VLOOKUP(C272,skill_list!B:C,2)</f>
        <v>粛正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3308</v>
      </c>
      <c r="C273" s="15">
        <v>239</v>
      </c>
      <c r="D273" s="15">
        <v>23</v>
      </c>
      <c r="E273" s="15">
        <v>0</v>
      </c>
      <c r="F273" s="14" t="str">
        <f>VLOOKUP(C273,skill_list!B:C,2)</f>
        <v>キャンディ・バースト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3309</v>
      </c>
      <c r="C274" s="15">
        <v>259</v>
      </c>
      <c r="D274" s="15">
        <v>23</v>
      </c>
      <c r="E274" s="15">
        <v>0</v>
      </c>
      <c r="F274" s="14" t="str">
        <f>VLOOKUP(C274,skill_list!B:C,2)</f>
        <v>不純なアリア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3310</v>
      </c>
      <c r="C275" s="15">
        <v>309</v>
      </c>
      <c r="D275" s="15">
        <v>23</v>
      </c>
      <c r="E275" s="15">
        <v>0</v>
      </c>
      <c r="F275" s="14" t="str">
        <f>VLOOKUP(C275,skill_list!B:C,2)</f>
        <v>フォーチュンスラッシュ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8">
      <c r="A276" s="8"/>
      <c r="B276" s="15">
        <v>3311</v>
      </c>
      <c r="C276" s="15">
        <v>324</v>
      </c>
      <c r="D276" s="15">
        <v>23</v>
      </c>
      <c r="E276" s="15">
        <v>0</v>
      </c>
      <c r="F276" s="14" t="str">
        <f>VLOOKUP(C276,skill_list!B:C,2)</f>
        <v>トランスペイン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3312</v>
      </c>
      <c r="C277" s="15">
        <v>382</v>
      </c>
      <c r="D277" s="15">
        <v>23</v>
      </c>
      <c r="E277" s="15">
        <v>0</v>
      </c>
      <c r="F277" s="14" t="str">
        <f>VLOOKUP(C277,skill_list!B:C,2)</f>
        <v>エキゾーストノート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3313</v>
      </c>
      <c r="C278" s="15">
        <v>397</v>
      </c>
      <c r="D278" s="15">
        <v>23</v>
      </c>
      <c r="E278" s="15">
        <v>0</v>
      </c>
      <c r="F278" s="14" t="str">
        <f>VLOOKUP(C278,skill_list!B:C,2)</f>
        <v>春雷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3314</v>
      </c>
      <c r="C279" s="15">
        <v>427</v>
      </c>
      <c r="D279" s="15">
        <v>23</v>
      </c>
      <c r="E279" s="15">
        <v>0</v>
      </c>
      <c r="F279" s="14" t="str">
        <f>VLOOKUP(C279,skill_list!B:C,2)</f>
        <v>ファンタズム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</row>
    <row r="280" spans="1:18">
      <c r="A280" s="8"/>
      <c r="B280" s="15">
        <v>3315</v>
      </c>
      <c r="C280" s="15">
        <v>480</v>
      </c>
      <c r="D280" s="15">
        <v>23</v>
      </c>
      <c r="E280" s="15">
        <v>0</v>
      </c>
      <c r="F280" s="14" t="str">
        <f>VLOOKUP(C280,skill_list!B:C,2)</f>
        <v>スイーツチャージ！</v>
      </c>
      <c r="G280" s="11"/>
      <c r="H280" s="15">
        <v>2</v>
      </c>
      <c r="I280" s="15">
        <v>2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</row>
    <row r="281" spans="1:18">
      <c r="A281" s="8"/>
      <c r="B281" s="15">
        <v>3316</v>
      </c>
      <c r="C281" s="15">
        <v>177</v>
      </c>
      <c r="D281" s="15">
        <v>23</v>
      </c>
      <c r="E281" s="15">
        <v>0</v>
      </c>
      <c r="F281" s="14" t="str">
        <f>VLOOKUP(C281,skill_list!B:C,2)</f>
        <v>エリミネイト・ポッシブル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3</v>
      </c>
      <c r="M281" s="15">
        <v>0</v>
      </c>
      <c r="N281" s="15">
        <v>1</v>
      </c>
      <c r="O281" s="15">
        <v>0</v>
      </c>
      <c r="P281" s="15"/>
      <c r="Q281" s="15"/>
    </row>
    <row r="282" spans="1:18">
      <c r="A282" s="8"/>
      <c r="B282" s="15">
        <v>3317</v>
      </c>
      <c r="C282" s="15">
        <v>207</v>
      </c>
      <c r="D282" s="15">
        <v>23</v>
      </c>
      <c r="E282" s="15">
        <v>1</v>
      </c>
      <c r="F282" s="14" t="str">
        <f>VLOOKUP(C282,skill_list!B:C,2)</f>
        <v>リバイブ・ヴェール</v>
      </c>
      <c r="G282" s="11"/>
      <c r="H282" s="15">
        <v>3</v>
      </c>
      <c r="I282" s="15">
        <v>3</v>
      </c>
      <c r="J282" s="15">
        <v>0</v>
      </c>
      <c r="K282" s="15">
        <v>1</v>
      </c>
      <c r="L282" s="15">
        <v>8</v>
      </c>
      <c r="M282" s="15">
        <v>1</v>
      </c>
      <c r="N282" s="15">
        <v>1</v>
      </c>
      <c r="O282" s="15">
        <v>0</v>
      </c>
      <c r="P282" s="15"/>
      <c r="Q282" s="15"/>
    </row>
    <row r="283" spans="1:18">
      <c r="A283" s="8"/>
      <c r="B283" s="15">
        <v>3401</v>
      </c>
      <c r="C283" s="15">
        <v>137</v>
      </c>
      <c r="D283" s="15">
        <v>24</v>
      </c>
      <c r="E283" s="15">
        <v>0</v>
      </c>
      <c r="F283" s="14" t="str">
        <f>VLOOKUP(C283,skill_list!B:C,2)</f>
        <v>サイクロンブレード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3402</v>
      </c>
      <c r="C284" s="15">
        <v>211</v>
      </c>
      <c r="D284" s="15">
        <v>24</v>
      </c>
      <c r="E284" s="15">
        <v>0</v>
      </c>
      <c r="F284" s="14" t="str">
        <f>VLOOKUP(C284,skill_list!B:C,2)</f>
        <v>我忘恍惚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3403</v>
      </c>
      <c r="C285" s="15">
        <v>229</v>
      </c>
      <c r="D285" s="15">
        <v>24</v>
      </c>
      <c r="E285" s="15">
        <v>0</v>
      </c>
      <c r="F285" s="14" t="str">
        <f>VLOOKUP(C285,skill_list!B:C,2)</f>
        <v>フューリーインパルス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3404</v>
      </c>
      <c r="C286" s="15">
        <v>243</v>
      </c>
      <c r="D286" s="15">
        <v>24</v>
      </c>
      <c r="E286" s="15">
        <v>0</v>
      </c>
      <c r="F286" s="14" t="str">
        <f>VLOOKUP(C286,skill_list!B:C,2)</f>
        <v>銀蜂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>
        <v>999</v>
      </c>
      <c r="P286" s="15"/>
      <c r="Q286" s="15"/>
    </row>
    <row r="287" spans="1:18">
      <c r="A287" s="8"/>
      <c r="B287" s="15">
        <v>3405</v>
      </c>
      <c r="C287" s="15">
        <v>322</v>
      </c>
      <c r="D287" s="15">
        <v>24</v>
      </c>
      <c r="E287" s="15">
        <v>0</v>
      </c>
      <c r="F287" s="14" t="str">
        <f>VLOOKUP(C287,skill_list!B:C,2)</f>
        <v>決戦前夜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0</v>
      </c>
      <c r="P287" s="15"/>
      <c r="Q287" s="15"/>
    </row>
    <row r="288" spans="1:18">
      <c r="A288" s="8"/>
      <c r="B288" s="15">
        <v>3406</v>
      </c>
      <c r="C288" s="15">
        <v>473</v>
      </c>
      <c r="D288" s="15">
        <v>24</v>
      </c>
      <c r="E288" s="15">
        <v>0</v>
      </c>
      <c r="F288" s="14" t="str">
        <f>VLOOKUP(C288,skill_list!B:C,2)</f>
        <v>朝霜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</row>
    <row r="289" spans="1:17">
      <c r="A289" s="8"/>
      <c r="B289" s="15">
        <v>3501</v>
      </c>
      <c r="C289" s="15">
        <v>38</v>
      </c>
      <c r="D289" s="15">
        <v>25</v>
      </c>
      <c r="E289" s="15">
        <v>0</v>
      </c>
      <c r="F289" s="14" t="str">
        <f>VLOOKUP(C289,skill_list!B:C,2)</f>
        <v>プロヴォーク</v>
      </c>
      <c r="G289" s="11"/>
      <c r="H289" s="15">
        <v>2</v>
      </c>
      <c r="I289" s="15">
        <v>3</v>
      </c>
      <c r="J289" s="15">
        <v>208</v>
      </c>
      <c r="K289" s="15">
        <v>0</v>
      </c>
      <c r="L289" s="15">
        <v>7</v>
      </c>
      <c r="M289" s="15">
        <v>0</v>
      </c>
      <c r="N289" s="15">
        <v>3</v>
      </c>
      <c r="O289" s="15">
        <v>0</v>
      </c>
      <c r="P289" s="15"/>
      <c r="Q289" s="15"/>
    </row>
    <row r="290" spans="1:17">
      <c r="A290" s="8"/>
      <c r="B290" s="15">
        <v>3502</v>
      </c>
      <c r="C290" s="15">
        <v>65</v>
      </c>
      <c r="D290" s="15">
        <v>25</v>
      </c>
      <c r="E290" s="15">
        <v>0</v>
      </c>
      <c r="F290" s="14" t="str">
        <f>VLOOKUP(C290,skill_list!B:C,2)</f>
        <v>ポラリスの輝き</v>
      </c>
      <c r="G290" s="11"/>
      <c r="H290" s="15">
        <v>2</v>
      </c>
      <c r="I290" s="15">
        <v>3</v>
      </c>
      <c r="J290" s="15">
        <v>129</v>
      </c>
      <c r="K290" s="15">
        <v>0</v>
      </c>
      <c r="L290" s="15">
        <v>7</v>
      </c>
      <c r="M290" s="15">
        <v>0</v>
      </c>
      <c r="N290" s="15">
        <v>3</v>
      </c>
      <c r="O290" s="15">
        <v>999</v>
      </c>
      <c r="P290" s="15"/>
      <c r="Q290" s="15"/>
    </row>
    <row r="291" spans="1:17">
      <c r="A291" s="8"/>
      <c r="B291" s="15">
        <v>3503</v>
      </c>
      <c r="C291" s="15">
        <v>129</v>
      </c>
      <c r="D291" s="15">
        <v>25</v>
      </c>
      <c r="E291" s="15">
        <v>0</v>
      </c>
      <c r="F291" s="14" t="str">
        <f>VLOOKUP(C291,skill_list!B:C,2)</f>
        <v>ライオンハート</v>
      </c>
      <c r="G291" s="11"/>
      <c r="H291" s="15">
        <v>2</v>
      </c>
      <c r="I291" s="15">
        <v>3</v>
      </c>
      <c r="J291" s="15">
        <v>184</v>
      </c>
      <c r="K291" s="15">
        <v>0</v>
      </c>
      <c r="L291" s="15">
        <v>7</v>
      </c>
      <c r="M291" s="15">
        <v>0</v>
      </c>
      <c r="N291" s="15">
        <v>3</v>
      </c>
      <c r="O291" s="15">
        <v>0</v>
      </c>
      <c r="P291" s="15"/>
      <c r="Q291" s="15"/>
    </row>
    <row r="292" spans="1:17">
      <c r="A292" s="8"/>
      <c r="B292" s="15">
        <v>3504</v>
      </c>
      <c r="C292" s="15">
        <v>160</v>
      </c>
      <c r="D292" s="15">
        <v>25</v>
      </c>
      <c r="E292" s="15">
        <v>0</v>
      </c>
      <c r="F292" s="14" t="str">
        <f>VLOOKUP(C292,skill_list!B:C,2)</f>
        <v>ギャザー・バッシュ</v>
      </c>
      <c r="G292" s="11"/>
      <c r="H292" s="15">
        <v>2</v>
      </c>
      <c r="I292" s="15">
        <v>3</v>
      </c>
      <c r="J292" s="15">
        <v>117</v>
      </c>
      <c r="K292" s="15">
        <v>0</v>
      </c>
      <c r="L292" s="15">
        <v>7</v>
      </c>
      <c r="M292" s="15">
        <v>0</v>
      </c>
      <c r="N292" s="15">
        <v>3</v>
      </c>
      <c r="O292" s="15">
        <v>999</v>
      </c>
      <c r="P292" s="15"/>
      <c r="Q292" s="15"/>
    </row>
    <row r="293" spans="1:17">
      <c r="A293" s="8"/>
      <c r="B293" s="15">
        <v>3505</v>
      </c>
      <c r="C293" s="15">
        <v>233</v>
      </c>
      <c r="D293" s="15">
        <v>25</v>
      </c>
      <c r="E293" s="15">
        <v>0</v>
      </c>
      <c r="F293" s="14" t="str">
        <f>VLOOKUP(C293,skill_list!B:C,2)</f>
        <v>プロヴォーク</v>
      </c>
      <c r="G293" s="11"/>
      <c r="H293" s="15">
        <v>2</v>
      </c>
      <c r="I293" s="15">
        <v>3</v>
      </c>
      <c r="J293" s="15">
        <v>208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3506</v>
      </c>
      <c r="C294" s="15">
        <v>257</v>
      </c>
      <c r="D294" s="15">
        <v>25</v>
      </c>
      <c r="E294" s="15">
        <v>0</v>
      </c>
      <c r="F294" s="14" t="str">
        <f>VLOOKUP(C294,skill_list!B:C,2)</f>
        <v>プリンシプルチャンダス</v>
      </c>
      <c r="G294" s="11"/>
      <c r="H294" s="15">
        <v>2</v>
      </c>
      <c r="I294" s="15">
        <v>3</v>
      </c>
      <c r="J294" s="15">
        <v>131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</row>
    <row r="295" spans="1:17">
      <c r="A295" s="8"/>
      <c r="B295" s="15">
        <v>3507</v>
      </c>
      <c r="C295" s="15">
        <v>326</v>
      </c>
      <c r="D295" s="15">
        <v>25</v>
      </c>
      <c r="E295" s="15">
        <v>0</v>
      </c>
      <c r="F295" s="14" t="str">
        <f>VLOOKUP(C295,skill_list!B:C,2)</f>
        <v>籠の鳥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3508</v>
      </c>
      <c r="C296" s="15">
        <v>341</v>
      </c>
      <c r="D296" s="15">
        <v>25</v>
      </c>
      <c r="E296" s="15">
        <v>0</v>
      </c>
      <c r="F296" s="14" t="str">
        <f>VLOOKUP(C296,skill_list!B:C,2)</f>
        <v>ご注文を伺います</v>
      </c>
      <c r="G296" s="11"/>
      <c r="H296" s="15">
        <v>2</v>
      </c>
      <c r="I296" s="15">
        <v>3</v>
      </c>
      <c r="J296" s="15">
        <v>192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3509</v>
      </c>
      <c r="C297" s="15">
        <v>358</v>
      </c>
      <c r="D297" s="15">
        <v>25</v>
      </c>
      <c r="E297" s="15">
        <v>0</v>
      </c>
      <c r="F297" s="14" t="str">
        <f>VLOOKUP(C297,skill_list!B:C,2)</f>
        <v>決意の夜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>
        <v>0</v>
      </c>
      <c r="P297" s="15"/>
      <c r="Q297" s="15"/>
    </row>
    <row r="298" spans="1:17">
      <c r="A298" s="8"/>
      <c r="B298" s="15">
        <v>3510</v>
      </c>
      <c r="C298" s="15">
        <v>434</v>
      </c>
      <c r="D298" s="15">
        <v>25</v>
      </c>
      <c r="E298" s="15">
        <v>0</v>
      </c>
      <c r="F298" s="14" t="str">
        <f>VLOOKUP(C298,skill_list!B:C,2)</f>
        <v>シンコペーション</v>
      </c>
      <c r="G298" s="11"/>
      <c r="H298" s="15">
        <v>2</v>
      </c>
      <c r="I298" s="15">
        <v>3</v>
      </c>
      <c r="J298" s="15">
        <v>184</v>
      </c>
      <c r="K298" s="15">
        <v>0</v>
      </c>
      <c r="L298" s="15">
        <v>7</v>
      </c>
      <c r="M298" s="15">
        <v>0</v>
      </c>
      <c r="N298" s="15">
        <v>3</v>
      </c>
      <c r="O298" s="15">
        <v>0</v>
      </c>
      <c r="P298" s="15"/>
      <c r="Q298" s="15"/>
    </row>
    <row r="299" spans="1:17">
      <c r="A299" s="8"/>
      <c r="B299" s="15">
        <v>3511</v>
      </c>
      <c r="C299" s="15">
        <v>461</v>
      </c>
      <c r="D299" s="15">
        <v>25</v>
      </c>
      <c r="E299" s="15">
        <v>0</v>
      </c>
      <c r="F299" s="14" t="str">
        <f>VLOOKUP(C299,skill_list!B:C,2)</f>
        <v>ねこじゃらし</v>
      </c>
      <c r="G299" s="11"/>
      <c r="H299" s="15">
        <v>2</v>
      </c>
      <c r="I299" s="15">
        <v>3</v>
      </c>
      <c r="J299" s="15">
        <v>200</v>
      </c>
      <c r="K299" s="15">
        <v>0</v>
      </c>
      <c r="L299" s="15">
        <v>7</v>
      </c>
      <c r="M299" s="15">
        <v>0</v>
      </c>
      <c r="N299" s="15">
        <v>3</v>
      </c>
      <c r="O299" s="15">
        <v>0</v>
      </c>
      <c r="P299" s="15"/>
      <c r="Q299" s="15"/>
    </row>
    <row r="300" spans="1:17">
      <c r="A300" s="8"/>
      <c r="B300" s="15">
        <v>3601</v>
      </c>
      <c r="C300" s="15">
        <v>88</v>
      </c>
      <c r="D300" s="15">
        <v>26</v>
      </c>
      <c r="E300" s="15">
        <v>0</v>
      </c>
      <c r="F300" s="14" t="str">
        <f>VLOOKUP(C300,skill_list!B:C,2)</f>
        <v>導きの号令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3602</v>
      </c>
      <c r="C301" s="15">
        <v>217</v>
      </c>
      <c r="D301" s="15">
        <v>26</v>
      </c>
      <c r="E301" s="15">
        <v>0</v>
      </c>
      <c r="F301" s="14" t="str">
        <f>VLOOKUP(C301,skill_list!B:C,2)</f>
        <v>空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3603</v>
      </c>
      <c r="C302" s="15">
        <v>267</v>
      </c>
      <c r="D302" s="15">
        <v>26</v>
      </c>
      <c r="E302" s="15">
        <v>0</v>
      </c>
      <c r="F302" s="14" t="str">
        <f>VLOOKUP(C302,skill_list!B:C,2)</f>
        <v>細雪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3604</v>
      </c>
      <c r="C303" s="15">
        <v>346</v>
      </c>
      <c r="D303" s="15">
        <v>26</v>
      </c>
      <c r="E303" s="15">
        <v>0</v>
      </c>
      <c r="F303" s="14" t="str">
        <f>VLOOKUP(C303,skill_list!B:C,2)</f>
        <v>メイドの嗜み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3605</v>
      </c>
      <c r="C304" s="15">
        <v>371</v>
      </c>
      <c r="D304" s="15">
        <v>26</v>
      </c>
      <c r="E304" s="15">
        <v>0</v>
      </c>
      <c r="F304" s="14" t="str">
        <f>VLOOKUP(C304,skill_list!B:C,2)</f>
        <v>赤面スティグマ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3606</v>
      </c>
      <c r="C305" s="15">
        <v>380</v>
      </c>
      <c r="D305" s="15">
        <v>26</v>
      </c>
      <c r="E305" s="15">
        <v>0</v>
      </c>
      <c r="F305" s="14" t="str">
        <f>VLOOKUP(C305,skill_list!B:C,2)</f>
        <v>天変の相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3607</v>
      </c>
      <c r="C306" s="15">
        <v>404</v>
      </c>
      <c r="D306" s="15">
        <v>26</v>
      </c>
      <c r="E306" s="15">
        <v>0</v>
      </c>
      <c r="F306" s="14" t="str">
        <f>VLOOKUP(C306,skill_list!B:C,2)</f>
        <v>とある衝撃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>
        <v>0</v>
      </c>
      <c r="P306" s="15"/>
      <c r="Q306" s="15"/>
    </row>
    <row r="307" spans="1:17">
      <c r="A307" s="8"/>
      <c r="B307" s="15">
        <v>3608</v>
      </c>
      <c r="C307" s="15">
        <v>471</v>
      </c>
      <c r="D307" s="15">
        <v>26</v>
      </c>
      <c r="E307" s="15">
        <v>0</v>
      </c>
      <c r="F307" s="14" t="str">
        <f>VLOOKUP(C307,skill_list!B:C,2)</f>
        <v>おしおき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>
        <v>0</v>
      </c>
      <c r="P307" s="15"/>
      <c r="Q307" s="15"/>
    </row>
    <row r="308" spans="1:17">
      <c r="A308" s="8"/>
      <c r="B308" s="15">
        <v>3609</v>
      </c>
      <c r="C308" s="15">
        <v>494</v>
      </c>
      <c r="D308" s="15">
        <v>26</v>
      </c>
      <c r="E308" s="15">
        <v>0</v>
      </c>
      <c r="F308" s="14" t="str">
        <f>VLOOKUP(C308,skill_list!B:C,2)</f>
        <v>夜醒</v>
      </c>
      <c r="G308" s="11"/>
      <c r="H308" s="15">
        <v>0</v>
      </c>
      <c r="I308" s="15">
        <v>0</v>
      </c>
      <c r="J308" s="15">
        <v>0</v>
      </c>
      <c r="K308" s="15">
        <v>0</v>
      </c>
      <c r="L308" s="15">
        <v>4</v>
      </c>
      <c r="M308" s="15">
        <v>0</v>
      </c>
      <c r="N308" s="15">
        <v>1</v>
      </c>
      <c r="O308" s="15">
        <v>0</v>
      </c>
      <c r="P308" s="15"/>
      <c r="Q308" s="15"/>
    </row>
    <row r="309" spans="1:17">
      <c r="A309" s="8"/>
      <c r="B309" s="15">
        <v>3701</v>
      </c>
      <c r="C309" s="15">
        <v>486</v>
      </c>
      <c r="D309" s="15">
        <v>27</v>
      </c>
      <c r="E309" s="15">
        <v>0</v>
      </c>
      <c r="F309" s="14" t="str">
        <f>VLOOKUP(C309,skill_list!B:C,2)</f>
        <v>聖女の守護</v>
      </c>
      <c r="G309" s="11"/>
      <c r="H309" s="15">
        <v>2</v>
      </c>
      <c r="I309" s="15">
        <v>3</v>
      </c>
      <c r="J309" s="15">
        <v>160</v>
      </c>
      <c r="K309" s="15">
        <v>1</v>
      </c>
      <c r="L309" s="15">
        <v>7</v>
      </c>
      <c r="M309" s="15">
        <v>0</v>
      </c>
      <c r="N309" s="15">
        <v>0</v>
      </c>
      <c r="O309" s="15">
        <v>0</v>
      </c>
      <c r="P309" s="15"/>
      <c r="Q309" s="15"/>
    </row>
    <row r="310" spans="1:17">
      <c r="A310" s="8"/>
      <c r="B310" s="15">
        <v>4001</v>
      </c>
      <c r="C310" s="15">
        <v>469</v>
      </c>
      <c r="D310" s="15">
        <v>30</v>
      </c>
      <c r="E310" s="15">
        <v>0</v>
      </c>
      <c r="F310" s="14" t="str">
        <f>VLOOKUP(C310,skill_list!B:C,2)</f>
        <v>ひらり落桜</v>
      </c>
      <c r="G310" s="11"/>
      <c r="H310" s="15">
        <v>0</v>
      </c>
      <c r="I310" s="15">
        <v>0</v>
      </c>
      <c r="J310" s="15">
        <v>0</v>
      </c>
      <c r="K310" s="15">
        <v>1</v>
      </c>
      <c r="L310" s="15">
        <v>7</v>
      </c>
      <c r="M310" s="15">
        <v>0</v>
      </c>
      <c r="N310" s="15">
        <v>0</v>
      </c>
      <c r="O310" s="15">
        <v>0</v>
      </c>
      <c r="P310" s="15"/>
      <c r="Q310" s="15"/>
    </row>
  </sheetData>
  <autoFilter ref="B6:Q310" xr:uid="{401BDCFC-C7C7-426C-A276-7FBF75833C9C}"/>
  <phoneticPr fontId="1"/>
  <dataValidations count="1">
    <dataValidation type="list" allowBlank="1" showInputMessage="1" showErrorMessage="1" sqref="A7:A31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90" activePane="bottomLeft" state="frozen"/>
      <selection pane="bottomLeft" activeCell="G250" sqref="G250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2154</v>
      </c>
      <c r="D92" s="11" t="s">
        <v>2155</v>
      </c>
      <c r="E92" s="11" t="s">
        <v>2156</v>
      </c>
      <c r="F92" s="15">
        <v>1</v>
      </c>
      <c r="G92" s="15">
        <v>1</v>
      </c>
      <c r="H92" s="15" t="s">
        <v>2157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1780</v>
      </c>
      <c r="E93" s="11" t="s">
        <v>1160</v>
      </c>
      <c r="F93" s="15">
        <v>1</v>
      </c>
      <c r="G93" s="15">
        <v>1</v>
      </c>
      <c r="H93" s="15" t="s">
        <v>1595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1781</v>
      </c>
      <c r="D94" s="11" t="s">
        <v>1782</v>
      </c>
      <c r="E94" s="11" t="s">
        <v>1783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1224</v>
      </c>
      <c r="E95" s="11" t="s">
        <v>734</v>
      </c>
      <c r="F95" s="15">
        <v>0</v>
      </c>
      <c r="G95" s="15">
        <v>1</v>
      </c>
      <c r="H95" s="15" t="s">
        <v>1596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1225</v>
      </c>
      <c r="E96" s="11" t="s">
        <v>734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1226</v>
      </c>
      <c r="E97" s="11" t="s">
        <v>734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1597</v>
      </c>
      <c r="D98" s="11" t="s">
        <v>1550</v>
      </c>
      <c r="E98" s="11" t="s">
        <v>734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1598</v>
      </c>
      <c r="D99" s="11" t="s">
        <v>1227</v>
      </c>
      <c r="E99" s="11" t="s">
        <v>734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1277</v>
      </c>
      <c r="D100" s="11" t="s">
        <v>1228</v>
      </c>
      <c r="E100" s="11" t="s">
        <v>734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1278</v>
      </c>
      <c r="D101" s="11" t="s">
        <v>1229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1279</v>
      </c>
      <c r="D102" s="11" t="s">
        <v>1230</v>
      </c>
      <c r="E102" s="11" t="s">
        <v>734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1599</v>
      </c>
      <c r="D103" s="11" t="s">
        <v>1551</v>
      </c>
      <c r="E103" s="11" t="s">
        <v>734</v>
      </c>
      <c r="F103" s="15">
        <v>0</v>
      </c>
      <c r="G103" s="15">
        <v>3</v>
      </c>
      <c r="H103" s="15" t="s">
        <v>1600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1622</v>
      </c>
      <c r="D104" s="11" t="s">
        <v>1632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2043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2044</v>
      </c>
      <c r="D106" s="11" t="s">
        <v>2045</v>
      </c>
      <c r="E106" s="11" t="s">
        <v>734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1601</v>
      </c>
      <c r="D107" s="11" t="s">
        <v>382</v>
      </c>
      <c r="E107" s="11" t="s">
        <v>734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1231</v>
      </c>
      <c r="E108" s="11" t="s">
        <v>734</v>
      </c>
      <c r="F108" s="15">
        <v>1</v>
      </c>
      <c r="G108" s="15">
        <v>1</v>
      </c>
      <c r="H108" s="15" t="s">
        <v>1206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1232</v>
      </c>
      <c r="E109" s="11" t="s">
        <v>734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1233</v>
      </c>
      <c r="E110" s="11" t="s">
        <v>734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1234</v>
      </c>
      <c r="E111" s="11" t="s">
        <v>734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1235</v>
      </c>
      <c r="E112" s="11" t="s">
        <v>734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1602</v>
      </c>
      <c r="D113" s="11" t="s">
        <v>1552</v>
      </c>
      <c r="E113" s="11" t="s">
        <v>734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1603</v>
      </c>
      <c r="D114" s="11" t="s">
        <v>1553</v>
      </c>
      <c r="E114" s="11" t="s">
        <v>734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1161</v>
      </c>
      <c r="D115" s="11" t="s">
        <v>1236</v>
      </c>
      <c r="E115" s="11" t="s">
        <v>734</v>
      </c>
      <c r="F115" s="15">
        <v>1</v>
      </c>
      <c r="G115" s="15">
        <v>1</v>
      </c>
      <c r="H115" s="15" t="s">
        <v>1561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1604</v>
      </c>
      <c r="D116" s="11" t="s">
        <v>1237</v>
      </c>
      <c r="E116" s="11" t="s">
        <v>734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1829</v>
      </c>
      <c r="D117" s="11" t="s">
        <v>1238</v>
      </c>
      <c r="E117" s="11" t="s">
        <v>734</v>
      </c>
      <c r="F117" s="15">
        <v>1</v>
      </c>
      <c r="G117" s="15">
        <v>1</v>
      </c>
      <c r="H117" s="15" t="s">
        <v>1605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1280</v>
      </c>
      <c r="D118" s="11" t="s">
        <v>1239</v>
      </c>
      <c r="E118" s="11" t="s">
        <v>734</v>
      </c>
      <c r="F118" s="15">
        <v>1</v>
      </c>
      <c r="G118" s="15">
        <v>1</v>
      </c>
      <c r="H118" s="15" t="s">
        <v>1240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1281</v>
      </c>
      <c r="D119" s="11" t="s">
        <v>1241</v>
      </c>
      <c r="E119" s="11" t="s">
        <v>734</v>
      </c>
      <c r="F119" s="15">
        <v>1</v>
      </c>
      <c r="G119" s="15">
        <v>1</v>
      </c>
      <c r="H119" s="15" t="s">
        <v>1242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1282</v>
      </c>
      <c r="D120" s="11" t="s">
        <v>1243</v>
      </c>
      <c r="E120" s="11" t="s">
        <v>734</v>
      </c>
      <c r="F120" s="15">
        <v>1</v>
      </c>
      <c r="G120" s="15">
        <v>1</v>
      </c>
      <c r="H120" s="15" t="s">
        <v>1561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1283</v>
      </c>
      <c r="D121" s="11" t="s">
        <v>1244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1284</v>
      </c>
      <c r="D122" s="11" t="s">
        <v>1245</v>
      </c>
      <c r="E122" s="11" t="s">
        <v>734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1619</v>
      </c>
      <c r="D123" s="11" t="s">
        <v>1620</v>
      </c>
      <c r="E123" s="11" t="s">
        <v>734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1784</v>
      </c>
      <c r="D124" s="11" t="s">
        <v>1785</v>
      </c>
      <c r="E124" s="11" t="s">
        <v>734</v>
      </c>
      <c r="F124" s="15">
        <v>1</v>
      </c>
      <c r="G124" s="15">
        <v>3</v>
      </c>
      <c r="H124" s="15" t="s">
        <v>1786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1787</v>
      </c>
      <c r="D125" s="11" t="s">
        <v>1788</v>
      </c>
      <c r="E125" s="11" t="s">
        <v>734</v>
      </c>
      <c r="F125" s="15">
        <v>1</v>
      </c>
      <c r="G125" s="15">
        <v>3</v>
      </c>
      <c r="H125" s="15" t="s">
        <v>1789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814</v>
      </c>
      <c r="D126" s="11" t="s">
        <v>1246</v>
      </c>
      <c r="E126" s="11" t="s">
        <v>734</v>
      </c>
      <c r="F126" s="15">
        <v>2</v>
      </c>
      <c r="G126" s="15">
        <v>1</v>
      </c>
      <c r="H126" s="15" t="s">
        <v>1562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1879</v>
      </c>
      <c r="D127" s="11" t="s">
        <v>1846</v>
      </c>
      <c r="E127" s="11"/>
      <c r="F127" s="15">
        <v>1</v>
      </c>
      <c r="G127" s="15">
        <v>1</v>
      </c>
      <c r="H127" s="15" t="s">
        <v>1848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1845</v>
      </c>
      <c r="D128" s="11" t="s">
        <v>1847</v>
      </c>
      <c r="E128" s="11"/>
      <c r="F128" s="15">
        <v>2</v>
      </c>
      <c r="G128" s="15">
        <v>3</v>
      </c>
      <c r="H128" s="15" t="s">
        <v>1848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734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1247</v>
      </c>
      <c r="E130" s="11" t="s">
        <v>734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1162</v>
      </c>
      <c r="D131" s="11" t="s">
        <v>1163</v>
      </c>
      <c r="E131" s="11" t="s">
        <v>734</v>
      </c>
      <c r="F131" s="15">
        <v>0</v>
      </c>
      <c r="G131" s="15">
        <v>0</v>
      </c>
      <c r="H131" s="15" t="s">
        <v>1606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1607</v>
      </c>
      <c r="E132" s="11" t="s">
        <v>734</v>
      </c>
      <c r="F132" s="15">
        <v>0</v>
      </c>
      <c r="G132" s="15">
        <v>0</v>
      </c>
      <c r="H132" s="15" t="s">
        <v>1608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1609</v>
      </c>
      <c r="D133" s="11" t="s">
        <v>1610</v>
      </c>
      <c r="E133" s="11" t="s">
        <v>734</v>
      </c>
      <c r="F133" s="15">
        <v>6</v>
      </c>
      <c r="G133" s="15">
        <v>0</v>
      </c>
      <c r="H133" s="15" t="s">
        <v>1594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1834</v>
      </c>
      <c r="D134" s="11" t="s">
        <v>1611</v>
      </c>
      <c r="E134" s="11" t="s">
        <v>734</v>
      </c>
      <c r="F134" s="15">
        <v>6</v>
      </c>
      <c r="G134" s="15">
        <v>3</v>
      </c>
      <c r="H134" s="15" t="s">
        <v>1612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1285</v>
      </c>
      <c r="D135" s="11" t="s">
        <v>1249</v>
      </c>
      <c r="E135" s="11" t="s">
        <v>734</v>
      </c>
      <c r="F135" s="15">
        <v>3</v>
      </c>
      <c r="G135" s="15">
        <v>1</v>
      </c>
      <c r="H135" s="15" t="s">
        <v>1242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1286</v>
      </c>
      <c r="D136" s="11" t="s">
        <v>1250</v>
      </c>
      <c r="E136" s="11" t="s">
        <v>734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1820</v>
      </c>
      <c r="D137" s="11" t="s">
        <v>1830</v>
      </c>
      <c r="E137" s="11" t="s">
        <v>734</v>
      </c>
      <c r="F137" s="15">
        <v>6</v>
      </c>
      <c r="G137" s="15">
        <v>0</v>
      </c>
      <c r="H137" s="15" t="s">
        <v>1831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1832</v>
      </c>
      <c r="D138" s="11" t="s">
        <v>1833</v>
      </c>
      <c r="E138" s="11" t="s">
        <v>734</v>
      </c>
      <c r="F138" s="15">
        <v>0</v>
      </c>
      <c r="G138" s="15">
        <v>1</v>
      </c>
      <c r="H138" s="15" t="s">
        <v>1562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1839</v>
      </c>
      <c r="D139" s="11" t="s">
        <v>391</v>
      </c>
      <c r="E139" s="11" t="s">
        <v>734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2035</v>
      </c>
      <c r="D140" s="11" t="s">
        <v>1611</v>
      </c>
      <c r="E140" s="11" t="s">
        <v>734</v>
      </c>
      <c r="F140" s="15">
        <v>6</v>
      </c>
      <c r="G140" s="15">
        <v>3</v>
      </c>
      <c r="H140" s="15" t="s">
        <v>1612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1743</v>
      </c>
      <c r="F115" s="11" t="s">
        <v>1743</v>
      </c>
      <c r="G115" s="11" t="s">
        <v>2061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1743</v>
      </c>
      <c r="F116" s="11" t="s">
        <v>1743</v>
      </c>
      <c r="G116" s="11" t="s">
        <v>1822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1743</v>
      </c>
      <c r="F117" s="11" t="s">
        <v>1743</v>
      </c>
      <c r="G117" s="11" t="s">
        <v>2158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1743</v>
      </c>
      <c r="F118" s="11" t="s">
        <v>1743</v>
      </c>
      <c r="G118" s="11" t="s">
        <v>2160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1743</v>
      </c>
      <c r="F119" s="11" t="s">
        <v>1743</v>
      </c>
      <c r="G119" s="11" t="s">
        <v>2062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1743</v>
      </c>
      <c r="F120" s="11" t="s">
        <v>1743</v>
      </c>
      <c r="G120" s="11" t="s">
        <v>2159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2024-08-16T17:36:23Z</dcterms:modified>
</cp:coreProperties>
</file>