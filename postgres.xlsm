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86973CC1-F4DB-4023-8CC8-B987B840E9AE}" xr6:coauthVersionLast="47" xr6:coauthVersionMax="47" xr10:uidLastSave="{00000000-0000-0000-0000-000000000000}"/>
  <bookViews>
    <workbookView xWindow="28680" yWindow="-120" windowWidth="29040" windowHeight="15840" firstSheet="6" activeTab="11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35" r:id="rId7"/>
    <sheet name="skill_list" sheetId="55" r:id="rId8"/>
    <sheet name="skill_attack" sheetId="58" r:id="rId9"/>
    <sheet name="skill_buff" sheetId="59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ability!$B$6:$N$138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skill_attack!$B$6:$V$319</definedName>
    <definedName name="_xlnm._FilterDatabase" localSheetId="9" hidden="1">skill_buff!$B$6:$Q$307</definedName>
    <definedName name="_xlnm._FilterDatabase" localSheetId="7" hidden="1">skill_list!$B$6:$J$516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5" i="59" l="1"/>
  <c r="F164" i="59"/>
  <c r="F279" i="59"/>
  <c r="F226" i="59"/>
  <c r="F163" i="59"/>
  <c r="F162" i="59"/>
  <c r="V254" i="63"/>
  <c r="U254" i="63"/>
  <c r="T254" i="63"/>
  <c r="S254" i="63"/>
  <c r="R254" i="63"/>
  <c r="Q254" i="63"/>
  <c r="V253" i="63"/>
  <c r="U253" i="63"/>
  <c r="T253" i="63"/>
  <c r="S253" i="63"/>
  <c r="R253" i="63"/>
  <c r="Q253" i="63"/>
  <c r="V252" i="63"/>
  <c r="U252" i="63"/>
  <c r="T252" i="63"/>
  <c r="S252" i="63"/>
  <c r="R252" i="63"/>
  <c r="Q252" i="63"/>
  <c r="V251" i="63"/>
  <c r="U251" i="63"/>
  <c r="T251" i="63"/>
  <c r="S251" i="63"/>
  <c r="R251" i="63"/>
  <c r="Q251" i="63"/>
  <c r="V250" i="63"/>
  <c r="U250" i="63"/>
  <c r="T250" i="63"/>
  <c r="S250" i="63"/>
  <c r="R250" i="63"/>
  <c r="Q250" i="63"/>
  <c r="V249" i="63"/>
  <c r="U249" i="63"/>
  <c r="T249" i="63"/>
  <c r="S249" i="63"/>
  <c r="R249" i="63"/>
  <c r="Q249" i="63"/>
  <c r="V248" i="63"/>
  <c r="U248" i="63"/>
  <c r="T248" i="63"/>
  <c r="S248" i="63"/>
  <c r="R248" i="63"/>
  <c r="Q248" i="63"/>
  <c r="V247" i="63"/>
  <c r="U247" i="63"/>
  <c r="T247" i="63"/>
  <c r="S247" i="63"/>
  <c r="R247" i="63"/>
  <c r="Q247" i="63"/>
  <c r="V246" i="63"/>
  <c r="U246" i="63"/>
  <c r="T246" i="63"/>
  <c r="S246" i="63"/>
  <c r="R246" i="63"/>
  <c r="Q246" i="63"/>
  <c r="V245" i="63"/>
  <c r="U245" i="63"/>
  <c r="T245" i="63"/>
  <c r="S245" i="63"/>
  <c r="R245" i="63"/>
  <c r="Q245" i="63"/>
  <c r="V244" i="63"/>
  <c r="U244" i="63"/>
  <c r="T244" i="63"/>
  <c r="S244" i="63"/>
  <c r="R244" i="63"/>
  <c r="Q244" i="63"/>
  <c r="V243" i="63"/>
  <c r="U243" i="63"/>
  <c r="T243" i="63"/>
  <c r="S243" i="63"/>
  <c r="R243" i="63"/>
  <c r="Q243" i="63"/>
  <c r="V242" i="63"/>
  <c r="U242" i="63"/>
  <c r="T242" i="63"/>
  <c r="S242" i="63"/>
  <c r="R242" i="63"/>
  <c r="Q242" i="63"/>
  <c r="V241" i="63"/>
  <c r="U241" i="63"/>
  <c r="T241" i="63"/>
  <c r="S241" i="63"/>
  <c r="R241" i="63"/>
  <c r="Q241" i="63"/>
  <c r="V240" i="63"/>
  <c r="U240" i="63"/>
  <c r="T240" i="63"/>
  <c r="S240" i="63"/>
  <c r="R240" i="63"/>
  <c r="Q240" i="63"/>
  <c r="V239" i="63"/>
  <c r="U239" i="63"/>
  <c r="T239" i="63"/>
  <c r="S239" i="63"/>
  <c r="R239" i="63"/>
  <c r="Q239" i="63"/>
  <c r="V238" i="63"/>
  <c r="U238" i="63"/>
  <c r="T238" i="63"/>
  <c r="S238" i="63"/>
  <c r="R238" i="63"/>
  <c r="Q238" i="63"/>
  <c r="V237" i="63"/>
  <c r="U237" i="63"/>
  <c r="T237" i="63"/>
  <c r="S237" i="63"/>
  <c r="R237" i="63"/>
  <c r="Q237" i="63"/>
  <c r="V236" i="63"/>
  <c r="U236" i="63"/>
  <c r="T236" i="63"/>
  <c r="S236" i="63"/>
  <c r="R236" i="63"/>
  <c r="Q236" i="63"/>
  <c r="V235" i="63"/>
  <c r="U235" i="63"/>
  <c r="T235" i="63"/>
  <c r="S235" i="63"/>
  <c r="R235" i="63"/>
  <c r="Q235" i="63"/>
  <c r="V234" i="63"/>
  <c r="U234" i="63"/>
  <c r="T234" i="63"/>
  <c r="S234" i="63"/>
  <c r="R234" i="63"/>
  <c r="Q234" i="63"/>
  <c r="V233" i="63"/>
  <c r="U233" i="63"/>
  <c r="T233" i="63"/>
  <c r="S233" i="63"/>
  <c r="R233" i="63"/>
  <c r="Q233" i="63"/>
  <c r="V232" i="63"/>
  <c r="U232" i="63"/>
  <c r="T232" i="63"/>
  <c r="S232" i="63"/>
  <c r="R232" i="63"/>
  <c r="Q232" i="63"/>
  <c r="V231" i="63"/>
  <c r="U231" i="63"/>
  <c r="T231" i="63"/>
  <c r="S231" i="63"/>
  <c r="R231" i="63"/>
  <c r="Q231" i="63"/>
  <c r="V230" i="63"/>
  <c r="U230" i="63"/>
  <c r="T230" i="63"/>
  <c r="S230" i="63"/>
  <c r="R230" i="63"/>
  <c r="Q230" i="63"/>
  <c r="V229" i="63"/>
  <c r="U229" i="63"/>
  <c r="T229" i="63"/>
  <c r="S229" i="63"/>
  <c r="R229" i="63"/>
  <c r="Q229" i="63"/>
  <c r="V228" i="63"/>
  <c r="U228" i="63"/>
  <c r="T228" i="63"/>
  <c r="S228" i="63"/>
  <c r="R228" i="63"/>
  <c r="Q228" i="63"/>
  <c r="V227" i="63"/>
  <c r="U227" i="63"/>
  <c r="T227" i="63"/>
  <c r="S227" i="63"/>
  <c r="R227" i="63"/>
  <c r="Q227" i="63"/>
  <c r="V226" i="63"/>
  <c r="U226" i="63"/>
  <c r="T226" i="63"/>
  <c r="S226" i="63"/>
  <c r="R226" i="63"/>
  <c r="Q226" i="63"/>
  <c r="V225" i="63"/>
  <c r="U225" i="63"/>
  <c r="T225" i="63"/>
  <c r="S225" i="63"/>
  <c r="R225" i="63"/>
  <c r="Q225" i="63"/>
  <c r="V224" i="63"/>
  <c r="U224" i="63"/>
  <c r="T224" i="63"/>
  <c r="S224" i="63"/>
  <c r="R224" i="63"/>
  <c r="Q224" i="63"/>
  <c r="V223" i="63"/>
  <c r="U223" i="63"/>
  <c r="T223" i="63"/>
  <c r="S223" i="63"/>
  <c r="R223" i="63"/>
  <c r="Q223" i="63"/>
  <c r="V222" i="63"/>
  <c r="U222" i="63"/>
  <c r="T222" i="63"/>
  <c r="S222" i="63"/>
  <c r="R222" i="63"/>
  <c r="Q222" i="63"/>
  <c r="V221" i="63"/>
  <c r="U221" i="63"/>
  <c r="T221" i="63"/>
  <c r="S221" i="63"/>
  <c r="R221" i="63"/>
  <c r="Q221" i="63"/>
  <c r="V220" i="63"/>
  <c r="U220" i="63"/>
  <c r="T220" i="63"/>
  <c r="S220" i="63"/>
  <c r="R220" i="63"/>
  <c r="Q220" i="63"/>
  <c r="V219" i="63"/>
  <c r="U219" i="63"/>
  <c r="T219" i="63"/>
  <c r="S219" i="63"/>
  <c r="R219" i="63"/>
  <c r="Q219" i="63"/>
  <c r="V218" i="63"/>
  <c r="U218" i="63"/>
  <c r="T218" i="63"/>
  <c r="S218" i="63"/>
  <c r="R218" i="63"/>
  <c r="Q218" i="63"/>
  <c r="V217" i="63"/>
  <c r="U217" i="63"/>
  <c r="T217" i="63"/>
  <c r="S217" i="63"/>
  <c r="R217" i="63"/>
  <c r="Q217" i="63"/>
  <c r="V216" i="63"/>
  <c r="U216" i="63"/>
  <c r="T216" i="63"/>
  <c r="S216" i="63"/>
  <c r="R216" i="63"/>
  <c r="Q216" i="63"/>
  <c r="V215" i="63"/>
  <c r="U215" i="63"/>
  <c r="T215" i="63"/>
  <c r="S215" i="63"/>
  <c r="R215" i="63"/>
  <c r="Q215" i="63"/>
  <c r="V214" i="63"/>
  <c r="U214" i="63"/>
  <c r="T214" i="63"/>
  <c r="S214" i="63"/>
  <c r="R214" i="63"/>
  <c r="Q214" i="63"/>
  <c r="V213" i="63"/>
  <c r="U213" i="63"/>
  <c r="T213" i="63"/>
  <c r="S213" i="63"/>
  <c r="R213" i="63"/>
  <c r="Q213" i="63"/>
  <c r="V212" i="63"/>
  <c r="U212" i="63"/>
  <c r="T212" i="63"/>
  <c r="S212" i="63"/>
  <c r="R212" i="63"/>
  <c r="Q212" i="63"/>
  <c r="V211" i="63"/>
  <c r="U211" i="63"/>
  <c r="T211" i="63"/>
  <c r="S211" i="63"/>
  <c r="R211" i="63"/>
  <c r="Q211" i="63"/>
  <c r="V210" i="63"/>
  <c r="U210" i="63"/>
  <c r="T210" i="63"/>
  <c r="S210" i="63"/>
  <c r="R210" i="63"/>
  <c r="Q210" i="63"/>
  <c r="V209" i="63"/>
  <c r="U209" i="63"/>
  <c r="T209" i="63"/>
  <c r="S209" i="63"/>
  <c r="R209" i="63"/>
  <c r="Q209" i="63"/>
  <c r="V208" i="63"/>
  <c r="U208" i="63"/>
  <c r="T208" i="63"/>
  <c r="S208" i="63"/>
  <c r="R208" i="63"/>
  <c r="Q208" i="63"/>
  <c r="V207" i="63"/>
  <c r="U207" i="63"/>
  <c r="T207" i="63"/>
  <c r="S207" i="63"/>
  <c r="R207" i="63"/>
  <c r="Q207" i="63"/>
  <c r="V206" i="63"/>
  <c r="U206" i="63"/>
  <c r="T206" i="63"/>
  <c r="S206" i="63"/>
  <c r="R206" i="63"/>
  <c r="Q206" i="63"/>
  <c r="V205" i="63"/>
  <c r="U205" i="63"/>
  <c r="T205" i="63"/>
  <c r="S205" i="63"/>
  <c r="R205" i="63"/>
  <c r="Q205" i="63"/>
  <c r="V204" i="63"/>
  <c r="U204" i="63"/>
  <c r="T204" i="63"/>
  <c r="S204" i="63"/>
  <c r="R204" i="63"/>
  <c r="Q204" i="63"/>
  <c r="V203" i="63"/>
  <c r="U203" i="63"/>
  <c r="T203" i="63"/>
  <c r="S203" i="63"/>
  <c r="R203" i="63"/>
  <c r="Q203" i="63"/>
  <c r="V202" i="63"/>
  <c r="U202" i="63"/>
  <c r="T202" i="63"/>
  <c r="S202" i="63"/>
  <c r="R202" i="63"/>
  <c r="Q202" i="63"/>
  <c r="V201" i="63"/>
  <c r="U201" i="63"/>
  <c r="T201" i="63"/>
  <c r="S201" i="63"/>
  <c r="R201" i="63"/>
  <c r="Q201" i="63"/>
  <c r="V200" i="63"/>
  <c r="U200" i="63"/>
  <c r="T200" i="63"/>
  <c r="S200" i="63"/>
  <c r="R200" i="63"/>
  <c r="Q200" i="63"/>
  <c r="V199" i="63"/>
  <c r="U199" i="63"/>
  <c r="T199" i="63"/>
  <c r="S199" i="63"/>
  <c r="R199" i="63"/>
  <c r="Q199" i="63"/>
  <c r="V198" i="63"/>
  <c r="U198" i="63"/>
  <c r="T198" i="63"/>
  <c r="S198" i="63"/>
  <c r="R198" i="63"/>
  <c r="Q198" i="63"/>
  <c r="V197" i="63"/>
  <c r="U197" i="63"/>
  <c r="T197" i="63"/>
  <c r="S197" i="63"/>
  <c r="R197" i="63"/>
  <c r="Q197" i="63"/>
  <c r="V196" i="63"/>
  <c r="U196" i="63"/>
  <c r="T196" i="63"/>
  <c r="S196" i="63"/>
  <c r="R196" i="63"/>
  <c r="Q196" i="63"/>
  <c r="V195" i="63"/>
  <c r="U195" i="63"/>
  <c r="T195" i="63"/>
  <c r="S195" i="63"/>
  <c r="R195" i="63"/>
  <c r="Q195" i="63"/>
  <c r="V194" i="63"/>
  <c r="U194" i="63"/>
  <c r="T194" i="63"/>
  <c r="S194" i="63"/>
  <c r="R194" i="63"/>
  <c r="Q194" i="63"/>
  <c r="V193" i="63"/>
  <c r="U193" i="63"/>
  <c r="T193" i="63"/>
  <c r="S193" i="63"/>
  <c r="R193" i="63"/>
  <c r="Q193" i="63"/>
  <c r="V192" i="63"/>
  <c r="U192" i="63"/>
  <c r="T192" i="63"/>
  <c r="S192" i="63"/>
  <c r="R192" i="63"/>
  <c r="Q192" i="63"/>
  <c r="V191" i="63"/>
  <c r="U191" i="63"/>
  <c r="T191" i="63"/>
  <c r="S191" i="63"/>
  <c r="R191" i="63"/>
  <c r="Q191" i="63"/>
  <c r="V190" i="63"/>
  <c r="U190" i="63"/>
  <c r="T190" i="63"/>
  <c r="S190" i="63"/>
  <c r="R190" i="63"/>
  <c r="Q190" i="63"/>
  <c r="V189" i="63"/>
  <c r="U189" i="63"/>
  <c r="T189" i="63"/>
  <c r="S189" i="63"/>
  <c r="R189" i="63"/>
  <c r="Q189" i="63"/>
  <c r="V188" i="63"/>
  <c r="U188" i="63"/>
  <c r="T188" i="63"/>
  <c r="S188" i="63"/>
  <c r="R188" i="63"/>
  <c r="Q188" i="63"/>
  <c r="V187" i="63"/>
  <c r="U187" i="63"/>
  <c r="T187" i="63"/>
  <c r="S187" i="63"/>
  <c r="R187" i="63"/>
  <c r="Q187" i="63"/>
  <c r="V186" i="63"/>
  <c r="U186" i="63"/>
  <c r="T186" i="63"/>
  <c r="S186" i="63"/>
  <c r="R186" i="63"/>
  <c r="Q186" i="63"/>
  <c r="V185" i="63"/>
  <c r="U185" i="63"/>
  <c r="T185" i="63"/>
  <c r="S185" i="63"/>
  <c r="R185" i="63"/>
  <c r="Q185" i="63"/>
  <c r="V184" i="63"/>
  <c r="U184" i="63"/>
  <c r="T184" i="63"/>
  <c r="S184" i="63"/>
  <c r="R184" i="63"/>
  <c r="Q184" i="63"/>
  <c r="V183" i="63"/>
  <c r="U183" i="63"/>
  <c r="T183" i="63"/>
  <c r="S183" i="63"/>
  <c r="R183" i="63"/>
  <c r="Q183" i="63"/>
  <c r="V182" i="63"/>
  <c r="U182" i="63"/>
  <c r="T182" i="63"/>
  <c r="S182" i="63"/>
  <c r="R182" i="63"/>
  <c r="Q182" i="63"/>
  <c r="V181" i="63"/>
  <c r="U181" i="63"/>
  <c r="T181" i="63"/>
  <c r="S181" i="63"/>
  <c r="R181" i="63"/>
  <c r="Q181" i="63"/>
  <c r="V180" i="63"/>
  <c r="U180" i="63"/>
  <c r="T180" i="63"/>
  <c r="S180" i="63"/>
  <c r="R180" i="63"/>
  <c r="Q180" i="63"/>
  <c r="V179" i="63"/>
  <c r="U179" i="63"/>
  <c r="T179" i="63"/>
  <c r="S179" i="63"/>
  <c r="R179" i="63"/>
  <c r="Q179" i="63"/>
  <c r="V178" i="63"/>
  <c r="U178" i="63"/>
  <c r="T178" i="63"/>
  <c r="S178" i="63"/>
  <c r="R178" i="63"/>
  <c r="Q178" i="63"/>
  <c r="V177" i="63"/>
  <c r="U177" i="63"/>
  <c r="T177" i="63"/>
  <c r="S177" i="63"/>
  <c r="R177" i="63"/>
  <c r="Q177" i="63"/>
  <c r="V176" i="63"/>
  <c r="U176" i="63"/>
  <c r="T176" i="63"/>
  <c r="S176" i="63"/>
  <c r="R176" i="63"/>
  <c r="Q176" i="63"/>
  <c r="V175" i="63"/>
  <c r="U175" i="63"/>
  <c r="T175" i="63"/>
  <c r="S175" i="63"/>
  <c r="R175" i="63"/>
  <c r="Q175" i="63"/>
  <c r="V174" i="63"/>
  <c r="U174" i="63"/>
  <c r="T174" i="63"/>
  <c r="S174" i="63"/>
  <c r="R174" i="63"/>
  <c r="Q174" i="63"/>
  <c r="V173" i="63"/>
  <c r="U173" i="63"/>
  <c r="T173" i="63"/>
  <c r="S173" i="63"/>
  <c r="R173" i="63"/>
  <c r="Q173" i="63"/>
  <c r="V172" i="63"/>
  <c r="U172" i="63"/>
  <c r="T172" i="63"/>
  <c r="S172" i="63"/>
  <c r="R172" i="63"/>
  <c r="Q172" i="63"/>
  <c r="V171" i="63"/>
  <c r="U171" i="63"/>
  <c r="T171" i="63"/>
  <c r="S171" i="63"/>
  <c r="R171" i="63"/>
  <c r="Q171" i="63"/>
  <c r="V170" i="63"/>
  <c r="U170" i="63"/>
  <c r="T170" i="63"/>
  <c r="S170" i="63"/>
  <c r="R170" i="63"/>
  <c r="Q170" i="63"/>
  <c r="V169" i="63"/>
  <c r="U169" i="63"/>
  <c r="T169" i="63"/>
  <c r="S169" i="63"/>
  <c r="R169" i="63"/>
  <c r="Q169" i="63"/>
  <c r="V168" i="63"/>
  <c r="U168" i="63"/>
  <c r="T168" i="63"/>
  <c r="S168" i="63"/>
  <c r="R168" i="63"/>
  <c r="Q168" i="63"/>
  <c r="V167" i="63"/>
  <c r="U167" i="63"/>
  <c r="T167" i="63"/>
  <c r="S167" i="63"/>
  <c r="R167" i="63"/>
  <c r="Q167" i="63"/>
  <c r="V166" i="63"/>
  <c r="U166" i="63"/>
  <c r="T166" i="63"/>
  <c r="S166" i="63"/>
  <c r="R166" i="63"/>
  <c r="Q166" i="63"/>
  <c r="V165" i="63"/>
  <c r="U165" i="63"/>
  <c r="T165" i="63"/>
  <c r="S165" i="63"/>
  <c r="R165" i="63"/>
  <c r="Q165" i="63"/>
  <c r="V164" i="63"/>
  <c r="U164" i="63"/>
  <c r="T164" i="63"/>
  <c r="S164" i="63"/>
  <c r="R164" i="63"/>
  <c r="Q164" i="63"/>
  <c r="V163" i="63"/>
  <c r="U163" i="63"/>
  <c r="T163" i="63"/>
  <c r="S163" i="63"/>
  <c r="R163" i="63"/>
  <c r="Q163" i="63"/>
  <c r="V162" i="63"/>
  <c r="U162" i="63"/>
  <c r="T162" i="63"/>
  <c r="S162" i="63"/>
  <c r="R162" i="63"/>
  <c r="Q162" i="63"/>
  <c r="V161" i="63"/>
  <c r="U161" i="63"/>
  <c r="T161" i="63"/>
  <c r="S161" i="63"/>
  <c r="R161" i="63"/>
  <c r="Q161" i="63"/>
  <c r="V160" i="63"/>
  <c r="U160" i="63"/>
  <c r="T160" i="63"/>
  <c r="S160" i="63"/>
  <c r="R160" i="63"/>
  <c r="Q160" i="63"/>
  <c r="V159" i="63"/>
  <c r="U159" i="63"/>
  <c r="T159" i="63"/>
  <c r="S159" i="63"/>
  <c r="R159" i="63"/>
  <c r="Q159" i="63"/>
  <c r="V158" i="63"/>
  <c r="U158" i="63"/>
  <c r="T158" i="63"/>
  <c r="S158" i="63"/>
  <c r="R158" i="63"/>
  <c r="Q158" i="63"/>
  <c r="V157" i="63"/>
  <c r="U157" i="63"/>
  <c r="T157" i="63"/>
  <c r="S157" i="63"/>
  <c r="R157" i="63"/>
  <c r="Q157" i="63"/>
  <c r="V156" i="63"/>
  <c r="U156" i="63"/>
  <c r="T156" i="63"/>
  <c r="S156" i="63"/>
  <c r="R156" i="63"/>
  <c r="Q156" i="63"/>
  <c r="V155" i="63"/>
  <c r="U155" i="63"/>
  <c r="T155" i="63"/>
  <c r="S155" i="63"/>
  <c r="R155" i="63"/>
  <c r="Q155" i="63"/>
  <c r="V154" i="63"/>
  <c r="U154" i="63"/>
  <c r="T154" i="63"/>
  <c r="S154" i="63"/>
  <c r="R154" i="63"/>
  <c r="Q154" i="63"/>
  <c r="V153" i="63"/>
  <c r="U153" i="63"/>
  <c r="T153" i="63"/>
  <c r="S153" i="63"/>
  <c r="R153" i="63"/>
  <c r="Q153" i="63"/>
  <c r="V152" i="63"/>
  <c r="U152" i="63"/>
  <c r="T152" i="63"/>
  <c r="S152" i="63"/>
  <c r="R152" i="63"/>
  <c r="Q152" i="63"/>
  <c r="V151" i="63"/>
  <c r="U151" i="63"/>
  <c r="T151" i="63"/>
  <c r="S151" i="63"/>
  <c r="R151" i="63"/>
  <c r="Q151" i="63"/>
  <c r="V150" i="63"/>
  <c r="U150" i="63"/>
  <c r="T150" i="63"/>
  <c r="S150" i="63"/>
  <c r="R150" i="63"/>
  <c r="Q150" i="63"/>
  <c r="V149" i="63"/>
  <c r="U149" i="63"/>
  <c r="T149" i="63"/>
  <c r="S149" i="63"/>
  <c r="R149" i="63"/>
  <c r="Q149" i="63"/>
  <c r="V148" i="63"/>
  <c r="U148" i="63"/>
  <c r="T148" i="63"/>
  <c r="S148" i="63"/>
  <c r="R148" i="63"/>
  <c r="Q148" i="63"/>
  <c r="V147" i="63"/>
  <c r="U147" i="63"/>
  <c r="T147" i="63"/>
  <c r="S147" i="63"/>
  <c r="R147" i="63"/>
  <c r="Q147" i="63"/>
  <c r="V146" i="63"/>
  <c r="U146" i="63"/>
  <c r="T146" i="63"/>
  <c r="S146" i="63"/>
  <c r="R146" i="63"/>
  <c r="Q146" i="63"/>
  <c r="V145" i="63"/>
  <c r="U145" i="63"/>
  <c r="T145" i="63"/>
  <c r="S145" i="63"/>
  <c r="R145" i="63"/>
  <c r="Q145" i="63"/>
  <c r="V144" i="63"/>
  <c r="U144" i="63"/>
  <c r="T144" i="63"/>
  <c r="S144" i="63"/>
  <c r="R144" i="63"/>
  <c r="Q144" i="63"/>
  <c r="V143" i="63"/>
  <c r="U143" i="63"/>
  <c r="T143" i="63"/>
  <c r="S143" i="63"/>
  <c r="R143" i="63"/>
  <c r="Q143" i="63"/>
  <c r="V142" i="63"/>
  <c r="U142" i="63"/>
  <c r="T142" i="63"/>
  <c r="S142" i="63"/>
  <c r="R142" i="63"/>
  <c r="Q142" i="63"/>
  <c r="V141" i="63"/>
  <c r="U141" i="63"/>
  <c r="T141" i="63"/>
  <c r="S141" i="63"/>
  <c r="R141" i="63"/>
  <c r="Q141" i="63"/>
  <c r="V140" i="63"/>
  <c r="U140" i="63"/>
  <c r="T140" i="63"/>
  <c r="S140" i="63"/>
  <c r="R140" i="63"/>
  <c r="Q140" i="63"/>
  <c r="V139" i="63"/>
  <c r="U139" i="63"/>
  <c r="T139" i="63"/>
  <c r="S139" i="63"/>
  <c r="R139" i="63"/>
  <c r="Q139" i="63"/>
  <c r="V138" i="63"/>
  <c r="U138" i="63"/>
  <c r="T138" i="63"/>
  <c r="S138" i="63"/>
  <c r="R138" i="63"/>
  <c r="Q138" i="63"/>
  <c r="V137" i="63"/>
  <c r="U137" i="63"/>
  <c r="T137" i="63"/>
  <c r="S137" i="63"/>
  <c r="R137" i="63"/>
  <c r="Q137" i="63"/>
  <c r="V136" i="63"/>
  <c r="U136" i="63"/>
  <c r="T136" i="63"/>
  <c r="S136" i="63"/>
  <c r="R136" i="63"/>
  <c r="Q136" i="63"/>
  <c r="V135" i="63"/>
  <c r="U135" i="63"/>
  <c r="T135" i="63"/>
  <c r="S135" i="63"/>
  <c r="R135" i="63"/>
  <c r="Q135" i="63"/>
  <c r="V134" i="63"/>
  <c r="U134" i="63"/>
  <c r="T134" i="63"/>
  <c r="S134" i="63"/>
  <c r="R134" i="63"/>
  <c r="Q134" i="63"/>
  <c r="V133" i="63"/>
  <c r="U133" i="63"/>
  <c r="T133" i="63"/>
  <c r="S133" i="63"/>
  <c r="R133" i="63"/>
  <c r="Q133" i="63"/>
  <c r="V132" i="63"/>
  <c r="U132" i="63"/>
  <c r="T132" i="63"/>
  <c r="S132" i="63"/>
  <c r="R132" i="63"/>
  <c r="Q132" i="63"/>
  <c r="V131" i="63"/>
  <c r="U131" i="63"/>
  <c r="T131" i="63"/>
  <c r="S131" i="63"/>
  <c r="R131" i="63"/>
  <c r="Q131" i="63"/>
  <c r="V130" i="63"/>
  <c r="U130" i="63"/>
  <c r="T130" i="63"/>
  <c r="S130" i="63"/>
  <c r="R130" i="63"/>
  <c r="Q130" i="63"/>
  <c r="V129" i="63"/>
  <c r="U129" i="63"/>
  <c r="T129" i="63"/>
  <c r="S129" i="63"/>
  <c r="R129" i="63"/>
  <c r="Q129" i="63"/>
  <c r="V128" i="63"/>
  <c r="U128" i="63"/>
  <c r="T128" i="63"/>
  <c r="S128" i="63"/>
  <c r="R128" i="63"/>
  <c r="Q128" i="63"/>
  <c r="V127" i="63"/>
  <c r="U127" i="63"/>
  <c r="T127" i="63"/>
  <c r="S127" i="63"/>
  <c r="R127" i="63"/>
  <c r="Q127" i="63"/>
  <c r="V126" i="63"/>
  <c r="U126" i="63"/>
  <c r="T126" i="63"/>
  <c r="S126" i="63"/>
  <c r="R126" i="63"/>
  <c r="Q126" i="63"/>
  <c r="V125" i="63"/>
  <c r="U125" i="63"/>
  <c r="T125" i="63"/>
  <c r="S125" i="63"/>
  <c r="R125" i="63"/>
  <c r="Q125" i="63"/>
  <c r="V124" i="63"/>
  <c r="U124" i="63"/>
  <c r="T124" i="63"/>
  <c r="S124" i="63"/>
  <c r="R124" i="63"/>
  <c r="Q124" i="63"/>
  <c r="V123" i="63"/>
  <c r="U123" i="63"/>
  <c r="T123" i="63"/>
  <c r="S123" i="63"/>
  <c r="R123" i="63"/>
  <c r="Q123" i="63"/>
  <c r="V122" i="63"/>
  <c r="U122" i="63"/>
  <c r="T122" i="63"/>
  <c r="S122" i="63"/>
  <c r="R122" i="63"/>
  <c r="Q122" i="63"/>
  <c r="V121" i="63"/>
  <c r="U121" i="63"/>
  <c r="T121" i="63"/>
  <c r="S121" i="63"/>
  <c r="R121" i="63"/>
  <c r="Q121" i="63"/>
  <c r="V120" i="63"/>
  <c r="U120" i="63"/>
  <c r="T120" i="63"/>
  <c r="S120" i="63"/>
  <c r="R120" i="63"/>
  <c r="Q120" i="63"/>
  <c r="V119" i="63"/>
  <c r="U119" i="63"/>
  <c r="T119" i="63"/>
  <c r="S119" i="63"/>
  <c r="R119" i="63"/>
  <c r="Q119" i="63"/>
  <c r="V118" i="63"/>
  <c r="U118" i="63"/>
  <c r="T118" i="63"/>
  <c r="S118" i="63"/>
  <c r="R118" i="63"/>
  <c r="Q118" i="63"/>
  <c r="V117" i="63"/>
  <c r="U117" i="63"/>
  <c r="T117" i="63"/>
  <c r="S117" i="63"/>
  <c r="R117" i="63"/>
  <c r="Q117" i="63"/>
  <c r="V116" i="63"/>
  <c r="U116" i="63"/>
  <c r="T116" i="63"/>
  <c r="S116" i="63"/>
  <c r="R116" i="63"/>
  <c r="Q116" i="63"/>
  <c r="V115" i="63"/>
  <c r="U115" i="63"/>
  <c r="T115" i="63"/>
  <c r="S115" i="63"/>
  <c r="R115" i="63"/>
  <c r="Q115" i="63"/>
  <c r="V114" i="63"/>
  <c r="U114" i="63"/>
  <c r="T114" i="63"/>
  <c r="S114" i="63"/>
  <c r="R114" i="63"/>
  <c r="Q114" i="63"/>
  <c r="V113" i="63"/>
  <c r="U113" i="63"/>
  <c r="T113" i="63"/>
  <c r="S113" i="63"/>
  <c r="R113" i="63"/>
  <c r="Q113" i="63"/>
  <c r="V112" i="63"/>
  <c r="U112" i="63"/>
  <c r="T112" i="63"/>
  <c r="S112" i="63"/>
  <c r="R112" i="63"/>
  <c r="Q112" i="63"/>
  <c r="V111" i="63"/>
  <c r="U111" i="63"/>
  <c r="T111" i="63"/>
  <c r="S111" i="63"/>
  <c r="R111" i="63"/>
  <c r="Q111" i="63"/>
  <c r="V110" i="63"/>
  <c r="U110" i="63"/>
  <c r="T110" i="63"/>
  <c r="S110" i="63"/>
  <c r="R110" i="63"/>
  <c r="Q110" i="63"/>
  <c r="V109" i="63"/>
  <c r="U109" i="63"/>
  <c r="T109" i="63"/>
  <c r="S109" i="63"/>
  <c r="R109" i="63"/>
  <c r="Q109" i="63"/>
  <c r="V108" i="63"/>
  <c r="U108" i="63"/>
  <c r="T108" i="63"/>
  <c r="S108" i="63"/>
  <c r="R108" i="63"/>
  <c r="Q108" i="63"/>
  <c r="V107" i="63"/>
  <c r="U107" i="63"/>
  <c r="T107" i="63"/>
  <c r="S107" i="63"/>
  <c r="R107" i="63"/>
  <c r="Q107" i="63"/>
  <c r="V106" i="63"/>
  <c r="U106" i="63"/>
  <c r="T106" i="63"/>
  <c r="S106" i="63"/>
  <c r="R106" i="63"/>
  <c r="Q106" i="63"/>
  <c r="V105" i="63"/>
  <c r="U105" i="63"/>
  <c r="T105" i="63"/>
  <c r="S105" i="63"/>
  <c r="R105" i="63"/>
  <c r="Q105" i="63"/>
  <c r="V104" i="63"/>
  <c r="U104" i="63"/>
  <c r="T104" i="63"/>
  <c r="S104" i="63"/>
  <c r="R104" i="63"/>
  <c r="Q104" i="63"/>
  <c r="V103" i="63"/>
  <c r="U103" i="63"/>
  <c r="T103" i="63"/>
  <c r="S103" i="63"/>
  <c r="R103" i="63"/>
  <c r="Q103" i="63"/>
  <c r="V102" i="63"/>
  <c r="U102" i="63"/>
  <c r="T102" i="63"/>
  <c r="S102" i="63"/>
  <c r="R102" i="63"/>
  <c r="Q102" i="63"/>
  <c r="V101" i="63"/>
  <c r="U101" i="63"/>
  <c r="T101" i="63"/>
  <c r="S101" i="63"/>
  <c r="R101" i="63"/>
  <c r="Q101" i="63"/>
  <c r="V100" i="63"/>
  <c r="U100" i="63"/>
  <c r="T100" i="63"/>
  <c r="S100" i="63"/>
  <c r="R100" i="63"/>
  <c r="Q100" i="63"/>
  <c r="V99" i="63"/>
  <c r="U99" i="63"/>
  <c r="T99" i="63"/>
  <c r="S99" i="63"/>
  <c r="R99" i="63"/>
  <c r="Q99" i="63"/>
  <c r="V98" i="63"/>
  <c r="U98" i="63"/>
  <c r="T98" i="63"/>
  <c r="S98" i="63"/>
  <c r="R98" i="63"/>
  <c r="Q98" i="63"/>
  <c r="V97" i="63"/>
  <c r="U97" i="63"/>
  <c r="T97" i="63"/>
  <c r="S97" i="63"/>
  <c r="R97" i="63"/>
  <c r="Q97" i="63"/>
  <c r="V96" i="63"/>
  <c r="U96" i="63"/>
  <c r="T96" i="63"/>
  <c r="S96" i="63"/>
  <c r="R96" i="63"/>
  <c r="Q96" i="63"/>
  <c r="V95" i="63"/>
  <c r="U95" i="63"/>
  <c r="T95" i="63"/>
  <c r="S95" i="63"/>
  <c r="R95" i="63"/>
  <c r="Q95" i="63"/>
  <c r="V94" i="63"/>
  <c r="U94" i="63"/>
  <c r="T94" i="63"/>
  <c r="S94" i="63"/>
  <c r="R94" i="63"/>
  <c r="Q94" i="63"/>
  <c r="V93" i="63"/>
  <c r="U93" i="63"/>
  <c r="T93" i="63"/>
  <c r="S93" i="63"/>
  <c r="R93" i="63"/>
  <c r="Q93" i="63"/>
  <c r="V92" i="63"/>
  <c r="U92" i="63"/>
  <c r="T92" i="63"/>
  <c r="S92" i="63"/>
  <c r="R92" i="63"/>
  <c r="Q92" i="63"/>
  <c r="V91" i="63"/>
  <c r="U91" i="63"/>
  <c r="T91" i="63"/>
  <c r="S91" i="63"/>
  <c r="R91" i="63"/>
  <c r="Q91" i="63"/>
  <c r="V90" i="63"/>
  <c r="U90" i="63"/>
  <c r="T90" i="63"/>
  <c r="S90" i="63"/>
  <c r="R90" i="63"/>
  <c r="Q90" i="63"/>
  <c r="V89" i="63"/>
  <c r="U89" i="63"/>
  <c r="T89" i="63"/>
  <c r="S89" i="63"/>
  <c r="R89" i="63"/>
  <c r="Q89" i="63"/>
  <c r="V88" i="63"/>
  <c r="U88" i="63"/>
  <c r="T88" i="63"/>
  <c r="S88" i="63"/>
  <c r="R88" i="63"/>
  <c r="Q88" i="63"/>
  <c r="V87" i="63"/>
  <c r="U87" i="63"/>
  <c r="T87" i="63"/>
  <c r="S87" i="63"/>
  <c r="R87" i="63"/>
  <c r="Q87" i="63"/>
  <c r="V86" i="63"/>
  <c r="U86" i="63"/>
  <c r="T86" i="63"/>
  <c r="S86" i="63"/>
  <c r="R86" i="63"/>
  <c r="Q86" i="63"/>
  <c r="V85" i="63"/>
  <c r="U85" i="63"/>
  <c r="T85" i="63"/>
  <c r="S85" i="63"/>
  <c r="R85" i="63"/>
  <c r="Q85" i="63"/>
  <c r="V84" i="63"/>
  <c r="U84" i="63"/>
  <c r="T84" i="63"/>
  <c r="S84" i="63"/>
  <c r="R84" i="63"/>
  <c r="Q84" i="63"/>
  <c r="V83" i="63"/>
  <c r="U83" i="63"/>
  <c r="T83" i="63"/>
  <c r="S83" i="63"/>
  <c r="R83" i="63"/>
  <c r="Q83" i="63"/>
  <c r="V82" i="63"/>
  <c r="U82" i="63"/>
  <c r="T82" i="63"/>
  <c r="S82" i="63"/>
  <c r="R82" i="63"/>
  <c r="Q82" i="63"/>
  <c r="V81" i="63"/>
  <c r="U81" i="63"/>
  <c r="T81" i="63"/>
  <c r="S81" i="63"/>
  <c r="R81" i="63"/>
  <c r="Q81" i="63"/>
  <c r="V80" i="63"/>
  <c r="U80" i="63"/>
  <c r="T80" i="63"/>
  <c r="S80" i="63"/>
  <c r="R80" i="63"/>
  <c r="Q80" i="63"/>
  <c r="V79" i="63"/>
  <c r="U79" i="63"/>
  <c r="T79" i="63"/>
  <c r="S79" i="63"/>
  <c r="R79" i="63"/>
  <c r="Q79" i="63"/>
  <c r="V78" i="63"/>
  <c r="U78" i="63"/>
  <c r="T78" i="63"/>
  <c r="S78" i="63"/>
  <c r="R78" i="63"/>
  <c r="Q78" i="63"/>
  <c r="V77" i="63"/>
  <c r="U77" i="63"/>
  <c r="T77" i="63"/>
  <c r="S77" i="63"/>
  <c r="R77" i="63"/>
  <c r="Q77" i="63"/>
  <c r="V76" i="63"/>
  <c r="U76" i="63"/>
  <c r="T76" i="63"/>
  <c r="S76" i="63"/>
  <c r="R76" i="63"/>
  <c r="Q76" i="63"/>
  <c r="V75" i="63"/>
  <c r="U75" i="63"/>
  <c r="T75" i="63"/>
  <c r="S75" i="63"/>
  <c r="R75" i="63"/>
  <c r="Q75" i="63"/>
  <c r="V74" i="63"/>
  <c r="U74" i="63"/>
  <c r="T74" i="63"/>
  <c r="S74" i="63"/>
  <c r="R74" i="63"/>
  <c r="Q74" i="63"/>
  <c r="V73" i="63"/>
  <c r="U73" i="63"/>
  <c r="T73" i="63"/>
  <c r="S73" i="63"/>
  <c r="R73" i="63"/>
  <c r="Q73" i="63"/>
  <c r="V72" i="63"/>
  <c r="U72" i="63"/>
  <c r="T72" i="63"/>
  <c r="S72" i="63"/>
  <c r="R72" i="63"/>
  <c r="Q72" i="63"/>
  <c r="V71" i="63"/>
  <c r="U71" i="63"/>
  <c r="T71" i="63"/>
  <c r="S71" i="63"/>
  <c r="R71" i="63"/>
  <c r="Q71" i="63"/>
  <c r="V70" i="63"/>
  <c r="U70" i="63"/>
  <c r="T70" i="63"/>
  <c r="S70" i="63"/>
  <c r="R70" i="63"/>
  <c r="Q70" i="63"/>
  <c r="V69" i="63"/>
  <c r="U69" i="63"/>
  <c r="T69" i="63"/>
  <c r="S69" i="63"/>
  <c r="R69" i="63"/>
  <c r="Q69" i="63"/>
  <c r="V68" i="63"/>
  <c r="U68" i="63"/>
  <c r="T68" i="63"/>
  <c r="S68" i="63"/>
  <c r="R68" i="63"/>
  <c r="Q68" i="63"/>
  <c r="V67" i="63"/>
  <c r="U67" i="63"/>
  <c r="T67" i="63"/>
  <c r="S67" i="63"/>
  <c r="R67" i="63"/>
  <c r="Q67" i="63"/>
  <c r="V66" i="63"/>
  <c r="U66" i="63"/>
  <c r="T66" i="63"/>
  <c r="S66" i="63"/>
  <c r="R66" i="63"/>
  <c r="Q66" i="63"/>
  <c r="V65" i="63"/>
  <c r="U65" i="63"/>
  <c r="T65" i="63"/>
  <c r="S65" i="63"/>
  <c r="R65" i="63"/>
  <c r="Q65" i="63"/>
  <c r="V64" i="63"/>
  <c r="U64" i="63"/>
  <c r="T64" i="63"/>
  <c r="S64" i="63"/>
  <c r="R64" i="63"/>
  <c r="Q64" i="63"/>
  <c r="V63" i="63"/>
  <c r="U63" i="63"/>
  <c r="T63" i="63"/>
  <c r="S63" i="63"/>
  <c r="R63" i="63"/>
  <c r="Q63" i="63"/>
  <c r="V62" i="63"/>
  <c r="U62" i="63"/>
  <c r="T62" i="63"/>
  <c r="S62" i="63"/>
  <c r="R62" i="63"/>
  <c r="Q62" i="63"/>
  <c r="V61" i="63"/>
  <c r="U61" i="63"/>
  <c r="T61" i="63"/>
  <c r="S61" i="63"/>
  <c r="R61" i="63"/>
  <c r="Q61" i="63"/>
  <c r="V60" i="63"/>
  <c r="U60" i="63"/>
  <c r="T60" i="63"/>
  <c r="S60" i="63"/>
  <c r="R60" i="63"/>
  <c r="Q60" i="63"/>
  <c r="V59" i="63"/>
  <c r="U59" i="63"/>
  <c r="T59" i="63"/>
  <c r="S59" i="63"/>
  <c r="R59" i="63"/>
  <c r="Q59" i="63"/>
  <c r="V58" i="63"/>
  <c r="U58" i="63"/>
  <c r="T58" i="63"/>
  <c r="S58" i="63"/>
  <c r="R58" i="63"/>
  <c r="Q58" i="63"/>
  <c r="V57" i="63"/>
  <c r="U57" i="63"/>
  <c r="T57" i="63"/>
  <c r="S57" i="63"/>
  <c r="R57" i="63"/>
  <c r="Q57" i="63"/>
  <c r="V56" i="63"/>
  <c r="U56" i="63"/>
  <c r="T56" i="63"/>
  <c r="S56" i="63"/>
  <c r="R56" i="63"/>
  <c r="Q56" i="63"/>
  <c r="V55" i="63"/>
  <c r="U55" i="63"/>
  <c r="T55" i="63"/>
  <c r="S55" i="63"/>
  <c r="R55" i="63"/>
  <c r="Q55" i="63"/>
  <c r="V54" i="63"/>
  <c r="U54" i="63"/>
  <c r="T54" i="63"/>
  <c r="S54" i="63"/>
  <c r="R54" i="63"/>
  <c r="Q54" i="63"/>
  <c r="V53" i="63"/>
  <c r="U53" i="63"/>
  <c r="T53" i="63"/>
  <c r="S53" i="63"/>
  <c r="R53" i="63"/>
  <c r="Q53" i="63"/>
  <c r="V52" i="63"/>
  <c r="U52" i="63"/>
  <c r="T52" i="63"/>
  <c r="S52" i="63"/>
  <c r="R52" i="63"/>
  <c r="Q52" i="63"/>
  <c r="V51" i="63"/>
  <c r="U51" i="63"/>
  <c r="T51" i="63"/>
  <c r="S51" i="63"/>
  <c r="R51" i="63"/>
  <c r="Q51" i="63"/>
  <c r="V50" i="63"/>
  <c r="U50" i="63"/>
  <c r="T50" i="63"/>
  <c r="S50" i="63"/>
  <c r="R50" i="63"/>
  <c r="Q50" i="63"/>
  <c r="V49" i="63"/>
  <c r="U49" i="63"/>
  <c r="T49" i="63"/>
  <c r="S49" i="63"/>
  <c r="R49" i="63"/>
  <c r="Q49" i="63"/>
  <c r="V48" i="63"/>
  <c r="U48" i="63"/>
  <c r="T48" i="63"/>
  <c r="S48" i="63"/>
  <c r="R48" i="63"/>
  <c r="Q48" i="63"/>
  <c r="V47" i="63"/>
  <c r="U47" i="63"/>
  <c r="T47" i="63"/>
  <c r="S47" i="63"/>
  <c r="R47" i="63"/>
  <c r="Q47" i="63"/>
  <c r="V46" i="63"/>
  <c r="U46" i="63"/>
  <c r="T46" i="63"/>
  <c r="S46" i="63"/>
  <c r="R46" i="63"/>
  <c r="Q46" i="63"/>
  <c r="V45" i="63"/>
  <c r="U45" i="63"/>
  <c r="T45" i="63"/>
  <c r="S45" i="63"/>
  <c r="R45" i="63"/>
  <c r="Q45" i="63"/>
  <c r="V44" i="63"/>
  <c r="U44" i="63"/>
  <c r="T44" i="63"/>
  <c r="S44" i="63"/>
  <c r="R44" i="63"/>
  <c r="Q44" i="63"/>
  <c r="V43" i="63"/>
  <c r="U43" i="63"/>
  <c r="T43" i="63"/>
  <c r="S43" i="63"/>
  <c r="R43" i="63"/>
  <c r="Q43" i="63"/>
  <c r="V42" i="63"/>
  <c r="U42" i="63"/>
  <c r="T42" i="63"/>
  <c r="S42" i="63"/>
  <c r="R42" i="63"/>
  <c r="Q42" i="63"/>
  <c r="V41" i="63"/>
  <c r="U41" i="63"/>
  <c r="T41" i="63"/>
  <c r="S41" i="63"/>
  <c r="R41" i="63"/>
  <c r="Q41" i="63"/>
  <c r="V40" i="63"/>
  <c r="U40" i="63"/>
  <c r="T40" i="63"/>
  <c r="S40" i="63"/>
  <c r="R40" i="63"/>
  <c r="Q40" i="63"/>
  <c r="V39" i="63"/>
  <c r="U39" i="63"/>
  <c r="T39" i="63"/>
  <c r="S39" i="63"/>
  <c r="R39" i="63"/>
  <c r="Q39" i="63"/>
  <c r="V38" i="63"/>
  <c r="U38" i="63"/>
  <c r="T38" i="63"/>
  <c r="S38" i="63"/>
  <c r="R38" i="63"/>
  <c r="Q38" i="63"/>
  <c r="V37" i="63"/>
  <c r="U37" i="63"/>
  <c r="T37" i="63"/>
  <c r="S37" i="63"/>
  <c r="R37" i="63"/>
  <c r="Q37" i="63"/>
  <c r="V36" i="63"/>
  <c r="U36" i="63"/>
  <c r="T36" i="63"/>
  <c r="S36" i="63"/>
  <c r="R36" i="63"/>
  <c r="Q36" i="63"/>
  <c r="V35" i="63"/>
  <c r="U35" i="63"/>
  <c r="T35" i="63"/>
  <c r="S35" i="63"/>
  <c r="R35" i="63"/>
  <c r="Q35" i="63"/>
  <c r="V34" i="63"/>
  <c r="U34" i="63"/>
  <c r="T34" i="63"/>
  <c r="S34" i="63"/>
  <c r="R34" i="63"/>
  <c r="Q34" i="63"/>
  <c r="V33" i="63"/>
  <c r="U33" i="63"/>
  <c r="T33" i="63"/>
  <c r="S33" i="63"/>
  <c r="R33" i="63"/>
  <c r="Q33" i="63"/>
  <c r="V32" i="63"/>
  <c r="U32" i="63"/>
  <c r="T32" i="63"/>
  <c r="S32" i="63"/>
  <c r="R32" i="63"/>
  <c r="Q32" i="63"/>
  <c r="V31" i="63"/>
  <c r="U31" i="63"/>
  <c r="T31" i="63"/>
  <c r="S31" i="63"/>
  <c r="R31" i="63"/>
  <c r="Q31" i="63"/>
  <c r="V30" i="63"/>
  <c r="U30" i="63"/>
  <c r="T30" i="63"/>
  <c r="S30" i="63"/>
  <c r="R30" i="63"/>
  <c r="Q30" i="63"/>
  <c r="V29" i="63"/>
  <c r="U29" i="63"/>
  <c r="T29" i="63"/>
  <c r="S29" i="63"/>
  <c r="R29" i="63"/>
  <c r="Q29" i="63"/>
  <c r="V28" i="63"/>
  <c r="U28" i="63"/>
  <c r="T28" i="63"/>
  <c r="S28" i="63"/>
  <c r="R28" i="63"/>
  <c r="Q28" i="63"/>
  <c r="V27" i="63"/>
  <c r="U27" i="63"/>
  <c r="T27" i="63"/>
  <c r="S27" i="63"/>
  <c r="R27" i="63"/>
  <c r="Q27" i="63"/>
  <c r="V26" i="63"/>
  <c r="U26" i="63"/>
  <c r="T26" i="63"/>
  <c r="S26" i="63"/>
  <c r="R26" i="63"/>
  <c r="Q26" i="63"/>
  <c r="V25" i="63"/>
  <c r="U25" i="63"/>
  <c r="T25" i="63"/>
  <c r="S25" i="63"/>
  <c r="R25" i="63"/>
  <c r="Q25" i="63"/>
  <c r="V24" i="63"/>
  <c r="U24" i="63"/>
  <c r="T24" i="63"/>
  <c r="S24" i="63"/>
  <c r="R24" i="63"/>
  <c r="Q24" i="63"/>
  <c r="V23" i="63"/>
  <c r="U23" i="63"/>
  <c r="T23" i="63"/>
  <c r="S23" i="63"/>
  <c r="R23" i="63"/>
  <c r="Q23" i="63"/>
  <c r="V22" i="63"/>
  <c r="U22" i="63"/>
  <c r="T22" i="63"/>
  <c r="S22" i="63"/>
  <c r="R22" i="63"/>
  <c r="Q22" i="63"/>
  <c r="V21" i="63"/>
  <c r="U21" i="63"/>
  <c r="T21" i="63"/>
  <c r="S21" i="63"/>
  <c r="R21" i="63"/>
  <c r="Q21" i="63"/>
  <c r="V20" i="63"/>
  <c r="U20" i="63"/>
  <c r="T20" i="63"/>
  <c r="S20" i="63"/>
  <c r="R20" i="63"/>
  <c r="Q20" i="63"/>
  <c r="V19" i="63"/>
  <c r="U19" i="63"/>
  <c r="T19" i="63"/>
  <c r="S19" i="63"/>
  <c r="R19" i="63"/>
  <c r="Q19" i="63"/>
  <c r="V18" i="63"/>
  <c r="U18" i="63"/>
  <c r="T18" i="63"/>
  <c r="S18" i="63"/>
  <c r="R18" i="63"/>
  <c r="Q18" i="63"/>
  <c r="V17" i="63"/>
  <c r="U17" i="63"/>
  <c r="T17" i="63"/>
  <c r="S17" i="63"/>
  <c r="R17" i="63"/>
  <c r="Q17" i="63"/>
  <c r="V16" i="63"/>
  <c r="U16" i="63"/>
  <c r="T16" i="63"/>
  <c r="S16" i="63"/>
  <c r="R16" i="63"/>
  <c r="Q16" i="63"/>
  <c r="V15" i="63"/>
  <c r="U15" i="63"/>
  <c r="T15" i="63"/>
  <c r="S15" i="63"/>
  <c r="R15" i="63"/>
  <c r="Q15" i="63"/>
  <c r="V14" i="63"/>
  <c r="U14" i="63"/>
  <c r="T14" i="63"/>
  <c r="S14" i="63"/>
  <c r="R14" i="63"/>
  <c r="Q14" i="63"/>
  <c r="V13" i="63"/>
  <c r="U13" i="63"/>
  <c r="T13" i="63"/>
  <c r="S13" i="63"/>
  <c r="R13" i="63"/>
  <c r="Q13" i="63"/>
  <c r="V12" i="63"/>
  <c r="U12" i="63"/>
  <c r="T12" i="63"/>
  <c r="S12" i="63"/>
  <c r="R12" i="63"/>
  <c r="Q12" i="63"/>
  <c r="V11" i="63"/>
  <c r="U11" i="63"/>
  <c r="T11" i="63"/>
  <c r="S11" i="63"/>
  <c r="R11" i="63"/>
  <c r="Q11" i="63"/>
  <c r="V10" i="63"/>
  <c r="U10" i="63"/>
  <c r="T10" i="63"/>
  <c r="S10" i="63"/>
  <c r="R10" i="63"/>
  <c r="Q10" i="63"/>
  <c r="V9" i="63"/>
  <c r="U9" i="63"/>
  <c r="T9" i="63"/>
  <c r="S9" i="63"/>
  <c r="R9" i="63"/>
  <c r="Q9" i="63"/>
  <c r="V8" i="63"/>
  <c r="U8" i="63"/>
  <c r="T8" i="63"/>
  <c r="S8" i="63"/>
  <c r="R8" i="63"/>
  <c r="Q8" i="63"/>
  <c r="V7" i="63"/>
  <c r="U7" i="63"/>
  <c r="T7" i="63"/>
  <c r="S7" i="63"/>
  <c r="R7" i="63"/>
  <c r="Q7" i="63"/>
  <c r="U150" i="58"/>
  <c r="V150" i="58" s="1"/>
  <c r="D150" i="58"/>
  <c r="U152" i="58"/>
  <c r="V152" i="58" s="1"/>
  <c r="U151" i="58"/>
  <c r="V151" i="58" s="1"/>
  <c r="U149" i="58"/>
  <c r="V149" i="58" s="1"/>
  <c r="U148" i="58"/>
  <c r="V148" i="58" s="1"/>
  <c r="U147" i="58"/>
  <c r="V147" i="58" s="1"/>
  <c r="U146" i="58"/>
  <c r="V146" i="58" s="1"/>
  <c r="U145" i="58"/>
  <c r="V145" i="58" s="1"/>
  <c r="U144" i="58"/>
  <c r="V144" i="58" s="1"/>
  <c r="U143" i="58"/>
  <c r="V143" i="58" s="1"/>
  <c r="U142" i="58"/>
  <c r="V142" i="58" s="1"/>
  <c r="D152" i="58"/>
  <c r="D151" i="58"/>
  <c r="D149" i="58"/>
  <c r="D148" i="58"/>
  <c r="F161" i="59"/>
  <c r="F160" i="59"/>
  <c r="F159" i="59"/>
  <c r="F158" i="59"/>
  <c r="F157" i="59"/>
  <c r="F156" i="59"/>
  <c r="F153" i="59"/>
  <c r="F155" i="59"/>
  <c r="F154" i="59"/>
  <c r="F152" i="59"/>
  <c r="F151" i="59"/>
  <c r="D147" i="58"/>
  <c r="D146" i="58"/>
  <c r="D145" i="58"/>
  <c r="B6" i="62" a="1"/>
  <c r="B6" i="62" s="1"/>
  <c r="B3" i="62" s="1"/>
  <c r="B5" i="62" a="1"/>
  <c r="B5" i="62" s="1"/>
  <c r="N4" i="62"/>
  <c r="K4" i="62"/>
  <c r="L4" i="62"/>
  <c r="M4" i="62"/>
  <c r="V6" i="63"/>
  <c r="U6" i="63"/>
  <c r="T6" i="63"/>
  <c r="S6" i="63"/>
  <c r="R6" i="63"/>
  <c r="Q6" i="63"/>
  <c r="A1" i="63"/>
  <c r="F305" i="59"/>
  <c r="F150" i="59"/>
  <c r="D143" i="58"/>
  <c r="D144" i="58"/>
  <c r="D142" i="58"/>
  <c r="P4" i="62"/>
  <c r="O4" i="62"/>
  <c r="B9" i="62" a="1"/>
  <c r="B9" i="62" s="1"/>
  <c r="B10" i="62" s="1"/>
  <c r="D4" i="62"/>
  <c r="F4" i="62"/>
  <c r="E4" i="62"/>
  <c r="I4" i="62"/>
  <c r="H4" i="62"/>
  <c r="J4" i="62"/>
  <c r="G4" i="62"/>
  <c r="C4" i="62"/>
  <c r="D141" i="58"/>
  <c r="U141" i="58"/>
  <c r="V141" i="58" s="1"/>
  <c r="U140" i="58"/>
  <c r="V140" i="58" s="1"/>
  <c r="U139" i="58"/>
  <c r="V139" i="58" s="1"/>
  <c r="U76" i="58"/>
  <c r="V76" i="58" s="1"/>
  <c r="U75" i="58"/>
  <c r="V75" i="58" s="1"/>
  <c r="U74" i="58"/>
  <c r="V74" i="58" s="1"/>
  <c r="U73" i="58"/>
  <c r="V73" i="58" s="1"/>
  <c r="U72" i="58"/>
  <c r="V72" i="58" s="1"/>
  <c r="U71" i="58"/>
  <c r="V71" i="58" s="1"/>
  <c r="U70" i="58"/>
  <c r="V70" i="58" s="1"/>
  <c r="U69" i="58"/>
  <c r="V69" i="58" s="1"/>
  <c r="U68" i="58"/>
  <c r="V68" i="58" s="1"/>
  <c r="U67" i="58"/>
  <c r="V67" i="58" s="1"/>
  <c r="U66" i="58"/>
  <c r="V66" i="58" s="1"/>
  <c r="U65" i="58"/>
  <c r="V65" i="58" s="1"/>
  <c r="U64" i="58"/>
  <c r="V64" i="58" s="1"/>
  <c r="U63" i="58"/>
  <c r="V63" i="58" s="1"/>
  <c r="U62" i="58"/>
  <c r="V62" i="58" s="1"/>
  <c r="U61" i="58"/>
  <c r="V61" i="58" s="1"/>
  <c r="U60" i="58"/>
  <c r="V60" i="58" s="1"/>
  <c r="U59" i="58"/>
  <c r="V59" i="58" s="1"/>
  <c r="U58" i="58"/>
  <c r="V58" i="58" s="1"/>
  <c r="U57" i="58"/>
  <c r="V57" i="58" s="1"/>
  <c r="U56" i="58"/>
  <c r="V56" i="58" s="1"/>
  <c r="U55" i="58"/>
  <c r="V55" i="58" s="1"/>
  <c r="U54" i="58"/>
  <c r="V54" i="58" s="1"/>
  <c r="U53" i="58"/>
  <c r="V53" i="58" s="1"/>
  <c r="U52" i="58"/>
  <c r="V52" i="58" s="1"/>
  <c r="U51" i="58"/>
  <c r="V51" i="58" s="1"/>
  <c r="U50" i="58"/>
  <c r="V50" i="58" s="1"/>
  <c r="U49" i="58"/>
  <c r="V49" i="58" s="1"/>
  <c r="U48" i="58"/>
  <c r="V48" i="58" s="1"/>
  <c r="U47" i="58"/>
  <c r="V47" i="58" s="1"/>
  <c r="U46" i="58"/>
  <c r="V46" i="58" s="1"/>
  <c r="U45" i="58"/>
  <c r="V45" i="58" s="1"/>
  <c r="U44" i="58"/>
  <c r="V44" i="58" s="1"/>
  <c r="U43" i="58"/>
  <c r="V43" i="58" s="1"/>
  <c r="U42" i="58"/>
  <c r="V42" i="58" s="1"/>
  <c r="U41" i="58"/>
  <c r="V41" i="58" s="1"/>
  <c r="U40" i="58"/>
  <c r="V40" i="58" s="1"/>
  <c r="U39" i="58"/>
  <c r="V39" i="58" s="1"/>
  <c r="U38" i="58"/>
  <c r="V38" i="58" s="1"/>
  <c r="U37" i="58"/>
  <c r="V37" i="58" s="1"/>
  <c r="U36" i="58"/>
  <c r="V36" i="58" s="1"/>
  <c r="U35" i="58"/>
  <c r="V35" i="58" s="1"/>
  <c r="U34" i="58"/>
  <c r="V34" i="58" s="1"/>
  <c r="U33" i="58"/>
  <c r="V33" i="58" s="1"/>
  <c r="U32" i="58"/>
  <c r="V32" i="58" s="1"/>
  <c r="U31" i="58"/>
  <c r="V31" i="58" s="1"/>
  <c r="U30" i="58"/>
  <c r="V30" i="58" s="1"/>
  <c r="U29" i="58"/>
  <c r="V29" i="58" s="1"/>
  <c r="U28" i="58"/>
  <c r="V28" i="58" s="1"/>
  <c r="U27" i="58"/>
  <c r="V27" i="58" s="1"/>
  <c r="U26" i="58"/>
  <c r="V26" i="58" s="1"/>
  <c r="U25" i="58"/>
  <c r="V25" i="58" s="1"/>
  <c r="U24" i="58"/>
  <c r="V24" i="58" s="1"/>
  <c r="U23" i="58"/>
  <c r="V23" i="58" s="1"/>
  <c r="U22" i="58"/>
  <c r="V22" i="58" s="1"/>
  <c r="U21" i="58"/>
  <c r="V21" i="58" s="1"/>
  <c r="U20" i="58"/>
  <c r="V20" i="58" s="1"/>
  <c r="U19" i="58"/>
  <c r="V19" i="58" s="1"/>
  <c r="U18" i="58"/>
  <c r="V18" i="58" s="1"/>
  <c r="U17" i="58"/>
  <c r="V17" i="58" s="1"/>
  <c r="U16" i="58"/>
  <c r="V16" i="58" s="1"/>
  <c r="U15" i="58"/>
  <c r="V15" i="58" s="1"/>
  <c r="U14" i="58"/>
  <c r="V14" i="58" s="1"/>
  <c r="U13" i="58"/>
  <c r="V13" i="58" s="1"/>
  <c r="U12" i="58"/>
  <c r="V12" i="58" s="1"/>
  <c r="U11" i="58"/>
  <c r="V11" i="58" s="1"/>
  <c r="U10" i="58"/>
  <c r="V10" i="58" s="1"/>
  <c r="U9" i="58"/>
  <c r="V9" i="58" s="1"/>
  <c r="U8" i="58"/>
  <c r="V8" i="58" s="1"/>
  <c r="U7" i="58"/>
  <c r="V7" i="58" s="1"/>
  <c r="U78" i="58"/>
  <c r="V78" i="58" s="1"/>
  <c r="U79" i="58"/>
  <c r="V79" i="58" s="1"/>
  <c r="U80" i="58"/>
  <c r="V80" i="58" s="1"/>
  <c r="U81" i="58"/>
  <c r="V81" i="58" s="1"/>
  <c r="U82" i="58"/>
  <c r="V82" i="58" s="1"/>
  <c r="U83" i="58"/>
  <c r="V83" i="58" s="1"/>
  <c r="U84" i="58"/>
  <c r="V84" i="58" s="1"/>
  <c r="U85" i="58"/>
  <c r="V85" i="58" s="1"/>
  <c r="U86" i="58"/>
  <c r="V86" i="58" s="1"/>
  <c r="U87" i="58"/>
  <c r="V87" i="58" s="1"/>
  <c r="U88" i="58"/>
  <c r="V88" i="58" s="1"/>
  <c r="U89" i="58"/>
  <c r="V89" i="58" s="1"/>
  <c r="U90" i="58"/>
  <c r="V90" i="58" s="1"/>
  <c r="U91" i="58"/>
  <c r="V91" i="58" s="1"/>
  <c r="U92" i="58"/>
  <c r="V92" i="58" s="1"/>
  <c r="U93" i="58"/>
  <c r="V93" i="58" s="1"/>
  <c r="U94" i="58"/>
  <c r="V94" i="58" s="1"/>
  <c r="U95" i="58"/>
  <c r="V95" i="58" s="1"/>
  <c r="U96" i="58"/>
  <c r="V96" i="58" s="1"/>
  <c r="U97" i="58"/>
  <c r="V97" i="58" s="1"/>
  <c r="U98" i="58"/>
  <c r="V98" i="58" s="1"/>
  <c r="U99" i="58"/>
  <c r="V99" i="58" s="1"/>
  <c r="U100" i="58"/>
  <c r="V100" i="58" s="1"/>
  <c r="U101" i="58"/>
  <c r="V101" i="58" s="1"/>
  <c r="U102" i="58"/>
  <c r="V102" i="58" s="1"/>
  <c r="U103" i="58"/>
  <c r="V103" i="58" s="1"/>
  <c r="U104" i="58"/>
  <c r="V104" i="58" s="1"/>
  <c r="U105" i="58"/>
  <c r="V105" i="58" s="1"/>
  <c r="U106" i="58"/>
  <c r="V106" i="58" s="1"/>
  <c r="U107" i="58"/>
  <c r="V107" i="58" s="1"/>
  <c r="U108" i="58"/>
  <c r="V108" i="58" s="1"/>
  <c r="U109" i="58"/>
  <c r="V109" i="58" s="1"/>
  <c r="U110" i="58"/>
  <c r="V110" i="58" s="1"/>
  <c r="U111" i="58"/>
  <c r="V111" i="58" s="1"/>
  <c r="U112" i="58"/>
  <c r="V112" i="58" s="1"/>
  <c r="U113" i="58"/>
  <c r="V113" i="58" s="1"/>
  <c r="U114" i="58"/>
  <c r="V114" i="58" s="1"/>
  <c r="U115" i="58"/>
  <c r="V115" i="58" s="1"/>
  <c r="U116" i="58"/>
  <c r="V116" i="58" s="1"/>
  <c r="U117" i="58"/>
  <c r="V117" i="58" s="1"/>
  <c r="U118" i="58"/>
  <c r="V118" i="58" s="1"/>
  <c r="U119" i="58"/>
  <c r="V119" i="58" s="1"/>
  <c r="U120" i="58"/>
  <c r="V120" i="58" s="1"/>
  <c r="U121" i="58"/>
  <c r="V121" i="58" s="1"/>
  <c r="U122" i="58"/>
  <c r="V122" i="58" s="1"/>
  <c r="U123" i="58"/>
  <c r="V123" i="58" s="1"/>
  <c r="U124" i="58"/>
  <c r="V124" i="58" s="1"/>
  <c r="U125" i="58"/>
  <c r="V125" i="58" s="1"/>
  <c r="U126" i="58"/>
  <c r="V126" i="58" s="1"/>
  <c r="U127" i="58"/>
  <c r="V127" i="58" s="1"/>
  <c r="U128" i="58"/>
  <c r="V128" i="58" s="1"/>
  <c r="U129" i="58"/>
  <c r="V129" i="58" s="1"/>
  <c r="U130" i="58"/>
  <c r="V130" i="58" s="1"/>
  <c r="U131" i="58"/>
  <c r="V131" i="58" s="1"/>
  <c r="U132" i="58"/>
  <c r="V132" i="58" s="1"/>
  <c r="U133" i="58"/>
  <c r="V133" i="58" s="1"/>
  <c r="U134" i="58"/>
  <c r="V134" i="58" s="1"/>
  <c r="U135" i="58"/>
  <c r="V135" i="58" s="1"/>
  <c r="U136" i="58"/>
  <c r="V136" i="58" s="1"/>
  <c r="U137" i="58"/>
  <c r="V137" i="58" s="1"/>
  <c r="U138" i="58"/>
  <c r="V138" i="58" s="1"/>
  <c r="U77" i="58"/>
  <c r="V77" i="58" s="1"/>
  <c r="F149" i="59"/>
  <c r="F148" i="59"/>
  <c r="F147" i="59"/>
  <c r="F146" i="59"/>
  <c r="F278" i="59"/>
  <c r="F277" i="59"/>
  <c r="F145" i="59"/>
  <c r="F276" i="59"/>
  <c r="F275" i="59"/>
  <c r="F274" i="59"/>
  <c r="F273" i="59"/>
  <c r="F272" i="59"/>
  <c r="F271" i="59"/>
  <c r="F270" i="59"/>
  <c r="F269" i="59"/>
  <c r="F268" i="59"/>
  <c r="F267" i="59"/>
  <c r="F266" i="59"/>
  <c r="F265" i="59"/>
  <c r="F264" i="59"/>
  <c r="F263" i="59"/>
  <c r="F307" i="59"/>
  <c r="F143" i="59"/>
  <c r="F144" i="59"/>
  <c r="F142" i="59"/>
  <c r="F306" i="59"/>
  <c r="F141" i="59"/>
  <c r="D140" i="58"/>
  <c r="F140" i="59"/>
  <c r="F139" i="59"/>
  <c r="F206" i="59"/>
  <c r="F194" i="59"/>
  <c r="F138" i="59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304" i="59"/>
  <c r="F303" i="59"/>
  <c r="F302" i="59"/>
  <c r="F301" i="59"/>
  <c r="F300" i="59"/>
  <c r="F299" i="59"/>
  <c r="F298" i="59"/>
  <c r="F297" i="59"/>
  <c r="F296" i="59"/>
  <c r="F289" i="59"/>
  <c r="F295" i="59"/>
  <c r="F294" i="59"/>
  <c r="F293" i="59"/>
  <c r="F292" i="59"/>
  <c r="F291" i="59"/>
  <c r="F290" i="59"/>
  <c r="F288" i="59"/>
  <c r="F136" i="59"/>
  <c r="F135" i="59"/>
  <c r="F287" i="59"/>
  <c r="F286" i="59"/>
  <c r="F240" i="59"/>
  <c r="F193" i="59"/>
  <c r="D318" i="58"/>
  <c r="D139" i="58"/>
  <c r="D319" i="58"/>
  <c r="D137" i="58"/>
  <c r="D136" i="58"/>
  <c r="D135" i="58"/>
  <c r="F285" i="59"/>
  <c r="F284" i="59"/>
  <c r="F283" i="59"/>
  <c r="F282" i="59"/>
  <c r="F281" i="59"/>
  <c r="F130" i="59"/>
  <c r="F131" i="59"/>
  <c r="F132" i="59"/>
  <c r="F280" i="59"/>
  <c r="F133" i="59"/>
  <c r="F134" i="59"/>
  <c r="F129" i="59"/>
  <c r="F250" i="59"/>
  <c r="A1" i="60"/>
  <c r="F262" i="59"/>
  <c r="F261" i="59"/>
  <c r="F260" i="59"/>
  <c r="F259" i="59"/>
  <c r="F258" i="59"/>
  <c r="F257" i="59"/>
  <c r="F256" i="59"/>
  <c r="F255" i="59"/>
  <c r="F254" i="59"/>
  <c r="F253" i="59"/>
  <c r="F252" i="59"/>
  <c r="F251" i="59"/>
  <c r="F249" i="59"/>
  <c r="F248" i="59"/>
  <c r="F247" i="59"/>
  <c r="F246" i="59"/>
  <c r="F245" i="59"/>
  <c r="F244" i="59"/>
  <c r="F243" i="59"/>
  <c r="F242" i="59"/>
  <c r="F241" i="59"/>
  <c r="F239" i="59"/>
  <c r="F238" i="59"/>
  <c r="F237" i="59"/>
  <c r="F236" i="59"/>
  <c r="F235" i="59"/>
  <c r="F234" i="59"/>
  <c r="F233" i="59"/>
  <c r="F232" i="59"/>
  <c r="F231" i="59"/>
  <c r="F230" i="59"/>
  <c r="F229" i="59"/>
  <c r="F228" i="59"/>
  <c r="F227" i="59"/>
  <c r="F225" i="59"/>
  <c r="F224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5" i="59"/>
  <c r="F204" i="59"/>
  <c r="F203" i="59"/>
  <c r="F202" i="59"/>
  <c r="F201" i="59"/>
  <c r="F200" i="59"/>
  <c r="F199" i="59"/>
  <c r="F198" i="59"/>
  <c r="F197" i="59"/>
  <c r="F196" i="59"/>
  <c r="F195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17" i="58"/>
  <c r="D316" i="58"/>
  <c r="D315" i="58"/>
  <c r="D312" i="58"/>
  <c r="D313" i="58"/>
  <c r="D314" i="58"/>
  <c r="D311" i="58"/>
  <c r="D310" i="58"/>
  <c r="D309" i="58"/>
  <c r="D308" i="58"/>
  <c r="D307" i="58"/>
  <c r="D306" i="58"/>
  <c r="D305" i="58"/>
  <c r="D304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4" i="58"/>
  <c r="D173" i="58"/>
  <c r="D172" i="58"/>
  <c r="D171" i="58"/>
  <c r="D170" i="58"/>
  <c r="D169" i="58"/>
  <c r="D168" i="58"/>
  <c r="D167" i="58"/>
  <c r="D166" i="58"/>
  <c r="D165" i="58"/>
  <c r="D161" i="58"/>
  <c r="D160" i="58"/>
  <c r="D159" i="58"/>
  <c r="D158" i="58"/>
  <c r="D157" i="58"/>
  <c r="D156" i="58"/>
  <c r="D155" i="58"/>
  <c r="D154" i="58"/>
  <c r="D153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A1" i="51"/>
  <c r="A1" i="44"/>
  <c r="D9" i="62" l="1"/>
  <c r="D10" i="62"/>
  <c r="D62" i="58"/>
  <c r="A1" i="39"/>
  <c r="A1" i="35"/>
  <c r="A1" i="7"/>
  <c r="B5" i="5" l="1"/>
  <c r="B6" i="5"/>
  <c r="B4" i="5"/>
  <c r="B3" i="5"/>
  <c r="B2" i="5"/>
  <c r="D163" i="58"/>
  <c r="D162" i="58"/>
  <c r="D164" i="58"/>
  <c r="D175" i="58"/>
  <c r="D177" i="58"/>
  <c r="D176" i="58"/>
  <c r="D178" i="58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24:影分身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<sst xmlns="http://schemas.openxmlformats.org/spreadsheetml/2006/main" count="3729" uniqueCount="2154">
  <si>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</si>
  <si>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</si>
  <si>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</si>
  <si>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</si>
  <si>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</si>
  <si>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</si>
  <si>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</si>
  <si>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</si>
  <si>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</si>
  <si>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</si>
  <si>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</si>
  <si>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</si>
  <si>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</si>
  <si>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</si>
  <si>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</si>
  <si>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</si>
  <si>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</si>
  <si>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</si>
  <si>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</si>
  <si>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</si>
  <si>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</si>
  <si>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</si>
  <si>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</si>
  <si>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</si>
  <si>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</si>
  <si>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</si>
  <si>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</si>
  <si>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</si>
  <si>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</si>
  <si>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</si>
  <si>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</si>
  <si>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</si>
  <si>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</si>
  <si>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</si>
  <si>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</si>
  <si>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</si>
  <si>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</si>
  <si>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</si>
  <si>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</si>
  <si>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</si>
  <si>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</si>
  <si>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</si>
  <si>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</si>
  <si>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</si>
  <si>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</si>
  <si>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</si>
  <si>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</si>
  <si>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</si>
  <si>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</si>
  <si>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</si>
  <si>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</si>
  <si>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</si>
  <si>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</si>
  <si>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</si>
  <si>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</si>
  <si>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</si>
  <si>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</si>
  <si>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</si>
  <si>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</si>
  <si>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</si>
  <si>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</si>
  <si>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</si>
  <si>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</si>
  <si>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</si>
  <si>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</si>
  <si>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</si>
  <si>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</si>
  <si>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</si>
  <si>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</si>
  <si>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</si>
  <si>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</si>
  <si>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</si>
  <si>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</si>
  <si>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</si>
  <si>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</si>
  <si>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</si>
  <si>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</si>
  <si>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</si>
  <si>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</si>
  <si>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</si>
  <si>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</si>
  <si>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</si>
  <si>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</si>
  <si>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</si>
  <si>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</si>
  <si>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</si>
  <si>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</si>
  <si>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</si>
  <si>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</si>
  <si>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</si>
  <si>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</si>
  <si>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</si>
  <si>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</si>
  <si>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</si>
  <si>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</si>
  <si>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</si>
  <si>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</si>
  <si>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</si>
  <si>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</si>
  <si>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</si>
  <si>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</si>
  <si>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</si>
  <si>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</si>
  <si>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</si>
  <si>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</si>
  <si>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</si>
  <si>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</si>
  <si>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</si>
  <si>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</si>
  <si>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</si>
  <si>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</si>
  <si>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</si>
  <si>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</si>
  <si>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</si>
  <si>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</si>
  <si>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</si>
  <si>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</si>
  <si>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</si>
  <si>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</si>
  <si>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</si>
  <si>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</si>
  <si>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</si>
  <si>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</si>
  <si>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</si>
  <si>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</si>
  <si>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</si>
  <si>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</si>
  <si>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</si>
  <si>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</si>
  <si>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</si>
  <si>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</si>
  <si>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</si>
  <si>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</si>
  <si>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</si>
  <si>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</si>
  <si>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</si>
  <si>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</si>
  <si>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</si>
  <si>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</si>
  <si>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</si>
  <si>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</si>
  <si>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</si>
  <si>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</si>
  <si>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</si>
  <si>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</si>
  <si>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</si>
  <si>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</si>
  <si>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</si>
  <si>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</si>
  <si>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</si>
  <si>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</si>
  <si>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</si>
  <si>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</si>
  <si>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</si>
  <si>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</si>
  <si>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</si>
  <si>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</si>
  <si>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</si>
  <si>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</si>
  <si>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</si>
  <si>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</si>
  <si>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</si>
  <si>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</si>
  <si>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</si>
  <si>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</si>
  <si>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</si>
  <si>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</si>
  <si>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</si>
  <si>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</si>
  <si>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</si>
  <si>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</si>
  <si>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</si>
  <si>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</si>
  <si>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</si>
  <si>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</si>
  <si>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</si>
  <si>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</si>
  <si>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</si>
  <si>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</si>
  <si>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</si>
  <si>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</si>
  <si>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</si>
  <si>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</si>
  <si>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</si>
  <si>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</si>
  <si>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</si>
  <si>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</si>
  <si>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</si>
  <si>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</si>
  <si>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</si>
  <si>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</si>
  <si>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</si>
  <si>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</si>
  <si>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</si>
  <si>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</si>
  <si>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</si>
  <si>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</si>
  <si>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</si>
  <si>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</si>
  <si>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</si>
  <si>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</si>
  <si>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</si>
  <si>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</si>
  <si>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</si>
  <si>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</si>
  <si>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</si>
  <si>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</si>
  <si>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</si>
  <si>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</si>
  <si>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</si>
  <si>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</si>
  <si>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</si>
  <si>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</si>
  <si>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</si>
  <si>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</si>
  <si>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</si>
  <si>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</si>
  <si>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</si>
  <si>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</si>
  <si>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</si>
  <si>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</si>
  <si>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</si>
  <si>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</si>
  <si>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</si>
  <si>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</si>
  <si>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</si>
  <si>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</si>
  <si>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</si>
  <si>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</si>
  <si>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</si>
  <si>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</si>
  <si>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</si>
  <si>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</si>
  <si>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</si>
  <si>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</si>
  <si>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</si>
  <si>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</si>
  <si>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</si>
  <si>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</si>
  <si>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</si>
  <si>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</si>
  <si>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</si>
  <si>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</si>
  <si>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</si>
  <si>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</si>
  <si>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</si>
  <si>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</si>
  <si>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</si>
  <si>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</si>
  <si>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</si>
  <si>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</si>
  <si>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</si>
  <si>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</si>
  <si>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</si>
  <si>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</si>
  <si>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</si>
  <si>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</si>
  <si>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</si>
  <si>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</si>
  <si>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</si>
  <si>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</si>
  <si>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</si>
  <si>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</si>
  <si>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</si>
  <si>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</si>
  <si>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</si>
  <si>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</si>
  <si>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</si>
  <si>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</si>
  <si>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</si>
  <si>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</si>
  <si>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</si>
  <si>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</si>
  <si>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</si>
  <si>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</si>
  <si>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</si>
  <si>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</si>
  <si>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</si>
  <si>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</si>
  <si>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</si>
  <si>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</si>
  <si>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</si>
  <si>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</si>
  <si>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</si>
  <si>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</si>
  <si>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</si>
  <si>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</si>
  <si>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</si>
  <si>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</si>
  <si>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</si>
  <si>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</si>
  <si>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</si>
  <si>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</si>
  <si>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</si>
  <si>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</si>
  <si>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</si>
  <si>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</si>
  <si>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</si>
  <si>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</si>
  <si>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</si>
  <si>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</si>
  <si>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</si>
  <si>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</si>
  <si>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</si>
  <si>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</si>
  <si>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</si>
  <si>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</si>
  <si>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</si>
  <si>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</si>
  <si>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</si>
  <si>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</si>
  <si>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</si>
  <si>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</si>
  <si>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</si>
  <si>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</si>
  <si>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</si>
  <si>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</si>
  <si>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</si>
  <si>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</si>
  <si>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</si>
  <si>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</si>
  <si>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</si>
  <si>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</si>
  <si>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</si>
  <si>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</si>
  <si>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</si>
  <si>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</si>
  <si>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</si>
  <si>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</si>
  <si>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</si>
  <si>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</si>
  <si>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</si>
  <si>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</si>
  <si>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</si>
  <si>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</si>
  <si>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</si>
  <si>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</si>
  <si>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</si>
  <si>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</si>
  <si>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</si>
  <si>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</si>
  <si>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</si>
  <si>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</si>
  <si>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</si>
  <si>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</si>
  <si>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</si>
  <si>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</si>
  <si>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</si>
  <si>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</si>
  <si>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</si>
  <si>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</si>
  <si>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</si>
  <si>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</si>
  <si>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</si>
  <si>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</si>
  <si>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</si>
  <si>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</si>
  <si>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</si>
  <si>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</si>
  <si>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</si>
  <si>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</si>
  <si>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</si>
  <si>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</si>
  <si>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</si>
  <si>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</si>
  <si>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</si>
  <si>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</si>
  <si>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</si>
  <si>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</si>
  <si>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</si>
  <si>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</si>
  <si>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</si>
  <si>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</si>
  <si>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</si>
  <si>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</si>
  <si>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</si>
  <si>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</si>
  <si>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</si>
  <si>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</si>
  <si>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</si>
  <si>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</si>
  <si>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</si>
  <si>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</si>
  <si>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</si>
  <si>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</si>
  <si>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</si>
  <si>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</si>
  <si>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</si>
  <si>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</si>
  <si>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</si>
  <si>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</si>
  <si>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</si>
  <si>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</si>
  <si>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</si>
  <si>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</si>
  <si>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</si>
  <si>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</si>
  <si>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</si>
  <si>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</si>
  <si>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</si>
  <si>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</si>
  <si>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</si>
  <si>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</si>
  <si>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</si>
  <si>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</si>
  <si>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</si>
  <si>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</si>
  <si>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</si>
  <si>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</si>
  <si>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</si>
  <si>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</si>
  <si>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</si>
  <si>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</si>
  <si>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</si>
  <si>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</si>
  <si>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</si>
  <si>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</si>
  <si>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</si>
  <si>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</si>
  <si>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</si>
  <si>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</si>
  <si>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</si>
  <si>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</si>
  <si>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</si>
  <si>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</si>
  <si>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</si>
  <si>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</si>
  <si>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</si>
  <si>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</si>
  <si>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</si>
  <si>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</si>
  <si>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</si>
  <si>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</si>
  <si>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</si>
  <si>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</si>
  <si>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</si>
  <si>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</si>
  <si>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</si>
  <si>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</si>
  <si>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</si>
  <si>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</si>
  <si>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</si>
  <si>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</si>
  <si>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</si>
  <si>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</si>
  <si>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</si>
  <si>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</si>
  <si>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</si>
  <si>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</si>
  <si>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</si>
  <si>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</si>
  <si>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</si>
  <si>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</si>
  <si>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</si>
  <si>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</si>
  <si>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</si>
  <si>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</si>
  <si>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</si>
  <si>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</si>
  <si>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</si>
  <si>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</si>
  <si>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</si>
  <si>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</si>
  <si>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</si>
  <si>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</si>
  <si>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</si>
  <si>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</si>
  <si>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</si>
  <si>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</si>
  <si>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</si>
  <si>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</si>
  <si>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</si>
  <si>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</si>
  <si>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</si>
  <si>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</si>
  <si>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</si>
  <si>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</si>
  <si>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</si>
  <si>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</si>
  <si>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</si>
  <si>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</si>
  <si>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</si>
  <si>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</si>
  <si>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</si>
  <si>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</si>
  <si>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</si>
  <si>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</si>
  <si>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</si>
  <si>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</si>
  <si>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</si>
  <si>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</si>
  <si>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</si>
  <si>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</si>
  <si>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</si>
  <si>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</si>
  <si>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</si>
  <si>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</si>
  <si>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</si>
  <si>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</si>
  <si>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</si>
  <si>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</si>
  <si>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</si>
  <si>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</si>
  <si>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</si>
  <si>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</si>
  <si>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</si>
  <si>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</si>
  <si>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</si>
  <si>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</si>
  <si>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</si>
  <si>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</si>
  <si>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</si>
  <si>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</si>
  <si>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</si>
  <si>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</si>
  <si>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</si>
  <si>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</si>
  <si>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</si>
  <si>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</si>
  <si>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</si>
  <si>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</si>
  <si>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</si>
  <si>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</si>
  <si>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</si>
  <si>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</si>
  <si>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</si>
  <si>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</si>
  <si>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</si>
  <si>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</si>
  <si>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</si>
  <si>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</si>
  <si>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</si>
  <si>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</si>
  <si>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</si>
  <si>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</si>
  <si>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</si>
  <si>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</si>
  <si>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</si>
  <si>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</si>
  <si>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</si>
  <si>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</si>
  <si>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</si>
  <si>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</si>
  <si>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</si>
  <si>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</si>
  <si>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</si>
  <si>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</si>
  <si>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</si>
  <si>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</si>
  <si>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</si>
  <si>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</si>
  <si>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</si>
  <si>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</si>
  <si>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</si>
  <si>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</si>
  <si>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</si>
  <si>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</si>
  <si>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</si>
  <si>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</si>
  <si>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</si>
  <si>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</si>
  <si>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</si>
  <si>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</si>
  <si>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</si>
  <si>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</si>
  <si>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</si>
  <si>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</si>
  <si>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</si>
  <si>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</si>
  <si>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</si>
  <si>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</si>
  <si>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</si>
  <si>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</si>
  <si>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</si>
  <si>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</si>
  <si>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</si>
  <si>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</si>
  <si>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</si>
  <si>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</si>
  <si>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</si>
  <si>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</si>
  <si>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</si>
  <si>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</si>
  <si>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</si>
  <si>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</si>
  <si>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</si>
  <si>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</si>
  <si>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</si>
  <si>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</si>
  <si>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</si>
  <si>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</si>
  <si>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</si>
  <si>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</si>
  <si>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</si>
  <si>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</si>
  <si>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</si>
  <si>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</si>
  <si>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</si>
  <si>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</si>
  <si>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</si>
  <si>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</si>
  <si>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</si>
  <si>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</si>
  <si>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</si>
  <si>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</si>
  <si>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</si>
  <si>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</si>
  <si>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</si>
  <si>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</si>
  <si>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</si>
  <si>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</si>
  <si>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</si>
  <si>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</si>
  <si>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</si>
  <si>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</si>
  <si>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</si>
  <si>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</si>
  <si>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</si>
  <si>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</si>
  <si>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</si>
  <si>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</si>
  <si>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</si>
  <si>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</si>
  <si>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</si>
  <si>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</si>
  <si>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</si>
  <si>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</si>
  <si>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</si>
  <si>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</si>
  <si>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</si>
  <si>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</si>
  <si>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</si>
  <si>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</si>
  <si>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</si>
  <si>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</si>
  <si>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</si>
  <si>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</si>
  <si>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</si>
  <si>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</si>
  <si>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</si>
  <si>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</si>
  <si>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</si>
  <si>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</si>
  <si>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</si>
  <si>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</si>
  <si>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</si>
  <si>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</si>
  <si>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</si>
  <si>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</si>
  <si>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</si>
  <si>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</si>
  <si>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</si>
  <si>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</si>
  <si>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</si>
  <si>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</si>
  <si>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</si>
  <si>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</si>
  <si>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</si>
  <si>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</si>
  <si>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</si>
  <si>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</si>
  <si>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</si>
  <si>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</si>
  <si>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</si>
  <si>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</si>
  <si>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</si>
  <si>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</si>
  <si>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</si>
  <si>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</si>
  <si>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</si>
  <si>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</si>
  <si>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</si>
  <si>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</si>
  <si>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</si>
  <si>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</si>
  <si>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</si>
  <si>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</si>
  <si>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</si>
  <si>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</si>
  <si>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</si>
  <si>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</si>
  <si>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</si>
  <si>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</si>
  <si>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</si>
  <si>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</si>
  <si>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</si>
  <si>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</si>
  <si>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</si>
  <si>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</si>
  <si>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</si>
  <si>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</si>
  <si>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</si>
  <si>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</si>
  <si>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</si>
  <si>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</si>
  <si>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</si>
  <si>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</si>
  <si>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</si>
  <si>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</si>
  <si>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</si>
  <si>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</si>
  <si>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</si>
  <si>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</si>
  <si>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</si>
  <si>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</si>
  <si>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</si>
  <si>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</si>
  <si>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</si>
  <si>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</si>
  <si>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</si>
  <si>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</si>
  <si>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</si>
  <si>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</si>
  <si>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</si>
  <si>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</si>
  <si>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</si>
  <si>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</si>
  <si>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</si>
  <si>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</si>
  <si>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</si>
  <si>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</si>
  <si>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</si>
  <si>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</si>
  <si>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</si>
  <si>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</si>
  <si>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</si>
  <si>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</si>
  <si>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</si>
  <si>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</si>
  <si>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</si>
  <si>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</si>
  <si>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</si>
  <si>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</si>
  <si>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</si>
  <si>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</si>
  <si>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</si>
  <si>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</si>
  <si>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</si>
  <si>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</si>
  <si>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</si>
  <si>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</si>
  <si>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</si>
  <si>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</si>
  <si>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</si>
  <si>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</si>
  <si>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</si>
  <si>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</si>
  <si>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</si>
  <si>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</si>
  <si>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</si>
  <si>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</si>
  <si>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</si>
  <si>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</si>
  <si>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</si>
  <si>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</si>
  <si>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</si>
  <si>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</si>
  <si>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</si>
  <si>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</si>
  <si>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</si>
  <si>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</si>
  <si>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</si>
  <si>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</si>
  <si>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</si>
  <si>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</si>
  <si>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</si>
  <si>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</si>
  <si>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</si>
  <si>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</si>
  <si>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</si>
  <si>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</si>
  <si>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</si>
  <si>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</si>
  <si>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</si>
  <si>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</si>
  <si>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</si>
  <si>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</si>
  <si>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</si>
  <si>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</si>
  <si>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</si>
  <si>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</si>
  <si>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</si>
  <si>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</si>
  <si>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</si>
  <si>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</si>
  <si>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</si>
  <si>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</si>
  <si>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</si>
  <si>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</si>
  <si>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</si>
  <si>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</si>
  <si>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</si>
  <si>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</si>
  <si>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</si>
  <si>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</si>
  <si>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</si>
  <si>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</si>
  <si>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</si>
  <si>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</si>
  <si>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</si>
  <si>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</si>
  <si>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</si>
  <si>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</si>
  <si>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</si>
  <si>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</si>
  <si>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</si>
  <si>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</si>
  <si>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</si>
  <si>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</si>
  <si>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</si>
  <si>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</si>
  <si>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</si>
  <si>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</si>
  <si>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</si>
  <si>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</si>
  <si>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</si>
  <si>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</si>
  <si>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</si>
  <si>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</si>
  <si>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</si>
  <si>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</si>
  <si>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</si>
  <si>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</si>
  <si>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</si>
  <si>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</si>
  <si>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</si>
  <si>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</si>
  <si>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</si>
  <si>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</si>
  <si>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</si>
  <si>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</si>
  <si>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</si>
  <si>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</si>
  <si>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</si>
  <si>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</si>
  <si>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</si>
  <si>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</si>
  <si>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</si>
  <si>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</si>
  <si>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</si>
  <si>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</si>
  <si>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</si>
  <si>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</si>
  <si>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</si>
  <si>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</si>
  <si>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</si>
  <si>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</si>
  <si>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</si>
  <si>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</si>
  <si>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</si>
  <si>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</si>
  <si>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</si>
  <si>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</si>
  <si>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</si>
  <si>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</si>
  <si>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</si>
  <si>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</si>
  <si>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</si>
  <si>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</si>
  <si>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</si>
  <si>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</si>
  <si>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</si>
  <si>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</si>
  <si>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</si>
  <si>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</si>
  <si>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</si>
  <si>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</si>
  <si>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</si>
  <si>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</si>
  <si>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</si>
  <si>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</si>
  <si>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</si>
  <si>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</si>
  <si>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</si>
  <si>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</si>
  <si>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</si>
  <si>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</si>
  <si>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</si>
  <si>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</si>
  <si>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</si>
  <si>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</si>
  <si>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</si>
  <si>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</si>
  <si>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</si>
  <si>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</si>
  <si>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</si>
  <si>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</si>
  <si>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</si>
  <si>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</si>
  <si>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</si>
  <si>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</si>
  <si>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</si>
  <si>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</si>
  <si>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</si>
  <si>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</si>
  <si>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</si>
  <si>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</si>
  <si>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</si>
  <si>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</si>
  <si>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</si>
  <si>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</si>
  <si>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</si>
  <si>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</si>
  <si>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</si>
  <si>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</si>
  <si>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</si>
  <si>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</si>
  <si>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</si>
  <si>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</si>
  <si>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</si>
  <si>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</si>
  <si>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</si>
  <si>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</si>
  <si>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</si>
  <si>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</si>
  <si>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</si>
  <si>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</si>
  <si>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</si>
  <si>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</si>
  <si>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</si>
  <si>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</si>
  <si>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</si>
  <si>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</si>
  <si>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</si>
  <si>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</si>
  <si>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</si>
  <si>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</si>
  <si>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</si>
  <si>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</si>
  <si>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</si>
  <si>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</si>
  <si>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</si>
  <si>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</si>
  <si>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</si>
  <si>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</si>
  <si>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</si>
  <si>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</si>
  <si>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</si>
  <si>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</si>
  <si>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</si>
  <si>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</si>
  <si>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</si>
  <si>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</si>
  <si>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</si>
  <si>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</si>
  <si>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</si>
  <si>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</si>
  <si>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</si>
  <si>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</si>
  <si>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</si>
  <si>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</si>
  <si>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</si>
  <si>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</si>
  <si>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</si>
  <si>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</si>
  <si>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</si>
  <si>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</si>
  <si>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</si>
  <si>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</si>
  <si>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</si>
  <si>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</si>
  <si>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</si>
  <si>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</si>
  <si>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</si>
  <si>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</si>
  <si>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</si>
  <si>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</si>
  <si>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</si>
  <si>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</si>
  <si>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</si>
  <si>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</si>
  <si>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</si>
  <si>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</si>
  <si>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</si>
  <si>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</si>
  <si>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</si>
  <si>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</si>
  <si>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</si>
  <si>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</si>
  <si>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</si>
  <si>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</si>
  <si>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</si>
  <si>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</si>
  <si>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</si>
  <si>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</si>
  <si>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</si>
  <si>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</si>
  <si>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</si>
  <si>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</si>
  <si>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</si>
  <si>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</si>
  <si>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</si>
  <si>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</si>
  <si>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</si>
  <si>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</si>
  <si>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</si>
  <si>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</si>
  <si>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</si>
  <si>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</si>
  <si>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</si>
  <si>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</si>
  <si>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</si>
  <si>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</si>
  <si>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</si>
  <si>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</si>
  <si>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</si>
  <si>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</si>
  <si>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</si>
  <si>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</si>
  <si>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</si>
  <si>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</si>
  <si>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</si>
  <si>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</si>
  <si>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</si>
  <si>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</si>
  <si>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</si>
  <si>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</si>
  <si>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</si>
  <si>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</si>
  <si>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</si>
  <si>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</si>
  <si>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</si>
  <si>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</si>
  <si>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</si>
  <si>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</si>
  <si>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</si>
  <si>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</si>
  <si>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</si>
  <si>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</si>
  <si>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</si>
  <si>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</si>
  <si>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</si>
  <si>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</si>
  <si>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</si>
  <si>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</si>
  <si>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</si>
  <si>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</si>
  <si>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</si>
  <si>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</si>
  <si>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</si>
  <si>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</si>
  <si>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</si>
  <si>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</si>
  <si>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</si>
  <si>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</si>
  <si>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</si>
  <si>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</si>
  <si>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</si>
  <si>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</si>
  <si>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</si>
  <si>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</si>
  <si>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</si>
  <si>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</si>
  <si>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</si>
  <si>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</si>
  <si>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</si>
  <si>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</si>
  <si>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</si>
  <si>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</si>
  <si>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</si>
  <si>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</si>
  <si>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</si>
  <si>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</si>
  <si>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</si>
  <si>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</si>
  <si>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</si>
  <si>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</si>
  <si>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</si>
  <si>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</si>
  <si>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</si>
  <si>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</si>
  <si>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</si>
  <si>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</si>
  <si>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</si>
  <si>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</si>
  <si>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</si>
  <si>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</si>
  <si>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</si>
  <si>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</si>
  <si>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</si>
  <si>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</si>
  <si>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</si>
  <si>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</si>
  <si>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</si>
  <si>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</si>
  <si>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</si>
  <si>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</si>
  <si>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</si>
  <si>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</si>
  <si>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</si>
  <si>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</si>
  <si>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</si>
  <si>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</si>
  <si>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</si>
  <si>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</si>
  <si>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</si>
  <si>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</si>
  <si>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</si>
  <si>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</si>
  <si>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</si>
  <si>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</si>
  <si>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</si>
  <si>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</si>
  <si>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</si>
  <si>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</si>
  <si>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</si>
  <si>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</si>
  <si>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</si>
  <si>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</si>
  <si>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</si>
  <si>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</si>
  <si>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</si>
  <si>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</si>
  <si>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</si>
  <si>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</si>
  <si>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</si>
  <si>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</si>
  <si>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</si>
  <si>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</si>
  <si>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</si>
  <si>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</si>
  <si>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</si>
  <si>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</si>
  <si>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</si>
  <si>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</si>
  <si>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</si>
  <si>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</si>
  <si>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</si>
  <si>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</si>
  <si>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</si>
  <si>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</si>
  <si>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</si>
  <si>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</si>
  <si>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</si>
  <si>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</si>
  <si>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</si>
  <si>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</si>
  <si>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</si>
  <si>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</si>
  <si>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</si>
  <si>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</si>
  <si>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</si>
  <si>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</si>
  <si>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</si>
  <si>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</si>
  <si>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</si>
  <si>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</si>
  <si>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</si>
  <si>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</si>
  <si>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</si>
  <si>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</si>
  <si>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</si>
  <si>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</si>
  <si>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</si>
  <si>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</si>
  <si>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</si>
  <si>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</si>
  <si>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</si>
  <si>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</si>
  <si>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</si>
  <si>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</si>
  <si>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</si>
  <si>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</si>
  <si>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</si>
  <si>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</si>
  <si>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</si>
  <si>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</si>
  <si>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</si>
  <si>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</si>
  <si>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</si>
  <si>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</si>
  <si>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</si>
  <si>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</si>
  <si>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</si>
  <si>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</si>
  <si>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</si>
  <si>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</si>
  <si>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</si>
  <si>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</si>
  <si>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</si>
  <si>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</si>
  <si>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</si>
  <si>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</si>
  <si>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</si>
  <si>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</si>
  <si>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</si>
  <si>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</si>
  <si>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</si>
  <si>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</si>
  <si>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</si>
  <si>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</si>
  <si>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</si>
  <si>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</si>
  <si>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</si>
  <si>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</si>
  <si>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</si>
  <si>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</si>
  <si>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</si>
  <si>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</si>
  <si>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</si>
  <si>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</si>
  <si>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</si>
  <si>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</si>
  <si>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</si>
  <si>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</si>
  <si>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</si>
  <si>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</si>
  <si>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</si>
  <si>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</si>
  <si>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</si>
  <si>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</si>
  <si>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</si>
  <si>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</si>
  <si>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</si>
  <si>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</si>
  <si>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</si>
  <si>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</si>
  <si>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</si>
  <si>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</si>
  <si>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</si>
  <si>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</si>
  <si>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</si>
  <si>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</si>
  <si>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</si>
  <si>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</si>
  <si>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</si>
  <si>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</si>
  <si>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</si>
  <si>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</si>
  <si>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</si>
  <si>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</si>
  <si>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</si>
  <si>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</si>
  <si>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</si>
  <si>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</si>
  <si>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</si>
  <si>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</si>
  <si>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</si>
  <si>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</si>
  <si>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</si>
  <si>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</si>
  <si>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</si>
  <si>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</si>
  <si>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</si>
  <si>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</si>
  <si>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</si>
  <si>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</si>
  <si>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</si>
  <si>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</si>
  <si>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</si>
  <si>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</si>
  <si>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</si>
  <si>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</si>
  <si>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</si>
  <si>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</si>
  <si>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</si>
  <si>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</si>
  <si>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</si>
  <si>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</si>
  <si>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</si>
  <si>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</si>
  <si>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</si>
  <si>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</si>
  <si>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</si>
  <si>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</si>
  <si>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</si>
  <si>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</si>
  <si>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</si>
  <si>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</si>
  <si>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</si>
  <si>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</si>
  <si>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</si>
  <si>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</si>
  <si>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</si>
  <si>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</si>
  <si>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</si>
  <si>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</si>
  <si>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</si>
  <si>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</si>
  <si>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</si>
  <si>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</si>
  <si>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</si>
  <si>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</si>
  <si>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</si>
  <si>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</si>
  <si>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</si>
  <si>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</si>
  <si>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</si>
  <si>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</si>
  <si>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</si>
  <si>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</si>
  <si>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</si>
  <si>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</si>
  <si>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</si>
  <si>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</si>
  <si>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</si>
  <si>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</si>
  <si>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</si>
  <si>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</si>
  <si>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</si>
  <si>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</si>
  <si>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</si>
  <si>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</si>
  <si>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</si>
  <si>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</si>
  <si>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</si>
  <si>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</si>
  <si>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</si>
  <si>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</si>
  <si>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</si>
  <si>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</si>
  <si>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</si>
  <si>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</si>
  <si>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</si>
  <si>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</si>
  <si>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</si>
  <si>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</si>
  <si>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</si>
  <si>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</si>
  <si>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</si>
  <si>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</si>
  <si>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</si>
  <si>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</si>
  <si>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</si>
  <si>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</si>
  <si>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</si>
  <si>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</si>
  <si>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</si>
  <si>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</si>
  <si>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</si>
  <si>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</si>
  <si>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</si>
  <si>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</si>
  <si>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</si>
  <si>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</si>
  <si>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</si>
  <si>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</si>
  <si>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</si>
  <si>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</si>
  <si>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</si>
  <si>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</si>
  <si>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</si>
  <si>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</si>
  <si>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</si>
  <si>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</si>
  <si>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</si>
  <si>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</si>
  <si>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</si>
  <si>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</si>
  <si>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</si>
  <si>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</si>
  <si>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</si>
  <si>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</si>
  <si>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</si>
  <si>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</si>
  <si>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</si>
  <si>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</si>
  <si>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</si>
  <si>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</si>
  <si>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</si>
  <si>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</si>
  <si>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</si>
  <si>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</si>
  <si>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</si>
  <si>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</si>
  <si>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</si>
  <si>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</si>
  <si>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</si>
  <si>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</si>
  <si>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</si>
  <si>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</si>
  <si>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</si>
  <si>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</si>
  <si>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</si>
  <si>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</si>
  <si>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</si>
  <si>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</si>
  <si>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</si>
  <si>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</si>
  <si>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</si>
  <si>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</si>
  <si>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</si>
  <si>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</si>
  <si>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</si>
  <si>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</si>
  <si>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</si>
  <si>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</si>
  <si>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</si>
  <si>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</si>
  <si>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</si>
  <si>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</si>
  <si>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</si>
  <si>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</si>
  <si>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</si>
  <si>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</si>
  <si>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</si>
  <si>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</si>
  <si>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</si>
  <si>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</si>
  <si>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</si>
  <si>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</si>
  <si>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</si>
  <si>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</si>
  <si>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</si>
  <si>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</si>
  <si>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</si>
  <si>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</si>
  <si>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</si>
  <si>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</si>
  <si>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</si>
  <si>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</si>
  <si>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</si>
  <si>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</si>
  <si>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</si>
  <si>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</si>
  <si>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</si>
  <si>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</si>
  <si>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</si>
  <si>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</si>
  <si>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</si>
  <si>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</si>
  <si>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</si>
  <si>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</si>
  <si>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</si>
  <si>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</si>
  <si>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</si>
  <si>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</si>
  <si>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</si>
  <si>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</si>
  <si>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</si>
  <si>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</si>
  <si>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</si>
  <si>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</si>
  <si>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</si>
  <si>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</si>
  <si>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</si>
  <si>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</si>
  <si>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</si>
  <si>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</si>
  <si>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</si>
  <si>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</si>
  <si>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</si>
  <si>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</si>
  <si>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</si>
  <si>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</si>
  <si>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</si>
  <si>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</si>
  <si>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</si>
  <si>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</si>
  <si>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</si>
  <si>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</si>
  <si>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</si>
  <si>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</si>
  <si>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</si>
  <si>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</si>
  <si>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</si>
  <si>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</si>
  <si>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</si>
  <si>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</si>
  <si>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</si>
  <si>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</si>
  <si>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</si>
  <si>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</si>
  <si>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</si>
  <si>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</si>
  <si>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</si>
  <si>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</si>
  <si>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</si>
  <si>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</si>
  <si>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</si>
  <si>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</si>
  <si>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</si>
  <si>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</si>
  <si>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</si>
  <si>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</si>
  <si>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</si>
  <si>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</si>
  <si>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</si>
  <si>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</si>
  <si>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</si>
  <si>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</si>
  <si>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</si>
  <si>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</si>
  <si>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</si>
  <si>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</si>
  <si>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</si>
  <si>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</si>
  <si>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</si>
  <si>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</si>
  <si>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</si>
  <si>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</si>
  <si>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</si>
  <si>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</si>
  <si>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</si>
  <si>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</si>
  <si>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</si>
  <si>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</si>
  <si>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</si>
  <si>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</si>
  <si>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</si>
  <si>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</si>
  <si>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</si>
  <si>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</si>
  <si>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</si>
  <si>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</si>
  <si>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</si>
  <si>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</si>
  <si>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</si>
  <si>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</si>
  <si>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</si>
  <si>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</si>
  <si>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</si>
  <si>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</si>
  <si>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</si>
  <si>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</si>
  <si>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</si>
  <si>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</si>
  <si>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</si>
  <si>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</si>
  <si>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</si>
  <si>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</si>
  <si>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</si>
  <si>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</si>
  <si>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</si>
  <si>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</si>
  <si>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</si>
  <si>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</si>
  <si>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</si>
  <si>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</si>
  <si>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</si>
  <si>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</si>
  <si>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</si>
  <si>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</si>
  <si>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</si>
  <si>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</si>
  <si>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</si>
  <si>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</si>
  <si>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</si>
  <si>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</si>
  <si>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</si>
  <si>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</si>
  <si>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</si>
  <si>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</si>
  <si>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</si>
  <si>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</si>
  <si>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</si>
  <si>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</si>
  <si>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</si>
  <si>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</si>
  <si>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</si>
  <si>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</si>
  <si>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</si>
  <si>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</si>
  <si>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</si>
  <si>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</si>
  <si>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</si>
  <si>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</si>
  <si>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</si>
  <si>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</si>
  <si>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</si>
  <si>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</si>
  <si>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</si>
  <si>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</si>
  <si>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</si>
  <si>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</si>
  <si>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</si>
  <si>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</si>
  <si>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</si>
  <si>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</si>
  <si>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</si>
  <si>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</si>
  <si>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</si>
  <si>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</si>
  <si>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</si>
  <si>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</si>
  <si>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</si>
  <si>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</si>
  <si>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</si>
  <si>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</si>
  <si>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</si>
  <si>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</si>
  <si>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</si>
  <si>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</si>
  <si>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</si>
  <si>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</si>
  <si>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</si>
  <si>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</si>
  <si>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</si>
  <si>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</si>
  <si>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</si>
  <si>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</si>
  <si>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</si>
  <si>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</si>
  <si>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</si>
  <si>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</si>
  <si>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</si>
  <si>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</si>
  <si>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</si>
  <si>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</si>
  <si>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</si>
  <si>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</si>
  <si>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</si>
  <si>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</si>
  <si>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</si>
  <si>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</si>
  <si>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</si>
  <si>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</si>
  <si>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</si>
  <si>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</si>
  <si>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</si>
  <si>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</si>
  <si>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</si>
  <si>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</si>
  <si>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</si>
  <si>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</si>
  <si>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</si>
  <si>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</si>
  <si>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</si>
  <si>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</si>
  <si>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</si>
  <si>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</si>
  <si>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</si>
  <si>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</si>
  <si>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</si>
  <si>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</si>
  <si>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</si>
  <si>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</si>
  <si>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</si>
  <si>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</si>
  <si>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</si>
  <si>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</si>
  <si>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</si>
  <si>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</si>
  <si>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</si>
  <si>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</si>
  <si>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</si>
  <si>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</si>
  <si>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</si>
  <si>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</si>
  <si>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</si>
  <si>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</si>
  <si>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</si>
  <si>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</si>
  <si>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</si>
  <si>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</si>
  <si>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</si>
  <si>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</si>
  <si>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</si>
  <si>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</si>
  <si>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</si>
  <si>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</si>
  <si>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</si>
  <si>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</si>
  <si>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</si>
  <si>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</si>
  <si>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</si>
  <si>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</si>
  <si>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</si>
  <si>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</si>
  <si>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</si>
  <si>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</si>
  <si>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</si>
  <si>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</si>
  <si>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</si>
  <si>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</si>
  <si>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</si>
  <si>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</si>
  <si>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</si>
  <si>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</si>
  <si>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</si>
  <si>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</si>
  <si>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</si>
  <si>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</si>
  <si>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</si>
  <si>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</si>
  <si>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</si>
  <si>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</si>
  <si>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</si>
  <si>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</si>
  <si>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</si>
  <si>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</si>
  <si>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</si>
  <si>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</si>
  <si>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</si>
  <si>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</si>
  <si>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</si>
  <si>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</si>
  <si>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</si>
  <si>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</si>
  <si>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</si>
  <si>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</si>
  <si>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</si>
  <si>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</si>
  <si>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</si>
  <si>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</si>
  <si>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</si>
  <si>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</si>
  <si>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</si>
  <si>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</si>
  <si>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</si>
  <si>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</si>
  <si>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</si>
  <si>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</si>
  <si>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</si>
  <si>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</si>
  <si>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</si>
  <si>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</si>
  <si>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</si>
  <si>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</si>
  <si>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</si>
  <si>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</si>
  <si>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</si>
  <si>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</si>
  <si>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</si>
  <si>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</si>
  <si>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</si>
  <si>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</si>
  <si>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</si>
  <si>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</si>
  <si>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</si>
  <si>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</si>
  <si>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</si>
  <si>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</si>
  <si>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</si>
  <si>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</si>
  <si>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</si>
  <si>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</si>
  <si>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</si>
  <si>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</si>
  <si>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</si>
  <si>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</si>
  <si>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</si>
  <si>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</si>
  <si>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</si>
  <si>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</si>
  <si>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</si>
  <si>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</si>
  <si>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</si>
  <si>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</si>
  <si>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</si>
  <si>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</si>
  <si>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</si>
  <si>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</si>
  <si>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</si>
  <si>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</si>
  <si>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</si>
  <si>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</si>
  <si>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</si>
  <si>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</si>
  <si>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</si>
  <si>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</si>
  <si>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</si>
  <si>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</si>
  <si>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</si>
  <si>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</si>
  <si>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</si>
  <si>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</si>
  <si>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</si>
  <si>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</si>
  <si>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</si>
  <si>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</si>
  <si>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</si>
  <si>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</si>
  <si>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</si>
  <si>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</si>
  <si>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</si>
  <si>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</si>
  <si>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</si>
  <si>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</si>
  <si>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</si>
  <si>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</si>
  <si>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</si>
  <si>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</si>
  <si>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</si>
  <si>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</si>
  <si>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</si>
  <si>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</si>
  <si>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</si>
  <si>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</si>
  <si>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</si>
  <si>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</si>
  <si>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</si>
  <si>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</si>
  <si>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</si>
  <si>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</si>
  <si>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</si>
  <si>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</si>
  <si>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</si>
  <si>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</si>
  <si>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</si>
  <si>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</si>
  <si>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</si>
  <si>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</si>
  <si>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</si>
  <si>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</si>
  <si>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</si>
  <si>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</si>
  <si>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</si>
  <si>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</si>
  <si>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</si>
  <si>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</si>
  <si>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</si>
  <si>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</si>
  <si>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</si>
  <si>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</si>
  <si>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</si>
  <si>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</si>
  <si>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</si>
  <si>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</si>
  <si>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</si>
  <si>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</si>
  <si>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</si>
  <si>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</si>
  <si>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</si>
  <si>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</si>
  <si>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</si>
  <si>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</si>
  <si>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</si>
  <si>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</si>
  <si>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</si>
  <si>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</si>
  <si>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</si>
  <si>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</si>
  <si>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</si>
  <si>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</si>
  <si>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</si>
  <si>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</si>
  <si>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</si>
  <si>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</si>
  <si>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</si>
  <si>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</si>
  <si>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</si>
  <si>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</si>
  <si>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</si>
  <si>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</si>
  <si>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</si>
  <si>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</si>
  <si>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</si>
  <si>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</si>
  <si>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</si>
  <si>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</si>
  <si>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</si>
  <si>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</si>
  <si>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</si>
  <si>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</si>
  <si>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</si>
  <si>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</si>
  <si>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</si>
  <si>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</si>
  <si>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</si>
  <si>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</si>
  <si>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</si>
  <si>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</si>
  <si>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</si>
  <si>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</si>
  <si>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</si>
  <si>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</si>
  <si>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</si>
  <si>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</si>
  <si>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</si>
  <si>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</si>
  <si>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</si>
  <si>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</si>
  <si>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</si>
  <si>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</si>
  <si>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</si>
  <si>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</si>
  <si>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</si>
  <si>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</si>
  <si>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</si>
  <si>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</si>
  <si>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</si>
  <si>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</si>
  <si>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</si>
  <si>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</si>
  <si>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</si>
  <si>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</si>
  <si>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</si>
  <si>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</si>
  <si>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</si>
  <si>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Shield</t>
  </si>
  <si>
    <t>Cannon</t>
  </si>
  <si>
    <t>Gun</t>
  </si>
  <si>
    <t>LargeSword</t>
  </si>
  <si>
    <t>10,10,80</t>
    <phoneticPr fontId="1"/>
  </si>
  <si>
    <t>25,25,25,25</t>
    <phoneticPr fontId="1"/>
  </si>
  <si>
    <t>20,20,20,20,20</t>
    <phoneticPr fontId="1"/>
  </si>
  <si>
    <t>10,10,10,10,10,50</t>
    <phoneticPr fontId="1"/>
  </si>
  <si>
    <t>10,10,10,20,50</t>
    <phoneticPr fontId="1"/>
  </si>
  <si>
    <t>10,10,10,10,10,10,20,20</t>
    <phoneticPr fontId="1"/>
  </si>
  <si>
    <t>10,10,10,5,5,5,10,10,15,20</t>
    <phoneticPr fontId="1"/>
  </si>
  <si>
    <t>30,70</t>
    <phoneticPr fontId="1"/>
  </si>
  <si>
    <t>10,10,10,10,10,10,10,10,10,10</t>
    <phoneticPr fontId="1"/>
  </si>
  <si>
    <t>10,30,30,30</t>
    <phoneticPr fontId="1"/>
  </si>
  <si>
    <t>30,30,40</t>
    <phoneticPr fontId="1"/>
  </si>
  <si>
    <t>80,20</t>
    <phoneticPr fontId="1"/>
  </si>
  <si>
    <t>8,8,8,8,8,8,8,8,8,8,8,12</t>
    <phoneticPr fontId="1"/>
  </si>
  <si>
    <t>15,15,20,20,30</t>
    <phoneticPr fontId="1"/>
  </si>
  <si>
    <t>10,10,10,10,10,10,10,30</t>
    <phoneticPr fontId="1"/>
  </si>
  <si>
    <t>10,45,45</t>
    <phoneticPr fontId="1"/>
  </si>
  <si>
    <t>10,10,10,10,60</t>
    <phoneticPr fontId="1"/>
  </si>
  <si>
    <t>15,15,15,15,15,25</t>
    <phoneticPr fontId="1"/>
  </si>
  <si>
    <t>5,5,5,15,15,15,15,25</t>
    <phoneticPr fontId="1"/>
  </si>
  <si>
    <t>20,20,60</t>
    <phoneticPr fontId="1"/>
  </si>
  <si>
    <t>15,15,15,15,20,20</t>
    <phoneticPr fontId="1"/>
  </si>
  <si>
    <t>10,10,10,10,10,10,10,10,20</t>
    <phoneticPr fontId="1"/>
  </si>
  <si>
    <t>5,5,5,5,5,5,5,65</t>
    <phoneticPr fontId="1"/>
  </si>
  <si>
    <t>5,5,5,5,5,5,5,5,5,55</t>
    <phoneticPr fontId="1"/>
  </si>
  <si>
    <t>10,10,25,25,30</t>
    <phoneticPr fontId="1"/>
  </si>
  <si>
    <t>33,33,34</t>
    <phoneticPr fontId="1"/>
  </si>
  <si>
    <t>5,5,5,5,5,5,5,5,5,5,5,45</t>
    <phoneticPr fontId="1"/>
  </si>
  <si>
    <t>10,10,10,70</t>
    <phoneticPr fontId="1"/>
  </si>
  <si>
    <t>10,10,10,20,20,30</t>
    <phoneticPr fontId="1"/>
  </si>
  <si>
    <t>15,5,5,5,5,5,5,5,50</t>
    <phoneticPr fontId="1"/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</si>
  <si>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</si>
  <si>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</si>
  <si>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</si>
  <si>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</si>
  <si>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</si>
  <si>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</si>
  <si>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</si>
  <si>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</si>
  <si>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</si>
  <si>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</si>
  <si>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</si>
  <si>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</si>
  <si>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</si>
  <si>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</si>
  <si>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</si>
  <si>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</si>
  <si>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</si>
  <si>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</si>
  <si>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</si>
  <si>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</si>
  <si>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</si>
  <si>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</si>
  <si>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</si>
  <si>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</si>
  <si>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</si>
  <si>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</si>
  <si>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</si>
  <si>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</si>
  <si>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</si>
  <si>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</si>
  <si>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</si>
  <si>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</si>
  <si>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</si>
  <si>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</si>
  <si>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</si>
  <si>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</si>
  <si>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</si>
  <si>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</si>
  <si>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</si>
  <si>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</si>
  <si>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</si>
  <si>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</si>
  <si>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</si>
  <si>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</si>
  <si>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</si>
  <si>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</si>
  <si>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</si>
  <si>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</si>
  <si>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</si>
  <si>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</si>
  <si>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</si>
  <si>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</si>
  <si>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</si>
  <si>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</si>
  <si>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</si>
  <si>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</si>
  <si>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</si>
  <si>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</si>
  <si>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</si>
  <si>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</si>
  <si>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</si>
  <si>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</si>
  <si>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</si>
  <si>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</si>
  <si>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</si>
  <si>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</si>
  <si>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</si>
  <si>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</si>
  <si>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</si>
  <si>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</si>
  <si>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</si>
  <si>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</si>
  <si>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</si>
  <si>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</si>
  <si>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</si>
  <si>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</si>
  <si>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</si>
  <si>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</si>
  <si>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</si>
  <si>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</si>
  <si>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</si>
  <si>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</si>
  <si>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</si>
  <si>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</si>
  <si>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</si>
  <si>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</si>
  <si>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</si>
  <si>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</si>
  <si>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</si>
  <si>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</si>
  <si>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</si>
  <si>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</si>
  <si>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</si>
  <si>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</si>
  <si>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</si>
  <si>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</si>
  <si>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</si>
  <si>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</si>
  <si>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</si>
  <si>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</si>
  <si>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</si>
  <si>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</si>
  <si>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</si>
  <si>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</si>
  <si>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</si>
  <si>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</si>
  <si>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</si>
  <si>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</si>
  <si>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</si>
  <si>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</si>
  <si>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</si>
  <si>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</si>
  <si>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</si>
  <si>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</si>
  <si>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</si>
  <si>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</si>
  <si>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</si>
  <si>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</si>
  <si>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</si>
  <si>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</si>
  <si>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</si>
  <si>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優美なる剣舞</t>
    <phoneticPr fontId="1"/>
  </si>
  <si>
    <t>10,10,10,30,40</t>
    <phoneticPr fontId="1"/>
  </si>
  <si>
    <t>public.skill_attack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</si>
  <si>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</si>
  <si>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</si>
  <si>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</si>
  <si>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ability00</t>
    <phoneticPr fontId="1"/>
  </si>
  <si>
    <t>向日葵</t>
  </si>
  <si>
    <t>忍法・影分身！</t>
    <phoneticPr fontId="1"/>
  </si>
  <si>
    <t>ショップ店員の嗜み</t>
  </si>
  <si>
    <t>バトル開始時自身に影分身(2回)を付与する</t>
    <rPh sb="9" eb="10">
      <t>カゲ</t>
    </rPh>
    <rPh sb="10" eb="12">
      <t>ブンシン</t>
    </rPh>
    <phoneticPr fontId="1"/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</si>
  <si>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</si>
  <si>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</si>
  <si>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</si>
  <si>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</si>
  <si>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</si>
  <si>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</si>
  <si>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</si>
  <si>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S</t>
  </si>
  <si>
    <t>戦ぐゆりかご</t>
  </si>
  <si>
    <t>TKunimiSwim2024_R2_Thumbnail.webp</t>
  </si>
  <si>
    <t>おひさまの匂い</t>
  </si>
  <si>
    <t>影分身</t>
    <rPh sb="0" eb="1">
      <t>カゲ</t>
    </rPh>
    <rPh sb="1" eb="3">
      <t>ブンシン</t>
    </rPh>
    <phoneticPr fontId="1"/>
  </si>
  <si>
    <t>スカルフェザー[Tail]</t>
  </si>
  <si>
    <t>スカルフェザー[Head]</t>
  </si>
  <si>
    <t>ヴェイグノッカー</t>
  </si>
  <si>
    <t>敵の打属性耐性50%アップ</t>
    <rPh sb="2" eb="3">
      <t>ダ</t>
    </rPh>
    <phoneticPr fontId="1"/>
  </si>
  <si>
    <t>味方のDP回復量40%ダウン</t>
    <phoneticPr fontId="1"/>
  </si>
  <si>
    <t>Blasterのスキル使用回数2回</t>
    <phoneticPr fontId="1"/>
  </si>
  <si>
    <t>敵の攻撃力アップ(解除不可)、火弱点が氷弱点に変更</t>
    <rPh sb="2" eb="5">
      <t>コウゲキリョク</t>
    </rPh>
    <rPh sb="9" eb="11">
      <t>カイジョ</t>
    </rPh>
    <rPh sb="11" eb="13">
      <t>フカ</t>
    </rPh>
    <rPh sb="15" eb="16">
      <t>ヒ</t>
    </rPh>
    <rPh sb="16" eb="18">
      <t>ジャクテン</t>
    </rPh>
    <rPh sb="20" eb="22">
      <t>ジャクテン</t>
    </rPh>
    <rPh sb="23" eb="25">
      <t>ヘンコウ</t>
    </rPh>
    <phoneticPr fontId="1"/>
  </si>
  <si>
    <t>3ターン毎に敵の攻撃力と破壊率耐性がアップ(解除不可)</t>
    <rPh sb="6" eb="7">
      <t>テキ</t>
    </rPh>
    <rPh sb="8" eb="11">
      <t>コウゲキリョク</t>
    </rPh>
    <rPh sb="12" eb="14">
      <t>ハカイ</t>
    </rPh>
    <rPh sb="14" eb="15">
      <t>リツ</t>
    </rPh>
    <rPh sb="15" eb="17">
      <t>タイセイ</t>
    </rPh>
    <rPh sb="22" eb="24">
      <t>カイジョ</t>
    </rPh>
    <rPh sb="24" eb="26">
      <t>フカ</t>
    </rPh>
    <phoneticPr fontId="1"/>
  </si>
  <si>
    <t>日陰のシエスタ</t>
  </si>
  <si>
    <t>日陰のシエスタ</t>
    <rPh sb="0" eb="2">
      <t>ヒカゲ</t>
    </rPh>
    <phoneticPr fontId="1"/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</si>
  <si>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</si>
  <si>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</si>
  <si>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</si>
  <si>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</si>
  <si>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</si>
  <si>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</si>
  <si>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</si>
  <si>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</si>
  <si>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潮風ハイボルテージ</t>
    <rPh sb="0" eb="2">
      <t>シオカゼ</t>
    </rPh>
    <phoneticPr fontId="1"/>
  </si>
  <si>
    <t>よそかぜ</t>
  </si>
  <si>
    <t>よそかぜ</t>
    <phoneticPr fontId="1"/>
  </si>
  <si>
    <t>TToujouSwim2024_R2_Thumbnail.webp</t>
    <phoneticPr fontId="1"/>
  </si>
  <si>
    <t>増幅</t>
    <rPh sb="0" eb="2">
      <t>ゾウフク</t>
    </rPh>
    <phoneticPr fontId="1"/>
  </si>
  <si>
    <t>機敏</t>
    <rPh sb="0" eb="2">
      <t>キビン</t>
    </rPh>
    <phoneticPr fontId="1"/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</si>
  <si>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</si>
  <si>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</si>
  <si>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</si>
  <si>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</si>
  <si>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</si>
  <si>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</si>
  <si>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</si>
  <si>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</si>
  <si>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</si>
  <si>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</si>
  <si>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</si>
  <si>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</si>
  <si>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</si>
  <si>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</si>
  <si>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</si>
  <si>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</si>
  <si>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</si>
  <si>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</si>
  <si>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</si>
  <si>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</si>
  <si>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</si>
  <si>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</si>
  <si>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</si>
  <si>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</si>
  <si>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</si>
  <si>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</si>
  <si>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</si>
  <si>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メメント・モリ+</t>
    <phoneticPr fontId="1"/>
  </si>
  <si>
    <t>10,10,10,10,20,40</t>
    <phoneticPr fontId="1"/>
  </si>
  <si>
    <t>弱点</t>
    <phoneticPr fontId="1"/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</si>
  <si>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</si>
  <si>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</si>
  <si>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</si>
  <si>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</si>
  <si>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</si>
  <si>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</si>
  <si>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</si>
  <si>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</si>
  <si>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</si>
  <si>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</si>
  <si>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</si>
  <si>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</si>
  <si>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</si>
  <si>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</si>
  <si>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ターン数が30ターンから15ターンに減少</t>
    <phoneticPr fontId="1"/>
  </si>
  <si>
    <t>敵の防御力超特大アップ(解除不可)、破壊率耐性50%ダウン</t>
    <rPh sb="0" eb="1">
      <t>テキ</t>
    </rPh>
    <rPh sb="2" eb="5">
      <t>ボウギョリョク</t>
    </rPh>
    <rPh sb="5" eb="6">
      <t>チョウ</t>
    </rPh>
    <rPh sb="6" eb="8">
      <t>トクダイ</t>
    </rPh>
    <rPh sb="18" eb="20">
      <t>ハカイ</t>
    </rPh>
    <rPh sb="20" eb="21">
      <t>リツ</t>
    </rPh>
    <rPh sb="21" eb="23">
      <t>タイセイ</t>
    </rPh>
    <phoneticPr fontId="1"/>
  </si>
  <si>
    <t>敵の攻撃力大アップ(解除不可)、闇弱点消失</t>
    <rPh sb="0" eb="1">
      <t>テキ</t>
    </rPh>
    <rPh sb="2" eb="5">
      <t>コウゲキリョク</t>
    </rPh>
    <rPh sb="5" eb="6">
      <t>ダイ</t>
    </rPh>
    <rPh sb="16" eb="17">
      <t>ヤミ</t>
    </rPh>
    <rPh sb="17" eb="19">
      <t>ジャクテン</t>
    </rPh>
    <rPh sb="19" eb="21">
      <t>ショウシツ</t>
    </rPh>
    <phoneticPr fontId="1"/>
  </si>
  <si>
    <t>味方の最大DPが割合30%低下</t>
    <rPh sb="3" eb="5">
      <t>サイダイ</t>
    </rPh>
    <phoneticPr fontId="1"/>
  </si>
  <si>
    <t>敵の攻撃力大アップ(解除不可)、雷弱点消失</t>
    <rPh sb="0" eb="1">
      <t>テキ</t>
    </rPh>
    <rPh sb="2" eb="5">
      <t>コウゲキリョク</t>
    </rPh>
    <rPh sb="5" eb="6">
      <t>ダイ</t>
    </rPh>
    <rPh sb="16" eb="17">
      <t>カミナリ</t>
    </rPh>
    <rPh sb="17" eb="19">
      <t>ジャクテン</t>
    </rPh>
    <rPh sb="19" eb="21">
      <t>ショウシツ</t>
    </rPh>
    <phoneticPr fontId="1"/>
  </si>
  <si>
    <t>ODがLv.3のみ発動可能</t>
    <rPh sb="9" eb="11">
      <t>ハツドウ</t>
    </rPh>
    <rPh sb="11" eb="13">
      <t>カノウ</t>
    </rPh>
    <phoneticPr fontId="1"/>
  </si>
  <si>
    <t>(水着2024)マッドショックウォーカー</t>
  </si>
  <si>
    <t>(水着2024)デッドロックウォーカー</t>
  </si>
  <si>
    <t>(43F)スウェルサンダークロウ</t>
  </si>
  <si>
    <t>(44F)シャドウ・カレン[Killrazor]</t>
  </si>
  <si>
    <t>(45F)ヘイルホース</t>
  </si>
  <si>
    <t>(46F)シャドウ・アーデルハイド[大乱闘]</t>
  </si>
  <si>
    <t>220000</t>
  </si>
  <si>
    <t>4000000</t>
  </si>
  <si>
    <t>MAikawaSwim2024_R3_Thumbnail.webp</t>
  </si>
  <si>
    <t>KarenSwim2024_R3_Thumbnail.webp</t>
  </si>
  <si>
    <t>TTojoSwim2024_R2_Thumbnail.webp</t>
  </si>
  <si>
    <t>15</t>
    <phoneticPr fontId="1"/>
  </si>
  <si>
    <t>16</t>
    <phoneticPr fontId="1"/>
  </si>
  <si>
    <t>(38F)サミットゴーレム</t>
  </si>
  <si>
    <t>(28F/33F)パイルゴーレム</t>
  </si>
  <si>
    <t>26000</t>
  </si>
  <si>
    <t>エグゾウォッチャーR : Lv.4</t>
  </si>
  <si>
    <t>エグゾウォッチャーB : Lv.4</t>
  </si>
  <si>
    <t>エグゾウォッチャーY : Lv.4</t>
  </si>
  <si>
    <t>エグゾウォッチャーW : Lv.4</t>
  </si>
  <si>
    <t>エグゾウォッチャーP : Lv.4</t>
  </si>
  <si>
    <t>243750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</si>
</sst>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31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  <xf numFmtId="3" fontId="2" fillId="0" borderId="1" xfId="0" applyNumberFormat="1" applyFont="1" applyBorder="1"/>
    <xf numFmtId="0" fontId="0" fillId="9" borderId="0" xfId="0" applyFill="1" applyAlignment="1">
      <alignment horizontal="center"/>
    </xf>
    <xf numFmtId="0" fontId="2" fillId="9" borderId="1" xfId="0" applyFont="1" applyFill="1" applyBorder="1"/>
    <xf numFmtId="0" fontId="0" fillId="9" borderId="0" xfId="0" applyFill="1"/>
    <xf numFmtId="0" fontId="2" fillId="13" borderId="1" xfId="0" applyFont="1" applyFill="1" applyBorder="1"/>
    <xf numFmtId="0" fontId="2" fillId="14" borderId="1" xfId="0" applyFont="1" applyFill="1" applyBorder="1"/>
    <xf numFmtId="0" fontId="2" fillId="15" borderId="1" xfId="0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17</xdr:col>
      <xdr:colOff>582706</xdr:colOff>
      <xdr:row>1</xdr:row>
      <xdr:rowOff>100853</xdr:rowOff>
    </xdr:from>
    <xdr:to>
      <xdr:col>17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6" sqref="A3:XFD6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1468</v>
      </c>
      <c r="D1" s="9" t="s">
        <v>1689</v>
      </c>
      <c r="E1" s="9" t="s">
        <v>1639</v>
      </c>
      <c r="F1" s="9" t="s">
        <v>43</v>
      </c>
      <c r="G1" s="9" t="s">
        <v>44</v>
      </c>
      <c r="H1" s="9" t="s">
        <v>220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1345</v>
      </c>
      <c r="Q1" s="9" t="s">
        <v>1348</v>
      </c>
      <c r="R1" s="9" t="s">
        <v>222</v>
      </c>
      <c r="S1" s="9" t="s">
        <v>223</v>
      </c>
      <c r="T1" s="9" t="s">
        <v>278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734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I18" sqref="I18"/>
    </sheetView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326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0">
      <c r="B3" s="14">
        <f>B6</f>
        <v>5074</v>
      </c>
      <c r="C3" s="14" t="s">
        <v>75</v>
      </c>
      <c r="D3" s="14" t="s">
        <v>2053</v>
      </c>
      <c r="E3" s="22" t="s">
        <v>2078</v>
      </c>
      <c r="F3" s="22" t="s">
        <v>2079</v>
      </c>
      <c r="G3" s="14" t="s">
        <v>1921</v>
      </c>
      <c r="H3" s="14" t="s">
        <v>1933</v>
      </c>
      <c r="I3" s="14"/>
      <c r="J3" s="14" t="s">
        <v>1926</v>
      </c>
      <c r="K3" s="14"/>
      <c r="L3" s="14"/>
      <c r="M3" s="14"/>
      <c r="N3" s="14" t="s">
        <v>2080</v>
      </c>
      <c r="O3" s="14"/>
      <c r="P3" s="14" t="s">
        <v>2081</v>
      </c>
    </row>
    <row r="4" spans="1:20">
      <c r="A4" t="s">
        <v>1937</v>
      </c>
      <c r="B4" s="14">
        <f>B3</f>
        <v>5074</v>
      </c>
      <c r="C4" s="14">
        <f>INDEX(Data!C1:C51, MATCH(C3,Data!D1:D51, 0))</f>
        <v>4</v>
      </c>
      <c r="D4" s="14">
        <f>INDEX(Data!A16:A18, MATCH(D3,Data!B16:B18, 0))</f>
        <v>2</v>
      </c>
      <c r="E4" s="14" t="str">
        <f t="shared" ref="E4:F4" si="0">E3</f>
        <v>よそかぜ</v>
      </c>
      <c r="F4" s="14" t="str">
        <f t="shared" si="0"/>
        <v>TToujouSwim2024_R2_Thumbnail.webp</v>
      </c>
      <c r="G4" s="14">
        <f>INDEX(Data!G:G, MATCH(G3,Data!H1:H51, 0))</f>
        <v>5</v>
      </c>
      <c r="H4" s="14">
        <f>IFERROR(INDEX(Data!$A$9:$A$14, MATCH(H3, Data!$B$9:B14, 0)), "")</f>
        <v>3</v>
      </c>
      <c r="I4" s="14" t="str">
        <f>IFERROR(INDEX(Data!$A$9:$A$14, MATCH(I3, Data!$B$9:C14, 0)), "")</f>
        <v/>
      </c>
      <c r="J4" s="14">
        <f>INDEX(Data!I1:I6, MATCH(J3,Data!J1:J51, 0))</f>
        <v>3</v>
      </c>
      <c r="K4" s="14" t="str">
        <f>IFERROR(INDEX(ability!$B:$B, MATCH(K3,ability!$C:$C, 0)),"")</f>
        <v/>
      </c>
      <c r="L4" s="14" t="str">
        <f>IFERROR(INDEX(ability!$B:$B, MATCH(L3,ability!$C:$C, 0)),"")</f>
        <v/>
      </c>
      <c r="M4" s="14" t="str">
        <f>IFERROR(INDEX(ability!$B:$B, MATCH(M3,ability!$C:$C, 0)),"")</f>
        <v/>
      </c>
      <c r="N4" s="14">
        <f>IFERROR(INDEX(ability!$B:$B, MATCH(N3,ability!$C:$C, 0)),"")</f>
        <v>503</v>
      </c>
      <c r="O4" s="14" t="str">
        <f>IFERROR(INDEX(ability!B:B, MATCH(O3,ability!C:C, 0)),"")</f>
        <v/>
      </c>
      <c r="P4" s="14">
        <f>IFERROR(INDEX(ability!B:B, MATCH(P3,ability!C:C, 0)),"")</f>
        <v>1007</v>
      </c>
    </row>
    <row r="5" spans="1:20">
      <c r="B5" cm="1">
        <f t="array" ref="B5">MAX(IF(character_style!B:B&lt;=1000, character_style!B:B))+1</f>
        <v>129</v>
      </c>
    </row>
    <row r="6" spans="1:20">
      <c r="B6" cm="1">
        <f t="array" ref="B6">MAX(IF(character_style!B:B&lt;=9000, character_style!B:B))+1</f>
        <v>5074</v>
      </c>
    </row>
    <row r="8" spans="1:20">
      <c r="B8" s="9" t="s">
        <v>1468</v>
      </c>
      <c r="C8" s="9" t="s">
        <v>1469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</row>
    <row r="9" spans="1:20">
      <c r="A9" t="s">
        <v>1938</v>
      </c>
      <c r="B9" s="14" cm="1">
        <f t="array" ref="B9">MAX(IF(skill_list!B:B&lt;=1000, skill_list!B:B))+1</f>
        <v>507</v>
      </c>
      <c r="C9" s="23" t="s">
        <v>2067</v>
      </c>
      <c r="D9" s="14">
        <f>$C$4</f>
        <v>4</v>
      </c>
      <c r="E9" s="14">
        <v>0</v>
      </c>
      <c r="F9" s="23">
        <v>0</v>
      </c>
      <c r="G9" s="23">
        <v>0</v>
      </c>
      <c r="H9" s="23">
        <v>1</v>
      </c>
    </row>
    <row r="10" spans="1:20">
      <c r="B10" s="14">
        <f>+B9+1</f>
        <v>508</v>
      </c>
      <c r="C10" s="23" t="s">
        <v>2076</v>
      </c>
      <c r="D10" s="14">
        <f>$C$4</f>
        <v>4</v>
      </c>
      <c r="E10" s="14">
        <f>$B$4</f>
        <v>5074</v>
      </c>
      <c r="F10" s="23">
        <v>14</v>
      </c>
      <c r="G10" s="23">
        <v>216</v>
      </c>
      <c r="H10" s="23">
        <v>10</v>
      </c>
    </row>
    <row r="12" spans="1:20">
      <c r="B12" s="9" t="s">
        <v>40</v>
      </c>
      <c r="C12" s="9" t="s">
        <v>1468</v>
      </c>
      <c r="D12" s="9" t="s">
        <v>1689</v>
      </c>
      <c r="E12" s="9" t="s">
        <v>1639</v>
      </c>
      <c r="F12" s="9" t="s">
        <v>43</v>
      </c>
      <c r="G12" s="9" t="s">
        <v>44</v>
      </c>
      <c r="H12" s="9" t="s">
        <v>220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1345</v>
      </c>
      <c r="Q12" s="9" t="s">
        <v>1348</v>
      </c>
      <c r="R12" s="9" t="s">
        <v>222</v>
      </c>
      <c r="S12" s="9" t="s">
        <v>223</v>
      </c>
      <c r="T12" s="9" t="s">
        <v>278</v>
      </c>
    </row>
    <row r="13" spans="1:20">
      <c r="A13" t="s">
        <v>1939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328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1471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1655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190</v>
      </c>
    </row>
    <row r="7" spans="1:14">
      <c r="A7" s="1"/>
      <c r="F7" s="10" t="s">
        <v>19</v>
      </c>
      <c r="G7" s="10" t="s">
        <v>730</v>
      </c>
    </row>
    <row r="8" spans="1:14">
      <c r="F8" s="10" t="s">
        <v>19</v>
      </c>
      <c r="G8" s="10" t="s">
        <v>1797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1467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394</v>
      </c>
      <c r="G1">
        <v>1</v>
      </c>
      <c r="H1" t="s">
        <v>1917</v>
      </c>
      <c r="I1">
        <v>1</v>
      </c>
      <c r="J1" t="s">
        <v>1924</v>
      </c>
      <c r="K1">
        <v>0</v>
      </c>
      <c r="L1" t="s">
        <v>1940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537</v>
      </c>
      <c r="G2">
        <v>2</v>
      </c>
      <c r="H2" t="s">
        <v>1918</v>
      </c>
      <c r="I2">
        <v>2</v>
      </c>
      <c r="J2" t="s">
        <v>1925</v>
      </c>
      <c r="K2">
        <v>1</v>
      </c>
      <c r="L2" t="s">
        <v>1941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538</v>
      </c>
      <c r="G3">
        <v>3</v>
      </c>
      <c r="H3" t="s">
        <v>1919</v>
      </c>
      <c r="I3">
        <v>3</v>
      </c>
      <c r="J3" t="s">
        <v>1926</v>
      </c>
      <c r="K3">
        <v>2</v>
      </c>
      <c r="L3" t="s">
        <v>1942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539</v>
      </c>
      <c r="G4">
        <v>4</v>
      </c>
      <c r="H4" t="s">
        <v>1920</v>
      </c>
      <c r="I4">
        <v>4</v>
      </c>
      <c r="J4" t="s">
        <v>1927</v>
      </c>
      <c r="K4">
        <v>3</v>
      </c>
      <c r="L4" t="s">
        <v>1943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540</v>
      </c>
      <c r="G5">
        <v>5</v>
      </c>
      <c r="H5" t="s">
        <v>1921</v>
      </c>
      <c r="I5">
        <v>5</v>
      </c>
      <c r="J5" t="s">
        <v>1928</v>
      </c>
      <c r="K5">
        <v>4</v>
      </c>
      <c r="L5" t="s">
        <v>1944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541</v>
      </c>
      <c r="G6">
        <v>6</v>
      </c>
      <c r="H6" t="s">
        <v>1922</v>
      </c>
      <c r="I6">
        <v>6</v>
      </c>
      <c r="J6" t="s">
        <v>1929</v>
      </c>
      <c r="K6">
        <v>5</v>
      </c>
      <c r="L6" t="s">
        <v>1945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542</v>
      </c>
      <c r="G7">
        <v>7</v>
      </c>
      <c r="H7" t="s">
        <v>1923</v>
      </c>
      <c r="K7">
        <v>6</v>
      </c>
      <c r="L7" t="s">
        <v>1946</v>
      </c>
    </row>
    <row r="8" spans="1:12">
      <c r="C8">
        <v>8</v>
      </c>
      <c r="D8" t="s">
        <v>82</v>
      </c>
      <c r="E8">
        <v>7</v>
      </c>
      <c r="F8" t="s">
        <v>543</v>
      </c>
      <c r="K8">
        <v>7</v>
      </c>
      <c r="L8" t="s">
        <v>1947</v>
      </c>
    </row>
    <row r="9" spans="1:12">
      <c r="A9">
        <v>0</v>
      </c>
      <c r="B9" t="s">
        <v>1930</v>
      </c>
      <c r="C9">
        <v>9</v>
      </c>
      <c r="D9" t="s">
        <v>83</v>
      </c>
      <c r="E9">
        <v>8</v>
      </c>
      <c r="F9" t="s">
        <v>544</v>
      </c>
      <c r="K9">
        <v>8</v>
      </c>
      <c r="L9" t="s">
        <v>1948</v>
      </c>
    </row>
    <row r="10" spans="1:12">
      <c r="A10">
        <v>1</v>
      </c>
      <c r="B10" t="s">
        <v>1931</v>
      </c>
      <c r="C10">
        <v>10</v>
      </c>
      <c r="D10" t="s">
        <v>84</v>
      </c>
      <c r="E10">
        <v>9</v>
      </c>
      <c r="F10" t="s">
        <v>545</v>
      </c>
      <c r="K10">
        <v>9</v>
      </c>
      <c r="L10" t="s">
        <v>1949</v>
      </c>
    </row>
    <row r="11" spans="1:12">
      <c r="A11">
        <v>2</v>
      </c>
      <c r="B11" t="s">
        <v>1932</v>
      </c>
      <c r="C11">
        <v>11</v>
      </c>
      <c r="D11" t="s">
        <v>85</v>
      </c>
      <c r="E11">
        <v>10</v>
      </c>
      <c r="F11" t="s">
        <v>550</v>
      </c>
      <c r="K11">
        <v>10</v>
      </c>
      <c r="L11" t="s">
        <v>1642</v>
      </c>
    </row>
    <row r="12" spans="1:12">
      <c r="A12">
        <v>3</v>
      </c>
      <c r="B12" t="s">
        <v>1933</v>
      </c>
      <c r="C12">
        <v>12</v>
      </c>
      <c r="D12" t="s">
        <v>86</v>
      </c>
      <c r="E12">
        <v>11</v>
      </c>
      <c r="F12" t="s">
        <v>546</v>
      </c>
      <c r="K12">
        <v>11</v>
      </c>
      <c r="L12" t="s">
        <v>1950</v>
      </c>
    </row>
    <row r="13" spans="1:12">
      <c r="A13">
        <v>4</v>
      </c>
      <c r="B13" t="s">
        <v>1934</v>
      </c>
      <c r="C13">
        <v>13</v>
      </c>
      <c r="D13" t="s">
        <v>87</v>
      </c>
      <c r="E13">
        <v>12</v>
      </c>
      <c r="F13" t="s">
        <v>548</v>
      </c>
      <c r="K13">
        <v>12</v>
      </c>
      <c r="L13" t="s">
        <v>1951</v>
      </c>
    </row>
    <row r="14" spans="1:12">
      <c r="A14">
        <v>5</v>
      </c>
      <c r="B14" t="s">
        <v>1935</v>
      </c>
      <c r="C14">
        <v>14</v>
      </c>
      <c r="D14" t="s">
        <v>88</v>
      </c>
      <c r="E14">
        <v>13</v>
      </c>
      <c r="K14">
        <v>13</v>
      </c>
      <c r="L14" t="s">
        <v>1952</v>
      </c>
    </row>
    <row r="15" spans="1:12">
      <c r="C15">
        <v>15</v>
      </c>
      <c r="D15" t="s">
        <v>89</v>
      </c>
      <c r="E15">
        <v>14</v>
      </c>
      <c r="F15" t="s">
        <v>551</v>
      </c>
      <c r="K15">
        <v>14</v>
      </c>
      <c r="L15" t="s">
        <v>1953</v>
      </c>
    </row>
    <row r="16" spans="1:12">
      <c r="A16">
        <v>1</v>
      </c>
      <c r="B16" t="s">
        <v>1970</v>
      </c>
      <c r="C16">
        <v>16</v>
      </c>
      <c r="D16" t="s">
        <v>90</v>
      </c>
      <c r="E16">
        <v>15</v>
      </c>
      <c r="F16" t="s">
        <v>552</v>
      </c>
      <c r="K16">
        <v>15</v>
      </c>
      <c r="L16" t="s">
        <v>1954</v>
      </c>
    </row>
    <row r="17" spans="1:12">
      <c r="A17">
        <v>2</v>
      </c>
      <c r="B17" t="s">
        <v>1936</v>
      </c>
      <c r="C17">
        <v>17</v>
      </c>
      <c r="D17" t="s">
        <v>91</v>
      </c>
      <c r="E17">
        <v>16</v>
      </c>
      <c r="F17" t="s">
        <v>553</v>
      </c>
      <c r="K17">
        <v>16</v>
      </c>
      <c r="L17" t="s">
        <v>1955</v>
      </c>
    </row>
    <row r="18" spans="1:12">
      <c r="A18">
        <v>3</v>
      </c>
      <c r="B18" t="s">
        <v>1971</v>
      </c>
      <c r="C18">
        <v>18</v>
      </c>
      <c r="D18" t="s">
        <v>92</v>
      </c>
      <c r="E18">
        <v>17</v>
      </c>
      <c r="F18" t="s">
        <v>395</v>
      </c>
      <c r="K18">
        <v>17</v>
      </c>
      <c r="L18" t="s">
        <v>1956</v>
      </c>
    </row>
    <row r="19" spans="1:12">
      <c r="C19">
        <v>19</v>
      </c>
      <c r="D19" t="s">
        <v>93</v>
      </c>
      <c r="E19">
        <v>18</v>
      </c>
      <c r="F19" t="s">
        <v>547</v>
      </c>
      <c r="K19">
        <v>18</v>
      </c>
      <c r="L19" t="s">
        <v>1957</v>
      </c>
    </row>
    <row r="20" spans="1:12">
      <c r="C20">
        <v>20</v>
      </c>
      <c r="D20" t="s">
        <v>94</v>
      </c>
      <c r="E20">
        <v>19</v>
      </c>
      <c r="F20" t="s">
        <v>549</v>
      </c>
      <c r="K20">
        <v>19</v>
      </c>
      <c r="L20" t="s">
        <v>1958</v>
      </c>
    </row>
    <row r="21" spans="1:12">
      <c r="C21">
        <v>21</v>
      </c>
      <c r="D21" t="s">
        <v>95</v>
      </c>
      <c r="E21">
        <v>20</v>
      </c>
      <c r="F21" t="s">
        <v>579</v>
      </c>
      <c r="K21">
        <v>20</v>
      </c>
      <c r="L21" t="s">
        <v>1959</v>
      </c>
    </row>
    <row r="22" spans="1:12">
      <c r="C22">
        <v>22</v>
      </c>
      <c r="D22" t="s">
        <v>96</v>
      </c>
      <c r="E22">
        <v>21</v>
      </c>
      <c r="F22" t="s">
        <v>611</v>
      </c>
      <c r="K22">
        <v>21</v>
      </c>
      <c r="L22" t="s">
        <v>1960</v>
      </c>
    </row>
    <row r="23" spans="1:12">
      <c r="C23">
        <v>23</v>
      </c>
      <c r="D23" t="s">
        <v>97</v>
      </c>
      <c r="E23">
        <v>22</v>
      </c>
      <c r="F23" t="s">
        <v>612</v>
      </c>
      <c r="K23">
        <v>22</v>
      </c>
      <c r="L23" t="s">
        <v>1961</v>
      </c>
    </row>
    <row r="24" spans="1:12">
      <c r="C24">
        <v>24</v>
      </c>
      <c r="D24" t="s">
        <v>98</v>
      </c>
      <c r="K24">
        <v>23</v>
      </c>
      <c r="L24" t="s">
        <v>1962</v>
      </c>
    </row>
    <row r="25" spans="1:12">
      <c r="C25">
        <v>25</v>
      </c>
      <c r="D25" t="s">
        <v>99</v>
      </c>
      <c r="K25">
        <v>24</v>
      </c>
      <c r="L25" t="s">
        <v>1963</v>
      </c>
    </row>
    <row r="26" spans="1:12">
      <c r="C26">
        <v>26</v>
      </c>
      <c r="D26" t="s">
        <v>100</v>
      </c>
      <c r="K26">
        <v>25</v>
      </c>
      <c r="L26" t="s">
        <v>1964</v>
      </c>
    </row>
    <row r="27" spans="1:12">
      <c r="C27">
        <v>27</v>
      </c>
      <c r="D27" t="s">
        <v>101</v>
      </c>
      <c r="K27">
        <v>26</v>
      </c>
      <c r="L27" t="s">
        <v>1965</v>
      </c>
    </row>
    <row r="28" spans="1:12">
      <c r="C28">
        <v>28</v>
      </c>
      <c r="D28" t="s">
        <v>102</v>
      </c>
      <c r="K28">
        <v>27</v>
      </c>
      <c r="L28" t="s">
        <v>1966</v>
      </c>
    </row>
    <row r="29" spans="1:12">
      <c r="C29">
        <v>29</v>
      </c>
      <c r="D29" t="s">
        <v>103</v>
      </c>
      <c r="K29">
        <v>28</v>
      </c>
      <c r="L29" t="s">
        <v>1967</v>
      </c>
    </row>
    <row r="30" spans="1:12">
      <c r="C30">
        <v>30</v>
      </c>
      <c r="D30" t="s">
        <v>104</v>
      </c>
      <c r="K30">
        <v>29</v>
      </c>
      <c r="L30" t="s">
        <v>1968</v>
      </c>
    </row>
    <row r="31" spans="1:12">
      <c r="C31">
        <v>31</v>
      </c>
      <c r="D31" t="s">
        <v>105</v>
      </c>
      <c r="K31">
        <v>30</v>
      </c>
      <c r="L31" t="s">
        <v>1969</v>
      </c>
    </row>
    <row r="32" spans="1:12">
      <c r="C32">
        <v>32</v>
      </c>
      <c r="D32" t="s">
        <v>106</v>
      </c>
      <c r="K32">
        <v>31</v>
      </c>
      <c r="L32" t="s">
        <v>1848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zoomScale="85" zoomScaleNormal="85" workbookViewId="0">
      <selection activeCell="G29" sqref="G29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1754</v>
      </c>
      <c r="G2" s="9" t="s">
        <v>1826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188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604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604</v>
      </c>
      <c r="F8" s="14">
        <v>2</v>
      </c>
      <c r="G8" s="14">
        <v>3</v>
      </c>
      <c r="H8" t="s">
        <v>1881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604</v>
      </c>
      <c r="F9" s="14">
        <v>3</v>
      </c>
      <c r="G9" s="14">
        <v>2</v>
      </c>
      <c r="H9" t="s">
        <v>1883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604</v>
      </c>
      <c r="F10" s="14">
        <v>2</v>
      </c>
      <c r="G10" s="14">
        <v>1</v>
      </c>
      <c r="H10" t="s">
        <v>1882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604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604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750</v>
      </c>
      <c r="F13" s="14">
        <v>3</v>
      </c>
      <c r="G13" s="14">
        <v>3</v>
      </c>
      <c r="H13" t="s">
        <v>1880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750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750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750</v>
      </c>
      <c r="F16" s="14">
        <v>2</v>
      </c>
      <c r="G16" s="14">
        <v>3</v>
      </c>
      <c r="H16" t="s">
        <v>1881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750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750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324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324</v>
      </c>
      <c r="F20" s="14">
        <v>3</v>
      </c>
      <c r="G20" s="14">
        <v>3</v>
      </c>
      <c r="H20" t="s">
        <v>1880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324</v>
      </c>
      <c r="F21" s="14">
        <v>2</v>
      </c>
      <c r="G21" s="14">
        <v>1</v>
      </c>
      <c r="H21" t="s">
        <v>1882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324</v>
      </c>
      <c r="F22" s="14">
        <v>2</v>
      </c>
      <c r="G22" s="14">
        <v>1</v>
      </c>
      <c r="H22" t="s">
        <v>1882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324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324</v>
      </c>
      <c r="F24" s="14">
        <v>2</v>
      </c>
      <c r="G24" s="14">
        <v>3</v>
      </c>
      <c r="H24" t="s">
        <v>1881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585</v>
      </c>
      <c r="F25" s="14">
        <v>3</v>
      </c>
      <c r="G25" s="14">
        <v>3</v>
      </c>
      <c r="H25" t="s">
        <v>1880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585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585</v>
      </c>
      <c r="F27" s="14">
        <v>1</v>
      </c>
      <c r="G27" s="14">
        <v>4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585</v>
      </c>
      <c r="F28" s="14">
        <v>2</v>
      </c>
      <c r="G28" s="14">
        <v>3</v>
      </c>
      <c r="H28" t="s">
        <v>1881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585</v>
      </c>
      <c r="F29" s="14">
        <v>3</v>
      </c>
      <c r="G29" s="14">
        <v>2</v>
      </c>
      <c r="H29" t="s">
        <v>1883</v>
      </c>
    </row>
    <row r="30" spans="1:20">
      <c r="A30" s="8"/>
      <c r="B30" s="14">
        <v>24</v>
      </c>
      <c r="C30" s="11" t="s">
        <v>1827</v>
      </c>
      <c r="D30" s="11" t="s">
        <v>156</v>
      </c>
      <c r="E30" s="11" t="s">
        <v>585</v>
      </c>
      <c r="F30" s="14">
        <v>3</v>
      </c>
      <c r="G30" s="14">
        <v>2</v>
      </c>
      <c r="H30" t="s">
        <v>1883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755</v>
      </c>
      <c r="F31" s="14">
        <v>3</v>
      </c>
      <c r="G31" s="15">
        <v>3</v>
      </c>
      <c r="H31" t="s">
        <v>1880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755</v>
      </c>
      <c r="F32" s="14">
        <v>1</v>
      </c>
      <c r="G32" s="15">
        <v>4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755</v>
      </c>
      <c r="F33" s="14">
        <v>3</v>
      </c>
      <c r="G33" s="15">
        <v>2</v>
      </c>
      <c r="H33" t="s">
        <v>1883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755</v>
      </c>
      <c r="F34" s="14">
        <v>2</v>
      </c>
      <c r="G34" s="15">
        <v>1</v>
      </c>
      <c r="H34" t="s">
        <v>1882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755</v>
      </c>
      <c r="F35" s="14">
        <v>1</v>
      </c>
      <c r="G35" s="15">
        <v>4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755</v>
      </c>
      <c r="F36" s="14">
        <v>2</v>
      </c>
      <c r="G36" s="15">
        <v>3</v>
      </c>
      <c r="H36" t="s">
        <v>1881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876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876</v>
      </c>
      <c r="F38" s="14">
        <v>2</v>
      </c>
      <c r="G38" s="15">
        <v>3</v>
      </c>
      <c r="H38" t="s">
        <v>1881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876</v>
      </c>
      <c r="F39" s="14">
        <v>1</v>
      </c>
      <c r="G39" s="15">
        <v>4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876</v>
      </c>
      <c r="F40" s="14">
        <v>3</v>
      </c>
      <c r="G40" s="15">
        <v>3</v>
      </c>
      <c r="H40" t="s">
        <v>1880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876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876</v>
      </c>
      <c r="F42" s="14">
        <v>3</v>
      </c>
      <c r="G42" s="15">
        <v>2</v>
      </c>
      <c r="H42" t="s">
        <v>1883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325</v>
      </c>
      <c r="F43" s="14">
        <v>1</v>
      </c>
      <c r="G43" s="14">
        <v>4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325</v>
      </c>
      <c r="F44" s="14">
        <v>1</v>
      </c>
      <c r="G44" s="14">
        <v>4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325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325</v>
      </c>
      <c r="F46" s="14">
        <v>3</v>
      </c>
      <c r="G46" s="14">
        <v>3</v>
      </c>
      <c r="H46" t="s">
        <v>1880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325</v>
      </c>
      <c r="F47" s="14">
        <v>3</v>
      </c>
      <c r="G47" s="14">
        <v>2</v>
      </c>
      <c r="H47" t="s">
        <v>1883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325</v>
      </c>
      <c r="F48" s="14">
        <v>2</v>
      </c>
      <c r="G48" s="14">
        <v>3</v>
      </c>
      <c r="H48" t="s">
        <v>1881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533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533</v>
      </c>
      <c r="F50" s="14">
        <v>3</v>
      </c>
      <c r="G50" s="14">
        <v>2</v>
      </c>
      <c r="H50" t="s">
        <v>1883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533</v>
      </c>
      <c r="F51" s="14">
        <v>2</v>
      </c>
      <c r="G51" s="14">
        <v>1</v>
      </c>
      <c r="H51" t="s">
        <v>1882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533</v>
      </c>
      <c r="F52" s="14">
        <v>3</v>
      </c>
      <c r="G52" s="14">
        <v>3</v>
      </c>
      <c r="H52" t="s">
        <v>1880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533</v>
      </c>
      <c r="F53" s="14">
        <v>2</v>
      </c>
      <c r="G53" s="14">
        <v>1</v>
      </c>
      <c r="H53" t="s">
        <v>1882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533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877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877</v>
      </c>
      <c r="F56" s="14">
        <v>2</v>
      </c>
      <c r="G56" s="15">
        <v>1</v>
      </c>
      <c r="H56" t="s">
        <v>1882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877</v>
      </c>
      <c r="F57" s="14">
        <v>3</v>
      </c>
      <c r="G57" s="15">
        <v>3</v>
      </c>
      <c r="H57" t="s">
        <v>1880</v>
      </c>
    </row>
    <row r="58" spans="1:20">
      <c r="A58" s="8"/>
      <c r="B58" s="14">
        <v>104</v>
      </c>
      <c r="C58" s="11" t="s">
        <v>827</v>
      </c>
      <c r="D58" s="11" t="s">
        <v>828</v>
      </c>
      <c r="E58" s="11" t="s">
        <v>877</v>
      </c>
      <c r="F58" s="14">
        <v>3</v>
      </c>
      <c r="G58" s="15">
        <v>2</v>
      </c>
      <c r="H58" t="s">
        <v>1883</v>
      </c>
    </row>
    <row r="59" spans="1:20">
      <c r="T59" s="19"/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205</v>
      </c>
      <c r="B1" s="9" t="s">
        <v>191</v>
      </c>
      <c r="C1" s="9" t="s">
        <v>192</v>
      </c>
      <c r="D1" s="9" t="s">
        <v>193</v>
      </c>
      <c r="E1" s="9" t="s">
        <v>197</v>
      </c>
      <c r="F1" s="9" t="s">
        <v>206</v>
      </c>
      <c r="G1" s="9" t="s">
        <v>207</v>
      </c>
      <c r="H1" s="9" t="s">
        <v>50</v>
      </c>
      <c r="I1" s="9" t="s">
        <v>198</v>
      </c>
      <c r="J1" s="9" t="s">
        <v>200</v>
      </c>
      <c r="K1" s="9" t="s">
        <v>201</v>
      </c>
      <c r="L1" s="9" t="s">
        <v>202</v>
      </c>
      <c r="M1" s="9" t="s">
        <v>203</v>
      </c>
      <c r="N1" s="9" t="s">
        <v>204</v>
      </c>
      <c r="O1" s="9" t="s">
        <v>194</v>
      </c>
      <c r="P1" s="9" t="s">
        <v>195</v>
      </c>
      <c r="Q1" s="9" t="s">
        <v>196</v>
      </c>
      <c r="R1" s="9" t="s">
        <v>199</v>
      </c>
    </row>
    <row r="2" spans="1:18">
      <c r="A2" t="s">
        <v>555</v>
      </c>
      <c r="B2" s="13">
        <v>1</v>
      </c>
      <c r="C2" s="13">
        <v>1</v>
      </c>
      <c r="D2" s="13" t="s">
        <v>873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94"/>
  <sheetViews>
    <sheetView zoomScale="85" zoomScaleNormal="85" workbookViewId="0">
      <pane ySplit="6" topLeftCell="A22" activePane="bottomLeft" state="frozen"/>
      <selection activeCell="C1" sqref="C1"/>
      <selection pane="bottomLeft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205</v>
      </c>
      <c r="B2" s="9" t="s">
        <v>191</v>
      </c>
      <c r="C2" s="9" t="s">
        <v>192</v>
      </c>
      <c r="D2" s="9" t="s">
        <v>193</v>
      </c>
      <c r="E2" s="9" t="s">
        <v>197</v>
      </c>
      <c r="F2" s="9" t="s">
        <v>206</v>
      </c>
      <c r="G2" s="9" t="s">
        <v>207</v>
      </c>
      <c r="H2" s="9" t="s">
        <v>50</v>
      </c>
      <c r="I2" s="9" t="s">
        <v>198</v>
      </c>
      <c r="J2" s="9" t="s">
        <v>200</v>
      </c>
      <c r="K2" s="9" t="s">
        <v>201</v>
      </c>
      <c r="L2" s="9" t="s">
        <v>202</v>
      </c>
      <c r="M2" s="9" t="s">
        <v>203</v>
      </c>
      <c r="N2" s="9" t="s">
        <v>204</v>
      </c>
      <c r="O2" s="9" t="s">
        <v>194</v>
      </c>
      <c r="P2" s="9" t="s">
        <v>195</v>
      </c>
      <c r="Q2" s="9" t="s">
        <v>196</v>
      </c>
      <c r="R2" s="9" t="s">
        <v>199</v>
      </c>
      <c r="S2" s="9" t="s">
        <v>718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716</v>
      </c>
      <c r="G4" s="9" t="s">
        <v>717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188</v>
      </c>
    </row>
    <row r="7" spans="1:19">
      <c r="A7" s="8"/>
      <c r="B7" s="15">
        <v>1</v>
      </c>
      <c r="C7" s="15">
        <v>1</v>
      </c>
      <c r="D7" s="11" t="s">
        <v>213</v>
      </c>
      <c r="E7" s="15">
        <v>290</v>
      </c>
      <c r="F7" s="11" t="s">
        <v>758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214</v>
      </c>
      <c r="E8" s="15">
        <v>290</v>
      </c>
      <c r="F8" s="11" t="s">
        <v>759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516</v>
      </c>
      <c r="E9" s="15">
        <v>310</v>
      </c>
      <c r="F9" s="11" t="s">
        <v>760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517</v>
      </c>
      <c r="E10" s="15">
        <v>310</v>
      </c>
      <c r="F10" s="11" t="s">
        <v>761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208</v>
      </c>
      <c r="E11" s="15">
        <v>270</v>
      </c>
      <c r="F11" s="11" t="s">
        <v>1692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209</v>
      </c>
      <c r="E12" s="15">
        <v>290</v>
      </c>
      <c r="F12" s="11" t="s">
        <v>762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212</v>
      </c>
      <c r="E13" s="15">
        <v>320</v>
      </c>
      <c r="F13" s="11" t="s">
        <v>763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518</v>
      </c>
      <c r="E14" s="15">
        <v>320</v>
      </c>
      <c r="F14" s="11" t="s">
        <v>764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210</v>
      </c>
      <c r="E15" s="15">
        <v>320</v>
      </c>
      <c r="F15" s="11" t="s">
        <v>765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211</v>
      </c>
      <c r="E16" s="15">
        <v>380</v>
      </c>
      <c r="F16" s="11" t="s">
        <v>766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536</v>
      </c>
      <c r="E17" s="15">
        <v>380</v>
      </c>
      <c r="F17" s="11" t="s">
        <v>767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1</v>
      </c>
      <c r="C18" s="15">
        <v>12</v>
      </c>
      <c r="D18" s="11" t="s">
        <v>2058</v>
      </c>
      <c r="E18" s="15">
        <v>390</v>
      </c>
      <c r="F18" s="11" t="s">
        <v>2113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/>
    </row>
    <row r="19" spans="1:19">
      <c r="A19" s="8"/>
      <c r="B19" s="15">
        <v>1</v>
      </c>
      <c r="C19" s="15">
        <v>13</v>
      </c>
      <c r="D19" s="11" t="s">
        <v>2059</v>
      </c>
      <c r="E19" s="15">
        <v>390</v>
      </c>
      <c r="F19" s="11" t="s">
        <v>2113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/>
    </row>
    <row r="20" spans="1:19">
      <c r="A20" s="8"/>
      <c r="B20" s="15">
        <v>2</v>
      </c>
      <c r="C20" s="15">
        <v>1</v>
      </c>
      <c r="D20" s="11" t="s">
        <v>215</v>
      </c>
      <c r="E20" s="15">
        <v>320</v>
      </c>
      <c r="F20" s="11" t="s">
        <v>768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2</v>
      </c>
      <c r="D21" s="11" t="s">
        <v>216</v>
      </c>
      <c r="E21" s="15">
        <v>320</v>
      </c>
      <c r="F21" s="11" t="s">
        <v>768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3</v>
      </c>
      <c r="D22" s="11" t="s">
        <v>217</v>
      </c>
      <c r="E22" s="15">
        <v>320</v>
      </c>
      <c r="F22" s="11" t="s">
        <v>768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4</v>
      </c>
      <c r="D23" s="11" t="s">
        <v>218</v>
      </c>
      <c r="E23" s="15">
        <v>320</v>
      </c>
      <c r="F23" s="11" t="s">
        <v>768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5</v>
      </c>
      <c r="D24" s="11" t="s">
        <v>219</v>
      </c>
      <c r="E24" s="15">
        <v>320</v>
      </c>
      <c r="F24" s="11" t="s">
        <v>768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 s="27" customFormat="1">
      <c r="A25" s="25"/>
      <c r="B25" s="26">
        <v>2</v>
      </c>
      <c r="C25" s="26">
        <v>6</v>
      </c>
      <c r="D25" s="20" t="s">
        <v>2148</v>
      </c>
      <c r="E25" s="26">
        <v>400</v>
      </c>
      <c r="F25" s="20" t="s">
        <v>2153</v>
      </c>
      <c r="G25" s="26">
        <v>525000</v>
      </c>
      <c r="H25" s="26">
        <v>4</v>
      </c>
      <c r="I25" s="26">
        <v>300</v>
      </c>
      <c r="J25" s="29">
        <v>-100</v>
      </c>
      <c r="K25" s="30">
        <v>200</v>
      </c>
      <c r="L25" s="28">
        <v>100</v>
      </c>
      <c r="M25" s="29">
        <v>-100</v>
      </c>
      <c r="N25" s="28">
        <v>100</v>
      </c>
      <c r="O25" s="26">
        <v>100</v>
      </c>
      <c r="P25" s="26">
        <v>100</v>
      </c>
      <c r="Q25" s="26">
        <v>100</v>
      </c>
      <c r="R25" s="26">
        <v>100</v>
      </c>
      <c r="S25" s="26"/>
    </row>
    <row r="26" spans="1:19" s="27" customFormat="1">
      <c r="A26" s="25"/>
      <c r="B26" s="26">
        <v>2</v>
      </c>
      <c r="C26" s="26">
        <v>7</v>
      </c>
      <c r="D26" s="20" t="s">
        <v>2149</v>
      </c>
      <c r="E26" s="26">
        <v>400</v>
      </c>
      <c r="F26" s="20" t="s">
        <v>2153</v>
      </c>
      <c r="G26" s="26">
        <v>525000</v>
      </c>
      <c r="H26" s="26">
        <v>4</v>
      </c>
      <c r="I26" s="26">
        <v>300</v>
      </c>
      <c r="J26" s="28">
        <v>100</v>
      </c>
      <c r="K26" s="29">
        <v>-100</v>
      </c>
      <c r="L26" s="30">
        <v>200</v>
      </c>
      <c r="M26" s="28">
        <v>100</v>
      </c>
      <c r="N26" s="29">
        <v>-100</v>
      </c>
      <c r="O26" s="26">
        <v>100</v>
      </c>
      <c r="P26" s="26">
        <v>100</v>
      </c>
      <c r="Q26" s="26">
        <v>100</v>
      </c>
      <c r="R26" s="26">
        <v>100</v>
      </c>
      <c r="S26" s="26"/>
    </row>
    <row r="27" spans="1:19" s="27" customFormat="1">
      <c r="A27" s="25"/>
      <c r="B27" s="26">
        <v>2</v>
      </c>
      <c r="C27" s="26">
        <v>8</v>
      </c>
      <c r="D27" s="20" t="s">
        <v>2150</v>
      </c>
      <c r="E27" s="26">
        <v>400</v>
      </c>
      <c r="F27" s="20" t="s">
        <v>2153</v>
      </c>
      <c r="G27" s="26">
        <v>525000</v>
      </c>
      <c r="H27" s="26">
        <v>4</v>
      </c>
      <c r="I27" s="26">
        <v>300</v>
      </c>
      <c r="J27" s="30">
        <v>200</v>
      </c>
      <c r="K27" s="29">
        <v>-100</v>
      </c>
      <c r="L27" s="29">
        <v>-100</v>
      </c>
      <c r="M27" s="28">
        <v>100</v>
      </c>
      <c r="N27" s="28">
        <v>100</v>
      </c>
      <c r="O27" s="26">
        <v>100</v>
      </c>
      <c r="P27" s="26">
        <v>100</v>
      </c>
      <c r="Q27" s="26">
        <v>100</v>
      </c>
      <c r="R27" s="26">
        <v>100</v>
      </c>
      <c r="S27" s="26"/>
    </row>
    <row r="28" spans="1:19" s="27" customFormat="1">
      <c r="A28" s="25"/>
      <c r="B28" s="26">
        <v>2</v>
      </c>
      <c r="C28" s="26">
        <v>9</v>
      </c>
      <c r="D28" s="20" t="s">
        <v>2151</v>
      </c>
      <c r="E28" s="26">
        <v>400</v>
      </c>
      <c r="F28" s="20" t="s">
        <v>2153</v>
      </c>
      <c r="G28" s="26">
        <v>525000</v>
      </c>
      <c r="H28" s="26">
        <v>4</v>
      </c>
      <c r="I28" s="26">
        <v>300</v>
      </c>
      <c r="J28" s="28">
        <v>100</v>
      </c>
      <c r="K28" s="28">
        <v>100</v>
      </c>
      <c r="L28" s="29">
        <v>-100</v>
      </c>
      <c r="M28" s="29">
        <v>-100</v>
      </c>
      <c r="N28" s="30">
        <v>200</v>
      </c>
      <c r="O28" s="26">
        <v>100</v>
      </c>
      <c r="P28" s="26">
        <v>100</v>
      </c>
      <c r="Q28" s="26">
        <v>100</v>
      </c>
      <c r="R28" s="26">
        <v>100</v>
      </c>
      <c r="S28" s="26"/>
    </row>
    <row r="29" spans="1:19" s="27" customFormat="1">
      <c r="A29" s="25"/>
      <c r="B29" s="26">
        <v>2</v>
      </c>
      <c r="C29" s="26">
        <v>10</v>
      </c>
      <c r="D29" s="20" t="s">
        <v>2152</v>
      </c>
      <c r="E29" s="26">
        <v>400</v>
      </c>
      <c r="F29" s="20" t="s">
        <v>2153</v>
      </c>
      <c r="G29" s="26">
        <v>525000</v>
      </c>
      <c r="H29" s="26">
        <v>4</v>
      </c>
      <c r="I29" s="26">
        <v>300</v>
      </c>
      <c r="J29" s="29">
        <v>-100</v>
      </c>
      <c r="K29" s="28">
        <v>100</v>
      </c>
      <c r="L29" s="28">
        <v>100</v>
      </c>
      <c r="M29" s="30">
        <v>200</v>
      </c>
      <c r="N29" s="29">
        <v>-100</v>
      </c>
      <c r="O29" s="26">
        <v>100</v>
      </c>
      <c r="P29" s="26">
        <v>100</v>
      </c>
      <c r="Q29" s="26">
        <v>100</v>
      </c>
      <c r="R29" s="26">
        <v>100</v>
      </c>
      <c r="S29" s="26"/>
    </row>
    <row r="30" spans="1:19">
      <c r="A30" s="8"/>
      <c r="B30" s="15">
        <v>2</v>
      </c>
      <c r="C30" s="15">
        <v>11</v>
      </c>
      <c r="D30" s="11" t="s">
        <v>519</v>
      </c>
      <c r="E30" s="15">
        <v>340</v>
      </c>
      <c r="F30" s="11" t="s">
        <v>769</v>
      </c>
      <c r="G30" s="15">
        <v>700000</v>
      </c>
      <c r="H30" s="15">
        <v>4</v>
      </c>
      <c r="I30" s="15">
        <v>300</v>
      </c>
      <c r="J30" s="15">
        <v>25</v>
      </c>
      <c r="K30" s="15">
        <v>250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12</v>
      </c>
      <c r="D31" s="11" t="s">
        <v>844</v>
      </c>
      <c r="E31" s="15">
        <v>340</v>
      </c>
      <c r="F31" s="11" t="s">
        <v>769</v>
      </c>
      <c r="G31" s="15">
        <v>700000</v>
      </c>
      <c r="H31" s="15">
        <v>4</v>
      </c>
      <c r="I31" s="15">
        <v>300</v>
      </c>
      <c r="J31" s="15">
        <v>100</v>
      </c>
      <c r="K31" s="15">
        <v>25</v>
      </c>
      <c r="L31" s="15">
        <v>250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2</v>
      </c>
      <c r="C32" s="15">
        <v>13</v>
      </c>
      <c r="D32" s="11" t="s">
        <v>520</v>
      </c>
      <c r="E32" s="15">
        <v>340</v>
      </c>
      <c r="F32" s="11" t="s">
        <v>769</v>
      </c>
      <c r="G32" s="15">
        <v>700000</v>
      </c>
      <c r="H32" s="15">
        <v>4</v>
      </c>
      <c r="I32" s="15">
        <v>300</v>
      </c>
      <c r="J32" s="15">
        <v>250</v>
      </c>
      <c r="K32" s="15">
        <v>100</v>
      </c>
      <c r="L32" s="15">
        <v>25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/>
    </row>
    <row r="33" spans="1:19">
      <c r="A33" s="8"/>
      <c r="B33" s="15">
        <v>2</v>
      </c>
      <c r="C33" s="15">
        <v>14</v>
      </c>
      <c r="D33" s="11" t="s">
        <v>521</v>
      </c>
      <c r="E33" s="15">
        <v>340</v>
      </c>
      <c r="F33" s="11" t="s">
        <v>769</v>
      </c>
      <c r="G33" s="15">
        <v>700000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25</v>
      </c>
      <c r="N33" s="15">
        <v>250</v>
      </c>
      <c r="O33" s="15">
        <v>100</v>
      </c>
      <c r="P33" s="15">
        <v>100</v>
      </c>
      <c r="Q33" s="15">
        <v>100</v>
      </c>
      <c r="R33" s="15">
        <v>100</v>
      </c>
      <c r="S33" s="15"/>
    </row>
    <row r="34" spans="1:19">
      <c r="A34" s="8"/>
      <c r="B34" s="15">
        <v>2</v>
      </c>
      <c r="C34" s="15">
        <v>15</v>
      </c>
      <c r="D34" s="11" t="s">
        <v>522</v>
      </c>
      <c r="E34" s="15">
        <v>340</v>
      </c>
      <c r="F34" s="11" t="s">
        <v>769</v>
      </c>
      <c r="G34" s="15">
        <v>700000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250</v>
      </c>
      <c r="N34" s="15">
        <v>25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2</v>
      </c>
      <c r="C35" s="15">
        <v>16</v>
      </c>
      <c r="D35" s="11" t="s">
        <v>2114</v>
      </c>
      <c r="E35" s="15">
        <v>390</v>
      </c>
      <c r="F35" s="11" t="s">
        <v>770</v>
      </c>
      <c r="G35" s="15">
        <v>885733</v>
      </c>
      <c r="H35" s="15">
        <v>4</v>
      </c>
      <c r="I35" s="15">
        <v>300</v>
      </c>
      <c r="J35" s="15">
        <v>10</v>
      </c>
      <c r="K35" s="15">
        <v>350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100</v>
      </c>
      <c r="R35" s="15">
        <v>100</v>
      </c>
      <c r="S35" s="15"/>
    </row>
    <row r="36" spans="1:19">
      <c r="A36" s="8"/>
      <c r="B36" s="15">
        <v>2</v>
      </c>
      <c r="C36" s="15">
        <v>17</v>
      </c>
      <c r="D36" s="11" t="s">
        <v>836</v>
      </c>
      <c r="E36" s="15">
        <v>390</v>
      </c>
      <c r="F36" s="11" t="s">
        <v>770</v>
      </c>
      <c r="G36" s="15">
        <v>885733</v>
      </c>
      <c r="H36" s="15">
        <v>4</v>
      </c>
      <c r="I36" s="15">
        <v>300</v>
      </c>
      <c r="J36" s="15">
        <v>100</v>
      </c>
      <c r="K36" s="15">
        <v>10</v>
      </c>
      <c r="L36" s="15">
        <v>350</v>
      </c>
      <c r="M36" s="15">
        <v>100</v>
      </c>
      <c r="N36" s="15">
        <v>100</v>
      </c>
      <c r="O36" s="15">
        <v>100</v>
      </c>
      <c r="P36" s="15">
        <v>100</v>
      </c>
      <c r="Q36" s="15">
        <v>100</v>
      </c>
      <c r="R36" s="15">
        <v>100</v>
      </c>
      <c r="S36" s="15"/>
    </row>
    <row r="37" spans="1:19">
      <c r="A37" s="8"/>
      <c r="B37" s="15">
        <v>2</v>
      </c>
      <c r="C37" s="15">
        <v>18</v>
      </c>
      <c r="D37" s="11" t="s">
        <v>752</v>
      </c>
      <c r="E37" s="15">
        <v>390</v>
      </c>
      <c r="F37" s="11" t="s">
        <v>770</v>
      </c>
      <c r="G37" s="15">
        <v>885733</v>
      </c>
      <c r="H37" s="15">
        <v>4</v>
      </c>
      <c r="I37" s="15">
        <v>300</v>
      </c>
      <c r="J37" s="15">
        <v>350</v>
      </c>
      <c r="K37" s="15">
        <v>100</v>
      </c>
      <c r="L37" s="15">
        <v>10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/>
    </row>
    <row r="38" spans="1:19">
      <c r="A38" s="8"/>
      <c r="B38" s="15">
        <v>2</v>
      </c>
      <c r="C38" s="15">
        <v>19</v>
      </c>
      <c r="D38" s="11" t="s">
        <v>1169</v>
      </c>
      <c r="E38" s="15">
        <v>390</v>
      </c>
      <c r="F38" s="11" t="s">
        <v>770</v>
      </c>
      <c r="G38" s="15">
        <v>885733</v>
      </c>
      <c r="H38" s="15">
        <v>4</v>
      </c>
      <c r="I38" s="15">
        <v>300</v>
      </c>
      <c r="J38" s="15">
        <v>100</v>
      </c>
      <c r="K38" s="15">
        <v>100</v>
      </c>
      <c r="L38" s="15">
        <v>100</v>
      </c>
      <c r="M38" s="15">
        <v>10</v>
      </c>
      <c r="N38" s="15">
        <v>350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2</v>
      </c>
      <c r="C39" s="15">
        <v>20</v>
      </c>
      <c r="D39" s="11" t="s">
        <v>1755</v>
      </c>
      <c r="E39" s="15">
        <v>390</v>
      </c>
      <c r="F39" s="11" t="s">
        <v>770</v>
      </c>
      <c r="G39" s="15">
        <v>885733</v>
      </c>
      <c r="H39" s="15">
        <v>4</v>
      </c>
      <c r="I39" s="15">
        <v>300</v>
      </c>
      <c r="J39" s="15">
        <v>100</v>
      </c>
      <c r="K39" s="15">
        <v>100</v>
      </c>
      <c r="L39" s="15">
        <v>100</v>
      </c>
      <c r="M39" s="15">
        <v>350</v>
      </c>
      <c r="N39" s="15">
        <v>10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1</v>
      </c>
      <c r="D40" s="11" t="s">
        <v>504</v>
      </c>
      <c r="E40" s="15">
        <v>340</v>
      </c>
      <c r="F40" s="11" t="s">
        <v>771</v>
      </c>
      <c r="G40" s="15">
        <v>45500</v>
      </c>
      <c r="H40" s="15">
        <v>2</v>
      </c>
      <c r="I40" s="15">
        <v>150</v>
      </c>
      <c r="J40" s="15">
        <v>200</v>
      </c>
      <c r="K40" s="15">
        <v>200</v>
      </c>
      <c r="L40" s="15">
        <v>200</v>
      </c>
      <c r="M40" s="15">
        <v>200</v>
      </c>
      <c r="N40" s="15">
        <v>200</v>
      </c>
      <c r="O40" s="15">
        <v>100</v>
      </c>
      <c r="P40" s="15">
        <v>100</v>
      </c>
      <c r="Q40" s="15">
        <v>100</v>
      </c>
      <c r="R40" s="15">
        <v>50</v>
      </c>
      <c r="S40" s="15"/>
    </row>
    <row r="41" spans="1:19">
      <c r="A41" s="8"/>
      <c r="B41" s="15">
        <v>3</v>
      </c>
      <c r="C41" s="15">
        <v>2</v>
      </c>
      <c r="D41" s="11" t="s">
        <v>505</v>
      </c>
      <c r="E41" s="15">
        <v>340</v>
      </c>
      <c r="F41" s="11" t="s">
        <v>772</v>
      </c>
      <c r="G41" s="15">
        <v>42000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100</v>
      </c>
      <c r="Q41" s="15">
        <v>150</v>
      </c>
      <c r="R41" s="15">
        <v>100</v>
      </c>
      <c r="S41" s="15"/>
    </row>
    <row r="42" spans="1:19">
      <c r="A42" s="8"/>
      <c r="B42" s="15">
        <v>3</v>
      </c>
      <c r="C42" s="15">
        <v>3</v>
      </c>
      <c r="D42" s="11" t="s">
        <v>506</v>
      </c>
      <c r="E42" s="15">
        <v>340</v>
      </c>
      <c r="F42" s="11" t="s">
        <v>773</v>
      </c>
      <c r="G42" s="15">
        <v>16000</v>
      </c>
      <c r="H42" s="15">
        <v>5</v>
      </c>
      <c r="I42" s="15">
        <v>150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4</v>
      </c>
      <c r="D43" s="11" t="s">
        <v>507</v>
      </c>
      <c r="E43" s="15">
        <v>340</v>
      </c>
      <c r="F43" s="11" t="s">
        <v>774</v>
      </c>
      <c r="G43" s="15">
        <v>19200</v>
      </c>
      <c r="H43" s="15">
        <v>5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250</v>
      </c>
      <c r="R43" s="15">
        <v>100</v>
      </c>
      <c r="S43" s="15"/>
    </row>
    <row r="44" spans="1:19">
      <c r="A44" s="8"/>
      <c r="B44" s="15">
        <v>3</v>
      </c>
      <c r="C44" s="15">
        <v>5</v>
      </c>
      <c r="D44" s="11" t="s">
        <v>508</v>
      </c>
      <c r="E44" s="15">
        <v>340</v>
      </c>
      <c r="F44" s="11" t="s">
        <v>775</v>
      </c>
      <c r="G44" s="15">
        <v>70000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150</v>
      </c>
      <c r="P44" s="15">
        <v>25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6</v>
      </c>
      <c r="D45" s="11" t="s">
        <v>509</v>
      </c>
      <c r="E45" s="15">
        <v>340</v>
      </c>
      <c r="F45" s="11" t="s">
        <v>776</v>
      </c>
      <c r="G45" s="15">
        <v>66000</v>
      </c>
      <c r="H45" s="15">
        <v>2</v>
      </c>
      <c r="I45" s="15">
        <v>150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150</v>
      </c>
      <c r="Q45" s="15">
        <v>25</v>
      </c>
      <c r="R45" s="15">
        <v>100</v>
      </c>
      <c r="S45" s="15"/>
    </row>
    <row r="46" spans="1:19">
      <c r="A46" s="8"/>
      <c r="B46" s="15">
        <v>3</v>
      </c>
      <c r="C46" s="15">
        <v>7</v>
      </c>
      <c r="D46" s="11" t="s">
        <v>510</v>
      </c>
      <c r="E46" s="15">
        <v>340</v>
      </c>
      <c r="F46" s="11" t="s">
        <v>772</v>
      </c>
      <c r="G46" s="15">
        <v>60000</v>
      </c>
      <c r="H46" s="15">
        <v>5</v>
      </c>
      <c r="I46" s="15">
        <v>300</v>
      </c>
      <c r="J46" s="15">
        <v>100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/>
    </row>
    <row r="47" spans="1:19">
      <c r="A47" s="8"/>
      <c r="B47" s="15">
        <v>3</v>
      </c>
      <c r="C47" s="15">
        <v>8</v>
      </c>
      <c r="D47" s="11" t="s">
        <v>511</v>
      </c>
      <c r="E47" s="15">
        <v>340</v>
      </c>
      <c r="F47" s="11" t="s">
        <v>777</v>
      </c>
      <c r="G47" s="15">
        <v>600000</v>
      </c>
      <c r="H47" s="15">
        <v>8</v>
      </c>
      <c r="I47" s="15">
        <v>999</v>
      </c>
      <c r="J47" s="15">
        <v>100</v>
      </c>
      <c r="K47" s="15">
        <v>100</v>
      </c>
      <c r="L47" s="15">
        <v>100</v>
      </c>
      <c r="M47" s="15">
        <v>100</v>
      </c>
      <c r="N47" s="15">
        <v>100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9</v>
      </c>
      <c r="D48" s="11" t="s">
        <v>512</v>
      </c>
      <c r="E48" s="15">
        <v>340</v>
      </c>
      <c r="F48" s="11" t="s">
        <v>778</v>
      </c>
      <c r="G48" s="15">
        <v>30000</v>
      </c>
      <c r="H48" s="15">
        <v>2</v>
      </c>
      <c r="I48" s="15">
        <v>150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150</v>
      </c>
      <c r="Q48" s="15">
        <v>25</v>
      </c>
      <c r="R48" s="15">
        <v>100</v>
      </c>
      <c r="S48" s="15"/>
    </row>
    <row r="49" spans="1:19">
      <c r="A49" s="8"/>
      <c r="B49" s="15">
        <v>3</v>
      </c>
      <c r="C49" s="15">
        <v>10</v>
      </c>
      <c r="D49" s="11" t="s">
        <v>515</v>
      </c>
      <c r="E49" s="15">
        <v>340</v>
      </c>
      <c r="F49" s="11" t="s">
        <v>769</v>
      </c>
      <c r="G49" s="15">
        <v>100000</v>
      </c>
      <c r="H49" s="15">
        <v>2</v>
      </c>
      <c r="I49" s="15">
        <v>150</v>
      </c>
      <c r="J49" s="15">
        <v>100</v>
      </c>
      <c r="K49" s="15">
        <v>100</v>
      </c>
      <c r="L49" s="15">
        <v>100</v>
      </c>
      <c r="M49" s="15">
        <v>100</v>
      </c>
      <c r="N49" s="15">
        <v>100</v>
      </c>
      <c r="O49" s="15">
        <v>25</v>
      </c>
      <c r="P49" s="15">
        <v>150</v>
      </c>
      <c r="Q49" s="15">
        <v>25</v>
      </c>
      <c r="R49" s="15">
        <v>100</v>
      </c>
      <c r="S49" s="15"/>
    </row>
    <row r="50" spans="1:19">
      <c r="A50" s="8"/>
      <c r="B50" s="15">
        <v>3</v>
      </c>
      <c r="C50" s="15">
        <v>11</v>
      </c>
      <c r="D50" s="11" t="s">
        <v>514</v>
      </c>
      <c r="E50" s="15">
        <v>340</v>
      </c>
      <c r="F50" s="11" t="s">
        <v>779</v>
      </c>
      <c r="G50" s="15">
        <v>155000</v>
      </c>
      <c r="H50" s="15">
        <v>5</v>
      </c>
      <c r="I50" s="15">
        <v>300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150</v>
      </c>
      <c r="P50" s="15">
        <v>50</v>
      </c>
      <c r="Q50" s="15">
        <v>100</v>
      </c>
      <c r="R50" s="15">
        <v>100</v>
      </c>
      <c r="S50" s="15"/>
    </row>
    <row r="51" spans="1:19">
      <c r="A51" s="8"/>
      <c r="B51" s="15">
        <v>3</v>
      </c>
      <c r="C51" s="15">
        <v>12</v>
      </c>
      <c r="D51" s="11" t="s">
        <v>513</v>
      </c>
      <c r="E51" s="15">
        <v>340</v>
      </c>
      <c r="F51" s="11" t="s">
        <v>771</v>
      </c>
      <c r="G51" s="15">
        <v>1350000</v>
      </c>
      <c r="H51" s="15">
        <v>6</v>
      </c>
      <c r="I51" s="15">
        <v>999</v>
      </c>
      <c r="J51" s="15">
        <v>200</v>
      </c>
      <c r="K51" s="15">
        <v>100</v>
      </c>
      <c r="L51" s="15">
        <v>100</v>
      </c>
      <c r="M51" s="15">
        <v>100</v>
      </c>
      <c r="N51" s="15">
        <v>100</v>
      </c>
      <c r="O51" s="15">
        <v>100</v>
      </c>
      <c r="P51" s="15">
        <v>100</v>
      </c>
      <c r="Q51" s="15">
        <v>100</v>
      </c>
      <c r="R51" s="15">
        <v>100</v>
      </c>
      <c r="S51" s="15"/>
    </row>
    <row r="52" spans="1:19">
      <c r="A52" s="8"/>
      <c r="B52" s="15">
        <v>3</v>
      </c>
      <c r="C52" s="15">
        <v>13</v>
      </c>
      <c r="D52" s="11" t="s">
        <v>566</v>
      </c>
      <c r="E52" s="15">
        <v>350</v>
      </c>
      <c r="F52" s="11" t="s">
        <v>780</v>
      </c>
      <c r="G52" s="15">
        <v>65000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200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/>
    </row>
    <row r="53" spans="1:19">
      <c r="A53" s="8"/>
      <c r="B53" s="15">
        <v>3</v>
      </c>
      <c r="C53" s="15">
        <v>14</v>
      </c>
      <c r="D53" s="11" t="s">
        <v>567</v>
      </c>
      <c r="E53" s="15">
        <v>350</v>
      </c>
      <c r="F53" s="11" t="s">
        <v>781</v>
      </c>
      <c r="G53" s="15">
        <v>100000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150</v>
      </c>
      <c r="R53" s="15">
        <v>100</v>
      </c>
      <c r="S53" s="15"/>
    </row>
    <row r="54" spans="1:19">
      <c r="A54" s="8"/>
      <c r="B54" s="15">
        <v>3</v>
      </c>
      <c r="C54" s="15">
        <v>15</v>
      </c>
      <c r="D54" s="11" t="s">
        <v>568</v>
      </c>
      <c r="E54" s="15">
        <v>350</v>
      </c>
      <c r="F54" s="11" t="s">
        <v>782</v>
      </c>
      <c r="G54" s="15">
        <v>150000</v>
      </c>
      <c r="H54" s="15">
        <v>2</v>
      </c>
      <c r="I54" s="15">
        <v>150</v>
      </c>
      <c r="J54" s="15">
        <v>100</v>
      </c>
      <c r="K54" s="15">
        <v>100</v>
      </c>
      <c r="L54" s="15">
        <v>250</v>
      </c>
      <c r="M54" s="15">
        <v>100</v>
      </c>
      <c r="N54" s="15">
        <v>100</v>
      </c>
      <c r="O54" s="15">
        <v>100</v>
      </c>
      <c r="P54" s="15">
        <v>250</v>
      </c>
      <c r="Q54" s="15">
        <v>50</v>
      </c>
      <c r="R54" s="15">
        <v>100</v>
      </c>
      <c r="S54" s="15"/>
    </row>
    <row r="55" spans="1:19">
      <c r="A55" s="8"/>
      <c r="B55" s="15">
        <v>3</v>
      </c>
      <c r="C55" s="15">
        <v>16</v>
      </c>
      <c r="D55" s="11" t="s">
        <v>569</v>
      </c>
      <c r="E55" s="15">
        <v>350</v>
      </c>
      <c r="F55" s="11" t="s">
        <v>783</v>
      </c>
      <c r="G55" s="15">
        <v>300000</v>
      </c>
      <c r="H55" s="15">
        <v>6</v>
      </c>
      <c r="I55" s="15">
        <v>400</v>
      </c>
      <c r="J55" s="15">
        <v>100</v>
      </c>
      <c r="K55" s="15">
        <v>100</v>
      </c>
      <c r="L55" s="15">
        <v>100</v>
      </c>
      <c r="M55" s="15">
        <v>100</v>
      </c>
      <c r="N55" s="15">
        <v>250</v>
      </c>
      <c r="O55" s="15">
        <v>100</v>
      </c>
      <c r="P55" s="15">
        <v>100</v>
      </c>
      <c r="Q55" s="15">
        <v>100</v>
      </c>
      <c r="R55" s="15">
        <v>100</v>
      </c>
      <c r="S55" s="15"/>
    </row>
    <row r="56" spans="1:19">
      <c r="A56" s="8"/>
      <c r="B56" s="15">
        <v>3</v>
      </c>
      <c r="C56" s="15">
        <v>17</v>
      </c>
      <c r="D56" s="11" t="s">
        <v>570</v>
      </c>
      <c r="E56" s="15">
        <v>350</v>
      </c>
      <c r="F56" s="11" t="s">
        <v>784</v>
      </c>
      <c r="G56" s="15">
        <v>95000</v>
      </c>
      <c r="H56" s="15">
        <v>5</v>
      </c>
      <c r="I56" s="15">
        <v>300</v>
      </c>
      <c r="J56" s="15">
        <v>100</v>
      </c>
      <c r="K56" s="15">
        <v>100</v>
      </c>
      <c r="L56" s="15">
        <v>100</v>
      </c>
      <c r="M56" s="15">
        <v>25</v>
      </c>
      <c r="N56" s="15">
        <v>150</v>
      </c>
      <c r="O56" s="15">
        <v>50</v>
      </c>
      <c r="P56" s="15">
        <v>100</v>
      </c>
      <c r="Q56" s="15">
        <v>150</v>
      </c>
      <c r="R56" s="15">
        <v>100</v>
      </c>
      <c r="S56" s="15"/>
    </row>
    <row r="57" spans="1:19">
      <c r="A57" s="8"/>
      <c r="B57" s="15">
        <v>3</v>
      </c>
      <c r="C57" s="15">
        <v>18</v>
      </c>
      <c r="D57" s="11" t="s">
        <v>615</v>
      </c>
      <c r="E57" s="15">
        <v>350</v>
      </c>
      <c r="F57" s="11" t="s">
        <v>775</v>
      </c>
      <c r="G57" s="15">
        <v>298000</v>
      </c>
      <c r="H57" s="15">
        <v>2</v>
      </c>
      <c r="I57" s="15">
        <v>150</v>
      </c>
      <c r="J57" s="15">
        <v>100</v>
      </c>
      <c r="K57" s="15">
        <v>200</v>
      </c>
      <c r="L57" s="15">
        <v>100</v>
      </c>
      <c r="M57" s="15">
        <v>100</v>
      </c>
      <c r="N57" s="15">
        <v>100</v>
      </c>
      <c r="O57" s="15">
        <v>150</v>
      </c>
      <c r="P57" s="15">
        <v>100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19</v>
      </c>
      <c r="D58" s="11" t="s">
        <v>616</v>
      </c>
      <c r="E58" s="15">
        <v>350</v>
      </c>
      <c r="F58" s="11" t="s">
        <v>785</v>
      </c>
      <c r="G58" s="15">
        <v>1220000</v>
      </c>
      <c r="H58" s="15">
        <v>6</v>
      </c>
      <c r="I58" s="15">
        <v>400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25</v>
      </c>
      <c r="P58" s="15">
        <v>25</v>
      </c>
      <c r="Q58" s="15">
        <v>250</v>
      </c>
      <c r="R58" s="15">
        <v>100</v>
      </c>
      <c r="S58" s="15"/>
    </row>
    <row r="59" spans="1:19">
      <c r="A59" s="8"/>
      <c r="B59" s="15">
        <v>3</v>
      </c>
      <c r="C59" s="15">
        <v>20</v>
      </c>
      <c r="D59" s="11" t="s">
        <v>617</v>
      </c>
      <c r="E59" s="15">
        <v>350</v>
      </c>
      <c r="F59" s="11" t="s">
        <v>786</v>
      </c>
      <c r="G59" s="15">
        <v>255000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200</v>
      </c>
      <c r="O59" s="15">
        <v>100</v>
      </c>
      <c r="P59" s="15">
        <v>100</v>
      </c>
      <c r="Q59" s="15">
        <v>100</v>
      </c>
      <c r="R59" s="15">
        <v>50</v>
      </c>
      <c r="S59" s="15"/>
    </row>
    <row r="60" spans="1:19">
      <c r="A60" s="8"/>
      <c r="B60" s="15">
        <v>3</v>
      </c>
      <c r="C60" s="15">
        <v>21</v>
      </c>
      <c r="D60" s="11" t="s">
        <v>618</v>
      </c>
      <c r="E60" s="15">
        <v>350</v>
      </c>
      <c r="F60" s="11" t="s">
        <v>787</v>
      </c>
      <c r="G60" s="15">
        <v>450000</v>
      </c>
      <c r="H60" s="15">
        <v>2</v>
      </c>
      <c r="I60" s="15">
        <v>150</v>
      </c>
      <c r="J60" s="15">
        <v>100</v>
      </c>
      <c r="K60" s="15">
        <v>100</v>
      </c>
      <c r="L60" s="15">
        <v>100</v>
      </c>
      <c r="M60" s="15">
        <v>100</v>
      </c>
      <c r="N60" s="15">
        <v>100</v>
      </c>
      <c r="O60" s="15">
        <v>25</v>
      </c>
      <c r="P60" s="15">
        <v>25</v>
      </c>
      <c r="Q60" s="15">
        <v>250</v>
      </c>
      <c r="R60" s="15">
        <v>100</v>
      </c>
      <c r="S60" s="15"/>
    </row>
    <row r="61" spans="1:19">
      <c r="A61" s="8"/>
      <c r="B61" s="15">
        <v>3</v>
      </c>
      <c r="C61" s="15">
        <v>22</v>
      </c>
      <c r="D61" s="11" t="s">
        <v>619</v>
      </c>
      <c r="E61" s="15">
        <v>350</v>
      </c>
      <c r="F61" s="11" t="s">
        <v>788</v>
      </c>
      <c r="G61" s="15">
        <v>94000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250</v>
      </c>
      <c r="N61" s="15">
        <v>100</v>
      </c>
      <c r="O61" s="15">
        <v>50</v>
      </c>
      <c r="P61" s="15">
        <v>100</v>
      </c>
      <c r="Q61" s="15">
        <v>250</v>
      </c>
      <c r="R61" s="15">
        <v>100</v>
      </c>
      <c r="S61" s="15"/>
    </row>
    <row r="62" spans="1:19">
      <c r="A62" s="8"/>
      <c r="B62" s="15">
        <v>3</v>
      </c>
      <c r="C62" s="15">
        <v>23</v>
      </c>
      <c r="D62" s="11" t="s">
        <v>815</v>
      </c>
      <c r="E62" s="15">
        <v>360</v>
      </c>
      <c r="F62" s="11" t="s">
        <v>820</v>
      </c>
      <c r="G62" s="15">
        <v>200000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100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24</v>
      </c>
      <c r="D63" s="11" t="s">
        <v>816</v>
      </c>
      <c r="E63" s="15">
        <v>360</v>
      </c>
      <c r="F63" s="11" t="s">
        <v>821</v>
      </c>
      <c r="G63" s="15">
        <v>255000</v>
      </c>
      <c r="H63" s="15">
        <v>2</v>
      </c>
      <c r="I63" s="15">
        <v>150</v>
      </c>
      <c r="J63" s="15">
        <v>100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100</v>
      </c>
      <c r="Q63" s="15">
        <v>150</v>
      </c>
      <c r="R63" s="15">
        <v>100</v>
      </c>
      <c r="S63" s="15"/>
    </row>
    <row r="64" spans="1:19">
      <c r="A64" s="8"/>
      <c r="B64" s="15">
        <v>3</v>
      </c>
      <c r="C64" s="15">
        <v>25</v>
      </c>
      <c r="D64" s="11" t="s">
        <v>817</v>
      </c>
      <c r="E64" s="15">
        <v>360</v>
      </c>
      <c r="F64" s="11" t="s">
        <v>822</v>
      </c>
      <c r="G64" s="15">
        <v>2600000</v>
      </c>
      <c r="H64" s="15">
        <v>6</v>
      </c>
      <c r="I64" s="15">
        <v>600</v>
      </c>
      <c r="J64" s="15">
        <v>100</v>
      </c>
      <c r="K64" s="15">
        <v>100</v>
      </c>
      <c r="L64" s="15">
        <v>250</v>
      </c>
      <c r="M64" s="15">
        <v>100</v>
      </c>
      <c r="N64" s="15">
        <v>100</v>
      </c>
      <c r="O64" s="15">
        <v>100</v>
      </c>
      <c r="P64" s="15">
        <v>250</v>
      </c>
      <c r="Q64" s="15">
        <v>25</v>
      </c>
      <c r="R64" s="15">
        <v>100</v>
      </c>
      <c r="S64" s="15"/>
    </row>
    <row r="65" spans="1:19">
      <c r="A65" s="8"/>
      <c r="B65" s="15">
        <v>3</v>
      </c>
      <c r="C65" s="15">
        <v>26</v>
      </c>
      <c r="D65" s="11" t="s">
        <v>818</v>
      </c>
      <c r="E65" s="15">
        <v>360</v>
      </c>
      <c r="F65" s="11" t="s">
        <v>823</v>
      </c>
      <c r="G65" s="15">
        <v>1040000</v>
      </c>
      <c r="H65" s="15">
        <v>6</v>
      </c>
      <c r="I65" s="15">
        <v>500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50</v>
      </c>
      <c r="Q65" s="15">
        <v>100</v>
      </c>
      <c r="R65" s="15">
        <v>100</v>
      </c>
      <c r="S65" s="15"/>
    </row>
    <row r="66" spans="1:19">
      <c r="A66" s="8"/>
      <c r="B66" s="15">
        <v>3</v>
      </c>
      <c r="C66" s="15">
        <v>27</v>
      </c>
      <c r="D66" s="11" t="s">
        <v>819</v>
      </c>
      <c r="E66" s="15">
        <v>360</v>
      </c>
      <c r="F66" s="11" t="s">
        <v>797</v>
      </c>
      <c r="G66" s="15">
        <v>120000</v>
      </c>
      <c r="H66" s="15">
        <v>2</v>
      </c>
      <c r="I66" s="15">
        <v>150</v>
      </c>
      <c r="J66" s="15">
        <v>100</v>
      </c>
      <c r="K66" s="15">
        <v>100</v>
      </c>
      <c r="L66" s="15">
        <v>250</v>
      </c>
      <c r="M66" s="15">
        <v>100</v>
      </c>
      <c r="N66" s="15">
        <v>100</v>
      </c>
      <c r="O66" s="15">
        <v>250</v>
      </c>
      <c r="P66" s="15">
        <v>100</v>
      </c>
      <c r="Q66" s="15">
        <v>25</v>
      </c>
      <c r="R66" s="15">
        <v>100</v>
      </c>
      <c r="S66" s="15"/>
    </row>
    <row r="67" spans="1:19">
      <c r="A67" s="8"/>
      <c r="B67" s="15">
        <v>3</v>
      </c>
      <c r="C67" s="15">
        <v>28</v>
      </c>
      <c r="D67" s="11" t="s">
        <v>852</v>
      </c>
      <c r="E67" s="15">
        <v>360</v>
      </c>
      <c r="F67" s="11" t="s">
        <v>789</v>
      </c>
      <c r="G67" s="15">
        <v>7600</v>
      </c>
      <c r="H67" s="15">
        <v>2</v>
      </c>
      <c r="I67" s="15">
        <v>150</v>
      </c>
      <c r="J67" s="15">
        <v>100</v>
      </c>
      <c r="K67" s="15">
        <v>100</v>
      </c>
      <c r="L67" s="15">
        <v>100</v>
      </c>
      <c r="M67" s="15">
        <v>100</v>
      </c>
      <c r="N67" s="15">
        <v>100</v>
      </c>
      <c r="O67" s="15">
        <v>100</v>
      </c>
      <c r="P67" s="15">
        <v>150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29</v>
      </c>
      <c r="D68" s="11" t="s">
        <v>853</v>
      </c>
      <c r="E68" s="15">
        <v>360</v>
      </c>
      <c r="F68" s="11" t="s">
        <v>857</v>
      </c>
      <c r="G68" s="15">
        <v>820000</v>
      </c>
      <c r="H68" s="15">
        <v>2</v>
      </c>
      <c r="I68" s="15">
        <v>150</v>
      </c>
      <c r="J68" s="15">
        <v>100</v>
      </c>
      <c r="K68" s="15">
        <v>250</v>
      </c>
      <c r="L68" s="15">
        <v>100</v>
      </c>
      <c r="M68" s="15">
        <v>100</v>
      </c>
      <c r="N68" s="15">
        <v>100</v>
      </c>
      <c r="O68" s="15">
        <v>250</v>
      </c>
      <c r="P68" s="15">
        <v>100</v>
      </c>
      <c r="Q68" s="15">
        <v>25</v>
      </c>
      <c r="R68" s="15">
        <v>100</v>
      </c>
      <c r="S68" s="15"/>
    </row>
    <row r="69" spans="1:19">
      <c r="A69" s="8"/>
      <c r="B69" s="15">
        <v>3</v>
      </c>
      <c r="C69" s="15">
        <v>30</v>
      </c>
      <c r="D69" s="11" t="s">
        <v>854</v>
      </c>
      <c r="E69" s="15">
        <v>360</v>
      </c>
      <c r="F69" s="11" t="s">
        <v>857</v>
      </c>
      <c r="G69" s="15">
        <v>320000</v>
      </c>
      <c r="H69" s="15">
        <v>2</v>
      </c>
      <c r="I69" s="15">
        <v>150</v>
      </c>
      <c r="J69" s="15">
        <v>100</v>
      </c>
      <c r="K69" s="15">
        <v>100</v>
      </c>
      <c r="L69" s="15">
        <v>100</v>
      </c>
      <c r="M69" s="15">
        <v>100</v>
      </c>
      <c r="N69" s="15">
        <v>100</v>
      </c>
      <c r="O69" s="15">
        <v>25</v>
      </c>
      <c r="P69" s="15">
        <v>100</v>
      </c>
      <c r="Q69" s="15">
        <v>150</v>
      </c>
      <c r="R69" s="15">
        <v>100</v>
      </c>
      <c r="S69" s="15"/>
    </row>
    <row r="70" spans="1:19">
      <c r="A70" s="8"/>
      <c r="B70" s="15">
        <v>3</v>
      </c>
      <c r="C70" s="15">
        <v>31</v>
      </c>
      <c r="D70" s="11" t="s">
        <v>855</v>
      </c>
      <c r="E70" s="15">
        <v>360</v>
      </c>
      <c r="F70" s="11" t="s">
        <v>780</v>
      </c>
      <c r="G70" s="15">
        <v>3500000</v>
      </c>
      <c r="H70" s="15">
        <v>6</v>
      </c>
      <c r="I70" s="15">
        <v>999</v>
      </c>
      <c r="J70" s="15">
        <v>250</v>
      </c>
      <c r="K70" s="15">
        <v>100</v>
      </c>
      <c r="L70" s="15">
        <v>100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/>
    </row>
    <row r="71" spans="1:19">
      <c r="A71" s="8"/>
      <c r="B71" s="15">
        <v>3</v>
      </c>
      <c r="C71" s="15">
        <v>32</v>
      </c>
      <c r="D71" s="11" t="s">
        <v>856</v>
      </c>
      <c r="E71" s="15">
        <v>360</v>
      </c>
      <c r="F71" s="11" t="s">
        <v>764</v>
      </c>
      <c r="G71" s="15">
        <v>615000</v>
      </c>
      <c r="H71" s="15">
        <v>6</v>
      </c>
      <c r="I71" s="15">
        <v>700</v>
      </c>
      <c r="J71" s="15">
        <v>200</v>
      </c>
      <c r="K71" s="15">
        <v>100</v>
      </c>
      <c r="L71" s="15">
        <v>100</v>
      </c>
      <c r="M71" s="15">
        <v>100</v>
      </c>
      <c r="N71" s="15">
        <v>100</v>
      </c>
      <c r="O71" s="15">
        <v>100</v>
      </c>
      <c r="P71" s="15">
        <v>150</v>
      </c>
      <c r="Q71" s="15">
        <v>50</v>
      </c>
      <c r="R71" s="15">
        <v>100</v>
      </c>
      <c r="S71" s="15"/>
    </row>
    <row r="72" spans="1:19">
      <c r="A72" s="8"/>
      <c r="B72" s="15">
        <v>3</v>
      </c>
      <c r="C72" s="15">
        <v>33</v>
      </c>
      <c r="D72" s="11" t="s">
        <v>885</v>
      </c>
      <c r="E72" s="15">
        <v>370</v>
      </c>
      <c r="F72" s="11" t="s">
        <v>890</v>
      </c>
      <c r="G72" s="15">
        <v>690000</v>
      </c>
      <c r="H72" s="15">
        <v>3</v>
      </c>
      <c r="I72" s="15">
        <v>200</v>
      </c>
      <c r="J72" s="15">
        <v>100</v>
      </c>
      <c r="K72" s="15">
        <v>100</v>
      </c>
      <c r="L72" s="15">
        <v>100</v>
      </c>
      <c r="M72" s="15">
        <v>250</v>
      </c>
      <c r="N72" s="15">
        <v>100</v>
      </c>
      <c r="O72" s="15">
        <v>100</v>
      </c>
      <c r="P72" s="15">
        <v>100</v>
      </c>
      <c r="Q72" s="15">
        <v>250</v>
      </c>
      <c r="R72" s="15">
        <v>100</v>
      </c>
      <c r="S72" s="15"/>
    </row>
    <row r="73" spans="1:19">
      <c r="A73" s="8"/>
      <c r="B73" s="15">
        <v>3</v>
      </c>
      <c r="C73" s="15">
        <v>34</v>
      </c>
      <c r="D73" s="11" t="s">
        <v>886</v>
      </c>
      <c r="E73" s="15">
        <v>370</v>
      </c>
      <c r="F73" s="11" t="s">
        <v>891</v>
      </c>
      <c r="G73" s="15">
        <v>540000</v>
      </c>
      <c r="H73" s="15">
        <v>2</v>
      </c>
      <c r="I73" s="15">
        <v>150</v>
      </c>
      <c r="J73" s="15">
        <v>250</v>
      </c>
      <c r="K73" s="15">
        <v>100</v>
      </c>
      <c r="L73" s="15">
        <v>100</v>
      </c>
      <c r="M73" s="15">
        <v>100</v>
      </c>
      <c r="N73" s="15">
        <v>100</v>
      </c>
      <c r="O73" s="15">
        <v>100</v>
      </c>
      <c r="P73" s="15">
        <v>100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35</v>
      </c>
      <c r="D74" s="11" t="s">
        <v>887</v>
      </c>
      <c r="E74" s="15">
        <v>370</v>
      </c>
      <c r="F74" s="11" t="s">
        <v>892</v>
      </c>
      <c r="G74" s="15">
        <v>250000</v>
      </c>
      <c r="H74" s="15">
        <v>2</v>
      </c>
      <c r="I74" s="15">
        <v>150</v>
      </c>
      <c r="J74" s="15">
        <v>150</v>
      </c>
      <c r="K74" s="15">
        <v>150</v>
      </c>
      <c r="L74" s="15">
        <v>150</v>
      </c>
      <c r="M74" s="15">
        <v>100</v>
      </c>
      <c r="N74" s="15">
        <v>100</v>
      </c>
      <c r="O74" s="15">
        <v>100</v>
      </c>
      <c r="P74" s="15">
        <v>100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36</v>
      </c>
      <c r="D75" s="11" t="s">
        <v>888</v>
      </c>
      <c r="E75" s="15">
        <v>370</v>
      </c>
      <c r="F75" s="11" t="s">
        <v>783</v>
      </c>
      <c r="G75" s="15">
        <v>2700000</v>
      </c>
      <c r="H75" s="15">
        <v>6</v>
      </c>
      <c r="I75" s="15">
        <v>500</v>
      </c>
      <c r="J75" s="15">
        <v>100</v>
      </c>
      <c r="K75" s="15">
        <v>100</v>
      </c>
      <c r="L75" s="15">
        <v>250</v>
      </c>
      <c r="M75" s="15">
        <v>100</v>
      </c>
      <c r="N75" s="15">
        <v>100</v>
      </c>
      <c r="O75" s="15">
        <v>250</v>
      </c>
      <c r="P75" s="15">
        <v>25</v>
      </c>
      <c r="Q75" s="15">
        <v>100</v>
      </c>
      <c r="R75" s="15">
        <v>100</v>
      </c>
      <c r="S75" s="15"/>
    </row>
    <row r="76" spans="1:19">
      <c r="A76" s="8"/>
      <c r="B76" s="15">
        <v>3</v>
      </c>
      <c r="C76" s="15">
        <v>37</v>
      </c>
      <c r="D76" s="11" t="s">
        <v>889</v>
      </c>
      <c r="E76" s="15">
        <v>370</v>
      </c>
      <c r="F76" s="11" t="s">
        <v>893</v>
      </c>
      <c r="G76" s="15">
        <v>1150000</v>
      </c>
      <c r="H76" s="15">
        <v>6</v>
      </c>
      <c r="I76" s="15">
        <v>600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100</v>
      </c>
      <c r="Q76" s="15">
        <v>150</v>
      </c>
      <c r="R76" s="15">
        <v>100</v>
      </c>
      <c r="S76" s="15"/>
    </row>
    <row r="77" spans="1:19">
      <c r="A77" s="8"/>
      <c r="B77" s="15">
        <v>3</v>
      </c>
      <c r="C77" s="15">
        <v>38</v>
      </c>
      <c r="D77" s="11" t="s">
        <v>1756</v>
      </c>
      <c r="E77" s="15">
        <v>370</v>
      </c>
      <c r="F77" s="11" t="s">
        <v>811</v>
      </c>
      <c r="G77" s="15">
        <v>1000000</v>
      </c>
      <c r="H77" s="15">
        <v>5</v>
      </c>
      <c r="I77" s="15">
        <v>650</v>
      </c>
      <c r="J77" s="15">
        <v>100</v>
      </c>
      <c r="K77" s="15">
        <v>200</v>
      </c>
      <c r="L77" s="15">
        <v>100</v>
      </c>
      <c r="M77" s="15">
        <v>100</v>
      </c>
      <c r="N77" s="15">
        <v>100</v>
      </c>
      <c r="O77" s="15">
        <v>150</v>
      </c>
      <c r="P77" s="15">
        <v>100</v>
      </c>
      <c r="Q77" s="15">
        <v>100</v>
      </c>
      <c r="R77" s="15">
        <v>100</v>
      </c>
      <c r="S77" s="15"/>
    </row>
    <row r="78" spans="1:19">
      <c r="A78" s="8"/>
      <c r="B78" s="15">
        <v>3</v>
      </c>
      <c r="C78" s="15">
        <v>39</v>
      </c>
      <c r="D78" s="11" t="s">
        <v>1757</v>
      </c>
      <c r="E78" s="15">
        <v>370</v>
      </c>
      <c r="F78" s="11" t="s">
        <v>1761</v>
      </c>
      <c r="G78" s="15">
        <v>115000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250</v>
      </c>
      <c r="O78" s="15">
        <v>100</v>
      </c>
      <c r="P78" s="15">
        <v>250</v>
      </c>
      <c r="Q78" s="15">
        <v>25</v>
      </c>
      <c r="R78" s="15">
        <v>100</v>
      </c>
      <c r="S78" s="15"/>
    </row>
    <row r="79" spans="1:19">
      <c r="A79" s="8"/>
      <c r="B79" s="15">
        <v>3</v>
      </c>
      <c r="C79" s="15">
        <v>40</v>
      </c>
      <c r="D79" s="11" t="s">
        <v>1758</v>
      </c>
      <c r="E79" s="15">
        <v>370</v>
      </c>
      <c r="F79" s="11" t="s">
        <v>1762</v>
      </c>
      <c r="G79" s="15">
        <v>3125000</v>
      </c>
      <c r="H79" s="15">
        <v>5</v>
      </c>
      <c r="I79" s="15">
        <v>700</v>
      </c>
      <c r="J79" s="15">
        <v>100</v>
      </c>
      <c r="K79" s="15">
        <v>100</v>
      </c>
      <c r="L79" s="15">
        <v>100</v>
      </c>
      <c r="M79" s="15">
        <v>250</v>
      </c>
      <c r="N79" s="15">
        <v>100</v>
      </c>
      <c r="O79" s="15">
        <v>250</v>
      </c>
      <c r="P79" s="15">
        <v>50</v>
      </c>
      <c r="Q79" s="15">
        <v>100</v>
      </c>
      <c r="R79" s="15">
        <v>100</v>
      </c>
      <c r="S79" s="15"/>
    </row>
    <row r="80" spans="1:19">
      <c r="A80" s="8"/>
      <c r="B80" s="15">
        <v>3</v>
      </c>
      <c r="C80" s="15">
        <v>41</v>
      </c>
      <c r="D80" s="11" t="s">
        <v>1759</v>
      </c>
      <c r="E80" s="15">
        <v>370</v>
      </c>
      <c r="F80" s="11" t="s">
        <v>1763</v>
      </c>
      <c r="G80" s="15">
        <v>135000</v>
      </c>
      <c r="H80" s="15">
        <v>2</v>
      </c>
      <c r="I80" s="15">
        <v>150</v>
      </c>
      <c r="J80" s="15">
        <v>100</v>
      </c>
      <c r="K80" s="15">
        <v>100</v>
      </c>
      <c r="L80" s="15">
        <v>100</v>
      </c>
      <c r="M80" s="15">
        <v>100</v>
      </c>
      <c r="N80" s="15">
        <v>250</v>
      </c>
      <c r="O80" s="15">
        <v>100</v>
      </c>
      <c r="P80" s="15">
        <v>250</v>
      </c>
      <c r="Q80" s="15">
        <v>25</v>
      </c>
      <c r="R80" s="15">
        <v>100</v>
      </c>
      <c r="S80" s="15"/>
    </row>
    <row r="81" spans="1:19">
      <c r="A81" s="8"/>
      <c r="B81" s="15">
        <v>3</v>
      </c>
      <c r="C81" s="15">
        <v>42</v>
      </c>
      <c r="D81" s="11" t="s">
        <v>1760</v>
      </c>
      <c r="E81" s="15">
        <v>370</v>
      </c>
      <c r="F81" s="11" t="s">
        <v>1764</v>
      </c>
      <c r="G81" s="15">
        <v>222500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250</v>
      </c>
      <c r="O81" s="15">
        <v>100</v>
      </c>
      <c r="P81" s="15">
        <v>250</v>
      </c>
      <c r="Q81" s="15">
        <v>25</v>
      </c>
      <c r="R81" s="15">
        <v>100</v>
      </c>
      <c r="S81" s="15"/>
    </row>
    <row r="82" spans="1:19">
      <c r="A82" s="8"/>
      <c r="B82" s="15">
        <v>3</v>
      </c>
      <c r="C82" s="15">
        <v>43</v>
      </c>
      <c r="D82" s="11" t="s">
        <v>1853</v>
      </c>
      <c r="E82" s="15">
        <v>380</v>
      </c>
      <c r="F82" s="11" t="s">
        <v>789</v>
      </c>
      <c r="G82" s="15">
        <v>50000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100</v>
      </c>
      <c r="R82" s="15">
        <v>100</v>
      </c>
      <c r="S82" s="15"/>
    </row>
    <row r="83" spans="1:19">
      <c r="A83" s="8"/>
      <c r="B83" s="15">
        <v>3</v>
      </c>
      <c r="C83" s="15">
        <v>44</v>
      </c>
      <c r="D83" s="11" t="s">
        <v>1854</v>
      </c>
      <c r="E83" s="15">
        <v>380</v>
      </c>
      <c r="F83" s="11" t="s">
        <v>1862</v>
      </c>
      <c r="G83" s="15">
        <v>25000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/>
    </row>
    <row r="84" spans="1:19">
      <c r="A84" s="8"/>
      <c r="B84" s="15">
        <v>3</v>
      </c>
      <c r="C84" s="15">
        <v>45</v>
      </c>
      <c r="D84" s="11" t="s">
        <v>1855</v>
      </c>
      <c r="E84" s="15">
        <v>380</v>
      </c>
      <c r="F84" s="11" t="s">
        <v>797</v>
      </c>
      <c r="G84" s="15">
        <v>250000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</v>
      </c>
      <c r="P84" s="15">
        <v>25</v>
      </c>
      <c r="Q84" s="15">
        <v>250</v>
      </c>
      <c r="R84" s="15">
        <v>100</v>
      </c>
      <c r="S84" s="15"/>
    </row>
    <row r="85" spans="1:19">
      <c r="A85" s="8"/>
      <c r="B85" s="15">
        <v>3</v>
      </c>
      <c r="C85" s="15">
        <v>46</v>
      </c>
      <c r="D85" s="11" t="s">
        <v>1856</v>
      </c>
      <c r="E85" s="15">
        <v>380</v>
      </c>
      <c r="F85" s="11" t="s">
        <v>769</v>
      </c>
      <c r="G85" s="15">
        <v>530000</v>
      </c>
      <c r="H85" s="15">
        <v>2</v>
      </c>
      <c r="I85" s="15">
        <v>150</v>
      </c>
      <c r="J85" s="15">
        <v>100</v>
      </c>
      <c r="K85" s="15">
        <v>100</v>
      </c>
      <c r="L85" s="15">
        <v>250</v>
      </c>
      <c r="M85" s="15">
        <v>100</v>
      </c>
      <c r="N85" s="15">
        <v>100</v>
      </c>
      <c r="O85" s="15">
        <v>50</v>
      </c>
      <c r="P85" s="15">
        <v>100</v>
      </c>
      <c r="Q85" s="15">
        <v>250</v>
      </c>
      <c r="R85" s="15">
        <v>100</v>
      </c>
      <c r="S85" s="15"/>
    </row>
    <row r="86" spans="1:19">
      <c r="A86" s="8"/>
      <c r="B86" s="15">
        <v>3</v>
      </c>
      <c r="C86" s="15">
        <v>47</v>
      </c>
      <c r="D86" s="11" t="s">
        <v>1857</v>
      </c>
      <c r="E86" s="15">
        <v>380</v>
      </c>
      <c r="F86" s="11" t="s">
        <v>1860</v>
      </c>
      <c r="G86" s="15">
        <v>100000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250</v>
      </c>
      <c r="Q86" s="15">
        <v>100</v>
      </c>
      <c r="R86" s="15">
        <v>100</v>
      </c>
      <c r="S86" s="15"/>
    </row>
    <row r="87" spans="1:19">
      <c r="A87" s="8"/>
      <c r="B87" s="15">
        <v>3</v>
      </c>
      <c r="C87" s="15">
        <v>48</v>
      </c>
      <c r="D87" s="11" t="s">
        <v>1858</v>
      </c>
      <c r="E87" s="15">
        <v>380</v>
      </c>
      <c r="F87" s="11" t="s">
        <v>1861</v>
      </c>
      <c r="G87" s="15">
        <v>1000000</v>
      </c>
      <c r="H87" s="15">
        <v>5</v>
      </c>
      <c r="I87" s="15">
        <v>200</v>
      </c>
      <c r="J87" s="15">
        <v>100</v>
      </c>
      <c r="K87" s="15">
        <v>250</v>
      </c>
      <c r="L87" s="15">
        <v>100</v>
      </c>
      <c r="M87" s="15">
        <v>100</v>
      </c>
      <c r="N87" s="15">
        <v>100</v>
      </c>
      <c r="O87" s="15">
        <v>100</v>
      </c>
      <c r="P87" s="15">
        <v>250</v>
      </c>
      <c r="Q87" s="15">
        <v>50</v>
      </c>
      <c r="R87" s="15">
        <v>100</v>
      </c>
      <c r="S87" s="15"/>
    </row>
    <row r="88" spans="1:19">
      <c r="A88" s="8"/>
      <c r="B88" s="15">
        <v>3</v>
      </c>
      <c r="C88" s="15">
        <v>49</v>
      </c>
      <c r="D88" s="11" t="s">
        <v>2134</v>
      </c>
      <c r="E88" s="15">
        <v>380</v>
      </c>
      <c r="F88" s="11" t="s">
        <v>2115</v>
      </c>
      <c r="G88" s="15">
        <v>150000</v>
      </c>
      <c r="H88" s="15">
        <v>2</v>
      </c>
      <c r="I88" s="15">
        <v>150</v>
      </c>
      <c r="J88" s="15">
        <v>250</v>
      </c>
      <c r="K88" s="15">
        <v>100</v>
      </c>
      <c r="L88" s="15">
        <v>100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/>
    </row>
    <row r="89" spans="1:19">
      <c r="A89" s="8"/>
      <c r="B89" s="15">
        <v>3</v>
      </c>
      <c r="C89" s="15">
        <v>50</v>
      </c>
      <c r="D89" s="11" t="s">
        <v>2135</v>
      </c>
      <c r="E89" s="15">
        <v>380</v>
      </c>
      <c r="F89" s="11" t="s">
        <v>857</v>
      </c>
      <c r="G89" s="15">
        <v>1030000</v>
      </c>
      <c r="H89" s="15">
        <v>6</v>
      </c>
      <c r="I89" s="15">
        <v>650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3</v>
      </c>
      <c r="C90" s="15">
        <v>51</v>
      </c>
      <c r="D90" s="11" t="s">
        <v>2136</v>
      </c>
      <c r="E90" s="15">
        <v>380</v>
      </c>
      <c r="F90" s="11" t="s">
        <v>762</v>
      </c>
      <c r="G90" s="15">
        <v>200000</v>
      </c>
      <c r="H90" s="15">
        <v>5</v>
      </c>
      <c r="I90" s="15">
        <v>300</v>
      </c>
      <c r="J90" s="15">
        <v>100</v>
      </c>
      <c r="K90" s="15">
        <v>25</v>
      </c>
      <c r="L90" s="15">
        <v>150</v>
      </c>
      <c r="M90" s="15">
        <v>100</v>
      </c>
      <c r="N90" s="15">
        <v>100</v>
      </c>
      <c r="O90" s="15">
        <v>100</v>
      </c>
      <c r="P90" s="15">
        <v>150</v>
      </c>
      <c r="Q90" s="15">
        <v>50</v>
      </c>
      <c r="R90" s="15">
        <v>100</v>
      </c>
      <c r="S90" s="15"/>
    </row>
    <row r="91" spans="1:19">
      <c r="A91" s="8"/>
      <c r="B91" s="15">
        <v>3</v>
      </c>
      <c r="C91" s="15">
        <v>52</v>
      </c>
      <c r="D91" s="11" t="s">
        <v>2137</v>
      </c>
      <c r="E91" s="15">
        <v>380</v>
      </c>
      <c r="F91" s="11" t="s">
        <v>1631</v>
      </c>
      <c r="G91" s="15">
        <v>1800000</v>
      </c>
      <c r="H91" s="15">
        <v>3</v>
      </c>
      <c r="I91" s="15">
        <v>999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250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</v>
      </c>
      <c r="D92" s="11" t="s">
        <v>504</v>
      </c>
      <c r="E92" s="15">
        <v>380</v>
      </c>
      <c r="F92" s="11" t="s">
        <v>789</v>
      </c>
      <c r="G92" s="15">
        <v>455000</v>
      </c>
      <c r="H92" s="15">
        <v>2</v>
      </c>
      <c r="I92" s="15">
        <v>150</v>
      </c>
      <c r="J92" s="15">
        <v>200</v>
      </c>
      <c r="K92" s="15">
        <v>200</v>
      </c>
      <c r="L92" s="15">
        <v>200</v>
      </c>
      <c r="M92" s="15">
        <v>200</v>
      </c>
      <c r="N92" s="15">
        <v>200</v>
      </c>
      <c r="O92" s="15">
        <v>100</v>
      </c>
      <c r="P92" s="15">
        <v>100</v>
      </c>
      <c r="Q92" s="15">
        <v>100</v>
      </c>
      <c r="R92" s="15">
        <v>50</v>
      </c>
      <c r="S92" s="15"/>
    </row>
    <row r="93" spans="1:19">
      <c r="A93" s="8"/>
      <c r="B93" s="15">
        <v>4</v>
      </c>
      <c r="C93" s="15">
        <v>2</v>
      </c>
      <c r="D93" s="11" t="s">
        <v>505</v>
      </c>
      <c r="E93" s="15">
        <v>380</v>
      </c>
      <c r="F93" s="11" t="s">
        <v>790</v>
      </c>
      <c r="G93" s="15">
        <v>210000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25</v>
      </c>
      <c r="P93" s="15">
        <v>100</v>
      </c>
      <c r="Q93" s="15">
        <v>150</v>
      </c>
      <c r="R93" s="15">
        <v>100</v>
      </c>
      <c r="S93" s="15"/>
    </row>
    <row r="94" spans="1:19">
      <c r="A94" s="8"/>
      <c r="B94" s="15">
        <v>4</v>
      </c>
      <c r="C94" s="15">
        <v>3</v>
      </c>
      <c r="D94" s="11" t="s">
        <v>506</v>
      </c>
      <c r="E94" s="15">
        <v>380</v>
      </c>
      <c r="F94" s="11" t="s">
        <v>791</v>
      </c>
      <c r="G94" s="15">
        <v>80000</v>
      </c>
      <c r="H94" s="15">
        <v>5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100</v>
      </c>
      <c r="P94" s="15">
        <v>100</v>
      </c>
      <c r="Q94" s="15">
        <v>100</v>
      </c>
      <c r="R94" s="15">
        <v>100</v>
      </c>
      <c r="S94" s="15"/>
    </row>
    <row r="95" spans="1:19">
      <c r="A95" s="8"/>
      <c r="B95" s="15">
        <v>4</v>
      </c>
      <c r="C95" s="15">
        <v>4</v>
      </c>
      <c r="D95" s="11" t="s">
        <v>507</v>
      </c>
      <c r="E95" s="15">
        <v>380</v>
      </c>
      <c r="F95" s="11" t="s">
        <v>792</v>
      </c>
      <c r="G95" s="15">
        <v>96000</v>
      </c>
      <c r="H95" s="15">
        <v>5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100</v>
      </c>
      <c r="O95" s="15">
        <v>100</v>
      </c>
      <c r="P95" s="15">
        <v>100</v>
      </c>
      <c r="Q95" s="15">
        <v>250</v>
      </c>
      <c r="R95" s="15">
        <v>100</v>
      </c>
      <c r="S95" s="15"/>
    </row>
    <row r="96" spans="1:19">
      <c r="A96" s="8"/>
      <c r="B96" s="15">
        <v>4</v>
      </c>
      <c r="C96" s="15">
        <v>5</v>
      </c>
      <c r="D96" s="11" t="s">
        <v>508</v>
      </c>
      <c r="E96" s="15">
        <v>380</v>
      </c>
      <c r="F96" s="11" t="s">
        <v>790</v>
      </c>
      <c r="G96" s="15">
        <v>280000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150</v>
      </c>
      <c r="P96" s="15">
        <v>25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6</v>
      </c>
      <c r="D97" s="11" t="s">
        <v>509</v>
      </c>
      <c r="E97" s="15">
        <v>380</v>
      </c>
      <c r="F97" s="11" t="s">
        <v>793</v>
      </c>
      <c r="G97" s="15">
        <v>330000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25</v>
      </c>
      <c r="P97" s="15">
        <v>150</v>
      </c>
      <c r="Q97" s="15">
        <v>25</v>
      </c>
      <c r="R97" s="15">
        <v>100</v>
      </c>
      <c r="S97" s="15"/>
    </row>
    <row r="98" spans="1:19">
      <c r="A98" s="8"/>
      <c r="B98" s="15">
        <v>4</v>
      </c>
      <c r="C98" s="15">
        <v>7</v>
      </c>
      <c r="D98" s="11" t="s">
        <v>510</v>
      </c>
      <c r="E98" s="15">
        <v>380</v>
      </c>
      <c r="F98" s="11" t="s">
        <v>779</v>
      </c>
      <c r="G98" s="15">
        <v>300000</v>
      </c>
      <c r="H98" s="15">
        <v>5</v>
      </c>
      <c r="I98" s="15">
        <v>300</v>
      </c>
      <c r="J98" s="15">
        <v>100</v>
      </c>
      <c r="K98" s="15">
        <v>100</v>
      </c>
      <c r="L98" s="15">
        <v>100</v>
      </c>
      <c r="M98" s="15">
        <v>100</v>
      </c>
      <c r="N98" s="15">
        <v>100</v>
      </c>
      <c r="O98" s="15">
        <v>100</v>
      </c>
      <c r="P98" s="15">
        <v>100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8</v>
      </c>
      <c r="D99" s="11" t="s">
        <v>511</v>
      </c>
      <c r="E99" s="15">
        <v>380</v>
      </c>
      <c r="F99" s="11" t="s">
        <v>794</v>
      </c>
      <c r="G99" s="15">
        <v>3000000</v>
      </c>
      <c r="H99" s="15">
        <v>8</v>
      </c>
      <c r="I99" s="15">
        <v>999</v>
      </c>
      <c r="J99" s="15">
        <v>100</v>
      </c>
      <c r="K99" s="15">
        <v>100</v>
      </c>
      <c r="L99" s="15">
        <v>100</v>
      </c>
      <c r="M99" s="15">
        <v>100</v>
      </c>
      <c r="N99" s="15">
        <v>100</v>
      </c>
      <c r="O99" s="15">
        <v>100</v>
      </c>
      <c r="P99" s="15">
        <v>100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9</v>
      </c>
      <c r="D100" s="11" t="s">
        <v>512</v>
      </c>
      <c r="E100" s="15">
        <v>380</v>
      </c>
      <c r="F100" s="11" t="s">
        <v>795</v>
      </c>
      <c r="G100" s="15">
        <v>180000</v>
      </c>
      <c r="H100" s="15">
        <v>2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150</v>
      </c>
      <c r="Q100" s="15">
        <v>25</v>
      </c>
      <c r="R100" s="15">
        <v>100</v>
      </c>
      <c r="S100" s="15"/>
    </row>
    <row r="101" spans="1:19">
      <c r="A101" s="8"/>
      <c r="B101" s="15">
        <v>4</v>
      </c>
      <c r="C101" s="15">
        <v>10</v>
      </c>
      <c r="D101" s="11" t="s">
        <v>515</v>
      </c>
      <c r="E101" s="15">
        <v>380</v>
      </c>
      <c r="F101" s="11" t="s">
        <v>796</v>
      </c>
      <c r="G101" s="15">
        <v>650000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25</v>
      </c>
      <c r="P101" s="15">
        <v>150</v>
      </c>
      <c r="Q101" s="15">
        <v>25</v>
      </c>
      <c r="R101" s="15">
        <v>100</v>
      </c>
      <c r="S101" s="15"/>
    </row>
    <row r="102" spans="1:19">
      <c r="A102" s="8"/>
      <c r="B102" s="15">
        <v>4</v>
      </c>
      <c r="C102" s="15">
        <v>11</v>
      </c>
      <c r="D102" s="11" t="s">
        <v>514</v>
      </c>
      <c r="E102" s="15">
        <v>380</v>
      </c>
      <c r="F102" s="11" t="s">
        <v>797</v>
      </c>
      <c r="G102" s="15">
        <v>1550000</v>
      </c>
      <c r="H102" s="15">
        <v>5</v>
      </c>
      <c r="I102" s="15">
        <v>300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150</v>
      </c>
      <c r="P102" s="15">
        <v>50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12</v>
      </c>
      <c r="D103" s="11" t="s">
        <v>513</v>
      </c>
      <c r="E103" s="15">
        <v>380</v>
      </c>
      <c r="F103" s="11" t="s">
        <v>769</v>
      </c>
      <c r="G103" s="15">
        <v>13500000</v>
      </c>
      <c r="H103" s="15">
        <v>6</v>
      </c>
      <c r="I103" s="15">
        <v>999</v>
      </c>
      <c r="J103" s="15">
        <v>200</v>
      </c>
      <c r="K103" s="15">
        <v>100</v>
      </c>
      <c r="L103" s="15">
        <v>100</v>
      </c>
      <c r="M103" s="15">
        <v>100</v>
      </c>
      <c r="N103" s="15">
        <v>100</v>
      </c>
      <c r="O103" s="15">
        <v>100</v>
      </c>
      <c r="P103" s="15">
        <v>100</v>
      </c>
      <c r="Q103" s="15">
        <v>100</v>
      </c>
      <c r="R103" s="15">
        <v>100</v>
      </c>
      <c r="S103" s="15"/>
    </row>
    <row r="104" spans="1:19">
      <c r="A104" s="8"/>
      <c r="B104" s="15">
        <v>4</v>
      </c>
      <c r="C104" s="15">
        <v>13</v>
      </c>
      <c r="D104" s="11" t="s">
        <v>566</v>
      </c>
      <c r="E104" s="15">
        <v>390</v>
      </c>
      <c r="F104" s="11" t="s">
        <v>762</v>
      </c>
      <c r="G104" s="15">
        <v>650000</v>
      </c>
      <c r="H104" s="15">
        <v>2</v>
      </c>
      <c r="I104" s="15">
        <v>150</v>
      </c>
      <c r="J104" s="15">
        <v>100</v>
      </c>
      <c r="K104" s="15">
        <v>100</v>
      </c>
      <c r="L104" s="15">
        <v>100</v>
      </c>
      <c r="M104" s="15">
        <v>200</v>
      </c>
      <c r="N104" s="15">
        <v>100</v>
      </c>
      <c r="O104" s="15">
        <v>150</v>
      </c>
      <c r="P104" s="15">
        <v>100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14</v>
      </c>
      <c r="D105" s="11" t="s">
        <v>567</v>
      </c>
      <c r="E105" s="15">
        <v>390</v>
      </c>
      <c r="F105" s="11" t="s">
        <v>798</v>
      </c>
      <c r="G105" s="15">
        <v>1000000</v>
      </c>
      <c r="H105" s="15">
        <v>6</v>
      </c>
      <c r="I105" s="15">
        <v>400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</v>
      </c>
      <c r="P105" s="15">
        <v>25</v>
      </c>
      <c r="Q105" s="15">
        <v>150</v>
      </c>
      <c r="R105" s="15">
        <v>100</v>
      </c>
      <c r="S105" s="15"/>
    </row>
    <row r="106" spans="1:19">
      <c r="A106" s="8"/>
      <c r="B106" s="15">
        <v>4</v>
      </c>
      <c r="C106" s="15">
        <v>15</v>
      </c>
      <c r="D106" s="11" t="s">
        <v>568</v>
      </c>
      <c r="E106" s="15">
        <v>390</v>
      </c>
      <c r="F106" s="11" t="s">
        <v>799</v>
      </c>
      <c r="G106" s="15">
        <v>2000000</v>
      </c>
      <c r="H106" s="15">
        <v>2</v>
      </c>
      <c r="I106" s="15">
        <v>150</v>
      </c>
      <c r="J106" s="15">
        <v>100</v>
      </c>
      <c r="K106" s="15">
        <v>100</v>
      </c>
      <c r="L106" s="15">
        <v>250</v>
      </c>
      <c r="M106" s="15">
        <v>100</v>
      </c>
      <c r="N106" s="15">
        <v>100</v>
      </c>
      <c r="O106" s="15">
        <v>100</v>
      </c>
      <c r="P106" s="15">
        <v>250</v>
      </c>
      <c r="Q106" s="15">
        <v>50</v>
      </c>
      <c r="R106" s="15">
        <v>100</v>
      </c>
      <c r="S106" s="15"/>
    </row>
    <row r="107" spans="1:19">
      <c r="A107" s="8"/>
      <c r="B107" s="15">
        <v>4</v>
      </c>
      <c r="C107" s="15">
        <v>16</v>
      </c>
      <c r="D107" s="11" t="s">
        <v>569</v>
      </c>
      <c r="E107" s="15">
        <v>390</v>
      </c>
      <c r="F107" s="11" t="s">
        <v>795</v>
      </c>
      <c r="G107" s="15">
        <v>3000000</v>
      </c>
      <c r="H107" s="15">
        <v>6</v>
      </c>
      <c r="I107" s="15">
        <v>400</v>
      </c>
      <c r="J107" s="15">
        <v>100</v>
      </c>
      <c r="K107" s="15">
        <v>100</v>
      </c>
      <c r="L107" s="15">
        <v>100</v>
      </c>
      <c r="M107" s="15">
        <v>100</v>
      </c>
      <c r="N107" s="15">
        <v>250</v>
      </c>
      <c r="O107" s="15">
        <v>100</v>
      </c>
      <c r="P107" s="15">
        <v>100</v>
      </c>
      <c r="Q107" s="15">
        <v>100</v>
      </c>
      <c r="R107" s="15">
        <v>100</v>
      </c>
      <c r="S107" s="15"/>
    </row>
    <row r="108" spans="1:19">
      <c r="A108" s="8"/>
      <c r="B108" s="15">
        <v>4</v>
      </c>
      <c r="C108" s="15">
        <v>17</v>
      </c>
      <c r="D108" s="11" t="s">
        <v>570</v>
      </c>
      <c r="E108" s="15">
        <v>390</v>
      </c>
      <c r="F108" s="11" t="s">
        <v>800</v>
      </c>
      <c r="G108" s="15">
        <v>950000</v>
      </c>
      <c r="H108" s="15">
        <v>5</v>
      </c>
      <c r="I108" s="15">
        <v>300</v>
      </c>
      <c r="J108" s="15">
        <v>100</v>
      </c>
      <c r="K108" s="15">
        <v>100</v>
      </c>
      <c r="L108" s="15">
        <v>100</v>
      </c>
      <c r="M108" s="15">
        <v>25</v>
      </c>
      <c r="N108" s="15">
        <v>150</v>
      </c>
      <c r="O108" s="15">
        <v>50</v>
      </c>
      <c r="P108" s="15">
        <v>100</v>
      </c>
      <c r="Q108" s="15">
        <v>150</v>
      </c>
      <c r="R108" s="15">
        <v>100</v>
      </c>
      <c r="S108" s="15"/>
    </row>
    <row r="109" spans="1:19">
      <c r="A109" s="8"/>
      <c r="B109" s="15">
        <v>4</v>
      </c>
      <c r="C109" s="15">
        <v>18</v>
      </c>
      <c r="D109" s="11" t="s">
        <v>615</v>
      </c>
      <c r="E109" s="15">
        <v>390</v>
      </c>
      <c r="F109" s="11" t="s">
        <v>801</v>
      </c>
      <c r="G109" s="15">
        <v>1490000</v>
      </c>
      <c r="H109" s="15">
        <v>2</v>
      </c>
      <c r="I109" s="15">
        <v>150</v>
      </c>
      <c r="J109" s="15">
        <v>100</v>
      </c>
      <c r="K109" s="15">
        <v>200</v>
      </c>
      <c r="L109" s="15">
        <v>100</v>
      </c>
      <c r="M109" s="15">
        <v>100</v>
      </c>
      <c r="N109" s="15">
        <v>100</v>
      </c>
      <c r="O109" s="15">
        <v>150</v>
      </c>
      <c r="P109" s="15">
        <v>100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19</v>
      </c>
      <c r="D110" s="11" t="s">
        <v>616</v>
      </c>
      <c r="E110" s="15">
        <v>390</v>
      </c>
      <c r="F110" s="11" t="s">
        <v>802</v>
      </c>
      <c r="G110" s="15">
        <v>12200000</v>
      </c>
      <c r="H110" s="15">
        <v>6</v>
      </c>
      <c r="I110" s="15">
        <v>400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25</v>
      </c>
      <c r="Q110" s="15">
        <v>250</v>
      </c>
      <c r="R110" s="15">
        <v>100</v>
      </c>
      <c r="S110" s="15"/>
    </row>
    <row r="111" spans="1:19">
      <c r="A111" s="8"/>
      <c r="B111" s="15">
        <v>4</v>
      </c>
      <c r="C111" s="15">
        <v>20</v>
      </c>
      <c r="D111" s="11" t="s">
        <v>617</v>
      </c>
      <c r="E111" s="15">
        <v>390</v>
      </c>
      <c r="F111" s="11" t="s">
        <v>803</v>
      </c>
      <c r="G111" s="15">
        <v>2550000</v>
      </c>
      <c r="H111" s="15">
        <v>2</v>
      </c>
      <c r="I111" s="15">
        <v>150</v>
      </c>
      <c r="J111" s="15">
        <v>100</v>
      </c>
      <c r="K111" s="15">
        <v>100</v>
      </c>
      <c r="L111" s="15">
        <v>100</v>
      </c>
      <c r="M111" s="15">
        <v>100</v>
      </c>
      <c r="N111" s="15">
        <v>200</v>
      </c>
      <c r="O111" s="15">
        <v>100</v>
      </c>
      <c r="P111" s="15">
        <v>100</v>
      </c>
      <c r="Q111" s="15">
        <v>100</v>
      </c>
      <c r="R111" s="15">
        <v>50</v>
      </c>
      <c r="S111" s="15"/>
    </row>
    <row r="112" spans="1:19">
      <c r="A112" s="8"/>
      <c r="B112" s="15">
        <v>4</v>
      </c>
      <c r="C112" s="15">
        <v>21</v>
      </c>
      <c r="D112" s="11" t="s">
        <v>618</v>
      </c>
      <c r="E112" s="15">
        <v>390</v>
      </c>
      <c r="F112" s="11" t="s">
        <v>804</v>
      </c>
      <c r="G112" s="15">
        <v>3150000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100</v>
      </c>
      <c r="O112" s="15">
        <v>25</v>
      </c>
      <c r="P112" s="15">
        <v>25</v>
      </c>
      <c r="Q112" s="15">
        <v>250</v>
      </c>
      <c r="R112" s="15">
        <v>100</v>
      </c>
      <c r="S112" s="15"/>
    </row>
    <row r="113" spans="1:19">
      <c r="A113" s="8"/>
      <c r="B113" s="15">
        <v>4</v>
      </c>
      <c r="C113" s="15">
        <v>22</v>
      </c>
      <c r="D113" s="11" t="s">
        <v>619</v>
      </c>
      <c r="E113" s="15">
        <v>390</v>
      </c>
      <c r="F113" s="11" t="s">
        <v>805</v>
      </c>
      <c r="G113" s="15">
        <v>470000</v>
      </c>
      <c r="H113" s="15">
        <v>2</v>
      </c>
      <c r="I113" s="15">
        <v>150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50</v>
      </c>
      <c r="P113" s="15">
        <v>100</v>
      </c>
      <c r="Q113" s="15">
        <v>250</v>
      </c>
      <c r="R113" s="15">
        <v>100</v>
      </c>
      <c r="S113" s="15"/>
    </row>
    <row r="114" spans="1:19">
      <c r="A114" s="8"/>
      <c r="B114" s="15">
        <v>4</v>
      </c>
      <c r="C114" s="15">
        <v>23</v>
      </c>
      <c r="D114" s="11" t="s">
        <v>815</v>
      </c>
      <c r="E114" s="15">
        <v>400</v>
      </c>
      <c r="F114" s="11" t="s">
        <v>812</v>
      </c>
      <c r="G114" s="15">
        <v>1600000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24</v>
      </c>
      <c r="D115" s="11" t="s">
        <v>816</v>
      </c>
      <c r="E115" s="15">
        <v>400</v>
      </c>
      <c r="F115" s="11" t="s">
        <v>790</v>
      </c>
      <c r="G115" s="15">
        <v>2040000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100</v>
      </c>
      <c r="O115" s="15">
        <v>100</v>
      </c>
      <c r="P115" s="15">
        <v>100</v>
      </c>
      <c r="Q115" s="15">
        <v>150</v>
      </c>
      <c r="R115" s="15">
        <v>100</v>
      </c>
      <c r="S115" s="15"/>
    </row>
    <row r="116" spans="1:19">
      <c r="A116" s="8"/>
      <c r="B116" s="15">
        <v>4</v>
      </c>
      <c r="C116" s="15">
        <v>25</v>
      </c>
      <c r="D116" s="11" t="s">
        <v>817</v>
      </c>
      <c r="E116" s="15">
        <v>400</v>
      </c>
      <c r="F116" s="11" t="s">
        <v>824</v>
      </c>
      <c r="G116" s="15">
        <v>56500000</v>
      </c>
      <c r="H116" s="15">
        <v>6</v>
      </c>
      <c r="I116" s="15">
        <v>600</v>
      </c>
      <c r="J116" s="15">
        <v>100</v>
      </c>
      <c r="K116" s="15">
        <v>100</v>
      </c>
      <c r="L116" s="15">
        <v>250</v>
      </c>
      <c r="M116" s="15">
        <v>100</v>
      </c>
      <c r="N116" s="15">
        <v>100</v>
      </c>
      <c r="O116" s="15">
        <v>100</v>
      </c>
      <c r="P116" s="15">
        <v>250</v>
      </c>
      <c r="Q116" s="15">
        <v>25</v>
      </c>
      <c r="R116" s="15">
        <v>100</v>
      </c>
      <c r="S116" s="15"/>
    </row>
    <row r="117" spans="1:19">
      <c r="A117" s="8"/>
      <c r="B117" s="15">
        <v>4</v>
      </c>
      <c r="C117" s="15">
        <v>26</v>
      </c>
      <c r="D117" s="11" t="s">
        <v>818</v>
      </c>
      <c r="E117" s="15">
        <v>400</v>
      </c>
      <c r="F117" s="11" t="s">
        <v>786</v>
      </c>
      <c r="G117" s="15">
        <v>10400000</v>
      </c>
      <c r="H117" s="15">
        <v>6</v>
      </c>
      <c r="I117" s="15">
        <v>500</v>
      </c>
      <c r="J117" s="15">
        <v>250</v>
      </c>
      <c r="K117" s="15">
        <v>100</v>
      </c>
      <c r="L117" s="15">
        <v>100</v>
      </c>
      <c r="M117" s="15">
        <v>100</v>
      </c>
      <c r="N117" s="15">
        <v>100</v>
      </c>
      <c r="O117" s="15">
        <v>250</v>
      </c>
      <c r="P117" s="15">
        <v>50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27</v>
      </c>
      <c r="D118" s="11" t="s">
        <v>819</v>
      </c>
      <c r="E118" s="15">
        <v>400</v>
      </c>
      <c r="F118" s="11" t="s">
        <v>825</v>
      </c>
      <c r="G118" s="15">
        <v>2800000</v>
      </c>
      <c r="H118" s="15">
        <v>2</v>
      </c>
      <c r="I118" s="15">
        <v>150</v>
      </c>
      <c r="J118" s="15">
        <v>100</v>
      </c>
      <c r="K118" s="15">
        <v>100</v>
      </c>
      <c r="L118" s="15">
        <v>250</v>
      </c>
      <c r="M118" s="15">
        <v>100</v>
      </c>
      <c r="N118" s="15">
        <v>100</v>
      </c>
      <c r="O118" s="15">
        <v>250</v>
      </c>
      <c r="P118" s="15">
        <v>100</v>
      </c>
      <c r="Q118" s="15">
        <v>25</v>
      </c>
      <c r="R118" s="15">
        <v>100</v>
      </c>
      <c r="S118" s="15"/>
    </row>
    <row r="119" spans="1:19">
      <c r="A119" s="8"/>
      <c r="B119" s="15">
        <v>4</v>
      </c>
      <c r="C119" s="15">
        <v>28</v>
      </c>
      <c r="D119" s="11" t="s">
        <v>852</v>
      </c>
      <c r="E119" s="15">
        <v>400</v>
      </c>
      <c r="F119" s="11" t="s">
        <v>766</v>
      </c>
      <c r="G119" s="15">
        <v>38000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150</v>
      </c>
      <c r="Q119" s="15">
        <v>100</v>
      </c>
      <c r="R119" s="15">
        <v>100</v>
      </c>
      <c r="S119" s="15"/>
    </row>
    <row r="120" spans="1:19">
      <c r="A120" s="8"/>
      <c r="B120" s="15">
        <v>4</v>
      </c>
      <c r="C120" s="15">
        <v>29</v>
      </c>
      <c r="D120" s="11" t="s">
        <v>853</v>
      </c>
      <c r="E120" s="15">
        <v>400</v>
      </c>
      <c r="F120" s="11" t="s">
        <v>858</v>
      </c>
      <c r="G120" s="15">
        <v>12500000</v>
      </c>
      <c r="H120" s="15">
        <v>2</v>
      </c>
      <c r="I120" s="15">
        <v>150</v>
      </c>
      <c r="J120" s="15">
        <v>100</v>
      </c>
      <c r="K120" s="15">
        <v>250</v>
      </c>
      <c r="L120" s="15">
        <v>100</v>
      </c>
      <c r="M120" s="15">
        <v>100</v>
      </c>
      <c r="N120" s="15">
        <v>100</v>
      </c>
      <c r="O120" s="15">
        <v>250</v>
      </c>
      <c r="P120" s="15">
        <v>100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30</v>
      </c>
      <c r="D121" s="11" t="s">
        <v>854</v>
      </c>
      <c r="E121" s="15">
        <v>400</v>
      </c>
      <c r="F121" s="11" t="s">
        <v>797</v>
      </c>
      <c r="G121" s="15">
        <v>1600000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100</v>
      </c>
      <c r="O121" s="15">
        <v>25</v>
      </c>
      <c r="P121" s="15">
        <v>100</v>
      </c>
      <c r="Q121" s="15">
        <v>150</v>
      </c>
      <c r="R121" s="15">
        <v>100</v>
      </c>
      <c r="S121" s="15"/>
    </row>
    <row r="122" spans="1:19">
      <c r="A122" s="8"/>
      <c r="B122" s="15">
        <v>4</v>
      </c>
      <c r="C122" s="15">
        <v>31</v>
      </c>
      <c r="D122" s="11" t="s">
        <v>855</v>
      </c>
      <c r="E122" s="15">
        <v>400</v>
      </c>
      <c r="F122" s="11" t="s">
        <v>858</v>
      </c>
      <c r="G122" s="15">
        <v>70000000</v>
      </c>
      <c r="H122" s="15">
        <v>6</v>
      </c>
      <c r="I122" s="15">
        <v>999</v>
      </c>
      <c r="J122" s="15">
        <v>250</v>
      </c>
      <c r="K122" s="15">
        <v>100</v>
      </c>
      <c r="L122" s="15">
        <v>100</v>
      </c>
      <c r="M122" s="15">
        <v>100</v>
      </c>
      <c r="N122" s="15">
        <v>100</v>
      </c>
      <c r="O122" s="15">
        <v>250</v>
      </c>
      <c r="P122" s="15">
        <v>25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32</v>
      </c>
      <c r="D123" s="11" t="s">
        <v>856</v>
      </c>
      <c r="E123" s="15">
        <v>400</v>
      </c>
      <c r="F123" s="11" t="s">
        <v>859</v>
      </c>
      <c r="G123" s="15">
        <v>4600000</v>
      </c>
      <c r="H123" s="15">
        <v>6</v>
      </c>
      <c r="I123" s="15">
        <v>700</v>
      </c>
      <c r="J123" s="15">
        <v>200</v>
      </c>
      <c r="K123" s="15">
        <v>100</v>
      </c>
      <c r="L123" s="15">
        <v>100</v>
      </c>
      <c r="M123" s="15">
        <v>100</v>
      </c>
      <c r="N123" s="15">
        <v>100</v>
      </c>
      <c r="O123" s="15">
        <v>100</v>
      </c>
      <c r="P123" s="15">
        <v>150</v>
      </c>
      <c r="Q123" s="15">
        <v>50</v>
      </c>
      <c r="R123" s="15">
        <v>100</v>
      </c>
      <c r="S123" s="15"/>
    </row>
    <row r="124" spans="1:19">
      <c r="A124" s="8"/>
      <c r="B124" s="15">
        <v>4</v>
      </c>
      <c r="C124" s="15">
        <v>33</v>
      </c>
      <c r="D124" s="11" t="s">
        <v>885</v>
      </c>
      <c r="E124" s="15">
        <v>410</v>
      </c>
      <c r="F124" s="11" t="s">
        <v>858</v>
      </c>
      <c r="G124" s="15">
        <v>6900000</v>
      </c>
      <c r="H124" s="15">
        <v>3</v>
      </c>
      <c r="I124" s="15">
        <v>200</v>
      </c>
      <c r="J124" s="15">
        <v>100</v>
      </c>
      <c r="K124" s="15">
        <v>100</v>
      </c>
      <c r="L124" s="15">
        <v>100</v>
      </c>
      <c r="M124" s="15">
        <v>250</v>
      </c>
      <c r="N124" s="15">
        <v>100</v>
      </c>
      <c r="O124" s="15">
        <v>100</v>
      </c>
      <c r="P124" s="15">
        <v>100</v>
      </c>
      <c r="Q124" s="15">
        <v>250</v>
      </c>
      <c r="R124" s="15">
        <v>100</v>
      </c>
      <c r="S124" s="15"/>
    </row>
    <row r="125" spans="1:19">
      <c r="A125" s="8"/>
      <c r="B125" s="15">
        <v>4</v>
      </c>
      <c r="C125" s="15">
        <v>34</v>
      </c>
      <c r="D125" s="11" t="s">
        <v>886</v>
      </c>
      <c r="E125" s="15">
        <v>410</v>
      </c>
      <c r="F125" s="11" t="s">
        <v>894</v>
      </c>
      <c r="G125" s="15">
        <v>5300000</v>
      </c>
      <c r="H125" s="15">
        <v>2</v>
      </c>
      <c r="I125" s="15">
        <v>150</v>
      </c>
      <c r="J125" s="15">
        <v>250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25</v>
      </c>
      <c r="R125" s="15">
        <v>100</v>
      </c>
      <c r="S125" s="15"/>
    </row>
    <row r="126" spans="1:19">
      <c r="A126" s="8"/>
      <c r="B126" s="15">
        <v>4</v>
      </c>
      <c r="C126" s="15">
        <v>35</v>
      </c>
      <c r="D126" s="11" t="s">
        <v>887</v>
      </c>
      <c r="E126" s="15">
        <v>410</v>
      </c>
      <c r="F126" s="11" t="s">
        <v>895</v>
      </c>
      <c r="G126" s="15">
        <v>2000000</v>
      </c>
      <c r="H126" s="15">
        <v>2</v>
      </c>
      <c r="I126" s="15">
        <v>150</v>
      </c>
      <c r="J126" s="15">
        <v>150</v>
      </c>
      <c r="K126" s="15">
        <v>150</v>
      </c>
      <c r="L126" s="15">
        <v>150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36</v>
      </c>
      <c r="D127" s="11" t="s">
        <v>888</v>
      </c>
      <c r="E127" s="15">
        <v>410</v>
      </c>
      <c r="F127" s="11" t="s">
        <v>798</v>
      </c>
      <c r="G127" s="15">
        <v>53500000</v>
      </c>
      <c r="H127" s="15">
        <v>6</v>
      </c>
      <c r="I127" s="15">
        <v>500</v>
      </c>
      <c r="J127" s="15">
        <v>100</v>
      </c>
      <c r="K127" s="15">
        <v>100</v>
      </c>
      <c r="L127" s="15">
        <v>250</v>
      </c>
      <c r="M127" s="15">
        <v>100</v>
      </c>
      <c r="N127" s="15">
        <v>100</v>
      </c>
      <c r="O127" s="15">
        <v>250</v>
      </c>
      <c r="P127" s="15">
        <v>25</v>
      </c>
      <c r="Q127" s="15">
        <v>100</v>
      </c>
      <c r="R127" s="15">
        <v>100</v>
      </c>
      <c r="S127" s="15"/>
    </row>
    <row r="128" spans="1:19">
      <c r="A128" s="8"/>
      <c r="B128" s="15">
        <v>4</v>
      </c>
      <c r="C128" s="15">
        <v>37</v>
      </c>
      <c r="D128" s="11" t="s">
        <v>889</v>
      </c>
      <c r="E128" s="15">
        <v>410</v>
      </c>
      <c r="F128" s="11" t="s">
        <v>812</v>
      </c>
      <c r="G128" s="15">
        <v>11000000</v>
      </c>
      <c r="H128" s="15">
        <v>6</v>
      </c>
      <c r="I128" s="15">
        <v>600</v>
      </c>
      <c r="J128" s="15">
        <v>100</v>
      </c>
      <c r="K128" s="15">
        <v>100</v>
      </c>
      <c r="L128" s="15">
        <v>100</v>
      </c>
      <c r="M128" s="15">
        <v>100</v>
      </c>
      <c r="N128" s="15">
        <v>100</v>
      </c>
      <c r="O128" s="15">
        <v>25</v>
      </c>
      <c r="P128" s="15">
        <v>100</v>
      </c>
      <c r="Q128" s="15">
        <v>150</v>
      </c>
      <c r="R128" s="15">
        <v>100</v>
      </c>
      <c r="S128" s="15"/>
    </row>
    <row r="129" spans="1:19">
      <c r="A129" s="8"/>
      <c r="B129" s="15">
        <v>4</v>
      </c>
      <c r="C129" s="15">
        <v>38</v>
      </c>
      <c r="D129" s="11" t="s">
        <v>1756</v>
      </c>
      <c r="E129" s="15">
        <v>410</v>
      </c>
      <c r="F129" s="11" t="s">
        <v>804</v>
      </c>
      <c r="G129" s="15">
        <v>17000000</v>
      </c>
      <c r="H129" s="15">
        <v>5</v>
      </c>
      <c r="I129" s="15">
        <v>650</v>
      </c>
      <c r="J129" s="15">
        <v>100</v>
      </c>
      <c r="K129" s="15">
        <v>200</v>
      </c>
      <c r="L129" s="15">
        <v>100</v>
      </c>
      <c r="M129" s="15">
        <v>100</v>
      </c>
      <c r="N129" s="15">
        <v>100</v>
      </c>
      <c r="O129" s="15">
        <v>150</v>
      </c>
      <c r="P129" s="15">
        <v>100</v>
      </c>
      <c r="Q129" s="15">
        <v>100</v>
      </c>
      <c r="R129" s="15">
        <v>100</v>
      </c>
      <c r="S129" s="15"/>
    </row>
    <row r="130" spans="1:19">
      <c r="A130" s="8"/>
      <c r="B130" s="15">
        <v>4</v>
      </c>
      <c r="C130" s="15">
        <v>39</v>
      </c>
      <c r="D130" s="11" t="s">
        <v>1757</v>
      </c>
      <c r="E130" s="15">
        <v>410</v>
      </c>
      <c r="F130" s="11" t="s">
        <v>1765</v>
      </c>
      <c r="G130" s="15">
        <v>1050000</v>
      </c>
      <c r="H130" s="15">
        <v>2</v>
      </c>
      <c r="I130" s="15">
        <v>150</v>
      </c>
      <c r="J130" s="15">
        <v>100</v>
      </c>
      <c r="K130" s="15">
        <v>100</v>
      </c>
      <c r="L130" s="15">
        <v>100</v>
      </c>
      <c r="M130" s="15">
        <v>100</v>
      </c>
      <c r="N130" s="15">
        <v>250</v>
      </c>
      <c r="O130" s="15">
        <v>100</v>
      </c>
      <c r="P130" s="15">
        <v>250</v>
      </c>
      <c r="Q130" s="15">
        <v>25</v>
      </c>
      <c r="R130" s="15">
        <v>100</v>
      </c>
      <c r="S130" s="15"/>
    </row>
    <row r="131" spans="1:19">
      <c r="A131" s="8"/>
      <c r="B131" s="15">
        <v>4</v>
      </c>
      <c r="C131" s="15">
        <v>40</v>
      </c>
      <c r="D131" s="11" t="s">
        <v>1758</v>
      </c>
      <c r="E131" s="15">
        <v>410</v>
      </c>
      <c r="F131" s="11" t="s">
        <v>1766</v>
      </c>
      <c r="G131" s="15">
        <v>62500000</v>
      </c>
      <c r="H131" s="15">
        <v>5</v>
      </c>
      <c r="I131" s="15">
        <v>700</v>
      </c>
      <c r="J131" s="15">
        <v>100</v>
      </c>
      <c r="K131" s="15">
        <v>100</v>
      </c>
      <c r="L131" s="15">
        <v>100</v>
      </c>
      <c r="M131" s="15">
        <v>250</v>
      </c>
      <c r="N131" s="15">
        <v>100</v>
      </c>
      <c r="O131" s="15">
        <v>250</v>
      </c>
      <c r="P131" s="15">
        <v>50</v>
      </c>
      <c r="Q131" s="15">
        <v>100</v>
      </c>
      <c r="R131" s="15">
        <v>100</v>
      </c>
      <c r="S131" s="15"/>
    </row>
    <row r="132" spans="1:19">
      <c r="A132" s="8"/>
      <c r="B132" s="15">
        <v>4</v>
      </c>
      <c r="C132" s="15">
        <v>41</v>
      </c>
      <c r="D132" s="11" t="s">
        <v>1759</v>
      </c>
      <c r="E132" s="15">
        <v>410</v>
      </c>
      <c r="F132" s="11" t="s">
        <v>1767</v>
      </c>
      <c r="G132" s="15">
        <v>1380000</v>
      </c>
      <c r="H132" s="15">
        <v>2</v>
      </c>
      <c r="I132" s="15">
        <v>150</v>
      </c>
      <c r="J132" s="15">
        <v>100</v>
      </c>
      <c r="K132" s="15">
        <v>100</v>
      </c>
      <c r="L132" s="15">
        <v>100</v>
      </c>
      <c r="M132" s="15">
        <v>100</v>
      </c>
      <c r="N132" s="15">
        <v>250</v>
      </c>
      <c r="O132" s="15">
        <v>100</v>
      </c>
      <c r="P132" s="15">
        <v>250</v>
      </c>
      <c r="Q132" s="15">
        <v>25</v>
      </c>
      <c r="R132" s="15">
        <v>100</v>
      </c>
      <c r="S132" s="15"/>
    </row>
    <row r="133" spans="1:19">
      <c r="A133" s="8"/>
      <c r="B133" s="15">
        <v>4</v>
      </c>
      <c r="C133" s="15">
        <v>42</v>
      </c>
      <c r="D133" s="11" t="s">
        <v>1760</v>
      </c>
      <c r="E133" s="15">
        <v>410</v>
      </c>
      <c r="F133" s="11" t="s">
        <v>1768</v>
      </c>
      <c r="G133" s="15">
        <v>3200000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100</v>
      </c>
      <c r="N133" s="15">
        <v>250</v>
      </c>
      <c r="O133" s="15">
        <v>100</v>
      </c>
      <c r="P133" s="15">
        <v>250</v>
      </c>
      <c r="Q133" s="15">
        <v>25</v>
      </c>
      <c r="R133" s="15">
        <v>100</v>
      </c>
      <c r="S133" s="15"/>
    </row>
    <row r="134" spans="1:19">
      <c r="A134" s="8"/>
      <c r="B134" s="15">
        <v>4</v>
      </c>
      <c r="C134" s="15">
        <v>43</v>
      </c>
      <c r="D134" s="11" t="s">
        <v>1853</v>
      </c>
      <c r="E134" s="15">
        <v>420</v>
      </c>
      <c r="F134" s="11" t="s">
        <v>1859</v>
      </c>
      <c r="G134" s="15">
        <v>500000</v>
      </c>
      <c r="H134" s="15">
        <v>2</v>
      </c>
      <c r="I134" s="15">
        <v>150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250</v>
      </c>
      <c r="Q134" s="15">
        <v>100</v>
      </c>
      <c r="R134" s="15">
        <v>100</v>
      </c>
      <c r="S134" s="15"/>
    </row>
    <row r="135" spans="1:19">
      <c r="A135" s="8"/>
      <c r="B135" s="15">
        <v>4</v>
      </c>
      <c r="C135" s="15">
        <v>44</v>
      </c>
      <c r="D135" s="11" t="s">
        <v>1854</v>
      </c>
      <c r="E135" s="15">
        <v>420</v>
      </c>
      <c r="F135" s="11" t="s">
        <v>1863</v>
      </c>
      <c r="G135" s="15">
        <v>500000</v>
      </c>
      <c r="H135" s="15">
        <v>2</v>
      </c>
      <c r="I135" s="15">
        <v>150</v>
      </c>
      <c r="J135" s="15">
        <v>100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100</v>
      </c>
      <c r="Q135" s="15">
        <v>250</v>
      </c>
      <c r="R135" s="15">
        <v>100</v>
      </c>
      <c r="S135" s="15"/>
    </row>
    <row r="136" spans="1:19">
      <c r="A136" s="8"/>
      <c r="B136" s="15">
        <v>4</v>
      </c>
      <c r="C136" s="15">
        <v>45</v>
      </c>
      <c r="D136" s="11" t="s">
        <v>1855</v>
      </c>
      <c r="E136" s="15">
        <v>420</v>
      </c>
      <c r="F136" s="11" t="s">
        <v>1864</v>
      </c>
      <c r="G136" s="15">
        <v>2500000</v>
      </c>
      <c r="H136" s="15">
        <v>2</v>
      </c>
      <c r="I136" s="15">
        <v>150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25</v>
      </c>
      <c r="P136" s="15">
        <v>25</v>
      </c>
      <c r="Q136" s="15">
        <v>250</v>
      </c>
      <c r="R136" s="15">
        <v>100</v>
      </c>
      <c r="S136" s="15"/>
    </row>
    <row r="137" spans="1:19">
      <c r="A137" s="8"/>
      <c r="B137" s="15">
        <v>4</v>
      </c>
      <c r="C137" s="15">
        <v>46</v>
      </c>
      <c r="D137" s="11" t="s">
        <v>1856</v>
      </c>
      <c r="E137" s="15">
        <v>420</v>
      </c>
      <c r="F137" s="11" t="s">
        <v>1865</v>
      </c>
      <c r="G137" s="15">
        <v>15000000</v>
      </c>
      <c r="H137" s="15">
        <v>2</v>
      </c>
      <c r="I137" s="15">
        <v>150</v>
      </c>
      <c r="J137" s="15">
        <v>100</v>
      </c>
      <c r="K137" s="15">
        <v>100</v>
      </c>
      <c r="L137" s="15">
        <v>250</v>
      </c>
      <c r="M137" s="15">
        <v>100</v>
      </c>
      <c r="N137" s="15">
        <v>100</v>
      </c>
      <c r="O137" s="15">
        <v>50</v>
      </c>
      <c r="P137" s="15">
        <v>100</v>
      </c>
      <c r="Q137" s="15">
        <v>250</v>
      </c>
      <c r="R137" s="15">
        <v>100</v>
      </c>
      <c r="S137" s="15"/>
    </row>
    <row r="138" spans="1:19">
      <c r="A138" s="8"/>
      <c r="B138" s="15">
        <v>4</v>
      </c>
      <c r="C138" s="15">
        <v>47</v>
      </c>
      <c r="D138" s="11" t="s">
        <v>1857</v>
      </c>
      <c r="E138" s="15">
        <v>420</v>
      </c>
      <c r="F138" s="11" t="s">
        <v>1866</v>
      </c>
      <c r="G138" s="15">
        <v>1300000</v>
      </c>
      <c r="H138" s="15">
        <v>2</v>
      </c>
      <c r="I138" s="15">
        <v>150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100</v>
      </c>
      <c r="P138" s="15">
        <v>250</v>
      </c>
      <c r="Q138" s="15">
        <v>100</v>
      </c>
      <c r="R138" s="15">
        <v>100</v>
      </c>
      <c r="S138" s="15"/>
    </row>
    <row r="139" spans="1:19">
      <c r="A139" s="8"/>
      <c r="B139" s="15">
        <v>4</v>
      </c>
      <c r="C139" s="15">
        <v>48</v>
      </c>
      <c r="D139" s="11" t="s">
        <v>1858</v>
      </c>
      <c r="E139" s="15">
        <v>420</v>
      </c>
      <c r="F139" s="11" t="s">
        <v>1866</v>
      </c>
      <c r="G139" s="15">
        <v>38000000</v>
      </c>
      <c r="H139" s="15">
        <v>5</v>
      </c>
      <c r="I139" s="15">
        <v>200</v>
      </c>
      <c r="J139" s="15">
        <v>100</v>
      </c>
      <c r="K139" s="15">
        <v>250</v>
      </c>
      <c r="L139" s="15">
        <v>100</v>
      </c>
      <c r="M139" s="15">
        <v>100</v>
      </c>
      <c r="N139" s="15">
        <v>100</v>
      </c>
      <c r="O139" s="15">
        <v>100</v>
      </c>
      <c r="P139" s="15">
        <v>250</v>
      </c>
      <c r="Q139" s="15">
        <v>50</v>
      </c>
      <c r="R139" s="15">
        <v>100</v>
      </c>
      <c r="S139" s="15"/>
    </row>
    <row r="140" spans="1:19">
      <c r="A140" s="8"/>
      <c r="B140" s="15">
        <v>4</v>
      </c>
      <c r="C140" s="15">
        <v>49</v>
      </c>
      <c r="D140" s="11" t="s">
        <v>2134</v>
      </c>
      <c r="E140" s="15">
        <v>420</v>
      </c>
      <c r="F140" s="11" t="s">
        <v>2116</v>
      </c>
      <c r="G140" s="15">
        <v>1500000</v>
      </c>
      <c r="H140" s="15">
        <v>2</v>
      </c>
      <c r="I140" s="15">
        <v>150</v>
      </c>
      <c r="J140" s="15">
        <v>250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250</v>
      </c>
      <c r="Q140" s="15">
        <v>50</v>
      </c>
      <c r="R140" s="15">
        <v>100</v>
      </c>
      <c r="S140" s="15"/>
    </row>
    <row r="141" spans="1:19">
      <c r="A141" s="8"/>
      <c r="B141" s="15">
        <v>4</v>
      </c>
      <c r="C141" s="15">
        <v>50</v>
      </c>
      <c r="D141" s="11" t="s">
        <v>2135</v>
      </c>
      <c r="E141" s="15">
        <v>420</v>
      </c>
      <c r="F141" s="11" t="s">
        <v>2117</v>
      </c>
      <c r="G141" s="15">
        <v>18500000</v>
      </c>
      <c r="H141" s="15">
        <v>6</v>
      </c>
      <c r="I141" s="15">
        <v>650</v>
      </c>
      <c r="J141" s="15">
        <v>100</v>
      </c>
      <c r="K141" s="15">
        <v>100</v>
      </c>
      <c r="L141" s="15">
        <v>100</v>
      </c>
      <c r="M141" s="15">
        <v>100</v>
      </c>
      <c r="N141" s="15">
        <v>100</v>
      </c>
      <c r="O141" s="15">
        <v>250</v>
      </c>
      <c r="P141" s="15">
        <v>100</v>
      </c>
      <c r="Q141" s="15">
        <v>100</v>
      </c>
      <c r="R141" s="15">
        <v>100</v>
      </c>
      <c r="S141" s="15"/>
    </row>
    <row r="142" spans="1:19">
      <c r="A142" s="8"/>
      <c r="B142" s="15">
        <v>4</v>
      </c>
      <c r="C142" s="15">
        <v>51</v>
      </c>
      <c r="D142" s="11" t="s">
        <v>2136</v>
      </c>
      <c r="E142" s="15">
        <v>420</v>
      </c>
      <c r="F142" s="11" t="s">
        <v>2118</v>
      </c>
      <c r="G142" s="15">
        <v>2000000</v>
      </c>
      <c r="H142" s="15">
        <v>5</v>
      </c>
      <c r="I142" s="15">
        <v>350</v>
      </c>
      <c r="J142" s="15">
        <v>100</v>
      </c>
      <c r="K142" s="15">
        <v>25</v>
      </c>
      <c r="L142" s="15">
        <v>150</v>
      </c>
      <c r="M142" s="15">
        <v>100</v>
      </c>
      <c r="N142" s="15">
        <v>100</v>
      </c>
      <c r="O142" s="15">
        <v>100</v>
      </c>
      <c r="P142" s="15">
        <v>150</v>
      </c>
      <c r="Q142" s="15">
        <v>50</v>
      </c>
      <c r="R142" s="15">
        <v>100</v>
      </c>
      <c r="S142" s="15"/>
    </row>
    <row r="143" spans="1:19">
      <c r="A143" s="8"/>
      <c r="B143" s="15">
        <v>4</v>
      </c>
      <c r="C143" s="15">
        <v>52</v>
      </c>
      <c r="D143" s="11" t="s">
        <v>2137</v>
      </c>
      <c r="E143" s="15">
        <v>420</v>
      </c>
      <c r="F143" s="11" t="s">
        <v>2119</v>
      </c>
      <c r="G143" s="15">
        <v>28000000</v>
      </c>
      <c r="H143" s="15">
        <v>3</v>
      </c>
      <c r="I143" s="15">
        <v>999</v>
      </c>
      <c r="J143" s="15">
        <v>100</v>
      </c>
      <c r="K143" s="15">
        <v>100</v>
      </c>
      <c r="L143" s="15">
        <v>100</v>
      </c>
      <c r="M143" s="15">
        <v>100</v>
      </c>
      <c r="N143" s="15">
        <v>100</v>
      </c>
      <c r="O143" s="15">
        <v>250</v>
      </c>
      <c r="P143" s="15">
        <v>100</v>
      </c>
      <c r="Q143" s="15">
        <v>100</v>
      </c>
      <c r="R143" s="15">
        <v>100</v>
      </c>
      <c r="S143" s="15"/>
    </row>
    <row r="144" spans="1:19">
      <c r="A144" s="8"/>
      <c r="B144" s="15">
        <v>5</v>
      </c>
      <c r="C144" s="15">
        <v>1</v>
      </c>
      <c r="D144" s="11" t="s">
        <v>556</v>
      </c>
      <c r="E144" s="15">
        <v>280</v>
      </c>
      <c r="F144" s="11" t="s">
        <v>772</v>
      </c>
      <c r="G144" s="15">
        <v>42000</v>
      </c>
      <c r="H144" s="15">
        <v>5</v>
      </c>
      <c r="I144" s="15">
        <v>300</v>
      </c>
      <c r="J144" s="15">
        <v>100</v>
      </c>
      <c r="K144" s="15">
        <v>100</v>
      </c>
      <c r="L144" s="15">
        <v>100</v>
      </c>
      <c r="M144" s="15">
        <v>100</v>
      </c>
      <c r="N144" s="15">
        <v>100</v>
      </c>
      <c r="O144" s="15">
        <v>100</v>
      </c>
      <c r="P144" s="15">
        <v>100</v>
      </c>
      <c r="Q144" s="15">
        <v>100</v>
      </c>
      <c r="R144" s="15">
        <v>75</v>
      </c>
      <c r="S144" s="15"/>
    </row>
    <row r="145" spans="1:19">
      <c r="A145" s="8"/>
      <c r="B145" s="15">
        <v>5</v>
      </c>
      <c r="C145" s="15">
        <v>2</v>
      </c>
      <c r="D145" s="11" t="s">
        <v>557</v>
      </c>
      <c r="E145" s="15">
        <v>300</v>
      </c>
      <c r="F145" s="11" t="s">
        <v>806</v>
      </c>
      <c r="G145" s="15">
        <v>26000</v>
      </c>
      <c r="H145" s="15">
        <v>2</v>
      </c>
      <c r="I145" s="15">
        <v>150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75</v>
      </c>
      <c r="S145" s="15"/>
    </row>
    <row r="146" spans="1:19">
      <c r="A146" s="8"/>
      <c r="B146" s="15">
        <v>5</v>
      </c>
      <c r="C146" s="15">
        <v>3</v>
      </c>
      <c r="D146" s="11" t="s">
        <v>558</v>
      </c>
      <c r="E146" s="15">
        <v>310</v>
      </c>
      <c r="F146" s="11" t="s">
        <v>807</v>
      </c>
      <c r="G146" s="15">
        <v>47000</v>
      </c>
      <c r="H146" s="15">
        <v>2</v>
      </c>
      <c r="I146" s="15">
        <v>150</v>
      </c>
      <c r="J146" s="15">
        <v>200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75</v>
      </c>
      <c r="S146" s="15"/>
    </row>
    <row r="147" spans="1:19">
      <c r="A147" s="8"/>
      <c r="B147" s="15">
        <v>5</v>
      </c>
      <c r="C147" s="15">
        <v>4</v>
      </c>
      <c r="D147" s="11" t="s">
        <v>2146</v>
      </c>
      <c r="E147" s="15">
        <v>265</v>
      </c>
      <c r="F147" s="11" t="s">
        <v>2147</v>
      </c>
      <c r="G147" s="15">
        <v>53000</v>
      </c>
      <c r="H147" s="15">
        <v>2</v>
      </c>
      <c r="I147" s="15">
        <v>150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25</v>
      </c>
      <c r="P147" s="15">
        <v>100</v>
      </c>
      <c r="Q147" s="15">
        <v>150</v>
      </c>
      <c r="R147" s="15">
        <v>100</v>
      </c>
      <c r="S147" s="15"/>
    </row>
    <row r="148" spans="1:19">
      <c r="A148" s="8"/>
      <c r="B148" s="15">
        <v>5</v>
      </c>
      <c r="C148" s="15">
        <v>5</v>
      </c>
      <c r="D148" s="11" t="s">
        <v>559</v>
      </c>
      <c r="E148" s="15">
        <v>320</v>
      </c>
      <c r="F148" s="11" t="s">
        <v>778</v>
      </c>
      <c r="G148" s="15">
        <v>56000</v>
      </c>
      <c r="H148" s="15">
        <v>2</v>
      </c>
      <c r="I148" s="15">
        <v>150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50</v>
      </c>
      <c r="S148" s="15"/>
    </row>
    <row r="149" spans="1:19">
      <c r="A149" s="8"/>
      <c r="B149" s="15">
        <v>5</v>
      </c>
      <c r="C149" s="15">
        <v>6</v>
      </c>
      <c r="D149" s="11" t="s">
        <v>560</v>
      </c>
      <c r="E149" s="15">
        <v>330</v>
      </c>
      <c r="F149" s="11" t="s">
        <v>807</v>
      </c>
      <c r="G149" s="15">
        <v>47000</v>
      </c>
      <c r="H149" s="15">
        <v>2</v>
      </c>
      <c r="I149" s="15">
        <v>150</v>
      </c>
      <c r="J149" s="15">
        <v>100</v>
      </c>
      <c r="K149" s="15">
        <v>100</v>
      </c>
      <c r="L149" s="15">
        <v>200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50</v>
      </c>
      <c r="S149" s="15"/>
    </row>
    <row r="150" spans="1:19">
      <c r="A150" s="8"/>
      <c r="B150" s="15">
        <v>5</v>
      </c>
      <c r="C150" s="15">
        <v>7</v>
      </c>
      <c r="D150" s="11" t="s">
        <v>2145</v>
      </c>
      <c r="E150" s="15">
        <v>265</v>
      </c>
      <c r="F150" s="11" t="s">
        <v>785</v>
      </c>
      <c r="G150" s="15">
        <v>76000</v>
      </c>
      <c r="H150" s="15">
        <v>2</v>
      </c>
      <c r="I150" s="15">
        <v>150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25</v>
      </c>
      <c r="P150" s="15">
        <v>100</v>
      </c>
      <c r="Q150" s="15">
        <v>150</v>
      </c>
      <c r="R150" s="15">
        <v>100</v>
      </c>
      <c r="S150" s="15"/>
    </row>
    <row r="151" spans="1:19">
      <c r="A151" s="8"/>
      <c r="B151" s="15">
        <v>5</v>
      </c>
      <c r="C151" s="15">
        <v>8</v>
      </c>
      <c r="D151" s="11" t="s">
        <v>561</v>
      </c>
      <c r="E151" s="15">
        <v>340</v>
      </c>
      <c r="F151" s="11" t="s">
        <v>807</v>
      </c>
      <c r="G151" s="15">
        <v>47000</v>
      </c>
      <c r="H151" s="15">
        <v>2</v>
      </c>
      <c r="I151" s="15">
        <v>150</v>
      </c>
      <c r="J151" s="15">
        <v>100</v>
      </c>
      <c r="K151" s="15">
        <v>100</v>
      </c>
      <c r="L151" s="15">
        <v>100</v>
      </c>
      <c r="M151" s="15">
        <v>200</v>
      </c>
      <c r="N151" s="15">
        <v>100</v>
      </c>
      <c r="O151" s="15">
        <v>100</v>
      </c>
      <c r="P151" s="15">
        <v>100</v>
      </c>
      <c r="Q151" s="15">
        <v>100</v>
      </c>
      <c r="R151" s="15">
        <v>50</v>
      </c>
      <c r="S151" s="15"/>
    </row>
    <row r="152" spans="1:19">
      <c r="A152" s="8"/>
      <c r="B152" s="15">
        <v>5</v>
      </c>
      <c r="C152" s="15">
        <v>9</v>
      </c>
      <c r="D152" s="11" t="s">
        <v>562</v>
      </c>
      <c r="E152" s="15">
        <v>345</v>
      </c>
      <c r="F152" s="11" t="s">
        <v>807</v>
      </c>
      <c r="G152" s="15">
        <v>47000</v>
      </c>
      <c r="H152" s="15">
        <v>2</v>
      </c>
      <c r="I152" s="15">
        <v>150</v>
      </c>
      <c r="J152" s="15">
        <v>100</v>
      </c>
      <c r="K152" s="15">
        <v>200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50</v>
      </c>
      <c r="S152" s="15"/>
    </row>
    <row r="153" spans="1:19">
      <c r="A153" s="8"/>
      <c r="B153" s="15">
        <v>5</v>
      </c>
      <c r="C153" s="15">
        <v>10</v>
      </c>
      <c r="D153" s="11" t="s">
        <v>563</v>
      </c>
      <c r="E153" s="15">
        <v>350</v>
      </c>
      <c r="F153" s="11" t="s">
        <v>780</v>
      </c>
      <c r="G153" s="15">
        <v>68000</v>
      </c>
      <c r="H153" s="15">
        <v>2</v>
      </c>
      <c r="I153" s="15">
        <v>150</v>
      </c>
      <c r="J153" s="15">
        <v>100</v>
      </c>
      <c r="K153" s="15">
        <v>100</v>
      </c>
      <c r="L153" s="15">
        <v>100</v>
      </c>
      <c r="M153" s="15">
        <v>100</v>
      </c>
      <c r="N153" s="15">
        <v>200</v>
      </c>
      <c r="O153" s="15">
        <v>100</v>
      </c>
      <c r="P153" s="15">
        <v>100</v>
      </c>
      <c r="Q153" s="15">
        <v>100</v>
      </c>
      <c r="R153" s="15">
        <v>50</v>
      </c>
      <c r="S153" s="15"/>
    </row>
    <row r="154" spans="1:19">
      <c r="A154" s="8"/>
      <c r="B154" s="15">
        <v>5</v>
      </c>
      <c r="C154" s="15">
        <v>11</v>
      </c>
      <c r="D154" s="11" t="s">
        <v>564</v>
      </c>
      <c r="E154" s="15">
        <v>360</v>
      </c>
      <c r="F154" s="11" t="s">
        <v>758</v>
      </c>
      <c r="G154" s="15">
        <v>300000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100</v>
      </c>
      <c r="P154" s="15">
        <v>100</v>
      </c>
      <c r="Q154" s="15">
        <v>100</v>
      </c>
      <c r="R154" s="15">
        <v>25</v>
      </c>
      <c r="S154" s="15"/>
    </row>
    <row r="155" spans="1:19">
      <c r="A155" s="8"/>
      <c r="B155" s="15">
        <v>5</v>
      </c>
      <c r="C155" s="15">
        <v>12</v>
      </c>
      <c r="D155" s="11" t="s">
        <v>565</v>
      </c>
      <c r="E155" s="15">
        <v>360</v>
      </c>
      <c r="F155" s="11" t="s">
        <v>759</v>
      </c>
      <c r="G155" s="15">
        <v>1200000</v>
      </c>
      <c r="H155" s="15">
        <v>8</v>
      </c>
      <c r="I155" s="15">
        <v>700</v>
      </c>
      <c r="J155" s="15">
        <v>100</v>
      </c>
      <c r="K155" s="15">
        <v>100</v>
      </c>
      <c r="L155" s="15">
        <v>100</v>
      </c>
      <c r="M155" s="15">
        <v>100</v>
      </c>
      <c r="N155" s="15">
        <v>100</v>
      </c>
      <c r="O155" s="15">
        <v>100</v>
      </c>
      <c r="P155" s="15">
        <v>100</v>
      </c>
      <c r="Q155" s="15">
        <v>100</v>
      </c>
      <c r="R155" s="15">
        <v>25</v>
      </c>
      <c r="S155" s="15"/>
    </row>
    <row r="156" spans="1:19">
      <c r="A156" s="8"/>
      <c r="B156" s="15">
        <v>6</v>
      </c>
      <c r="C156" s="15">
        <v>1</v>
      </c>
      <c r="D156" s="11" t="s">
        <v>71</v>
      </c>
      <c r="E156" s="15">
        <v>430</v>
      </c>
      <c r="F156" s="11" t="s">
        <v>1630</v>
      </c>
      <c r="G156" s="15">
        <v>900000</v>
      </c>
      <c r="H156" s="15">
        <v>5</v>
      </c>
      <c r="I156" s="15">
        <v>300</v>
      </c>
      <c r="J156" s="15">
        <v>100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>
        <v>48</v>
      </c>
    </row>
    <row r="157" spans="1:19">
      <c r="A157" s="8"/>
      <c r="B157" s="15">
        <v>6</v>
      </c>
      <c r="C157" s="15">
        <v>2</v>
      </c>
      <c r="D157" s="11" t="s">
        <v>69</v>
      </c>
      <c r="E157" s="15">
        <v>430</v>
      </c>
      <c r="F157" s="11" t="s">
        <v>1631</v>
      </c>
      <c r="G157" s="15">
        <v>1000000</v>
      </c>
      <c r="H157" s="15">
        <v>5</v>
      </c>
      <c r="I157" s="15">
        <v>300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100</v>
      </c>
      <c r="P157" s="15">
        <v>100</v>
      </c>
      <c r="Q157" s="15">
        <v>100</v>
      </c>
      <c r="R157" s="15">
        <v>100</v>
      </c>
      <c r="S157" s="15">
        <v>48</v>
      </c>
    </row>
    <row r="158" spans="1:19">
      <c r="A158" s="8"/>
      <c r="B158" s="15">
        <v>6</v>
      </c>
      <c r="C158" s="15">
        <v>3</v>
      </c>
      <c r="D158" s="11" t="s">
        <v>1691</v>
      </c>
      <c r="E158" s="15">
        <v>430</v>
      </c>
      <c r="F158" s="11" t="s">
        <v>1630</v>
      </c>
      <c r="G158" s="15">
        <v>1000000</v>
      </c>
      <c r="H158" s="15">
        <v>5</v>
      </c>
      <c r="I158" s="15">
        <v>300</v>
      </c>
      <c r="J158" s="15">
        <v>100</v>
      </c>
      <c r="K158" s="15">
        <v>250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100</v>
      </c>
      <c r="S158" s="15">
        <v>49</v>
      </c>
    </row>
    <row r="159" spans="1:19">
      <c r="A159" s="8"/>
      <c r="B159" s="15">
        <v>6</v>
      </c>
      <c r="C159" s="15">
        <v>4</v>
      </c>
      <c r="D159" s="11" t="s">
        <v>1690</v>
      </c>
      <c r="E159" s="15">
        <v>340</v>
      </c>
      <c r="F159" s="11" t="s">
        <v>1693</v>
      </c>
      <c r="G159" s="15">
        <v>1700000</v>
      </c>
      <c r="H159" s="15">
        <v>5</v>
      </c>
      <c r="I159" s="15">
        <v>300</v>
      </c>
      <c r="J159" s="15">
        <v>100</v>
      </c>
      <c r="K159" s="15">
        <v>100</v>
      </c>
      <c r="L159" s="15">
        <v>100</v>
      </c>
      <c r="M159" s="15">
        <v>250</v>
      </c>
      <c r="N159" s="15">
        <v>250</v>
      </c>
      <c r="O159" s="15">
        <v>100</v>
      </c>
      <c r="P159" s="15">
        <v>100</v>
      </c>
      <c r="Q159" s="15">
        <v>100</v>
      </c>
      <c r="R159" s="15">
        <v>100</v>
      </c>
      <c r="S159" s="15">
        <v>50</v>
      </c>
    </row>
    <row r="160" spans="1:19">
      <c r="A160" s="8"/>
      <c r="B160" s="15">
        <v>6</v>
      </c>
      <c r="C160" s="15">
        <v>5</v>
      </c>
      <c r="D160" s="11" t="s">
        <v>208</v>
      </c>
      <c r="E160" s="15">
        <v>340</v>
      </c>
      <c r="F160" s="11" t="s">
        <v>1762</v>
      </c>
      <c r="G160" s="15">
        <v>2905000</v>
      </c>
      <c r="H160" s="15">
        <v>8</v>
      </c>
      <c r="I160" s="15">
        <v>999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100</v>
      </c>
      <c r="S160" s="15">
        <v>51</v>
      </c>
    </row>
    <row r="161" spans="1:19">
      <c r="A161" s="8"/>
      <c r="B161" s="15">
        <v>6</v>
      </c>
      <c r="C161" s="15">
        <v>6</v>
      </c>
      <c r="D161" s="11" t="s">
        <v>1821</v>
      </c>
      <c r="E161" s="15">
        <v>340</v>
      </c>
      <c r="F161" s="11" t="s">
        <v>1630</v>
      </c>
      <c r="G161" s="15">
        <v>1000000</v>
      </c>
      <c r="H161" s="15">
        <v>5</v>
      </c>
      <c r="I161" s="15">
        <v>300</v>
      </c>
      <c r="J161" s="15">
        <v>100</v>
      </c>
      <c r="K161" s="15">
        <v>100</v>
      </c>
      <c r="L161" s="15">
        <v>100</v>
      </c>
      <c r="M161" s="15">
        <v>100</v>
      </c>
      <c r="N161" s="15">
        <v>250</v>
      </c>
      <c r="O161" s="15">
        <v>100</v>
      </c>
      <c r="P161" s="15">
        <v>100</v>
      </c>
      <c r="Q161" s="15">
        <v>150</v>
      </c>
      <c r="R161" s="15">
        <v>100</v>
      </c>
      <c r="S161" s="15">
        <v>52</v>
      </c>
    </row>
    <row r="162" spans="1:19">
      <c r="A162" s="8"/>
      <c r="B162" s="15">
        <v>6</v>
      </c>
      <c r="C162" s="15">
        <v>7</v>
      </c>
      <c r="D162" s="11" t="s">
        <v>1868</v>
      </c>
      <c r="E162" s="15">
        <v>340</v>
      </c>
      <c r="F162" s="11" t="s">
        <v>2120</v>
      </c>
      <c r="G162" s="15">
        <v>6900000</v>
      </c>
      <c r="H162" s="15">
        <v>6</v>
      </c>
      <c r="I162" s="15">
        <v>500</v>
      </c>
      <c r="J162" s="15">
        <v>100</v>
      </c>
      <c r="K162" s="15">
        <v>100</v>
      </c>
      <c r="L162" s="15">
        <v>250</v>
      </c>
      <c r="M162" s="15">
        <v>100</v>
      </c>
      <c r="N162" s="15">
        <v>100</v>
      </c>
      <c r="O162" s="15">
        <v>100</v>
      </c>
      <c r="P162" s="15">
        <v>150</v>
      </c>
      <c r="Q162" s="15">
        <v>150</v>
      </c>
      <c r="R162" s="15">
        <v>100</v>
      </c>
      <c r="S162" s="15">
        <v>53</v>
      </c>
    </row>
    <row r="163" spans="1:19">
      <c r="A163" s="8"/>
      <c r="B163" s="15">
        <v>6</v>
      </c>
      <c r="C163" s="15">
        <v>8</v>
      </c>
      <c r="D163" s="11" t="s">
        <v>2038</v>
      </c>
      <c r="E163" s="15">
        <v>300</v>
      </c>
      <c r="F163" s="11" t="s">
        <v>2121</v>
      </c>
      <c r="G163" s="15">
        <v>60000</v>
      </c>
      <c r="H163" s="15">
        <v>5</v>
      </c>
      <c r="I163" s="15">
        <v>500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100</v>
      </c>
      <c r="S163" s="15">
        <v>54</v>
      </c>
    </row>
    <row r="164" spans="1:19">
      <c r="A164" s="8"/>
      <c r="B164" s="15">
        <v>6</v>
      </c>
      <c r="C164" s="15">
        <v>9</v>
      </c>
      <c r="D164" s="11" t="s">
        <v>2039</v>
      </c>
      <c r="E164" s="15">
        <v>300</v>
      </c>
      <c r="F164" s="11" t="s">
        <v>2121</v>
      </c>
      <c r="G164" s="15">
        <v>60000</v>
      </c>
      <c r="H164" s="15">
        <v>5</v>
      </c>
      <c r="I164" s="15">
        <v>500</v>
      </c>
      <c r="J164" s="15">
        <v>100</v>
      </c>
      <c r="K164" s="15">
        <v>100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>
        <v>54</v>
      </c>
    </row>
    <row r="165" spans="1:19">
      <c r="A165" s="8"/>
      <c r="B165" s="15">
        <v>6</v>
      </c>
      <c r="C165" s="15">
        <v>10</v>
      </c>
      <c r="D165" s="11" t="s">
        <v>2060</v>
      </c>
      <c r="E165" s="15">
        <v>300</v>
      </c>
      <c r="F165" s="11" t="s">
        <v>2122</v>
      </c>
      <c r="G165" s="15">
        <v>7200000</v>
      </c>
      <c r="H165" s="15">
        <v>5</v>
      </c>
      <c r="I165" s="15">
        <v>500</v>
      </c>
      <c r="J165" s="15">
        <v>250</v>
      </c>
      <c r="K165" s="15">
        <v>100</v>
      </c>
      <c r="L165" s="15">
        <v>100</v>
      </c>
      <c r="M165" s="15">
        <v>100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>
        <v>55</v>
      </c>
    </row>
    <row r="166" spans="1:19">
      <c r="A166" s="8"/>
      <c r="B166" s="15">
        <v>6</v>
      </c>
      <c r="C166" s="15">
        <v>11</v>
      </c>
      <c r="D166" s="11" t="s">
        <v>2112</v>
      </c>
      <c r="E166" s="15">
        <v>300</v>
      </c>
      <c r="F166" s="11" t="s">
        <v>2138</v>
      </c>
      <c r="G166" s="15">
        <v>13455000</v>
      </c>
      <c r="H166" s="15">
        <v>6</v>
      </c>
      <c r="I166" s="15">
        <v>700</v>
      </c>
      <c r="J166" s="15">
        <v>100</v>
      </c>
      <c r="K166" s="15">
        <v>100</v>
      </c>
      <c r="L166" s="15">
        <v>250</v>
      </c>
      <c r="M166" s="15">
        <v>100</v>
      </c>
      <c r="N166" s="15">
        <v>250</v>
      </c>
      <c r="O166" s="15">
        <v>100</v>
      </c>
      <c r="P166" s="15">
        <v>100</v>
      </c>
      <c r="Q166" s="15">
        <v>100</v>
      </c>
      <c r="R166" s="15">
        <v>100</v>
      </c>
      <c r="S166" s="15">
        <v>56</v>
      </c>
    </row>
    <row r="167" spans="1:19">
      <c r="A167" s="8"/>
      <c r="B167" s="15">
        <v>7</v>
      </c>
      <c r="C167" s="15">
        <v>1</v>
      </c>
      <c r="D167" s="11" t="s">
        <v>581</v>
      </c>
      <c r="E167" s="15">
        <v>400</v>
      </c>
      <c r="F167" s="11" t="s">
        <v>808</v>
      </c>
      <c r="G167" s="15">
        <v>235000</v>
      </c>
      <c r="H167" s="15">
        <v>5</v>
      </c>
      <c r="I167" s="15">
        <v>300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</v>
      </c>
      <c r="S167" s="15"/>
    </row>
    <row r="168" spans="1:19">
      <c r="A168" s="8"/>
      <c r="B168" s="15">
        <v>7</v>
      </c>
      <c r="C168" s="15">
        <v>2</v>
      </c>
      <c r="D168" s="11" t="s">
        <v>582</v>
      </c>
      <c r="E168" s="15">
        <v>380</v>
      </c>
      <c r="F168" s="11" t="s">
        <v>809</v>
      </c>
      <c r="G168" s="15">
        <v>175000</v>
      </c>
      <c r="H168" s="15">
        <v>5</v>
      </c>
      <c r="I168" s="15">
        <v>300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</v>
      </c>
      <c r="S168" s="15"/>
    </row>
    <row r="169" spans="1:19">
      <c r="A169" s="8"/>
      <c r="B169" s="15">
        <v>7</v>
      </c>
      <c r="C169" s="15">
        <v>3</v>
      </c>
      <c r="D169" s="11" t="s">
        <v>583</v>
      </c>
      <c r="E169" s="15">
        <v>360</v>
      </c>
      <c r="F169" s="11" t="s">
        <v>810</v>
      </c>
      <c r="G169" s="15">
        <v>124000</v>
      </c>
      <c r="H169" s="15">
        <v>5</v>
      </c>
      <c r="I169" s="15">
        <v>300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</v>
      </c>
      <c r="S169" s="15"/>
    </row>
    <row r="170" spans="1:19">
      <c r="A170" s="8"/>
      <c r="B170" s="15">
        <v>7</v>
      </c>
      <c r="C170" s="15">
        <v>4</v>
      </c>
      <c r="D170" s="11" t="s">
        <v>584</v>
      </c>
      <c r="E170" s="15">
        <v>340</v>
      </c>
      <c r="F170" s="11" t="s">
        <v>811</v>
      </c>
      <c r="G170" s="15">
        <v>82500</v>
      </c>
      <c r="H170" s="15">
        <v>5</v>
      </c>
      <c r="I170" s="15">
        <v>300</v>
      </c>
      <c r="J170" s="15">
        <v>100</v>
      </c>
      <c r="K170" s="15">
        <v>100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</v>
      </c>
      <c r="S170" s="15"/>
    </row>
    <row r="171" spans="1:19">
      <c r="A171" s="8"/>
      <c r="B171" s="15">
        <v>8</v>
      </c>
      <c r="C171" s="15">
        <v>1</v>
      </c>
      <c r="D171" s="11" t="s">
        <v>882</v>
      </c>
      <c r="E171" s="15">
        <v>355</v>
      </c>
      <c r="F171" s="11" t="s">
        <v>899</v>
      </c>
      <c r="G171" s="15">
        <v>238600</v>
      </c>
      <c r="H171" s="15">
        <v>5</v>
      </c>
      <c r="I171" s="15">
        <v>300</v>
      </c>
      <c r="J171" s="15">
        <v>250</v>
      </c>
      <c r="K171" s="15">
        <v>100</v>
      </c>
      <c r="L171" s="15">
        <v>100</v>
      </c>
      <c r="M171" s="15">
        <v>250</v>
      </c>
      <c r="N171" s="15">
        <v>100</v>
      </c>
      <c r="O171" s="15">
        <v>100</v>
      </c>
      <c r="P171" s="15">
        <v>100</v>
      </c>
      <c r="Q171" s="15">
        <v>100</v>
      </c>
      <c r="R171" s="15">
        <v>100</v>
      </c>
      <c r="S171" s="15"/>
    </row>
    <row r="172" spans="1:19">
      <c r="A172" s="8"/>
      <c r="B172" s="15">
        <v>8</v>
      </c>
      <c r="C172" s="15">
        <v>2</v>
      </c>
      <c r="D172" s="11" t="s">
        <v>884</v>
      </c>
      <c r="E172" s="15">
        <v>355</v>
      </c>
      <c r="F172" s="11" t="s">
        <v>898</v>
      </c>
      <c r="G172" s="15">
        <v>2164700</v>
      </c>
      <c r="H172" s="15">
        <v>5</v>
      </c>
      <c r="I172" s="15">
        <v>300</v>
      </c>
      <c r="J172" s="15">
        <v>250</v>
      </c>
      <c r="K172" s="15">
        <v>100</v>
      </c>
      <c r="L172" s="15">
        <v>100</v>
      </c>
      <c r="M172" s="15">
        <v>250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/>
    </row>
    <row r="173" spans="1:19">
      <c r="A173" s="8"/>
      <c r="B173" s="15">
        <v>8</v>
      </c>
      <c r="C173" s="15">
        <v>3</v>
      </c>
      <c r="D173" s="11" t="s">
        <v>881</v>
      </c>
      <c r="E173" s="15">
        <v>370</v>
      </c>
      <c r="F173" s="11" t="s">
        <v>897</v>
      </c>
      <c r="G173" s="15">
        <v>320900</v>
      </c>
      <c r="H173" s="15">
        <v>5</v>
      </c>
      <c r="I173" s="15">
        <v>300</v>
      </c>
      <c r="J173" s="15">
        <v>250</v>
      </c>
      <c r="K173" s="15">
        <v>100</v>
      </c>
      <c r="L173" s="15">
        <v>100</v>
      </c>
      <c r="M173" s="15">
        <v>250</v>
      </c>
      <c r="N173" s="15">
        <v>100</v>
      </c>
      <c r="O173" s="15">
        <v>100</v>
      </c>
      <c r="P173" s="15">
        <v>100</v>
      </c>
      <c r="Q173" s="15">
        <v>100</v>
      </c>
      <c r="R173" s="15">
        <v>100</v>
      </c>
      <c r="S173" s="15"/>
    </row>
    <row r="174" spans="1:19">
      <c r="A174" s="8"/>
      <c r="B174" s="15">
        <v>8</v>
      </c>
      <c r="C174" s="15">
        <v>4</v>
      </c>
      <c r="D174" s="11" t="s">
        <v>883</v>
      </c>
      <c r="E174" s="15">
        <v>370</v>
      </c>
      <c r="F174" s="11" t="s">
        <v>896</v>
      </c>
      <c r="G174" s="15">
        <v>2911200</v>
      </c>
      <c r="H174" s="15">
        <v>5</v>
      </c>
      <c r="I174" s="15">
        <v>300</v>
      </c>
      <c r="J174" s="15">
        <v>250</v>
      </c>
      <c r="K174" s="15">
        <v>100</v>
      </c>
      <c r="L174" s="15">
        <v>100</v>
      </c>
      <c r="M174" s="15">
        <v>250</v>
      </c>
      <c r="N174" s="15">
        <v>100</v>
      </c>
      <c r="O174" s="15">
        <v>100</v>
      </c>
      <c r="P174" s="15">
        <v>100</v>
      </c>
      <c r="Q174" s="15">
        <v>100</v>
      </c>
      <c r="R174" s="15">
        <v>100</v>
      </c>
      <c r="S174" s="15"/>
    </row>
    <row r="175" spans="1:19">
      <c r="A175" s="8"/>
      <c r="B175" s="15">
        <v>8</v>
      </c>
      <c r="C175" s="15">
        <v>5</v>
      </c>
      <c r="D175" s="11" t="s">
        <v>720</v>
      </c>
      <c r="E175" s="15">
        <v>330</v>
      </c>
      <c r="F175" s="11" t="s">
        <v>812</v>
      </c>
      <c r="G175" s="15">
        <v>4000000</v>
      </c>
      <c r="H175" s="15">
        <v>5</v>
      </c>
      <c r="I175" s="15">
        <v>999</v>
      </c>
      <c r="J175" s="15">
        <v>250</v>
      </c>
      <c r="K175" s="15">
        <v>250</v>
      </c>
      <c r="L175" s="15">
        <v>250</v>
      </c>
      <c r="M175" s="15">
        <v>250</v>
      </c>
      <c r="N175" s="15">
        <v>250</v>
      </c>
      <c r="O175" s="15">
        <v>100</v>
      </c>
      <c r="P175" s="15">
        <v>100</v>
      </c>
      <c r="Q175" s="15">
        <v>100</v>
      </c>
      <c r="R175" s="15">
        <v>100</v>
      </c>
      <c r="S175" s="15"/>
    </row>
    <row r="176" spans="1:19">
      <c r="A176" s="8"/>
      <c r="B176" s="15">
        <v>8</v>
      </c>
      <c r="C176" s="15">
        <v>6</v>
      </c>
      <c r="D176" s="11" t="s">
        <v>719</v>
      </c>
      <c r="E176" s="15">
        <v>340</v>
      </c>
      <c r="F176" s="11" t="s">
        <v>789</v>
      </c>
      <c r="G176" s="15">
        <v>10000000</v>
      </c>
      <c r="H176" s="15">
        <v>5</v>
      </c>
      <c r="I176" s="15">
        <v>999</v>
      </c>
      <c r="J176" s="15">
        <v>250</v>
      </c>
      <c r="K176" s="15">
        <v>250</v>
      </c>
      <c r="L176" s="15">
        <v>250</v>
      </c>
      <c r="M176" s="15">
        <v>250</v>
      </c>
      <c r="N176" s="15">
        <v>250</v>
      </c>
      <c r="O176" s="15">
        <v>100</v>
      </c>
      <c r="P176" s="15">
        <v>100</v>
      </c>
      <c r="Q176" s="15">
        <v>100</v>
      </c>
      <c r="R176" s="15">
        <v>100</v>
      </c>
      <c r="S176" s="15"/>
    </row>
    <row r="177" spans="1:19">
      <c r="A177" s="8"/>
      <c r="B177" s="15">
        <v>8</v>
      </c>
      <c r="C177" s="15">
        <v>7</v>
      </c>
      <c r="D177" s="11" t="s">
        <v>2123</v>
      </c>
      <c r="E177" s="15">
        <v>355</v>
      </c>
      <c r="F177" s="11" t="s">
        <v>1867</v>
      </c>
      <c r="G177" s="15">
        <v>4000000</v>
      </c>
      <c r="H177" s="15">
        <v>5</v>
      </c>
      <c r="I177" s="15">
        <v>300</v>
      </c>
      <c r="J177" s="15">
        <v>250</v>
      </c>
      <c r="K177" s="15">
        <v>100</v>
      </c>
      <c r="L177" s="15">
        <v>100</v>
      </c>
      <c r="M177" s="15">
        <v>100</v>
      </c>
      <c r="N177" s="15">
        <v>100</v>
      </c>
      <c r="O177" s="15">
        <v>100</v>
      </c>
      <c r="P177" s="15">
        <v>100</v>
      </c>
      <c r="Q177" s="15">
        <v>100</v>
      </c>
      <c r="R177" s="15">
        <v>100</v>
      </c>
      <c r="S177" s="15"/>
    </row>
    <row r="178" spans="1:19">
      <c r="A178" s="8"/>
      <c r="B178" s="15">
        <v>8</v>
      </c>
      <c r="C178" s="15">
        <v>8</v>
      </c>
      <c r="D178" s="11" t="s">
        <v>2124</v>
      </c>
      <c r="E178" s="15">
        <v>370</v>
      </c>
      <c r="F178" s="11" t="s">
        <v>796</v>
      </c>
      <c r="G178" s="15">
        <v>8500000</v>
      </c>
      <c r="H178" s="15">
        <v>5</v>
      </c>
      <c r="I178" s="15">
        <v>300</v>
      </c>
      <c r="J178" s="15">
        <v>250</v>
      </c>
      <c r="K178" s="15">
        <v>100</v>
      </c>
      <c r="L178" s="15">
        <v>100</v>
      </c>
      <c r="M178" s="15">
        <v>100</v>
      </c>
      <c r="N178" s="15">
        <v>100</v>
      </c>
      <c r="O178" s="15">
        <v>100</v>
      </c>
      <c r="P178" s="15">
        <v>100</v>
      </c>
      <c r="Q178" s="15">
        <v>100</v>
      </c>
      <c r="R178" s="15">
        <v>100</v>
      </c>
      <c r="S178" s="15"/>
    </row>
    <row r="179" spans="1:19">
      <c r="A179" s="8"/>
      <c r="B179" s="15">
        <v>9</v>
      </c>
      <c r="C179" s="15">
        <v>1</v>
      </c>
      <c r="D179" s="11" t="s">
        <v>845</v>
      </c>
      <c r="E179" s="15">
        <v>290</v>
      </c>
      <c r="F179" s="11" t="s">
        <v>834</v>
      </c>
      <c r="G179" s="15">
        <v>4500000</v>
      </c>
      <c r="H179" s="15">
        <v>5</v>
      </c>
      <c r="I179" s="15">
        <v>400</v>
      </c>
      <c r="J179" s="15">
        <v>100</v>
      </c>
      <c r="K179" s="15">
        <v>100</v>
      </c>
      <c r="L179" s="15">
        <v>100</v>
      </c>
      <c r="M179" s="15">
        <v>100</v>
      </c>
      <c r="N179" s="15">
        <v>100</v>
      </c>
      <c r="O179" s="15">
        <v>150</v>
      </c>
      <c r="P179" s="15">
        <v>50</v>
      </c>
      <c r="Q179" s="15">
        <v>100</v>
      </c>
      <c r="R179" s="15">
        <v>100</v>
      </c>
      <c r="S179" s="15"/>
    </row>
    <row r="180" spans="1:19">
      <c r="A180" s="8"/>
      <c r="B180" s="15">
        <v>9</v>
      </c>
      <c r="C180" s="15">
        <v>2</v>
      </c>
      <c r="D180" s="11" t="s">
        <v>846</v>
      </c>
      <c r="E180" s="15">
        <v>360</v>
      </c>
      <c r="F180" s="11" t="s">
        <v>835</v>
      </c>
      <c r="G180" s="15">
        <v>12000000</v>
      </c>
      <c r="H180" s="15">
        <v>5</v>
      </c>
      <c r="I180" s="15">
        <v>300</v>
      </c>
      <c r="J180" s="15">
        <v>250</v>
      </c>
      <c r="K180" s="15">
        <v>250</v>
      </c>
      <c r="L180" s="15">
        <v>250</v>
      </c>
      <c r="M180" s="15">
        <v>250</v>
      </c>
      <c r="N180" s="15">
        <v>250</v>
      </c>
      <c r="O180" s="15">
        <v>100</v>
      </c>
      <c r="P180" s="15">
        <v>100</v>
      </c>
      <c r="Q180" s="15">
        <v>100</v>
      </c>
      <c r="R180" s="15">
        <v>100</v>
      </c>
      <c r="S180" s="15"/>
    </row>
    <row r="181" spans="1:19">
      <c r="A181" s="8"/>
      <c r="B181" s="15">
        <v>9</v>
      </c>
      <c r="C181" s="15">
        <v>3</v>
      </c>
      <c r="D181" s="11" t="s">
        <v>1653</v>
      </c>
      <c r="E181" s="15">
        <v>400</v>
      </c>
      <c r="F181" s="11" t="s">
        <v>1654</v>
      </c>
      <c r="G181" s="15">
        <v>42000000</v>
      </c>
      <c r="H181" s="15">
        <v>5</v>
      </c>
      <c r="I181" s="15">
        <v>700</v>
      </c>
      <c r="J181" s="15">
        <v>100</v>
      </c>
      <c r="K181" s="15">
        <v>400</v>
      </c>
      <c r="L181" s="15">
        <v>100</v>
      </c>
      <c r="M181" s="15">
        <v>100</v>
      </c>
      <c r="N181" s="15">
        <v>400</v>
      </c>
      <c r="O181" s="15">
        <v>100</v>
      </c>
      <c r="P181" s="15">
        <v>100</v>
      </c>
      <c r="Q181" s="15">
        <v>100</v>
      </c>
      <c r="R181" s="15">
        <v>100</v>
      </c>
      <c r="S181" s="15"/>
    </row>
    <row r="182" spans="1:19">
      <c r="A182" s="8"/>
      <c r="B182" s="15">
        <v>9</v>
      </c>
      <c r="C182" s="15">
        <v>4</v>
      </c>
      <c r="D182" s="11" t="s">
        <v>2132</v>
      </c>
      <c r="E182" s="15">
        <v>400</v>
      </c>
      <c r="F182" s="11" t="s">
        <v>2139</v>
      </c>
      <c r="G182" s="15">
        <v>15000000</v>
      </c>
      <c r="H182" s="15">
        <v>5</v>
      </c>
      <c r="I182" s="15">
        <v>600</v>
      </c>
      <c r="J182" s="15">
        <v>400</v>
      </c>
      <c r="K182" s="15">
        <v>100</v>
      </c>
      <c r="L182" s="15">
        <v>100</v>
      </c>
      <c r="M182" s="15">
        <v>400</v>
      </c>
      <c r="N182" s="15">
        <v>100</v>
      </c>
      <c r="O182" s="15">
        <v>100</v>
      </c>
      <c r="P182" s="15">
        <v>100</v>
      </c>
      <c r="Q182" s="15">
        <v>100</v>
      </c>
      <c r="R182" s="15">
        <v>100</v>
      </c>
      <c r="S182" s="15"/>
    </row>
    <row r="183" spans="1:19">
      <c r="A183" s="8"/>
      <c r="B183" s="15">
        <v>9</v>
      </c>
      <c r="C183" s="15">
        <v>5</v>
      </c>
      <c r="D183" s="11" t="s">
        <v>2133</v>
      </c>
      <c r="E183" s="15">
        <v>400</v>
      </c>
      <c r="F183" s="11" t="s">
        <v>2139</v>
      </c>
      <c r="G183" s="15">
        <v>15000000</v>
      </c>
      <c r="H183" s="15">
        <v>5</v>
      </c>
      <c r="I183" s="15">
        <v>600</v>
      </c>
      <c r="J183" s="15">
        <v>400</v>
      </c>
      <c r="K183" s="15">
        <v>100</v>
      </c>
      <c r="L183" s="15">
        <v>100</v>
      </c>
      <c r="M183" s="15">
        <v>400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100</v>
      </c>
      <c r="S183" s="15"/>
    </row>
    <row r="184" spans="1:19">
      <c r="A184" s="8"/>
      <c r="B184" s="15">
        <v>10</v>
      </c>
      <c r="C184" s="15">
        <v>1</v>
      </c>
      <c r="D184" s="11" t="s">
        <v>2125</v>
      </c>
      <c r="E184" s="15">
        <v>361</v>
      </c>
      <c r="F184" s="11" t="s">
        <v>758</v>
      </c>
      <c r="G184" s="15">
        <v>35100</v>
      </c>
      <c r="H184" s="15">
        <v>5</v>
      </c>
      <c r="I184" s="15">
        <v>300</v>
      </c>
      <c r="J184" s="15">
        <v>100</v>
      </c>
      <c r="K184" s="15">
        <v>100</v>
      </c>
      <c r="L184" s="15">
        <v>100</v>
      </c>
      <c r="M184" s="15">
        <v>100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100</v>
      </c>
      <c r="S184" s="15"/>
    </row>
    <row r="185" spans="1:19">
      <c r="A185" s="8"/>
      <c r="B185" s="15">
        <v>99</v>
      </c>
      <c r="C185" s="15">
        <v>1</v>
      </c>
      <c r="D185" s="11" t="s">
        <v>874</v>
      </c>
      <c r="E185" s="15">
        <v>360</v>
      </c>
      <c r="F185" s="11" t="s">
        <v>875</v>
      </c>
      <c r="G185" s="15">
        <v>10000000</v>
      </c>
      <c r="H185" s="15">
        <v>8</v>
      </c>
      <c r="I185" s="15">
        <v>999</v>
      </c>
      <c r="J185" s="15">
        <v>100</v>
      </c>
      <c r="K185" s="15">
        <v>100</v>
      </c>
      <c r="L185" s="15">
        <v>100</v>
      </c>
      <c r="M185" s="15">
        <v>100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100</v>
      </c>
      <c r="S185" s="15"/>
    </row>
    <row r="186" spans="1:19">
      <c r="A186" s="8"/>
      <c r="B186" s="15">
        <v>99</v>
      </c>
      <c r="C186" s="15">
        <v>2</v>
      </c>
      <c r="D186" s="11" t="s">
        <v>874</v>
      </c>
      <c r="E186" s="15">
        <v>360</v>
      </c>
      <c r="F186" s="11" t="s">
        <v>875</v>
      </c>
      <c r="G186" s="15">
        <v>10000000</v>
      </c>
      <c r="H186" s="15">
        <v>8</v>
      </c>
      <c r="I186" s="15">
        <v>999</v>
      </c>
      <c r="J186" s="15">
        <v>100</v>
      </c>
      <c r="K186" s="15">
        <v>100</v>
      </c>
      <c r="L186" s="15">
        <v>100</v>
      </c>
      <c r="M186" s="15">
        <v>100</v>
      </c>
      <c r="N186" s="15">
        <v>100</v>
      </c>
      <c r="O186" s="15">
        <v>100</v>
      </c>
      <c r="P186" s="15">
        <v>100</v>
      </c>
      <c r="Q186" s="15">
        <v>100</v>
      </c>
      <c r="R186" s="15">
        <v>100</v>
      </c>
      <c r="S186" s="15"/>
    </row>
    <row r="187" spans="1:19">
      <c r="A187" s="8"/>
      <c r="B187" s="15">
        <v>99</v>
      </c>
      <c r="C187" s="15">
        <v>3</v>
      </c>
      <c r="D187" s="11" t="s">
        <v>874</v>
      </c>
      <c r="E187" s="15">
        <v>360</v>
      </c>
      <c r="F187" s="11" t="s">
        <v>875</v>
      </c>
      <c r="G187" s="15">
        <v>10000000</v>
      </c>
      <c r="H187" s="15">
        <v>8</v>
      </c>
      <c r="I187" s="15">
        <v>999</v>
      </c>
      <c r="J187" s="15">
        <v>100</v>
      </c>
      <c r="K187" s="15">
        <v>100</v>
      </c>
      <c r="L187" s="15">
        <v>100</v>
      </c>
      <c r="M187" s="15">
        <v>100</v>
      </c>
      <c r="N187" s="15">
        <v>100</v>
      </c>
      <c r="O187" s="15">
        <v>100</v>
      </c>
      <c r="P187" s="15">
        <v>100</v>
      </c>
      <c r="Q187" s="15">
        <v>100</v>
      </c>
      <c r="R187" s="15">
        <v>100</v>
      </c>
      <c r="S187" s="15"/>
    </row>
    <row r="188" spans="1:19">
      <c r="A188" s="8"/>
      <c r="B188" s="15">
        <v>99</v>
      </c>
      <c r="C188" s="15">
        <v>4</v>
      </c>
      <c r="D188" s="11" t="s">
        <v>874</v>
      </c>
      <c r="E188" s="15">
        <v>360</v>
      </c>
      <c r="F188" s="11" t="s">
        <v>875</v>
      </c>
      <c r="G188" s="15">
        <v>10000000</v>
      </c>
      <c r="H188" s="15">
        <v>8</v>
      </c>
      <c r="I188" s="15">
        <v>999</v>
      </c>
      <c r="J188" s="15">
        <v>100</v>
      </c>
      <c r="K188" s="15">
        <v>100</v>
      </c>
      <c r="L188" s="15">
        <v>100</v>
      </c>
      <c r="M188" s="15">
        <v>100</v>
      </c>
      <c r="N188" s="15">
        <v>100</v>
      </c>
      <c r="O188" s="15">
        <v>100</v>
      </c>
      <c r="P188" s="15">
        <v>100</v>
      </c>
      <c r="Q188" s="15">
        <v>100</v>
      </c>
      <c r="R188" s="15">
        <v>100</v>
      </c>
      <c r="S188" s="15"/>
    </row>
    <row r="189" spans="1:19">
      <c r="A189" s="8"/>
      <c r="B189" s="15">
        <v>99</v>
      </c>
      <c r="C189" s="15">
        <v>5</v>
      </c>
      <c r="D189" s="11" t="s">
        <v>874</v>
      </c>
      <c r="E189" s="15">
        <v>360</v>
      </c>
      <c r="F189" s="11" t="s">
        <v>875</v>
      </c>
      <c r="G189" s="15">
        <v>10000000</v>
      </c>
      <c r="H189" s="15">
        <v>8</v>
      </c>
      <c r="I189" s="15">
        <v>999</v>
      </c>
      <c r="J189" s="15">
        <v>100</v>
      </c>
      <c r="K189" s="15">
        <v>100</v>
      </c>
      <c r="L189" s="15">
        <v>100</v>
      </c>
      <c r="M189" s="15">
        <v>100</v>
      </c>
      <c r="N189" s="15">
        <v>100</v>
      </c>
      <c r="O189" s="15">
        <v>100</v>
      </c>
      <c r="P189" s="15">
        <v>100</v>
      </c>
      <c r="Q189" s="15">
        <v>100</v>
      </c>
      <c r="R189" s="15">
        <v>100</v>
      </c>
      <c r="S189" s="15"/>
    </row>
    <row r="190" spans="1:19">
      <c r="A190" s="8"/>
      <c r="B190" s="15">
        <v>99</v>
      </c>
      <c r="C190" s="15">
        <v>6</v>
      </c>
      <c r="D190" s="11" t="s">
        <v>874</v>
      </c>
      <c r="E190" s="15">
        <v>360</v>
      </c>
      <c r="F190" s="11" t="s">
        <v>875</v>
      </c>
      <c r="G190" s="15">
        <v>10000000</v>
      </c>
      <c r="H190" s="15">
        <v>8</v>
      </c>
      <c r="I190" s="15">
        <v>999</v>
      </c>
      <c r="J190" s="15">
        <v>100</v>
      </c>
      <c r="K190" s="15">
        <v>100</v>
      </c>
      <c r="L190" s="15">
        <v>100</v>
      </c>
      <c r="M190" s="15">
        <v>100</v>
      </c>
      <c r="N190" s="15">
        <v>100</v>
      </c>
      <c r="O190" s="15">
        <v>100</v>
      </c>
      <c r="P190" s="15">
        <v>100</v>
      </c>
      <c r="Q190" s="15">
        <v>100</v>
      </c>
      <c r="R190" s="15">
        <v>100</v>
      </c>
      <c r="S190" s="15"/>
    </row>
    <row r="191" spans="1:19">
      <c r="A191" s="8"/>
      <c r="B191" s="15">
        <v>99</v>
      </c>
      <c r="C191" s="15">
        <v>7</v>
      </c>
      <c r="D191" s="11" t="s">
        <v>874</v>
      </c>
      <c r="E191" s="15">
        <v>360</v>
      </c>
      <c r="F191" s="11" t="s">
        <v>875</v>
      </c>
      <c r="G191" s="15">
        <v>10000000</v>
      </c>
      <c r="H191" s="15">
        <v>8</v>
      </c>
      <c r="I191" s="15">
        <v>999</v>
      </c>
      <c r="J191" s="15">
        <v>100</v>
      </c>
      <c r="K191" s="15">
        <v>100</v>
      </c>
      <c r="L191" s="15">
        <v>100</v>
      </c>
      <c r="M191" s="15">
        <v>100</v>
      </c>
      <c r="N191" s="15">
        <v>100</v>
      </c>
      <c r="O191" s="15">
        <v>100</v>
      </c>
      <c r="P191" s="15">
        <v>100</v>
      </c>
      <c r="Q191" s="15">
        <v>100</v>
      </c>
      <c r="R191" s="15">
        <v>100</v>
      </c>
      <c r="S191" s="15"/>
    </row>
    <row r="192" spans="1:19">
      <c r="A192" s="8"/>
      <c r="B192" s="15">
        <v>99</v>
      </c>
      <c r="C192" s="15">
        <v>8</v>
      </c>
      <c r="D192" s="11" t="s">
        <v>874</v>
      </c>
      <c r="E192" s="15">
        <v>360</v>
      </c>
      <c r="F192" s="11" t="s">
        <v>875</v>
      </c>
      <c r="G192" s="15">
        <v>10000000</v>
      </c>
      <c r="H192" s="15">
        <v>8</v>
      </c>
      <c r="I192" s="15">
        <v>999</v>
      </c>
      <c r="J192" s="15">
        <v>100</v>
      </c>
      <c r="K192" s="15">
        <v>100</v>
      </c>
      <c r="L192" s="15">
        <v>100</v>
      </c>
      <c r="M192" s="15">
        <v>100</v>
      </c>
      <c r="N192" s="15">
        <v>100</v>
      </c>
      <c r="O192" s="15">
        <v>100</v>
      </c>
      <c r="P192" s="15">
        <v>100</v>
      </c>
      <c r="Q192" s="15">
        <v>100</v>
      </c>
      <c r="R192" s="15">
        <v>100</v>
      </c>
      <c r="S192" s="15"/>
    </row>
    <row r="193" spans="1:19">
      <c r="A193" s="8"/>
      <c r="B193" s="15">
        <v>99</v>
      </c>
      <c r="C193" s="15">
        <v>9</v>
      </c>
      <c r="D193" s="11" t="s">
        <v>874</v>
      </c>
      <c r="E193" s="15">
        <v>360</v>
      </c>
      <c r="F193" s="11" t="s">
        <v>875</v>
      </c>
      <c r="G193" s="15">
        <v>10000000</v>
      </c>
      <c r="H193" s="15">
        <v>8</v>
      </c>
      <c r="I193" s="15">
        <v>999</v>
      </c>
      <c r="J193" s="15">
        <v>100</v>
      </c>
      <c r="K193" s="15">
        <v>100</v>
      </c>
      <c r="L193" s="15">
        <v>100</v>
      </c>
      <c r="M193" s="15">
        <v>100</v>
      </c>
      <c r="N193" s="15">
        <v>100</v>
      </c>
      <c r="O193" s="15">
        <v>100</v>
      </c>
      <c r="P193" s="15">
        <v>100</v>
      </c>
      <c r="Q193" s="15">
        <v>100</v>
      </c>
      <c r="R193" s="15">
        <v>100</v>
      </c>
      <c r="S193" s="15"/>
    </row>
    <row r="194" spans="1:19">
      <c r="A194" s="8"/>
      <c r="B194" s="15">
        <v>99</v>
      </c>
      <c r="C194" s="15">
        <v>10</v>
      </c>
      <c r="D194" s="11" t="s">
        <v>874</v>
      </c>
      <c r="E194" s="15">
        <v>360</v>
      </c>
      <c r="F194" s="11" t="s">
        <v>875</v>
      </c>
      <c r="G194" s="15">
        <v>10000000</v>
      </c>
      <c r="H194" s="15">
        <v>8</v>
      </c>
      <c r="I194" s="15">
        <v>999</v>
      </c>
      <c r="J194" s="15">
        <v>100</v>
      </c>
      <c r="K194" s="15">
        <v>100</v>
      </c>
      <c r="L194" s="15">
        <v>100</v>
      </c>
      <c r="M194" s="15">
        <v>100</v>
      </c>
      <c r="N194" s="15">
        <v>100</v>
      </c>
      <c r="O194" s="15">
        <v>100</v>
      </c>
      <c r="P194" s="15">
        <v>100</v>
      </c>
      <c r="Q194" s="15">
        <v>100</v>
      </c>
      <c r="R194" s="15">
        <v>100</v>
      </c>
      <c r="S194" s="15"/>
    </row>
  </sheetData>
  <phoneticPr fontId="1"/>
  <dataValidations count="1">
    <dataValidation type="list" allowBlank="1" showInputMessage="1" showErrorMessage="1" sqref="A7:A194" xr:uid="{01DC00F2-5628-4870-9A71-731096FA751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27"/>
  <sheetViews>
    <sheetView zoomScale="85" zoomScaleNormal="85" workbookViewId="0">
      <pane ySplit="6" topLeftCell="A478" activePane="bottomLeft" state="frozen"/>
      <selection pane="bottomLeft" activeCell="E505" sqref="E505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1470</v>
      </c>
      <c r="B2" s="9" t="s">
        <v>1468</v>
      </c>
      <c r="C2" s="9" t="s">
        <v>1469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1633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>
      <c r="A8" s="8"/>
      <c r="B8" s="15">
        <v>2</v>
      </c>
      <c r="C8" s="15" t="s">
        <v>1975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>
      <c r="A9" s="8"/>
      <c r="B9" s="15">
        <v>3</v>
      </c>
      <c r="C9" s="15" t="s">
        <v>1403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>
      <c r="A10" s="8"/>
      <c r="B10" s="15">
        <v>4</v>
      </c>
      <c r="C10" s="15" t="s">
        <v>1634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>
      <c r="A11" s="8"/>
      <c r="B11" s="15">
        <v>5</v>
      </c>
      <c r="C11" s="15" t="s">
        <v>1349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>
      <c r="A14" s="8"/>
      <c r="B14" s="15">
        <v>8</v>
      </c>
      <c r="C14" s="15" t="s">
        <v>1635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>
      <c r="A15" s="8"/>
      <c r="B15" s="15">
        <v>9</v>
      </c>
      <c r="C15" s="15" t="s">
        <v>1633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>
      <c r="A16" s="8"/>
      <c r="B16" s="15">
        <v>10</v>
      </c>
      <c r="C16" s="15" t="s">
        <v>1464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>
      <c r="A17" s="8"/>
      <c r="B17" s="15">
        <v>11</v>
      </c>
      <c r="C17" s="15" t="s">
        <v>1399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>
      <c r="A19" s="8"/>
      <c r="B19" s="15">
        <v>13</v>
      </c>
      <c r="C19" s="15" t="s">
        <v>1635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>
      <c r="A20" s="8"/>
      <c r="B20" s="15">
        <v>14</v>
      </c>
      <c r="C20" s="15" t="s">
        <v>1633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>
      <c r="A21" s="8"/>
      <c r="B21" s="15">
        <v>15</v>
      </c>
      <c r="C21" s="15" t="s">
        <v>1444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>
      <c r="A23" s="8"/>
      <c r="B23" s="15">
        <v>17</v>
      </c>
      <c r="C23" s="15" t="s">
        <v>1373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>
      <c r="A24" s="8"/>
      <c r="B24" s="15">
        <v>18</v>
      </c>
      <c r="C24" s="15" t="s">
        <v>224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>
      <c r="A25" s="8"/>
      <c r="B25" s="15">
        <v>19</v>
      </c>
      <c r="C25" s="15" t="s">
        <v>1635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>
      <c r="A26" s="8"/>
      <c r="B26" s="15">
        <v>20</v>
      </c>
      <c r="C26" s="15" t="s">
        <v>1633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>
      <c r="A28" s="8"/>
      <c r="B28" s="15">
        <v>22</v>
      </c>
      <c r="C28" s="15" t="s">
        <v>1400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>
      <c r="A29" s="8"/>
      <c r="B29" s="15">
        <v>23</v>
      </c>
      <c r="C29" s="15" t="s">
        <v>225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>
      <c r="A30" s="8"/>
      <c r="B30" s="15">
        <v>24</v>
      </c>
      <c r="C30" s="15" t="s">
        <v>1635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>
      <c r="A31" s="8"/>
      <c r="B31" s="15">
        <v>25</v>
      </c>
      <c r="C31" s="15" t="s">
        <v>1633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>
      <c r="A32" s="8"/>
      <c r="B32" s="15">
        <v>26</v>
      </c>
      <c r="C32" s="15" t="s">
        <v>1445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>
      <c r="A33" s="8"/>
      <c r="B33" s="15">
        <v>27</v>
      </c>
      <c r="C33" s="15" t="s">
        <v>1427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>
      <c r="A34" s="8"/>
      <c r="B34" s="15">
        <v>28</v>
      </c>
      <c r="C34" s="15" t="s">
        <v>226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>
      <c r="A35" s="8"/>
      <c r="B35" s="15">
        <v>29</v>
      </c>
      <c r="C35" s="15" t="s">
        <v>1635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>
      <c r="A36" s="8"/>
      <c r="B36" s="15">
        <v>30</v>
      </c>
      <c r="C36" s="15" t="s">
        <v>1633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>
      <c r="A37" s="8"/>
      <c r="B37" s="15">
        <v>31</v>
      </c>
      <c r="C37" s="15" t="s">
        <v>1634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>
      <c r="A38" s="8"/>
      <c r="B38" s="15">
        <v>32</v>
      </c>
      <c r="C38" s="15" t="s">
        <v>1636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>
      <c r="A39" s="8"/>
      <c r="B39" s="15">
        <v>33</v>
      </c>
      <c r="C39" s="15" t="s">
        <v>1428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>
      <c r="A40" s="8"/>
      <c r="B40" s="15">
        <v>34</v>
      </c>
      <c r="C40" s="15" t="s">
        <v>1976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>
      <c r="A41" s="8"/>
      <c r="B41" s="15">
        <v>35</v>
      </c>
      <c r="C41" s="15" t="s">
        <v>1635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>
      <c r="A42" s="8"/>
      <c r="B42" s="15">
        <v>36</v>
      </c>
      <c r="C42" s="15" t="s">
        <v>1633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>
      <c r="A43" s="8"/>
      <c r="B43" s="15">
        <v>37</v>
      </c>
      <c r="C43" s="15" t="s">
        <v>1458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>
      <c r="A44" s="8"/>
      <c r="B44" s="15">
        <v>38</v>
      </c>
      <c r="C44" s="15" t="s">
        <v>1977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>
      <c r="A45" s="8"/>
      <c r="B45" s="15">
        <v>39</v>
      </c>
      <c r="C45" s="15" t="s">
        <v>1635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>
      <c r="A46" s="8"/>
      <c r="B46" s="15">
        <v>40</v>
      </c>
      <c r="C46" s="15" t="s">
        <v>1633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>
      <c r="A47" s="8"/>
      <c r="B47" s="15">
        <v>41</v>
      </c>
      <c r="C47" s="15" t="s">
        <v>1455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>
      <c r="A48" s="8"/>
      <c r="B48" s="15">
        <v>42</v>
      </c>
      <c r="C48" s="15" t="s">
        <v>1635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>
      <c r="A49" s="8"/>
      <c r="B49" s="15">
        <v>43</v>
      </c>
      <c r="C49" s="15" t="s">
        <v>1633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>
      <c r="A50" s="8"/>
      <c r="B50" s="15">
        <v>44</v>
      </c>
      <c r="C50" s="15" t="s">
        <v>1446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>
      <c r="A51" s="8"/>
      <c r="B51" s="15">
        <v>45</v>
      </c>
      <c r="C51" s="15" t="s">
        <v>593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>
      <c r="A52" s="8"/>
      <c r="B52" s="15">
        <v>46</v>
      </c>
      <c r="C52" s="15" t="s">
        <v>1635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>
      <c r="A53" s="8"/>
      <c r="B53" s="15">
        <v>47</v>
      </c>
      <c r="C53" s="15" t="s">
        <v>1633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>
      <c r="A55" s="8"/>
      <c r="B55" s="15">
        <v>49</v>
      </c>
      <c r="C55" s="15" t="s">
        <v>291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>
      <c r="A56" s="8"/>
      <c r="B56" s="15">
        <v>50</v>
      </c>
      <c r="C56" s="15" t="s">
        <v>227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>
      <c r="A57" s="8"/>
      <c r="B57" s="15">
        <v>51</v>
      </c>
      <c r="C57" s="15" t="s">
        <v>1635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>
      <c r="A58" s="8"/>
      <c r="B58" s="15">
        <v>52</v>
      </c>
      <c r="C58" s="15" t="s">
        <v>1633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>
      <c r="A59" s="8"/>
      <c r="B59" s="15">
        <v>53</v>
      </c>
      <c r="C59" s="15" t="s">
        <v>1447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>
      <c r="A60" s="8"/>
      <c r="B60" s="15">
        <v>54</v>
      </c>
      <c r="C60" s="15" t="s">
        <v>1635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>
      <c r="A61" s="8"/>
      <c r="B61" s="15">
        <v>55</v>
      </c>
      <c r="C61" s="15" t="s">
        <v>1633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>
      <c r="A62" s="8"/>
      <c r="B62" s="15">
        <v>56</v>
      </c>
      <c r="C62" s="15" t="s">
        <v>1437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>
      <c r="A63" s="8"/>
      <c r="B63" s="15">
        <v>57</v>
      </c>
      <c r="C63" s="15" t="s">
        <v>1353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>
      <c r="A64" s="8"/>
      <c r="B64" s="15">
        <v>58</v>
      </c>
      <c r="C64" s="15" t="s">
        <v>228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>
      <c r="A65" s="8"/>
      <c r="B65" s="15">
        <v>59</v>
      </c>
      <c r="C65" s="15" t="s">
        <v>1635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>
      <c r="A66" s="8"/>
      <c r="B66" s="15">
        <v>60</v>
      </c>
      <c r="C66" s="15" t="s">
        <v>1633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>
      <c r="A67" s="8"/>
      <c r="B67" s="15">
        <v>61</v>
      </c>
      <c r="C67" s="15" t="s">
        <v>1448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>
      <c r="A68" s="8"/>
      <c r="B68" s="15">
        <v>62</v>
      </c>
      <c r="C68" s="15" t="s">
        <v>294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>
      <c r="A69" s="8"/>
      <c r="B69" s="15">
        <v>63</v>
      </c>
      <c r="C69" s="15" t="s">
        <v>1635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>
      <c r="A70" s="8"/>
      <c r="B70" s="15">
        <v>64</v>
      </c>
      <c r="C70" s="15" t="s">
        <v>1633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>
      <c r="A71" s="8"/>
      <c r="B71" s="15">
        <v>65</v>
      </c>
      <c r="C71" s="15" t="s">
        <v>1385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>
      <c r="A72" s="8"/>
      <c r="B72" s="15">
        <v>66</v>
      </c>
      <c r="C72" s="15" t="s">
        <v>1634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>
      <c r="A73" s="8"/>
      <c r="B73" s="15">
        <v>67</v>
      </c>
      <c r="C73" s="15" t="s">
        <v>279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>
      <c r="A74" s="8"/>
      <c r="B74" s="15">
        <v>68</v>
      </c>
      <c r="C74" s="15" t="s">
        <v>1635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>
      <c r="A75" s="8"/>
      <c r="B75" s="15">
        <v>69</v>
      </c>
      <c r="C75" s="15" t="s">
        <v>1633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>
      <c r="A76" s="8"/>
      <c r="B76" s="15">
        <v>70</v>
      </c>
      <c r="C76" s="15" t="s">
        <v>300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>
      <c r="A77" s="8"/>
      <c r="B77" s="15">
        <v>71</v>
      </c>
      <c r="C77" s="15" t="s">
        <v>601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>
      <c r="A78" s="8"/>
      <c r="B78" s="15">
        <v>72</v>
      </c>
      <c r="C78" s="15" t="s">
        <v>229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>
      <c r="A79" s="8"/>
      <c r="B79" s="15">
        <v>73</v>
      </c>
      <c r="C79" s="15" t="s">
        <v>1635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>
      <c r="A80" s="8"/>
      <c r="B80" s="15">
        <v>74</v>
      </c>
      <c r="C80" s="15" t="s">
        <v>1633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>
      <c r="A81" s="8"/>
      <c r="B81" s="15">
        <v>75</v>
      </c>
      <c r="C81" s="15" t="s">
        <v>1449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>
      <c r="A82" s="8"/>
      <c r="B82" s="15">
        <v>76</v>
      </c>
      <c r="C82" s="15" t="s">
        <v>1429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>
      <c r="A83" s="8"/>
      <c r="B83" s="15">
        <v>77</v>
      </c>
      <c r="C83" s="15" t="s">
        <v>308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>
      <c r="A84" s="8"/>
      <c r="B84" s="15">
        <v>78</v>
      </c>
      <c r="C84" s="15" t="s">
        <v>230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>
      <c r="A85" s="8"/>
      <c r="B85" s="15">
        <v>79</v>
      </c>
      <c r="C85" s="15" t="s">
        <v>1635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>
      <c r="A86" s="8"/>
      <c r="B86" s="15">
        <v>80</v>
      </c>
      <c r="C86" s="15" t="s">
        <v>1633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>
      <c r="A87" s="8"/>
      <c r="B87" s="15">
        <v>81</v>
      </c>
      <c r="C87" s="15" t="s">
        <v>1438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>
      <c r="A88" s="8"/>
      <c r="B88" s="15">
        <v>82</v>
      </c>
      <c r="C88" s="15" t="s">
        <v>1635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>
      <c r="A89" s="8"/>
      <c r="B89" s="15">
        <v>83</v>
      </c>
      <c r="C89" s="15" t="s">
        <v>1633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>
      <c r="A91" s="8"/>
      <c r="B91" s="15">
        <v>85</v>
      </c>
      <c r="C91" s="15" t="s">
        <v>1635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>
      <c r="A92" s="8"/>
      <c r="B92" s="15">
        <v>86</v>
      </c>
      <c r="C92" s="15" t="s">
        <v>1633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>
      <c r="A93" s="8"/>
      <c r="B93" s="15">
        <v>87</v>
      </c>
      <c r="C93" s="15" t="s">
        <v>1435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>
      <c r="A94" s="8"/>
      <c r="B94" s="15">
        <v>88</v>
      </c>
      <c r="C94" s="15" t="s">
        <v>289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>
      <c r="A95" s="8"/>
      <c r="B95" s="15">
        <v>89</v>
      </c>
      <c r="C95" s="15" t="s">
        <v>1635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>
      <c r="A96" s="8"/>
      <c r="B96" s="15">
        <v>90</v>
      </c>
      <c r="C96" s="15" t="s">
        <v>1633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>
      <c r="A97" s="8"/>
      <c r="B97" s="15">
        <v>91</v>
      </c>
      <c r="C97" s="15" t="s">
        <v>1450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>
      <c r="A98" s="8"/>
      <c r="B98" s="15">
        <v>92</v>
      </c>
      <c r="C98" s="15" t="s">
        <v>1635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>
      <c r="A99" s="8"/>
      <c r="B99" s="15">
        <v>93</v>
      </c>
      <c r="C99" s="15" t="s">
        <v>1633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>
      <c r="A100" s="8"/>
      <c r="B100" s="15">
        <v>94</v>
      </c>
      <c r="C100" s="15" t="s">
        <v>309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>
      <c r="A101" s="8"/>
      <c r="B101" s="15">
        <v>95</v>
      </c>
      <c r="C101" s="15" t="s">
        <v>1635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>
      <c r="A102" s="8"/>
      <c r="B102" s="15">
        <v>96</v>
      </c>
      <c r="C102" s="15" t="s">
        <v>1633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>
      <c r="A103" s="8"/>
      <c r="B103" s="15">
        <v>97</v>
      </c>
      <c r="C103" s="15" t="s">
        <v>1634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>
      <c r="A104" s="8"/>
      <c r="B104" s="15">
        <v>98</v>
      </c>
      <c r="C104" s="15" t="s">
        <v>1388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>
      <c r="A105" s="8"/>
      <c r="B105" s="15">
        <v>99</v>
      </c>
      <c r="C105" s="15" t="s">
        <v>231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>
      <c r="A106" s="8"/>
      <c r="B106" s="15">
        <v>100</v>
      </c>
      <c r="C106" s="15" t="s">
        <v>1635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>
      <c r="A107" s="8"/>
      <c r="B107" s="15">
        <v>101</v>
      </c>
      <c r="C107" s="15" t="s">
        <v>1633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>
      <c r="A108" s="8"/>
      <c r="B108" s="15">
        <v>102</v>
      </c>
      <c r="C108" s="15" t="s">
        <v>1456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>
      <c r="A109" s="8"/>
      <c r="B109" s="15">
        <v>103</v>
      </c>
      <c r="C109" s="15" t="s">
        <v>1635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>
      <c r="A110" s="8"/>
      <c r="B110" s="15">
        <v>104</v>
      </c>
      <c r="C110" s="15" t="s">
        <v>1633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>
      <c r="A111" s="8"/>
      <c r="B111" s="15">
        <v>105</v>
      </c>
      <c r="C111" s="15" t="s">
        <v>1451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>
      <c r="A112" s="8"/>
      <c r="B112" s="15">
        <v>106</v>
      </c>
      <c r="C112" s="15" t="s">
        <v>1397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>
      <c r="A113" s="8"/>
      <c r="B113" s="15">
        <v>107</v>
      </c>
      <c r="C113" s="15" t="s">
        <v>1635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>
      <c r="A114" s="8"/>
      <c r="B114" s="15">
        <v>108</v>
      </c>
      <c r="C114" s="15" t="s">
        <v>1633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>
      <c r="A115" s="8"/>
      <c r="B115" s="15">
        <v>109</v>
      </c>
      <c r="C115" s="15" t="s">
        <v>529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>
      <c r="A116" s="8"/>
      <c r="B116" s="15">
        <v>110</v>
      </c>
      <c r="C116" s="15" t="s">
        <v>1635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>
      <c r="A117" s="8"/>
      <c r="B117" s="15">
        <v>111</v>
      </c>
      <c r="C117" s="15" t="s">
        <v>1633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>
      <c r="A119" s="8"/>
      <c r="B119" s="15">
        <v>113</v>
      </c>
      <c r="C119" s="15" t="s">
        <v>1452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>
      <c r="A120" s="8"/>
      <c r="B120" s="15">
        <v>114</v>
      </c>
      <c r="C120" s="15" t="s">
        <v>1635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>
      <c r="A121" s="8"/>
      <c r="B121" s="15">
        <v>115</v>
      </c>
      <c r="C121" s="15" t="s">
        <v>1633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>
      <c r="A122" s="8"/>
      <c r="B122" s="15">
        <v>116</v>
      </c>
      <c r="C122" s="15" t="s">
        <v>301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>
      <c r="A123" s="8"/>
      <c r="B123" s="15">
        <v>117</v>
      </c>
      <c r="C123" s="15" t="s">
        <v>1635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>
      <c r="A124" s="8"/>
      <c r="B124" s="15">
        <v>118</v>
      </c>
      <c r="C124" s="15" t="s">
        <v>1633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>
      <c r="A125" s="8"/>
      <c r="B125" s="15">
        <v>119</v>
      </c>
      <c r="C125" s="15" t="s">
        <v>1634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>
      <c r="A126" s="8"/>
      <c r="B126" s="15">
        <v>120</v>
      </c>
      <c r="C126" s="15" t="s">
        <v>1453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>
      <c r="A127" s="8"/>
      <c r="B127" s="15">
        <v>121</v>
      </c>
      <c r="C127" s="15" t="s">
        <v>1635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>
      <c r="A128" s="8"/>
      <c r="B128" s="15">
        <v>122</v>
      </c>
      <c r="C128" s="15" t="s">
        <v>1633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>
      <c r="A129" s="8"/>
      <c r="B129" s="15">
        <v>123</v>
      </c>
      <c r="C129" s="15" t="s">
        <v>1459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>
      <c r="A130" s="8"/>
      <c r="B130" s="15">
        <v>124</v>
      </c>
      <c r="C130" s="15" t="s">
        <v>1635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>
      <c r="A131" s="8"/>
      <c r="B131" s="15">
        <v>125</v>
      </c>
      <c r="C131" s="15" t="s">
        <v>1633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>
      <c r="A132" s="8"/>
      <c r="B132" s="15">
        <v>126</v>
      </c>
      <c r="C132" s="15" t="s">
        <v>302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>
      <c r="A133" s="8"/>
      <c r="B133" s="15">
        <v>127</v>
      </c>
      <c r="C133" s="15" t="s">
        <v>1635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>
      <c r="A134" s="8"/>
      <c r="B134" s="15">
        <v>128</v>
      </c>
      <c r="C134" s="15" t="s">
        <v>1633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>
      <c r="A135" s="8"/>
      <c r="B135" s="15">
        <v>129</v>
      </c>
      <c r="C135" s="15" t="s">
        <v>1978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>
      <c r="A136" s="8"/>
      <c r="B136" s="15">
        <v>130</v>
      </c>
      <c r="C136" s="15" t="s">
        <v>1635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>
      <c r="A137" s="8"/>
      <c r="B137" s="15">
        <v>131</v>
      </c>
      <c r="C137" s="15" t="s">
        <v>1633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>
      <c r="A138" s="8"/>
      <c r="B138" s="15">
        <v>132</v>
      </c>
      <c r="C138" s="15" t="s">
        <v>1460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>
      <c r="A139" s="8"/>
      <c r="B139" s="15">
        <v>133</v>
      </c>
      <c r="C139" s="15" t="s">
        <v>1419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>
      <c r="A140" s="8"/>
      <c r="B140" s="15">
        <v>134</v>
      </c>
      <c r="C140" s="15" t="s">
        <v>1635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>
      <c r="A141" s="8"/>
      <c r="B141" s="15">
        <v>135</v>
      </c>
      <c r="C141" s="15" t="s">
        <v>1633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>
      <c r="A142" s="8"/>
      <c r="B142" s="15">
        <v>136</v>
      </c>
      <c r="C142" s="15" t="s">
        <v>1461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>
      <c r="A143" s="8"/>
      <c r="B143" s="15">
        <v>137</v>
      </c>
      <c r="C143" s="15" t="s">
        <v>1364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>
      <c r="A144" s="8"/>
      <c r="B144" s="15">
        <v>138</v>
      </c>
      <c r="C144" s="15" t="s">
        <v>1635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>
      <c r="A145" s="8"/>
      <c r="B145" s="15">
        <v>139</v>
      </c>
      <c r="C145" s="15" t="s">
        <v>1633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>
      <c r="A147" s="8"/>
      <c r="B147" s="15">
        <v>141</v>
      </c>
      <c r="C147" s="15" t="s">
        <v>1635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>
      <c r="A148" s="8"/>
      <c r="B148" s="15">
        <v>142</v>
      </c>
      <c r="C148" s="15" t="s">
        <v>1633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>
      <c r="A149" s="8"/>
      <c r="B149" s="15">
        <v>143</v>
      </c>
      <c r="C149" s="15" t="s">
        <v>1440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>
      <c r="A150" s="8"/>
      <c r="B150" s="15">
        <v>144</v>
      </c>
      <c r="C150" s="15" t="s">
        <v>1635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>
      <c r="A151" s="8"/>
      <c r="B151" s="15">
        <v>145</v>
      </c>
      <c r="C151" s="15" t="s">
        <v>1633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>
      <c r="A152" s="8"/>
      <c r="B152" s="15">
        <v>146</v>
      </c>
      <c r="C152" s="15" t="s">
        <v>1634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>
      <c r="A153" s="8"/>
      <c r="B153" s="15">
        <v>147</v>
      </c>
      <c r="C153" s="15" t="s">
        <v>1635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>
      <c r="A154" s="8"/>
      <c r="B154" s="15">
        <v>148</v>
      </c>
      <c r="C154" s="15" t="s">
        <v>1633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>
      <c r="A155" s="8"/>
      <c r="B155" s="15">
        <v>149</v>
      </c>
      <c r="C155" s="15" t="s">
        <v>1634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>
      <c r="A156" s="8"/>
      <c r="B156" s="15">
        <v>150</v>
      </c>
      <c r="C156" s="15" t="s">
        <v>1441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>
      <c r="A157" s="8"/>
      <c r="B157" s="15">
        <v>151</v>
      </c>
      <c r="C157" s="15" t="s">
        <v>1635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>
      <c r="A158" s="8"/>
      <c r="B158" s="15">
        <v>152</v>
      </c>
      <c r="C158" s="15" t="s">
        <v>1633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>
      <c r="A159" s="8"/>
      <c r="B159" s="15">
        <v>153</v>
      </c>
      <c r="C159" s="15" t="s">
        <v>1465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>
      <c r="A160" s="8"/>
      <c r="B160" s="15">
        <v>154</v>
      </c>
      <c r="C160" s="15" t="s">
        <v>1635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>
      <c r="A161" s="8"/>
      <c r="B161" s="15">
        <v>155</v>
      </c>
      <c r="C161" s="15" t="s">
        <v>1633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>
      <c r="A163" s="8"/>
      <c r="B163" s="15">
        <v>157</v>
      </c>
      <c r="C163" s="15" t="s">
        <v>316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>
      <c r="A164" s="8"/>
      <c r="B164" s="15">
        <v>158</v>
      </c>
      <c r="C164" s="15" t="s">
        <v>1635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>
      <c r="A165" s="8"/>
      <c r="B165" s="15">
        <v>159</v>
      </c>
      <c r="C165" s="15" t="s">
        <v>1633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>
      <c r="A166" s="8"/>
      <c r="B166" s="15">
        <v>160</v>
      </c>
      <c r="C166" s="15" t="s">
        <v>1462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>
      <c r="A167" s="8"/>
      <c r="B167" s="15">
        <v>161</v>
      </c>
      <c r="C167" s="15" t="s">
        <v>1635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>
      <c r="A168" s="8"/>
      <c r="B168" s="15">
        <v>162</v>
      </c>
      <c r="C168" s="15" t="s">
        <v>1633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>
      <c r="A169" s="8"/>
      <c r="B169" s="15">
        <v>163</v>
      </c>
      <c r="C169" s="15" t="s">
        <v>319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>
      <c r="A170" s="8"/>
      <c r="B170" s="15">
        <v>164</v>
      </c>
      <c r="C170" s="15" t="s">
        <v>1635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1633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1454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1635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>
      <c r="A174" s="8"/>
      <c r="B174" s="15">
        <v>168</v>
      </c>
      <c r="C174" s="15" t="s">
        <v>1633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>
      <c r="A175" s="8"/>
      <c r="B175" s="15">
        <v>169</v>
      </c>
      <c r="C175" s="15" t="s">
        <v>1466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>
      <c r="A176" s="8"/>
      <c r="B176" s="15">
        <v>170</v>
      </c>
      <c r="C176" s="15" t="s">
        <v>1635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>
      <c r="A177" s="8"/>
      <c r="B177" s="15">
        <v>171</v>
      </c>
      <c r="C177" s="15" t="s">
        <v>1633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>
      <c r="A179" s="8"/>
      <c r="B179" s="15">
        <v>173</v>
      </c>
      <c r="C179" s="15" t="s">
        <v>299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>
      <c r="A180" s="8"/>
      <c r="B180" s="15">
        <v>174</v>
      </c>
      <c r="C180" s="15" t="s">
        <v>1635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>
      <c r="A181" s="8"/>
      <c r="B181" s="15">
        <v>175</v>
      </c>
      <c r="C181" s="15" t="s">
        <v>1633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>
      <c r="A182" s="8"/>
      <c r="B182" s="15">
        <v>176</v>
      </c>
      <c r="C182" s="15" t="s">
        <v>1463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>
      <c r="A183" s="8"/>
      <c r="B183" s="15">
        <v>177</v>
      </c>
      <c r="C183" s="15" t="s">
        <v>1979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>
      <c r="A184" s="8"/>
      <c r="B184" s="15">
        <v>178</v>
      </c>
      <c r="C184" s="15" t="s">
        <v>1635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>
      <c r="A185" s="8"/>
      <c r="B185" s="15">
        <v>179</v>
      </c>
      <c r="C185" s="15" t="s">
        <v>1633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>
      <c r="A186" s="8"/>
      <c r="B186" s="15">
        <v>180</v>
      </c>
      <c r="C186" s="15" t="s">
        <v>1442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>
      <c r="A187" s="8"/>
      <c r="B187" s="15">
        <v>181</v>
      </c>
      <c r="C187" s="15" t="s">
        <v>1635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>
      <c r="A188" s="8"/>
      <c r="B188" s="15">
        <v>182</v>
      </c>
      <c r="C188" s="15" t="s">
        <v>1633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>
      <c r="A189" s="8"/>
      <c r="B189" s="15">
        <v>183</v>
      </c>
      <c r="C189" s="15" t="s">
        <v>1980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>
      <c r="A190" s="8"/>
      <c r="B190" s="15">
        <v>184</v>
      </c>
      <c r="C190" s="15" t="s">
        <v>1635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>
      <c r="A191" s="8"/>
      <c r="B191" s="15">
        <v>185</v>
      </c>
      <c r="C191" s="15" t="s">
        <v>1633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>
      <c r="A192" s="8"/>
      <c r="B192" s="15">
        <v>186</v>
      </c>
      <c r="C192" s="15" t="s">
        <v>1457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>
      <c r="A193" s="8"/>
      <c r="B193" s="15">
        <v>187</v>
      </c>
      <c r="C193" s="15" t="s">
        <v>1635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>
      <c r="A195" s="8"/>
      <c r="B195" s="15">
        <v>189</v>
      </c>
      <c r="C195" s="15" t="s">
        <v>531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>
      <c r="A196" s="8"/>
      <c r="B196" s="15">
        <v>190</v>
      </c>
      <c r="C196" s="15" t="s">
        <v>1387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>
      <c r="A197" s="8"/>
      <c r="B197" s="15">
        <v>191</v>
      </c>
      <c r="C197" s="15" t="s">
        <v>232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>
      <c r="A198" s="8"/>
      <c r="B198" s="15">
        <v>192</v>
      </c>
      <c r="C198" s="15" t="s">
        <v>1410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>
      <c r="A199" s="8"/>
      <c r="B199" s="15">
        <v>193</v>
      </c>
      <c r="C199" s="15" t="s">
        <v>233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>
      <c r="A200" s="8"/>
      <c r="B200" s="15">
        <v>194</v>
      </c>
      <c r="C200" s="15" t="s">
        <v>1402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>
      <c r="A201" s="8"/>
      <c r="B201" s="15">
        <v>195</v>
      </c>
      <c r="C201" s="15" t="s">
        <v>311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>
      <c r="A202" s="8"/>
      <c r="B202" s="15">
        <v>196</v>
      </c>
      <c r="C202" s="15" t="s">
        <v>1981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>
      <c r="A203" s="8"/>
      <c r="B203" s="15">
        <v>197</v>
      </c>
      <c r="C203" s="15" t="s">
        <v>1378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>
      <c r="A204" s="8"/>
      <c r="B204" s="15">
        <v>198</v>
      </c>
      <c r="C204" s="15" t="s">
        <v>234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>
      <c r="A205" s="8"/>
      <c r="B205" s="15">
        <v>199</v>
      </c>
      <c r="C205" s="15" t="s">
        <v>1982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>
      <c r="A206" s="8"/>
      <c r="B206" s="15">
        <v>200</v>
      </c>
      <c r="C206" s="15" t="s">
        <v>1352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>
      <c r="A207" s="8"/>
      <c r="B207" s="15">
        <v>201</v>
      </c>
      <c r="C207" s="15" t="s">
        <v>235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>
      <c r="A208" s="8"/>
      <c r="B208" s="15">
        <v>202</v>
      </c>
      <c r="C208" s="15" t="s">
        <v>1393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>
      <c r="A209" s="8"/>
      <c r="B209" s="15">
        <v>203</v>
      </c>
      <c r="C209" s="15" t="s">
        <v>236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>
      <c r="A210" s="8"/>
      <c r="B210" s="15">
        <v>204</v>
      </c>
      <c r="C210" s="15" t="s">
        <v>303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>
      <c r="A211" s="8"/>
      <c r="B211" s="15">
        <v>205</v>
      </c>
      <c r="C211" s="15" t="s">
        <v>1367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>
      <c r="A212" s="8"/>
      <c r="B212" s="15">
        <v>206</v>
      </c>
      <c r="C212" s="15" t="s">
        <v>1383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>
      <c r="A213" s="8"/>
      <c r="B213" s="15">
        <v>207</v>
      </c>
      <c r="C213" s="15" t="s">
        <v>1637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>
      <c r="A214" s="8"/>
      <c r="B214" s="15">
        <v>208</v>
      </c>
      <c r="C214" s="15" t="s">
        <v>1389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>
      <c r="A215" s="8"/>
      <c r="B215" s="15">
        <v>209</v>
      </c>
      <c r="C215" s="15" t="s">
        <v>722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>
      <c r="A216" s="8"/>
      <c r="B216" s="15">
        <v>210</v>
      </c>
      <c r="C216" s="15" t="s">
        <v>1416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>
      <c r="A217" s="8"/>
      <c r="B217" s="15">
        <v>211</v>
      </c>
      <c r="C217" s="15" t="s">
        <v>1983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>
      <c r="A218" s="8"/>
      <c r="B218" s="15">
        <v>212</v>
      </c>
      <c r="C218" s="15" t="s">
        <v>1412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>
      <c r="A219" s="8"/>
      <c r="B219" s="15">
        <v>213</v>
      </c>
      <c r="C219" s="15" t="s">
        <v>237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>
      <c r="A220" s="8"/>
      <c r="B220" s="15">
        <v>214</v>
      </c>
      <c r="C220" s="15" t="s">
        <v>1379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>
      <c r="A221" s="8"/>
      <c r="B221" s="15">
        <v>215</v>
      </c>
      <c r="C221" s="15" t="s">
        <v>1381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>
      <c r="A222" s="8"/>
      <c r="B222" s="15">
        <v>216</v>
      </c>
      <c r="C222" s="15" t="s">
        <v>238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>
      <c r="A223" s="8"/>
      <c r="B223" s="15">
        <v>217</v>
      </c>
      <c r="C223" s="15" t="s">
        <v>592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>
      <c r="A224" s="8"/>
      <c r="B224" s="15">
        <v>218</v>
      </c>
      <c r="C224" s="15" t="s">
        <v>312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>
      <c r="A225" s="8"/>
      <c r="B225" s="15">
        <v>219</v>
      </c>
      <c r="C225" s="15" t="s">
        <v>597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>
      <c r="A226" s="8"/>
      <c r="B226" s="15">
        <v>220</v>
      </c>
      <c r="C226" s="15" t="s">
        <v>239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>
      <c r="A227" s="8"/>
      <c r="B227" s="15">
        <v>221</v>
      </c>
      <c r="C227" s="15" t="s">
        <v>290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>
      <c r="A228" s="8"/>
      <c r="B228" s="15">
        <v>222</v>
      </c>
      <c r="C228" s="15" t="s">
        <v>306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>
      <c r="A229" s="8"/>
      <c r="B229" s="15">
        <v>223</v>
      </c>
      <c r="C229" s="15" t="s">
        <v>240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>
      <c r="A230" s="8"/>
      <c r="B230" s="15">
        <v>224</v>
      </c>
      <c r="C230" s="15" t="s">
        <v>1636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>
      <c r="A231" s="8"/>
      <c r="B231" s="15">
        <v>225</v>
      </c>
      <c r="C231" s="15" t="s">
        <v>523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>
      <c r="A232" s="8"/>
      <c r="B232" s="15">
        <v>226</v>
      </c>
      <c r="C232" s="15" t="s">
        <v>318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>
      <c r="A233" s="8"/>
      <c r="B233" s="15">
        <v>227</v>
      </c>
      <c r="C233" s="15" t="s">
        <v>723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320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>
      <c r="A235" s="8"/>
      <c r="B235" s="15">
        <v>229</v>
      </c>
      <c r="C235" s="15" t="s">
        <v>1406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>
      <c r="A236" s="8"/>
      <c r="B236" s="15">
        <v>230</v>
      </c>
      <c r="C236" s="15" t="s">
        <v>241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>
      <c r="A237" s="8"/>
      <c r="B237" s="15">
        <v>231</v>
      </c>
      <c r="C237" s="15" t="s">
        <v>1409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>
      <c r="A238" s="8"/>
      <c r="B238" s="15">
        <v>232</v>
      </c>
      <c r="C238" s="15" t="s">
        <v>1984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>
      <c r="A239" s="8"/>
      <c r="B239" s="15">
        <v>233</v>
      </c>
      <c r="C239" s="15" t="s">
        <v>1977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>
      <c r="A240" s="8"/>
      <c r="B240" s="15">
        <v>234</v>
      </c>
      <c r="C240" s="15" t="s">
        <v>1386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>
      <c r="A241" s="8"/>
      <c r="B241" s="15">
        <v>235</v>
      </c>
      <c r="C241" s="15" t="s">
        <v>242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>
      <c r="A242" s="8"/>
      <c r="B242" s="15">
        <v>236</v>
      </c>
      <c r="C242" s="15" t="s">
        <v>532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>
      <c r="A243" s="8"/>
      <c r="B243" s="15">
        <v>237</v>
      </c>
      <c r="C243" s="15" t="s">
        <v>1356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>
      <c r="A244" s="8"/>
      <c r="B244" s="15">
        <v>238</v>
      </c>
      <c r="C244" s="15" t="s">
        <v>280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>
      <c r="A245" s="8"/>
      <c r="B245" s="15">
        <v>239</v>
      </c>
      <c r="C245" s="15" t="s">
        <v>1431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>
      <c r="A246" s="8"/>
      <c r="B246" s="15">
        <v>240</v>
      </c>
      <c r="C246" s="15" t="s">
        <v>290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>
      <c r="A247" s="8"/>
      <c r="B247" s="15">
        <v>241</v>
      </c>
      <c r="C247" s="15" t="s">
        <v>307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>
      <c r="A248" s="8"/>
      <c r="B248" s="15">
        <v>242</v>
      </c>
      <c r="C248" s="15" t="s">
        <v>243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>
      <c r="A249" s="8"/>
      <c r="B249" s="15">
        <v>243</v>
      </c>
      <c r="C249" s="15" t="s">
        <v>1350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>
      <c r="A250" s="8"/>
      <c r="B250" s="15">
        <v>244</v>
      </c>
      <c r="C250" s="15" t="s">
        <v>244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>
      <c r="A251" s="8"/>
      <c r="B251" s="15">
        <v>245</v>
      </c>
      <c r="C251" s="15" t="s">
        <v>1985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>
      <c r="A252" s="8"/>
      <c r="B252" s="15">
        <v>246</v>
      </c>
      <c r="C252" s="15" t="s">
        <v>1986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>
      <c r="A253" s="8"/>
      <c r="B253" s="15">
        <v>247</v>
      </c>
      <c r="C253" s="15" t="s">
        <v>1987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>
      <c r="A254" s="8"/>
      <c r="B254" s="15">
        <v>248</v>
      </c>
      <c r="C254" s="15" t="s">
        <v>1404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>
      <c r="A255" s="8"/>
      <c r="B255" s="15">
        <v>249</v>
      </c>
      <c r="C255" s="15" t="s">
        <v>1390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>
      <c r="A256" s="8"/>
      <c r="B256" s="15">
        <v>250</v>
      </c>
      <c r="C256" s="15" t="s">
        <v>281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>
      <c r="A257" s="8"/>
      <c r="B257" s="15">
        <v>251</v>
      </c>
      <c r="C257" s="15" t="s">
        <v>1384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>
      <c r="A258" s="8"/>
      <c r="B258" s="15">
        <v>252</v>
      </c>
      <c r="C258" s="15" t="s">
        <v>245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>
      <c r="A259" s="8"/>
      <c r="B259" s="15">
        <v>253</v>
      </c>
      <c r="C259" s="15" t="s">
        <v>596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>
      <c r="A260" s="8"/>
      <c r="B260" s="15">
        <v>254</v>
      </c>
      <c r="C260" s="15" t="s">
        <v>246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>
      <c r="A261" s="8"/>
      <c r="B261" s="15">
        <v>255</v>
      </c>
      <c r="C261" s="15" t="s">
        <v>314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>
      <c r="A262" s="8"/>
      <c r="B262" s="15">
        <v>256</v>
      </c>
      <c r="C262" s="15" t="s">
        <v>247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>
      <c r="A263" s="8"/>
      <c r="B263" s="15">
        <v>257</v>
      </c>
      <c r="C263" s="15" t="s">
        <v>1988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>
      <c r="A264" s="8"/>
      <c r="B264" s="15">
        <v>258</v>
      </c>
      <c r="C264" s="15" t="s">
        <v>1401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>
      <c r="A265" s="8"/>
      <c r="B265" s="15">
        <v>259</v>
      </c>
      <c r="C265" s="15" t="s">
        <v>1421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>
      <c r="A266" s="8"/>
      <c r="B266" s="15">
        <v>260</v>
      </c>
      <c r="C266" s="15" t="s">
        <v>248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>
      <c r="A267" s="8"/>
      <c r="B267" s="15">
        <v>261</v>
      </c>
      <c r="C267" s="15" t="s">
        <v>1359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>
      <c r="A268" s="8"/>
      <c r="B268" s="15">
        <v>262</v>
      </c>
      <c r="C268" s="15" t="s">
        <v>249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>
      <c r="A269" s="8"/>
      <c r="B269" s="15">
        <v>263</v>
      </c>
      <c r="C269" s="15" t="s">
        <v>1355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>
      <c r="A270" s="8"/>
      <c r="B270" s="15">
        <v>264</v>
      </c>
      <c r="C270" s="15" t="s">
        <v>250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>
      <c r="A271" s="8"/>
      <c r="B271" s="15">
        <v>265</v>
      </c>
      <c r="C271" s="15" t="s">
        <v>323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>
      <c r="A272" s="8"/>
      <c r="B272" s="15">
        <v>266</v>
      </c>
      <c r="C272" s="15" t="s">
        <v>251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>
      <c r="A273" s="8"/>
      <c r="B273" s="15">
        <v>267</v>
      </c>
      <c r="C273" s="15" t="s">
        <v>295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>
      <c r="A275" s="8"/>
      <c r="B275" s="15">
        <v>269</v>
      </c>
      <c r="C275" s="15" t="s">
        <v>252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>
      <c r="A276" s="8"/>
      <c r="B276" s="15">
        <v>270</v>
      </c>
      <c r="C276" s="15" t="s">
        <v>1636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>
      <c r="A277" s="8"/>
      <c r="B277" s="15">
        <v>271</v>
      </c>
      <c r="C277" s="15" t="s">
        <v>253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>
      <c r="A278" s="8"/>
      <c r="B278" s="15">
        <v>272</v>
      </c>
      <c r="C278" s="15" t="s">
        <v>310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>
      <c r="A280" s="8"/>
      <c r="B280" s="15">
        <v>274</v>
      </c>
      <c r="C280" s="15" t="s">
        <v>282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>
      <c r="A281" s="8"/>
      <c r="B281" s="15">
        <v>275</v>
      </c>
      <c r="C281" s="15" t="s">
        <v>321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>
      <c r="A282" s="8"/>
      <c r="B282" s="15">
        <v>276</v>
      </c>
      <c r="C282" s="15" t="s">
        <v>254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>
      <c r="A283" s="8"/>
      <c r="B283" s="15">
        <v>277</v>
      </c>
      <c r="C283" s="15" t="s">
        <v>1374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>
      <c r="A284" s="8"/>
      <c r="B284" s="15">
        <v>278</v>
      </c>
      <c r="C284" s="15" t="s">
        <v>1989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>
      <c r="A285" s="8"/>
      <c r="B285" s="15">
        <v>279</v>
      </c>
      <c r="C285" s="15" t="s">
        <v>255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>
      <c r="A286" s="8"/>
      <c r="B286" s="15">
        <v>280</v>
      </c>
      <c r="C286" s="15" t="s">
        <v>1357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>
      <c r="A287" s="8"/>
      <c r="B287" s="15">
        <v>281</v>
      </c>
      <c r="C287" s="15" t="s">
        <v>256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>
      <c r="A288" s="8"/>
      <c r="B288" s="15">
        <v>282</v>
      </c>
      <c r="C288" s="15" t="s">
        <v>305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>
      <c r="A289" s="8"/>
      <c r="B289" s="15">
        <v>283</v>
      </c>
      <c r="C289" s="15" t="s">
        <v>1432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>
      <c r="A290" s="8"/>
      <c r="B290" s="15">
        <v>284</v>
      </c>
      <c r="C290" s="15" t="s">
        <v>290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>
      <c r="A291" s="8"/>
      <c r="B291" s="15">
        <v>285</v>
      </c>
      <c r="C291" s="15" t="s">
        <v>724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1422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524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>
      <c r="A294" s="8"/>
      <c r="B294" s="15">
        <v>288</v>
      </c>
      <c r="C294" s="15" t="s">
        <v>591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>
      <c r="A295" s="8"/>
      <c r="B295" s="15">
        <v>289</v>
      </c>
      <c r="C295" s="15" t="s">
        <v>257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>
      <c r="A296" s="8"/>
      <c r="B296" s="15">
        <v>290</v>
      </c>
      <c r="C296" s="15" t="s">
        <v>1376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>
      <c r="A297" s="8"/>
      <c r="B297" s="15">
        <v>291</v>
      </c>
      <c r="C297" s="15" t="s">
        <v>1377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>
      <c r="A298" s="8"/>
      <c r="B298" s="15">
        <v>292</v>
      </c>
      <c r="C298" s="15" t="s">
        <v>1346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>
      <c r="A299" s="8"/>
      <c r="B299" s="15">
        <v>293</v>
      </c>
      <c r="C299" s="15" t="s">
        <v>1990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>
      <c r="A300" s="8"/>
      <c r="B300" s="15">
        <v>294</v>
      </c>
      <c r="C300" s="15" t="s">
        <v>258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>
      <c r="A302" s="8"/>
      <c r="B302" s="15">
        <v>296</v>
      </c>
      <c r="C302" s="15" t="s">
        <v>1375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>
      <c r="A303" s="8"/>
      <c r="B303" s="15">
        <v>297</v>
      </c>
      <c r="C303" s="15" t="s">
        <v>525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>
      <c r="A304" s="8"/>
      <c r="B304" s="15">
        <v>298</v>
      </c>
      <c r="C304" s="15" t="s">
        <v>1365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>
      <c r="A305" s="8"/>
      <c r="B305" s="15">
        <v>299</v>
      </c>
      <c r="C305" s="15" t="s">
        <v>292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>
      <c r="A306" s="8"/>
      <c r="B306" s="15">
        <v>300</v>
      </c>
      <c r="C306" s="15" t="s">
        <v>526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>
      <c r="A307" s="8"/>
      <c r="B307" s="15">
        <v>301</v>
      </c>
      <c r="C307" s="15" t="s">
        <v>1991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>
      <c r="A308" s="8"/>
      <c r="B308" s="15">
        <v>302</v>
      </c>
      <c r="C308" s="15" t="s">
        <v>725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>
      <c r="A309" s="8"/>
      <c r="B309" s="15">
        <v>303</v>
      </c>
      <c r="C309" s="15" t="s">
        <v>1426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>
      <c r="A310" s="8"/>
      <c r="B310" s="15">
        <v>304</v>
      </c>
      <c r="C310" s="15" t="s">
        <v>259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>
      <c r="A311" s="8"/>
      <c r="B311" s="15">
        <v>305</v>
      </c>
      <c r="C311" s="15" t="s">
        <v>1371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>
      <c r="A312" s="8"/>
      <c r="B312" s="15">
        <v>306</v>
      </c>
      <c r="C312" s="15" t="s">
        <v>260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>
      <c r="A313" s="8"/>
      <c r="B313" s="15">
        <v>307</v>
      </c>
      <c r="C313" s="15" t="s">
        <v>1633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>
      <c r="A314" s="8"/>
      <c r="B314" s="15">
        <v>308</v>
      </c>
      <c r="C314" s="15" t="s">
        <v>1635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>
      <c r="A315" s="8"/>
      <c r="B315" s="15">
        <v>309</v>
      </c>
      <c r="C315" s="15" t="s">
        <v>1433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>
      <c r="A316" s="8"/>
      <c r="B316" s="15">
        <v>310</v>
      </c>
      <c r="C316" s="15" t="s">
        <v>298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>
      <c r="A317" s="8"/>
      <c r="B317" s="15">
        <v>311</v>
      </c>
      <c r="C317" s="15" t="s">
        <v>261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>
      <c r="A318" s="8"/>
      <c r="B318" s="15">
        <v>312</v>
      </c>
      <c r="C318" s="15" t="s">
        <v>1633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>
      <c r="A319" s="8"/>
      <c r="B319" s="15">
        <v>313</v>
      </c>
      <c r="C319" s="15" t="s">
        <v>1635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>
      <c r="A320" s="8"/>
      <c r="B320" s="15">
        <v>314</v>
      </c>
      <c r="C320" s="15" t="s">
        <v>1443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>
      <c r="A321" s="8"/>
      <c r="B321" s="15">
        <v>315</v>
      </c>
      <c r="C321" s="15" t="s">
        <v>1360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>
      <c r="A322" s="8"/>
      <c r="B322" s="15">
        <v>316</v>
      </c>
      <c r="C322" s="15" t="s">
        <v>262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>
      <c r="A323" s="8"/>
      <c r="B323" s="15">
        <v>317</v>
      </c>
      <c r="C323" s="15" t="s">
        <v>1633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>
      <c r="A324" s="8"/>
      <c r="B324" s="15">
        <v>318</v>
      </c>
      <c r="C324" s="15" t="s">
        <v>1635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>
      <c r="A325" s="8"/>
      <c r="B325" s="15">
        <v>319</v>
      </c>
      <c r="C325" s="15" t="s">
        <v>1425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>
      <c r="A326" s="8"/>
      <c r="B326" s="15">
        <v>320</v>
      </c>
      <c r="C326" s="15" t="s">
        <v>1992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>
      <c r="A327" s="8"/>
      <c r="B327" s="15">
        <v>321</v>
      </c>
      <c r="C327" s="15" t="s">
        <v>833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>
      <c r="A328" s="8"/>
      <c r="B328" s="15">
        <v>322</v>
      </c>
      <c r="C328" s="15" t="s">
        <v>293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>
      <c r="A329" s="8"/>
      <c r="B329" s="15">
        <v>323</v>
      </c>
      <c r="C329" s="15" t="s">
        <v>283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>
      <c r="A330" s="8"/>
      <c r="B330" s="15">
        <v>324</v>
      </c>
      <c r="C330" s="15" t="s">
        <v>1420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>
      <c r="A331" s="8"/>
      <c r="B331" s="15">
        <v>325</v>
      </c>
      <c r="C331" s="15" t="s">
        <v>284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>
      <c r="A332" s="8"/>
      <c r="B332" s="15">
        <v>326</v>
      </c>
      <c r="C332" s="15" t="s">
        <v>1993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>
      <c r="A333" s="8"/>
      <c r="B333" s="15">
        <v>327</v>
      </c>
      <c r="C333" s="15" t="s">
        <v>263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>
      <c r="A334" s="8"/>
      <c r="B334" s="15">
        <v>328</v>
      </c>
      <c r="C334" s="15" t="s">
        <v>304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>
      <c r="A335" s="8"/>
      <c r="B335" s="15">
        <v>329</v>
      </c>
      <c r="C335" s="15" t="s">
        <v>285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>
      <c r="A336" s="8"/>
      <c r="B336" s="15">
        <v>330</v>
      </c>
      <c r="C336" s="15" t="s">
        <v>1418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>
      <c r="A337" s="8"/>
      <c r="B337" s="15">
        <v>331</v>
      </c>
      <c r="C337" s="15" t="s">
        <v>1994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>
      <c r="A338" s="8"/>
      <c r="B338" s="15">
        <v>332</v>
      </c>
      <c r="C338" s="15" t="s">
        <v>594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>
      <c r="A339" s="8"/>
      <c r="B339" s="15">
        <v>333</v>
      </c>
      <c r="C339" s="15" t="s">
        <v>264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>
      <c r="A340" s="8"/>
      <c r="B340" s="15">
        <v>334</v>
      </c>
      <c r="C340" s="15" t="s">
        <v>1363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>
      <c r="A341" s="8"/>
      <c r="B341" s="15">
        <v>335</v>
      </c>
      <c r="C341" s="15" t="s">
        <v>1995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>
      <c r="A342" s="8"/>
      <c r="B342" s="15">
        <v>336</v>
      </c>
      <c r="C342" s="15" t="s">
        <v>290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>
      <c r="A343" s="8"/>
      <c r="B343" s="15">
        <v>337</v>
      </c>
      <c r="C343" s="15" t="s">
        <v>265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>
      <c r="A344" s="8"/>
      <c r="B344" s="15">
        <v>338</v>
      </c>
      <c r="C344" s="15" t="s">
        <v>1439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>
      <c r="A345" s="8"/>
      <c r="B345" s="15">
        <v>339</v>
      </c>
      <c r="C345" s="15" t="s">
        <v>598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>
      <c r="A346" s="8"/>
      <c r="B346" s="15">
        <v>340</v>
      </c>
      <c r="C346" s="15" t="s">
        <v>266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>
      <c r="A347" s="8"/>
      <c r="B347" s="15">
        <v>341</v>
      </c>
      <c r="C347" s="15" t="s">
        <v>1996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>
      <c r="A348" s="8"/>
      <c r="B348" s="15">
        <v>342</v>
      </c>
      <c r="C348" s="15" t="s">
        <v>268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>
      <c r="A349" s="8"/>
      <c r="B349" s="15">
        <v>343</v>
      </c>
      <c r="C349" s="15" t="s">
        <v>1407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>
      <c r="A350" s="8"/>
      <c r="B350" s="15">
        <v>344</v>
      </c>
      <c r="C350" s="15" t="s">
        <v>1394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>
      <c r="A351" s="8"/>
      <c r="B351" s="15">
        <v>345</v>
      </c>
      <c r="C351" s="15" t="s">
        <v>267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>
      <c r="A352" s="8"/>
      <c r="B352" s="15">
        <v>346</v>
      </c>
      <c r="C352" s="15" t="s">
        <v>317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>
      <c r="A353" s="8"/>
      <c r="B353" s="15">
        <v>347</v>
      </c>
      <c r="C353" s="15" t="s">
        <v>1347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>
      <c r="A354" s="8"/>
      <c r="B354" s="15">
        <v>348</v>
      </c>
      <c r="C354" s="15" t="s">
        <v>1415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>
      <c r="A355" s="8"/>
      <c r="B355" s="15">
        <v>349</v>
      </c>
      <c r="C355" s="15" t="s">
        <v>313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>
      <c r="A356" s="8"/>
      <c r="B356" s="15">
        <v>350</v>
      </c>
      <c r="C356" s="15" t="s">
        <v>1997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>
      <c r="A357" s="8"/>
      <c r="B357" s="15">
        <v>351</v>
      </c>
      <c r="C357" s="15" t="s">
        <v>1998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>
      <c r="A358" s="8"/>
      <c r="B358" s="15">
        <v>352</v>
      </c>
      <c r="C358" s="15" t="s">
        <v>588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>
      <c r="A359" s="8"/>
      <c r="B359" s="15">
        <v>353</v>
      </c>
      <c r="C359" s="15" t="s">
        <v>1636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>
      <c r="A360" s="8"/>
      <c r="B360" s="15">
        <v>354</v>
      </c>
      <c r="C360" s="15" t="s">
        <v>1370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>
      <c r="A361" s="8"/>
      <c r="B361" s="15">
        <v>355</v>
      </c>
      <c r="C361" s="15" t="s">
        <v>269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>
      <c r="A362" s="8"/>
      <c r="B362" s="15">
        <v>356</v>
      </c>
      <c r="C362" s="15" t="s">
        <v>1396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>
      <c r="A363" s="8"/>
      <c r="B363" s="15">
        <v>357</v>
      </c>
      <c r="C363" s="15" t="s">
        <v>726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>
      <c r="A364" s="8"/>
      <c r="B364" s="15">
        <v>358</v>
      </c>
      <c r="C364" s="15" t="s">
        <v>1999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>
      <c r="A365" s="8"/>
      <c r="B365" s="15">
        <v>359</v>
      </c>
      <c r="C365" s="15" t="s">
        <v>270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>
      <c r="A366" s="8"/>
      <c r="B366" s="15">
        <v>360</v>
      </c>
      <c r="C366" s="15" t="s">
        <v>1354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>
      <c r="A367" s="8"/>
      <c r="B367" s="15">
        <v>361</v>
      </c>
      <c r="C367" s="15" t="s">
        <v>271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>
      <c r="A368" s="8"/>
      <c r="B368" s="15">
        <v>362</v>
      </c>
      <c r="C368" s="15" t="s">
        <v>1430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>
      <c r="A369" s="8"/>
      <c r="B369" s="15">
        <v>363</v>
      </c>
      <c r="C369" s="15" t="s">
        <v>2000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>
      <c r="A370" s="8"/>
      <c r="B370" s="15">
        <v>364</v>
      </c>
      <c r="C370" s="15" t="s">
        <v>2001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>
      <c r="A371" s="8"/>
      <c r="B371" s="15">
        <v>365</v>
      </c>
      <c r="C371" s="15" t="s">
        <v>1414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>
      <c r="A372" s="8"/>
      <c r="B372" s="15">
        <v>366</v>
      </c>
      <c r="C372" s="15" t="s">
        <v>595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>
      <c r="A373" s="8"/>
      <c r="B373" s="15">
        <v>367</v>
      </c>
      <c r="C373" s="15" t="s">
        <v>272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>
      <c r="A374" s="8"/>
      <c r="B374" s="15">
        <v>368</v>
      </c>
      <c r="C374" s="15" t="s">
        <v>1405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>
      <c r="A375" s="8"/>
      <c r="B375" s="15">
        <v>369</v>
      </c>
      <c r="C375" s="15" t="s">
        <v>1351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>
      <c r="A376" s="8"/>
      <c r="B376" s="15">
        <v>370</v>
      </c>
      <c r="C376" s="15" t="s">
        <v>2002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>
      <c r="A377" s="8"/>
      <c r="B377" s="15">
        <v>371</v>
      </c>
      <c r="C377" s="15" t="s">
        <v>297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>
      <c r="A378" s="8"/>
      <c r="B378" s="15">
        <v>372</v>
      </c>
      <c r="C378" s="15" t="s">
        <v>273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>
      <c r="A379" s="8"/>
      <c r="B379" s="15">
        <v>373</v>
      </c>
      <c r="C379" s="15" t="s">
        <v>296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>
      <c r="A380" s="8"/>
      <c r="B380" s="15">
        <v>374</v>
      </c>
      <c r="C380" s="15" t="s">
        <v>274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>
      <c r="A381" s="8"/>
      <c r="B381" s="15">
        <v>375</v>
      </c>
      <c r="C381" s="15" t="s">
        <v>1391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>
      <c r="A382" s="8"/>
      <c r="B382" s="15">
        <v>376</v>
      </c>
      <c r="C382" s="15" t="s">
        <v>275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>
      <c r="A383" s="8"/>
      <c r="B383" s="15">
        <v>377</v>
      </c>
      <c r="C383" s="15" t="s">
        <v>1369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>
      <c r="A384" s="8"/>
      <c r="B384" s="15">
        <v>378</v>
      </c>
      <c r="C384" s="15" t="s">
        <v>315</v>
      </c>
      <c r="D384" s="15">
        <v>35</v>
      </c>
      <c r="E384" s="15">
        <v>0</v>
      </c>
      <c r="F384" s="15">
        <v>6</v>
      </c>
      <c r="G384" s="15">
        <v>216</v>
      </c>
      <c r="H384" s="15">
        <v>10</v>
      </c>
      <c r="I384" s="15"/>
    </row>
    <row r="385" spans="1:9">
      <c r="A385" s="8"/>
      <c r="B385" s="15">
        <v>379</v>
      </c>
      <c r="C385" s="15" t="s">
        <v>527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>
      <c r="A386" s="8"/>
      <c r="B386" s="15">
        <v>380</v>
      </c>
      <c r="C386" s="15" t="s">
        <v>322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>
      <c r="A387" s="8"/>
      <c r="B387" s="15">
        <v>381</v>
      </c>
      <c r="C387" s="15" t="s">
        <v>276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>
      <c r="A388" s="8"/>
      <c r="B388" s="15">
        <v>382</v>
      </c>
      <c r="C388" s="15" t="s">
        <v>2003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>
      <c r="A389" s="8"/>
      <c r="B389" s="15">
        <v>383</v>
      </c>
      <c r="C389" s="15" t="s">
        <v>2004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>
      <c r="A390" s="8"/>
      <c r="B390" s="15">
        <v>384</v>
      </c>
      <c r="C390" s="15" t="s">
        <v>2005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>
      <c r="A391" s="8"/>
      <c r="B391" s="15">
        <v>385</v>
      </c>
      <c r="C391" s="15" t="s">
        <v>1366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>
      <c r="A392" s="8"/>
      <c r="B392" s="15">
        <v>386</v>
      </c>
      <c r="C392" s="15" t="s">
        <v>277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>
      <c r="A393" s="8"/>
      <c r="B393" s="15">
        <v>387</v>
      </c>
      <c r="C393" s="15" t="s">
        <v>721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>
      <c r="A394" s="8"/>
      <c r="B394" s="15">
        <v>388</v>
      </c>
      <c r="C394" s="15" t="s">
        <v>1382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>
      <c r="A395" s="8"/>
      <c r="B395" s="15">
        <v>389</v>
      </c>
      <c r="C395" s="15" t="s">
        <v>1368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>
      <c r="A396" s="8"/>
      <c r="B396" s="15">
        <v>390</v>
      </c>
      <c r="C396" s="15" t="s">
        <v>528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>
      <c r="A397" s="8"/>
      <c r="B397" s="15">
        <v>391</v>
      </c>
      <c r="C397" s="15" t="s">
        <v>2006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>
      <c r="A398" s="8"/>
      <c r="B398" s="15">
        <v>392</v>
      </c>
      <c r="C398" s="15" t="s">
        <v>286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>
      <c r="A399" s="8"/>
      <c r="B399" s="15">
        <v>393</v>
      </c>
      <c r="C399" s="15" t="s">
        <v>1358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>
      <c r="A400" s="8"/>
      <c r="B400" s="15">
        <v>394</v>
      </c>
      <c r="C400" s="15" t="s">
        <v>1395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>
      <c r="A401" s="8"/>
      <c r="B401" s="15">
        <v>395</v>
      </c>
      <c r="C401" s="15" t="s">
        <v>287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>
      <c r="A402" s="8"/>
      <c r="B402" s="15">
        <v>396</v>
      </c>
      <c r="C402" s="15" t="s">
        <v>589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>
      <c r="A403" s="8"/>
      <c r="B403" s="15">
        <v>397</v>
      </c>
      <c r="C403" s="15" t="s">
        <v>1423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>
      <c r="A404" s="8"/>
      <c r="B404" s="15">
        <v>398</v>
      </c>
      <c r="C404" s="15" t="s">
        <v>288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>
      <c r="A405" s="8"/>
      <c r="B405" s="15">
        <v>399</v>
      </c>
      <c r="C405" s="15" t="s">
        <v>554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>
      <c r="A406" s="8"/>
      <c r="B406" s="15">
        <v>400</v>
      </c>
      <c r="C406" s="15" t="s">
        <v>2007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>
      <c r="A407" s="8"/>
      <c r="B407" s="15">
        <v>401</v>
      </c>
      <c r="C407" s="15" t="s">
        <v>1413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>
      <c r="A408" s="8"/>
      <c r="B408" s="15">
        <v>402</v>
      </c>
      <c r="C408" s="15" t="s">
        <v>2008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>
      <c r="A409" s="8"/>
      <c r="B409" s="15">
        <v>403</v>
      </c>
      <c r="C409" s="15" t="s">
        <v>1636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>
      <c r="A410" s="8"/>
      <c r="B410" s="15">
        <v>404</v>
      </c>
      <c r="C410" s="15" t="s">
        <v>599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>
      <c r="A411" s="8"/>
      <c r="B411" s="15">
        <v>405</v>
      </c>
      <c r="C411" s="15" t="s">
        <v>727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>
      <c r="A412" s="8"/>
      <c r="B412" s="15">
        <v>406</v>
      </c>
      <c r="C412" s="15" t="s">
        <v>571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>
      <c r="A413" s="8"/>
      <c r="B413" s="15">
        <v>407</v>
      </c>
      <c r="C413" s="15" t="s">
        <v>728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>
      <c r="A414" s="8"/>
      <c r="B414" s="15">
        <v>408</v>
      </c>
      <c r="C414" s="15" t="s">
        <v>2009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>
      <c r="A415" s="8"/>
      <c r="B415" s="15">
        <v>409</v>
      </c>
      <c r="C415" s="15" t="s">
        <v>572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>
      <c r="A416" s="8"/>
      <c r="B416" s="15">
        <v>410</v>
      </c>
      <c r="C416" s="15" t="s">
        <v>580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>
      <c r="A417" s="8"/>
      <c r="B417" s="15">
        <v>411</v>
      </c>
      <c r="C417" s="15" t="s">
        <v>578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>
      <c r="A418" s="8"/>
      <c r="B418" s="15">
        <v>412</v>
      </c>
      <c r="C418" s="15" t="s">
        <v>600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>
      <c r="A419" s="8"/>
      <c r="B419" s="15">
        <v>413</v>
      </c>
      <c r="C419" s="15" t="s">
        <v>587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>
      <c r="A420" s="8"/>
      <c r="B420" s="15">
        <v>414</v>
      </c>
      <c r="C420" s="15" t="s">
        <v>1417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>
      <c r="A421" s="8"/>
      <c r="B421" s="15">
        <v>415</v>
      </c>
      <c r="C421" s="15" t="s">
        <v>729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>
      <c r="A422" s="8"/>
      <c r="B422" s="15">
        <v>416</v>
      </c>
      <c r="C422" s="15" t="s">
        <v>1398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>
      <c r="A423" s="8"/>
      <c r="B423" s="15">
        <v>417</v>
      </c>
      <c r="C423" s="15" t="s">
        <v>610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>
      <c r="A424" s="8"/>
      <c r="B424" s="15">
        <v>418</v>
      </c>
      <c r="C424" s="15" t="s">
        <v>609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>
      <c r="A425" s="8"/>
      <c r="B425" s="15">
        <v>419</v>
      </c>
      <c r="C425" s="15" t="s">
        <v>607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>
      <c r="A426" s="8"/>
      <c r="B426" s="15">
        <v>420</v>
      </c>
      <c r="C426" s="15" t="s">
        <v>614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>
      <c r="A427" s="8"/>
      <c r="B427" s="15">
        <v>421</v>
      </c>
      <c r="C427" s="15" t="s">
        <v>613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>
      <c r="A428" s="8"/>
      <c r="B428" s="15">
        <v>422</v>
      </c>
      <c r="C428" s="15" t="s">
        <v>608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>
      <c r="A429" s="8"/>
      <c r="B429" s="15">
        <v>423</v>
      </c>
      <c r="C429" s="15" t="s">
        <v>1392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>
      <c r="A430" s="8"/>
      <c r="B430" s="15">
        <v>424</v>
      </c>
      <c r="C430" s="15" t="s">
        <v>2010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>
      <c r="A431" s="8"/>
      <c r="B431" s="15">
        <v>425</v>
      </c>
      <c r="C431" s="15" t="s">
        <v>870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>
      <c r="A432" s="8"/>
      <c r="B432" s="15">
        <v>426</v>
      </c>
      <c r="C432" s="15" t="s">
        <v>751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>
      <c r="A433" s="8"/>
      <c r="B433" s="15">
        <v>427</v>
      </c>
      <c r="C433" s="15" t="s">
        <v>1408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>
      <c r="A434" s="8"/>
      <c r="B434" s="15">
        <v>428</v>
      </c>
      <c r="C434" s="15" t="s">
        <v>1436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>
      <c r="A435" s="8"/>
      <c r="B435" s="15">
        <v>429</v>
      </c>
      <c r="C435" s="15" t="s">
        <v>869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>
      <c r="A436" s="8"/>
      <c r="B436" s="15">
        <v>430</v>
      </c>
      <c r="C436" s="15" t="s">
        <v>2011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>
      <c r="A437" s="8"/>
      <c r="B437" s="15">
        <v>431</v>
      </c>
      <c r="C437" s="15" t="s">
        <v>2012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>
      <c r="A438" s="8"/>
      <c r="B438" s="15">
        <v>432</v>
      </c>
      <c r="C438" s="15" t="s">
        <v>864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>
      <c r="A439" s="8"/>
      <c r="B439" s="15">
        <v>433</v>
      </c>
      <c r="C439" s="15" t="s">
        <v>865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>
      <c r="A440" s="8"/>
      <c r="B440" s="15">
        <v>434</v>
      </c>
      <c r="C440" s="15" t="s">
        <v>2013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>
      <c r="A441" s="8"/>
      <c r="B441" s="15">
        <v>435</v>
      </c>
      <c r="C441" s="15" t="s">
        <v>1380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>
      <c r="A442" s="8"/>
      <c r="B442" s="15">
        <v>436</v>
      </c>
      <c r="C442" s="15" t="s">
        <v>2014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>
      <c r="A443" s="8"/>
      <c r="B443" s="15">
        <v>437</v>
      </c>
      <c r="C443" s="15" t="s">
        <v>2015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>
      <c r="A444" s="8"/>
      <c r="B444" s="15">
        <v>438</v>
      </c>
      <c r="C444" s="15" t="s">
        <v>1424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>
      <c r="A445" s="8"/>
      <c r="B445" s="15">
        <v>439</v>
      </c>
      <c r="C445" s="15" t="s">
        <v>2016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>
      <c r="A446" s="8"/>
      <c r="B446" s="15">
        <v>440</v>
      </c>
      <c r="C446" s="15" t="s">
        <v>1361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>
      <c r="A447" s="8"/>
      <c r="B447" s="15">
        <v>441</v>
      </c>
      <c r="C447" s="15" t="s">
        <v>1362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>
      <c r="A448" s="8"/>
      <c r="B448" s="15">
        <v>442</v>
      </c>
      <c r="C448" s="15" t="s">
        <v>866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>
      <c r="A449" s="8"/>
      <c r="B449" s="15">
        <v>443</v>
      </c>
      <c r="C449" s="15" t="s">
        <v>1633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>
      <c r="A450" s="8"/>
      <c r="B450" s="15">
        <v>444</v>
      </c>
      <c r="C450" s="15" t="s">
        <v>1635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>
      <c r="A451" s="8"/>
      <c r="B451" s="15">
        <v>445</v>
      </c>
      <c r="C451" s="15" t="s">
        <v>1434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>
      <c r="A452" s="8"/>
      <c r="B452" s="15">
        <v>446</v>
      </c>
      <c r="C452" s="15" t="s">
        <v>832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>
      <c r="A453" s="8"/>
      <c r="B453" s="15">
        <v>447</v>
      </c>
      <c r="C453" s="15" t="s">
        <v>1372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>
      <c r="A454" s="8"/>
      <c r="B454" s="15">
        <v>448</v>
      </c>
      <c r="C454" s="15" t="s">
        <v>843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>
      <c r="A455" s="8"/>
      <c r="B455" s="15">
        <v>449</v>
      </c>
      <c r="C455" s="15" t="s">
        <v>2017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>
      <c r="A456" s="8"/>
      <c r="B456" s="15">
        <v>450</v>
      </c>
      <c r="C456" s="15" t="s">
        <v>867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>
      <c r="A457" s="8"/>
      <c r="B457" s="15">
        <v>451</v>
      </c>
      <c r="C457" s="15" t="s">
        <v>2018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>
      <c r="A458" s="8"/>
      <c r="B458" s="15">
        <v>452</v>
      </c>
      <c r="C458" s="15" t="s">
        <v>848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>
      <c r="A459" s="8"/>
      <c r="B459" s="15">
        <v>453</v>
      </c>
      <c r="C459" s="15" t="s">
        <v>868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>
      <c r="A460" s="8"/>
      <c r="B460" s="15">
        <v>454</v>
      </c>
      <c r="C460" s="15" t="s">
        <v>847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>
      <c r="A461" s="8"/>
      <c r="B461" s="15">
        <v>455</v>
      </c>
      <c r="C461" s="15" t="s">
        <v>1411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>
      <c r="A462" s="8"/>
      <c r="B462" s="15">
        <v>456</v>
      </c>
      <c r="C462" s="15" t="s">
        <v>2019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>
      <c r="A463" s="8"/>
      <c r="B463" s="15">
        <v>457</v>
      </c>
      <c r="C463" s="15" t="s">
        <v>862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>
      <c r="A464" s="8"/>
      <c r="B464" s="15">
        <v>458</v>
      </c>
      <c r="C464" s="15" t="s">
        <v>2020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>
      <c r="A465" s="8"/>
      <c r="B465" s="15">
        <v>459</v>
      </c>
      <c r="C465" s="15" t="s">
        <v>863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>
      <c r="A466" s="8"/>
      <c r="B466" s="15">
        <v>460</v>
      </c>
      <c r="C466" s="15" t="s">
        <v>2109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>
      <c r="A467" s="8"/>
      <c r="B467" s="15">
        <v>461</v>
      </c>
      <c r="C467" s="15" t="s">
        <v>880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>
      <c r="A468" s="8"/>
      <c r="B468" s="15">
        <v>462</v>
      </c>
      <c r="C468" s="15" t="s">
        <v>879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>
      <c r="A469" s="8"/>
      <c r="B469" s="15">
        <v>463</v>
      </c>
      <c r="C469" s="15" t="s">
        <v>1916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>
      <c r="A470" s="8"/>
      <c r="B470" s="15">
        <v>464</v>
      </c>
      <c r="C470" s="15" t="s">
        <v>900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>
      <c r="A471" s="8"/>
      <c r="B471" s="15">
        <v>465</v>
      </c>
      <c r="C471" s="15" t="s">
        <v>1629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>
      <c r="A472" s="8"/>
      <c r="B472" s="15">
        <v>466</v>
      </c>
      <c r="C472" s="15" t="s">
        <v>1167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>
      <c r="A473" s="8"/>
      <c r="B473" s="15">
        <v>467</v>
      </c>
      <c r="C473" s="15" t="s">
        <v>1168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>
      <c r="A474" s="8"/>
      <c r="B474" s="15">
        <v>468</v>
      </c>
      <c r="C474" s="15" t="s">
        <v>1915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>
      <c r="A475" s="8"/>
      <c r="B475" s="15">
        <v>469</v>
      </c>
      <c r="C475" s="15" t="s">
        <v>1914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>
      <c r="A476" s="8"/>
      <c r="B476" s="15">
        <v>470</v>
      </c>
      <c r="C476" s="15" t="s">
        <v>1627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>
      <c r="A477" s="8"/>
      <c r="B477" s="15">
        <v>471</v>
      </c>
      <c r="C477" s="15" t="s">
        <v>1638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>
      <c r="A478" s="8"/>
      <c r="B478" s="15">
        <v>472</v>
      </c>
      <c r="C478" s="15" t="s">
        <v>1628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>
      <c r="A479" s="8"/>
      <c r="B479" s="15">
        <v>473</v>
      </c>
      <c r="C479" s="15" t="s">
        <v>2021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>
      <c r="A480" s="8"/>
      <c r="B480" s="15">
        <v>474</v>
      </c>
      <c r="C480" s="15" t="s">
        <v>2022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>
      <c r="A481" s="8"/>
      <c r="B481" s="15">
        <v>475</v>
      </c>
      <c r="C481" s="15" t="s">
        <v>2023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>
      <c r="A482" s="8"/>
      <c r="B482" s="15">
        <v>476</v>
      </c>
      <c r="C482" s="15" t="s">
        <v>1769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>
      <c r="A483" s="8"/>
      <c r="B483" s="15">
        <v>477</v>
      </c>
      <c r="C483" s="15" t="s">
        <v>1770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>
      <c r="A484" s="8"/>
      <c r="B484" s="15">
        <v>478</v>
      </c>
      <c r="C484" s="15" t="s">
        <v>2024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>
      <c r="A485" s="8"/>
      <c r="B485" s="15">
        <v>479</v>
      </c>
      <c r="C485" s="15" t="s">
        <v>2025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>
      <c r="A486" s="8"/>
      <c r="B486" s="15">
        <v>480</v>
      </c>
      <c r="C486" s="15" t="s">
        <v>1771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>
      <c r="A487" s="8"/>
      <c r="B487" s="15">
        <v>481</v>
      </c>
      <c r="C487" s="15" t="s">
        <v>1811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>
      <c r="A488" s="8"/>
      <c r="B488" s="15">
        <v>482</v>
      </c>
      <c r="C488" s="15" t="s">
        <v>1812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>
      <c r="A489" s="8"/>
      <c r="B489" s="15">
        <v>483</v>
      </c>
      <c r="C489" s="15" t="s">
        <v>1809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>
      <c r="A490" s="8"/>
      <c r="B490" s="15">
        <v>484</v>
      </c>
      <c r="C490" s="15" t="s">
        <v>1810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>
      <c r="A491" s="8"/>
      <c r="B491" s="15">
        <v>485</v>
      </c>
      <c r="C491" s="15" t="s">
        <v>1813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>
      <c r="A492" s="8"/>
      <c r="B492" s="15">
        <v>486</v>
      </c>
      <c r="C492" s="15" t="s">
        <v>2026</v>
      </c>
      <c r="D492" s="15">
        <v>14</v>
      </c>
      <c r="E492" s="15">
        <v>0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1849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1851</v>
      </c>
      <c r="D494" s="15">
        <v>42</v>
      </c>
      <c r="E494" s="15">
        <v>0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1852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2027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1850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492</v>
      </c>
      <c r="C498" s="15" t="s">
        <v>2049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>
      <c r="A499" s="8"/>
      <c r="B499" s="15">
        <v>493</v>
      </c>
      <c r="C499" s="15" t="s">
        <v>2050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>
      <c r="A500" s="8"/>
      <c r="B500" s="15">
        <v>494</v>
      </c>
      <c r="C500" s="15" t="s">
        <v>2034</v>
      </c>
      <c r="D500" s="15">
        <v>43</v>
      </c>
      <c r="E500" s="15">
        <v>0</v>
      </c>
      <c r="F500" s="15">
        <v>7</v>
      </c>
      <c r="G500" s="15">
        <v>0</v>
      </c>
      <c r="H500" s="15">
        <v>1</v>
      </c>
      <c r="I500" s="15"/>
    </row>
    <row r="501" spans="1:9">
      <c r="A501" s="8"/>
      <c r="B501" s="15">
        <v>495</v>
      </c>
      <c r="C501" s="15" t="s">
        <v>2046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/>
    </row>
    <row r="502" spans="1:9">
      <c r="A502" s="8"/>
      <c r="B502" s="15">
        <v>496</v>
      </c>
      <c r="C502" s="15" t="s">
        <v>2047</v>
      </c>
      <c r="D502" s="15">
        <v>17</v>
      </c>
      <c r="E502" s="15">
        <v>0</v>
      </c>
      <c r="F502" s="15">
        <v>8</v>
      </c>
      <c r="G502" s="15">
        <v>0</v>
      </c>
      <c r="H502" s="15">
        <v>1</v>
      </c>
      <c r="I502" s="15"/>
    </row>
    <row r="503" spans="1:9">
      <c r="A503" s="8"/>
      <c r="B503" s="15">
        <v>497</v>
      </c>
      <c r="C503" s="15" t="s">
        <v>2051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/>
    </row>
    <row r="504" spans="1:9">
      <c r="A504" s="8"/>
      <c r="B504" s="15">
        <v>498</v>
      </c>
      <c r="C504" s="15" t="s">
        <v>2052</v>
      </c>
      <c r="D504" s="15">
        <v>18</v>
      </c>
      <c r="E504" s="15">
        <v>0</v>
      </c>
      <c r="F504" s="15">
        <v>8</v>
      </c>
      <c r="G504" s="15">
        <v>0</v>
      </c>
      <c r="H504" s="15">
        <v>1</v>
      </c>
      <c r="I504" s="15"/>
    </row>
    <row r="505" spans="1:9">
      <c r="A505" s="8"/>
      <c r="B505" s="15">
        <v>499</v>
      </c>
      <c r="C505" s="15" t="s">
        <v>2056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/>
    </row>
    <row r="506" spans="1:9">
      <c r="A506" s="8"/>
      <c r="B506" s="15">
        <v>500</v>
      </c>
      <c r="C506" s="15" t="s">
        <v>2074</v>
      </c>
      <c r="D506" s="15">
        <v>3</v>
      </c>
      <c r="E506" s="15">
        <v>0</v>
      </c>
      <c r="F506" s="15">
        <v>0</v>
      </c>
      <c r="G506" s="15">
        <v>0</v>
      </c>
      <c r="H506" s="15">
        <v>1</v>
      </c>
      <c r="I506" s="15"/>
    </row>
    <row r="507" spans="1:9">
      <c r="A507" s="8"/>
      <c r="B507" s="15">
        <v>501</v>
      </c>
      <c r="C507" s="15" t="s">
        <v>2075</v>
      </c>
      <c r="D507" s="15">
        <v>3</v>
      </c>
      <c r="E507" s="15">
        <v>127</v>
      </c>
      <c r="F507" s="15">
        <v>14</v>
      </c>
      <c r="G507" s="15">
        <v>144</v>
      </c>
      <c r="H507" s="15">
        <v>10</v>
      </c>
      <c r="I507" s="15"/>
    </row>
    <row r="508" spans="1:9">
      <c r="A508" s="8"/>
      <c r="B508" s="15">
        <v>502</v>
      </c>
      <c r="C508" s="15" t="s">
        <v>2069</v>
      </c>
      <c r="D508" s="15">
        <v>5</v>
      </c>
      <c r="E508" s="15">
        <v>0</v>
      </c>
      <c r="F508" s="15">
        <v>10</v>
      </c>
      <c r="G508" s="15">
        <v>0</v>
      </c>
      <c r="H508" s="15">
        <v>1</v>
      </c>
      <c r="I508" s="15"/>
    </row>
    <row r="509" spans="1:9">
      <c r="A509" s="8"/>
      <c r="B509" s="15">
        <v>503</v>
      </c>
      <c r="C509" s="15" t="s">
        <v>2070</v>
      </c>
      <c r="D509" s="15">
        <v>5</v>
      </c>
      <c r="E509" s="15">
        <v>128</v>
      </c>
      <c r="F509" s="15">
        <v>14</v>
      </c>
      <c r="G509" s="15">
        <v>138</v>
      </c>
      <c r="H509" s="15">
        <v>10</v>
      </c>
      <c r="I509" s="15"/>
    </row>
    <row r="510" spans="1:9">
      <c r="A510" s="8"/>
      <c r="B510" s="15">
        <v>504</v>
      </c>
      <c r="C510" s="15" t="s">
        <v>2066</v>
      </c>
      <c r="D510" s="15">
        <v>4</v>
      </c>
      <c r="E510" s="15">
        <v>0</v>
      </c>
      <c r="F510" s="15">
        <v>0</v>
      </c>
      <c r="G510" s="15">
        <v>0</v>
      </c>
      <c r="H510" s="15">
        <v>1</v>
      </c>
      <c r="I510" s="15"/>
    </row>
    <row r="511" spans="1:9">
      <c r="A511" s="8"/>
      <c r="B511" s="15">
        <v>505</v>
      </c>
      <c r="C511" s="15" t="s">
        <v>2108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/>
    </row>
    <row r="512" spans="1:9">
      <c r="A512" s="8"/>
      <c r="B512" s="15">
        <v>506</v>
      </c>
      <c r="C512" s="15" t="s">
        <v>2107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/>
    </row>
    <row r="513" spans="1:9">
      <c r="A513" s="8"/>
      <c r="B513" s="15">
        <v>9001</v>
      </c>
      <c r="C513" s="15" t="s">
        <v>2028</v>
      </c>
      <c r="D513" s="15">
        <v>0</v>
      </c>
      <c r="E513" s="15">
        <v>0</v>
      </c>
      <c r="F513" s="15">
        <v>5</v>
      </c>
      <c r="G513" s="15">
        <v>450</v>
      </c>
      <c r="H513" s="15">
        <v>1</v>
      </c>
      <c r="I513" s="15"/>
    </row>
    <row r="514" spans="1:9">
      <c r="A514" s="8"/>
      <c r="B514" s="15">
        <v>9002</v>
      </c>
      <c r="C514" s="15" t="s">
        <v>1661</v>
      </c>
      <c r="D514" s="15">
        <v>0</v>
      </c>
      <c r="E514" s="15">
        <v>0</v>
      </c>
      <c r="F514" s="15">
        <v>11</v>
      </c>
      <c r="G514" s="15">
        <v>450</v>
      </c>
      <c r="H514" s="15">
        <v>1</v>
      </c>
      <c r="I514" s="15"/>
    </row>
    <row r="515" spans="1:9">
      <c r="A515" s="8"/>
      <c r="B515" s="15">
        <v>9003</v>
      </c>
      <c r="C515" s="15" t="s">
        <v>1656</v>
      </c>
      <c r="D515" s="15">
        <v>0</v>
      </c>
      <c r="E515" s="15">
        <v>0</v>
      </c>
      <c r="F515" s="15">
        <v>6</v>
      </c>
      <c r="G515" s="15">
        <v>0</v>
      </c>
      <c r="H515" s="15">
        <v>1</v>
      </c>
      <c r="I515" s="15"/>
    </row>
    <row r="516" spans="1:9">
      <c r="A516" s="8"/>
      <c r="B516" s="15">
        <v>9004</v>
      </c>
      <c r="C516" s="15" t="s">
        <v>1659</v>
      </c>
      <c r="D516" s="15">
        <v>0</v>
      </c>
      <c r="E516" s="15">
        <v>0</v>
      </c>
      <c r="F516" s="15">
        <v>3</v>
      </c>
      <c r="G516" s="15">
        <v>450</v>
      </c>
      <c r="H516" s="15">
        <v>1</v>
      </c>
      <c r="I516" s="15"/>
    </row>
    <row r="517" spans="1:9">
      <c r="A517" s="8"/>
      <c r="B517" s="15">
        <v>9005</v>
      </c>
      <c r="C517" s="15" t="s">
        <v>590</v>
      </c>
      <c r="D517" s="15">
        <v>0</v>
      </c>
      <c r="E517" s="15">
        <v>0</v>
      </c>
      <c r="F517" s="15">
        <v>4</v>
      </c>
      <c r="G517" s="15">
        <v>450</v>
      </c>
      <c r="H517" s="15">
        <v>1</v>
      </c>
      <c r="I517" s="15"/>
    </row>
    <row r="518" spans="1:9">
      <c r="A518" s="8"/>
      <c r="B518" s="15">
        <v>9006</v>
      </c>
      <c r="C518" s="15" t="s">
        <v>530</v>
      </c>
      <c r="D518" s="15">
        <v>0</v>
      </c>
      <c r="E518" s="15">
        <v>0</v>
      </c>
      <c r="F518" s="15">
        <v>4</v>
      </c>
      <c r="G518" s="15">
        <v>450</v>
      </c>
      <c r="H518" s="15">
        <v>1</v>
      </c>
      <c r="I518" s="15"/>
    </row>
    <row r="519" spans="1:9">
      <c r="A519" s="8"/>
      <c r="B519" s="15">
        <v>9007</v>
      </c>
      <c r="C519" s="15" t="s">
        <v>1657</v>
      </c>
      <c r="D519" s="15">
        <v>0</v>
      </c>
      <c r="E519" s="15">
        <v>0</v>
      </c>
      <c r="F519" s="15">
        <v>1</v>
      </c>
      <c r="G519" s="15">
        <v>0</v>
      </c>
      <c r="H519" s="15">
        <v>1</v>
      </c>
      <c r="I519" s="15"/>
    </row>
    <row r="520" spans="1:9">
      <c r="A520" s="8"/>
      <c r="B520" s="15">
        <v>9008</v>
      </c>
      <c r="C520" s="15" t="s">
        <v>1660</v>
      </c>
      <c r="D520" s="15">
        <v>0</v>
      </c>
      <c r="E520" s="15">
        <v>0</v>
      </c>
      <c r="F520" s="15">
        <v>4</v>
      </c>
      <c r="G520" s="15">
        <v>450</v>
      </c>
      <c r="H520" s="15">
        <v>1</v>
      </c>
      <c r="I520" s="15"/>
    </row>
    <row r="521" spans="1:9">
      <c r="A521" s="8"/>
      <c r="B521" s="15">
        <v>9009</v>
      </c>
      <c r="C521" s="15" t="s">
        <v>586</v>
      </c>
      <c r="D521" s="15">
        <v>0</v>
      </c>
      <c r="E521" s="15">
        <v>0</v>
      </c>
      <c r="F521" s="15">
        <v>9</v>
      </c>
      <c r="G521" s="15">
        <v>200</v>
      </c>
      <c r="H521" s="15">
        <v>1</v>
      </c>
      <c r="I521" s="15"/>
    </row>
    <row r="522" spans="1:9">
      <c r="A522" s="8"/>
      <c r="B522" s="15">
        <v>9010</v>
      </c>
      <c r="C522" s="15" t="s">
        <v>1658</v>
      </c>
      <c r="D522" s="15">
        <v>0</v>
      </c>
      <c r="E522" s="15">
        <v>0</v>
      </c>
      <c r="F522" s="15">
        <v>6</v>
      </c>
      <c r="G522" s="15">
        <v>200</v>
      </c>
      <c r="H522" s="15">
        <v>1</v>
      </c>
      <c r="I522" s="15"/>
    </row>
    <row r="523" spans="1:9">
      <c r="A523" s="8"/>
      <c r="B523" s="15">
        <v>9011</v>
      </c>
      <c r="C523" s="15" t="s">
        <v>1662</v>
      </c>
      <c r="D523" s="15">
        <v>0</v>
      </c>
      <c r="E523" s="15">
        <v>0</v>
      </c>
      <c r="F523" s="15">
        <v>6</v>
      </c>
      <c r="G523" s="15">
        <v>0</v>
      </c>
      <c r="H523" s="15">
        <v>1</v>
      </c>
      <c r="I523" s="15"/>
    </row>
    <row r="524" spans="1:9">
      <c r="A524" s="8"/>
      <c r="B524" s="15">
        <v>9012</v>
      </c>
      <c r="C524" s="15" t="s">
        <v>2029</v>
      </c>
      <c r="D524" s="15">
        <v>0</v>
      </c>
      <c r="E524" s="15">
        <v>0</v>
      </c>
      <c r="F524" s="15">
        <v>6</v>
      </c>
      <c r="G524" s="15">
        <v>0</v>
      </c>
      <c r="H524" s="15">
        <v>1</v>
      </c>
      <c r="I524" s="15"/>
    </row>
    <row r="525" spans="1:9">
      <c r="A525" s="8"/>
      <c r="B525" s="15">
        <v>9013</v>
      </c>
      <c r="C525" s="15" t="s">
        <v>1663</v>
      </c>
      <c r="D525" s="15">
        <v>0</v>
      </c>
      <c r="E525" s="15">
        <v>0</v>
      </c>
      <c r="F525" s="15">
        <v>6</v>
      </c>
      <c r="G525" s="15">
        <v>0</v>
      </c>
      <c r="H525" s="15">
        <v>1</v>
      </c>
      <c r="I525" s="15"/>
    </row>
    <row r="526" spans="1:9">
      <c r="A526" s="8"/>
      <c r="B526" s="15">
        <v>9014</v>
      </c>
      <c r="C526" s="15" t="s">
        <v>2030</v>
      </c>
      <c r="D526" s="15">
        <v>0</v>
      </c>
      <c r="E526" s="15">
        <v>0</v>
      </c>
      <c r="F526" s="15">
        <v>6</v>
      </c>
      <c r="G526" s="15">
        <v>0</v>
      </c>
      <c r="H526" s="15">
        <v>1</v>
      </c>
      <c r="I526" s="15"/>
    </row>
    <row r="527" spans="1:9">
      <c r="A527" s="8"/>
      <c r="B527" s="15">
        <v>9015</v>
      </c>
      <c r="C527" s="15" t="s">
        <v>2031</v>
      </c>
      <c r="D527" s="15">
        <v>0</v>
      </c>
      <c r="E527" s="15">
        <v>0</v>
      </c>
      <c r="F527" s="15">
        <v>6</v>
      </c>
      <c r="G527" s="15">
        <v>0</v>
      </c>
      <c r="H527" s="15">
        <v>1</v>
      </c>
      <c r="I527" s="15"/>
    </row>
  </sheetData>
  <autoFilter ref="B6:J516" xr:uid="{3F84FBC2-D1A1-4918-8ACB-795AE24453E5}"/>
  <phoneticPr fontId="1"/>
  <dataValidations count="1">
    <dataValidation type="list" allowBlank="1" showInputMessage="1" showErrorMessage="1" sqref="A7:A527" xr:uid="{5DFC292D-6FAD-4B55-A311-BC7421F8A03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V319"/>
  <sheetViews>
    <sheetView zoomScale="85" zoomScaleNormal="85" workbookViewId="0">
      <pane ySplit="6" topLeftCell="A242" activePane="bottomLeft" state="frozen"/>
      <selection pane="bottomLeft" activeCell="K91" sqref="K91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2">
      <c r="A2" t="s">
        <v>2037</v>
      </c>
      <c r="B2" s="9" t="s">
        <v>40</v>
      </c>
      <c r="C2" s="9" t="s">
        <v>1468</v>
      </c>
      <c r="D2" s="9" t="s">
        <v>1689</v>
      </c>
      <c r="E2" s="9" t="s">
        <v>1639</v>
      </c>
      <c r="F2" s="9" t="s">
        <v>43</v>
      </c>
      <c r="G2" s="9" t="s">
        <v>44</v>
      </c>
      <c r="H2" s="9" t="s">
        <v>220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1345</v>
      </c>
      <c r="Q2" s="9" t="s">
        <v>1348</v>
      </c>
      <c r="R2" s="9" t="s">
        <v>222</v>
      </c>
      <c r="S2" s="9" t="s">
        <v>223</v>
      </c>
      <c r="T2" s="9" t="s">
        <v>278</v>
      </c>
    </row>
    <row r="3" spans="1:2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2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221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2">
      <c r="B6" s="9" t="s">
        <v>27</v>
      </c>
      <c r="C6" s="9" t="s">
        <v>27</v>
      </c>
      <c r="D6" s="9" t="s">
        <v>188</v>
      </c>
      <c r="E6" s="9" t="s">
        <v>188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188</v>
      </c>
      <c r="R6" s="9" t="s">
        <v>188</v>
      </c>
      <c r="S6" s="9" t="s">
        <v>188</v>
      </c>
      <c r="T6" s="9" t="s">
        <v>188</v>
      </c>
    </row>
    <row r="7" spans="1:22">
      <c r="A7" s="8"/>
      <c r="B7" s="15">
        <v>1</v>
      </c>
      <c r="C7" s="15">
        <v>6</v>
      </c>
      <c r="D7" s="15" t="str">
        <f>VLOOKUP(C7,skill_list!$B$7:$C$1030,2)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1913</v>
      </c>
      <c r="R7" s="15"/>
      <c r="S7" s="15"/>
      <c r="T7" s="15"/>
      <c r="U7" s="1">
        <f t="shared" ref="U7:U70" si="0">LEN(Q7) - LEN(SUBSTITUTE(Q7, ",", "")) + 1</f>
        <v>9</v>
      </c>
      <c r="V7" t="b">
        <f t="shared" ref="V7:V70" si="1">L7=U7</f>
        <v>1</v>
      </c>
    </row>
    <row r="8" spans="1:22">
      <c r="A8" s="8"/>
      <c r="B8" s="15">
        <v>2</v>
      </c>
      <c r="C8" s="15">
        <v>7</v>
      </c>
      <c r="D8" s="15" t="str">
        <f>VLOOKUP(C8,skill_list!$B$7:$C$1030,2)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1891</v>
      </c>
      <c r="R8" s="15"/>
      <c r="S8" s="15"/>
      <c r="T8" s="15"/>
      <c r="U8" s="1">
        <f t="shared" si="0"/>
        <v>2</v>
      </c>
      <c r="V8" t="b">
        <f t="shared" si="1"/>
        <v>1</v>
      </c>
    </row>
    <row r="9" spans="1:22">
      <c r="A9" s="8"/>
      <c r="B9" s="15">
        <v>3</v>
      </c>
      <c r="C9" s="15">
        <v>12</v>
      </c>
      <c r="D9" s="15" t="str">
        <f>VLOOKUP(C9,skill_list!$B$7:$C$1030,2)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734</v>
      </c>
      <c r="R9" s="15"/>
      <c r="S9" s="15"/>
      <c r="T9" s="15"/>
      <c r="U9" s="1">
        <f t="shared" si="0"/>
        <v>1</v>
      </c>
      <c r="V9" t="b">
        <f t="shared" si="1"/>
        <v>1</v>
      </c>
    </row>
    <row r="10" spans="1:22">
      <c r="A10" s="8"/>
      <c r="B10" s="15">
        <v>4</v>
      </c>
      <c r="C10" s="15">
        <v>387</v>
      </c>
      <c r="D10" s="15" t="str">
        <f>VLOOKUP(C10,skill_list!$B$7:$C$1030,2)</f>
        <v>流星+</v>
      </c>
      <c r="E10" s="11" t="s">
        <v>1664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734</v>
      </c>
      <c r="R10" s="15"/>
      <c r="S10" s="15"/>
      <c r="T10" s="15"/>
      <c r="U10" s="1">
        <f t="shared" si="0"/>
        <v>1</v>
      </c>
      <c r="V10" t="b">
        <f t="shared" si="1"/>
        <v>1</v>
      </c>
    </row>
    <row r="11" spans="1:22">
      <c r="A11" s="8"/>
      <c r="B11" s="15">
        <v>5</v>
      </c>
      <c r="C11" s="15">
        <v>387</v>
      </c>
      <c r="D11" s="15" t="str">
        <f>VLOOKUP(C11,skill_list!$B$7:$C$1030,2)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734</v>
      </c>
      <c r="R11" s="15"/>
      <c r="S11" s="15"/>
      <c r="T11" s="15"/>
      <c r="U11" s="1">
        <f t="shared" si="0"/>
        <v>1</v>
      </c>
      <c r="V11" t="b">
        <f t="shared" si="1"/>
        <v>1</v>
      </c>
    </row>
    <row r="12" spans="1:22">
      <c r="A12" s="8"/>
      <c r="B12" s="15">
        <v>6</v>
      </c>
      <c r="C12" s="15">
        <v>18</v>
      </c>
      <c r="D12" s="15" t="str">
        <f>VLOOKUP(C12,skill_list!$B$7:$C$1030,2)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734</v>
      </c>
      <c r="R12" s="15"/>
      <c r="S12" s="15"/>
      <c r="T12" s="15"/>
      <c r="U12" s="1">
        <f t="shared" si="0"/>
        <v>1</v>
      </c>
      <c r="V12" t="b">
        <f t="shared" si="1"/>
        <v>1</v>
      </c>
    </row>
    <row r="13" spans="1:22">
      <c r="A13" s="8"/>
      <c r="B13" s="15">
        <v>7</v>
      </c>
      <c r="C13" s="15">
        <v>23</v>
      </c>
      <c r="D13" s="15" t="str">
        <f>VLOOKUP(C13,skill_list!$B$7:$C$1030,2)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734</v>
      </c>
      <c r="R13" s="15"/>
      <c r="S13" s="15"/>
      <c r="T13" s="15"/>
      <c r="U13" s="1">
        <f t="shared" si="0"/>
        <v>1</v>
      </c>
      <c r="V13" t="b">
        <f t="shared" si="1"/>
        <v>0</v>
      </c>
    </row>
    <row r="14" spans="1:22">
      <c r="A14" s="8"/>
      <c r="B14" s="15">
        <v>8</v>
      </c>
      <c r="C14" s="15">
        <v>28</v>
      </c>
      <c r="D14" s="15" t="str">
        <f>VLOOKUP(C14,skill_list!$B$7:$C$1030,2)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734</v>
      </c>
      <c r="R14" s="15"/>
      <c r="S14" s="15"/>
      <c r="T14" s="15"/>
      <c r="U14" s="1">
        <f t="shared" si="0"/>
        <v>1</v>
      </c>
      <c r="V14" t="b">
        <f t="shared" si="1"/>
        <v>0</v>
      </c>
    </row>
    <row r="15" spans="1:22">
      <c r="A15" s="8"/>
      <c r="B15" s="15">
        <v>9</v>
      </c>
      <c r="C15" s="15">
        <v>50</v>
      </c>
      <c r="D15" s="15" t="str">
        <f>VLOOKUP(C15,skill_list!$B$7:$C$1030,2)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734</v>
      </c>
      <c r="R15" s="15"/>
      <c r="S15" s="15"/>
      <c r="T15" s="15"/>
      <c r="U15" s="1">
        <f t="shared" si="0"/>
        <v>1</v>
      </c>
      <c r="V15" t="b">
        <f t="shared" si="1"/>
        <v>1</v>
      </c>
    </row>
    <row r="16" spans="1:22">
      <c r="A16" s="8"/>
      <c r="B16" s="15">
        <v>10</v>
      </c>
      <c r="C16" s="15">
        <v>58</v>
      </c>
      <c r="D16" s="15" t="str">
        <f>VLOOKUP(C16,skill_list!$B$7:$C$1030,2)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734</v>
      </c>
      <c r="R16" s="15"/>
      <c r="S16" s="15"/>
      <c r="T16" s="15"/>
      <c r="U16" s="1">
        <f t="shared" si="0"/>
        <v>1</v>
      </c>
      <c r="V16" t="b">
        <f t="shared" si="1"/>
        <v>0</v>
      </c>
    </row>
    <row r="17" spans="1:22">
      <c r="A17" s="8"/>
      <c r="B17" s="15">
        <v>11</v>
      </c>
      <c r="C17" s="15">
        <v>72</v>
      </c>
      <c r="D17" s="15" t="str">
        <f>VLOOKUP(C17,skill_list!$B$7:$C$1030,2)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734</v>
      </c>
      <c r="R17" s="15"/>
      <c r="S17" s="15"/>
      <c r="T17" s="15"/>
      <c r="U17" s="1">
        <f t="shared" si="0"/>
        <v>1</v>
      </c>
      <c r="V17" t="b">
        <f t="shared" si="1"/>
        <v>0</v>
      </c>
    </row>
    <row r="18" spans="1:22">
      <c r="A18" s="8"/>
      <c r="B18" s="15">
        <v>12</v>
      </c>
      <c r="C18" s="15">
        <v>78</v>
      </c>
      <c r="D18" s="15" t="str">
        <f>VLOOKUP(C18,skill_list!$B$7:$C$1030,2)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734</v>
      </c>
      <c r="R18" s="15"/>
      <c r="S18" s="15"/>
      <c r="T18" s="15"/>
      <c r="U18" s="1">
        <f t="shared" si="0"/>
        <v>1</v>
      </c>
      <c r="V18" t="b">
        <f t="shared" si="1"/>
        <v>0</v>
      </c>
    </row>
    <row r="19" spans="1:22">
      <c r="A19" s="8"/>
      <c r="B19" s="15">
        <v>13</v>
      </c>
      <c r="C19" s="15">
        <v>99</v>
      </c>
      <c r="D19" s="15" t="str">
        <f>VLOOKUP(C19,skill_list!$B$7:$C$1030,2)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734</v>
      </c>
      <c r="R19" s="15"/>
      <c r="S19" s="15"/>
      <c r="T19" s="15"/>
      <c r="U19" s="1">
        <f t="shared" si="0"/>
        <v>1</v>
      </c>
      <c r="V19" t="b">
        <f t="shared" si="1"/>
        <v>0</v>
      </c>
    </row>
    <row r="20" spans="1:22">
      <c r="A20" s="8"/>
      <c r="B20" s="15">
        <v>14</v>
      </c>
      <c r="C20" s="15">
        <v>191</v>
      </c>
      <c r="D20" s="15" t="str">
        <f>VLOOKUP(C20,skill_list!$B$7:$C$1030,2)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734</v>
      </c>
      <c r="R20" s="15"/>
      <c r="S20" s="15"/>
      <c r="T20" s="15"/>
      <c r="U20" s="1">
        <f t="shared" si="0"/>
        <v>1</v>
      </c>
      <c r="V20" t="b">
        <f t="shared" si="1"/>
        <v>0</v>
      </c>
    </row>
    <row r="21" spans="1:22">
      <c r="A21" s="8"/>
      <c r="B21" s="15">
        <v>15</v>
      </c>
      <c r="C21" s="15">
        <v>193</v>
      </c>
      <c r="D21" s="15" t="str">
        <f>VLOOKUP(C21,skill_list!$B$7:$C$1030,2)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734</v>
      </c>
      <c r="R21" s="15"/>
      <c r="S21" s="15"/>
      <c r="T21" s="15"/>
      <c r="U21" s="1">
        <f t="shared" si="0"/>
        <v>1</v>
      </c>
      <c r="V21" t="b">
        <f t="shared" si="1"/>
        <v>0</v>
      </c>
    </row>
    <row r="22" spans="1:22">
      <c r="A22" s="8"/>
      <c r="B22" s="15">
        <v>16</v>
      </c>
      <c r="C22" s="15">
        <v>196</v>
      </c>
      <c r="D22" s="15" t="str">
        <f>VLOOKUP(C22,skill_list!$B$7:$C$1030,2)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1900</v>
      </c>
      <c r="R22" s="15"/>
      <c r="S22" s="15"/>
      <c r="T22" s="15"/>
      <c r="U22" s="1">
        <f t="shared" si="0"/>
        <v>5</v>
      </c>
      <c r="V22" t="b">
        <f t="shared" si="1"/>
        <v>1</v>
      </c>
    </row>
    <row r="23" spans="1:22">
      <c r="A23" s="8"/>
      <c r="B23" s="15">
        <v>17</v>
      </c>
      <c r="C23" s="15">
        <v>198</v>
      </c>
      <c r="D23" s="15" t="str">
        <f>VLOOKUP(C23,skill_list!$B$7:$C$1030,2)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734</v>
      </c>
      <c r="R23" s="15"/>
      <c r="S23" s="15"/>
      <c r="T23" s="15">
        <v>1</v>
      </c>
      <c r="U23" s="1">
        <f t="shared" si="0"/>
        <v>1</v>
      </c>
      <c r="V23" t="b">
        <f t="shared" si="1"/>
        <v>1</v>
      </c>
    </row>
    <row r="24" spans="1:22">
      <c r="A24" s="8"/>
      <c r="B24" s="15">
        <v>18</v>
      </c>
      <c r="C24" s="15">
        <v>201</v>
      </c>
      <c r="D24" s="15" t="str">
        <f>VLOOKUP(C24,skill_list!$B$7:$C$1030,2)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734</v>
      </c>
      <c r="R24" s="15"/>
      <c r="S24" s="15"/>
      <c r="T24" s="15"/>
      <c r="U24" s="1">
        <f t="shared" si="0"/>
        <v>1</v>
      </c>
      <c r="V24" t="b">
        <f t="shared" si="1"/>
        <v>1</v>
      </c>
    </row>
    <row r="25" spans="1:22">
      <c r="A25" s="8"/>
      <c r="B25" s="15">
        <v>19</v>
      </c>
      <c r="C25" s="15">
        <v>203</v>
      </c>
      <c r="D25" s="15" t="str">
        <f>VLOOKUP(C25,skill_list!$B$7:$C$1030,2)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734</v>
      </c>
      <c r="R25" s="15"/>
      <c r="S25" s="15"/>
      <c r="T25" s="15"/>
      <c r="U25" s="1">
        <f t="shared" si="0"/>
        <v>1</v>
      </c>
      <c r="V25" t="b">
        <f t="shared" si="1"/>
        <v>1</v>
      </c>
    </row>
    <row r="26" spans="1:22">
      <c r="A26" s="8"/>
      <c r="B26" s="15">
        <v>20</v>
      </c>
      <c r="C26" s="15">
        <v>209</v>
      </c>
      <c r="D26" s="15" t="str">
        <f>VLOOKUP(C26,skill_list!$B$7:$C$1030,2)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734</v>
      </c>
      <c r="R26" s="15">
        <v>2</v>
      </c>
      <c r="S26" s="15">
        <v>21</v>
      </c>
      <c r="T26" s="15"/>
      <c r="U26" s="1">
        <f t="shared" si="0"/>
        <v>1</v>
      </c>
      <c r="V26" t="b">
        <f t="shared" si="1"/>
        <v>1</v>
      </c>
    </row>
    <row r="27" spans="1:22">
      <c r="A27" s="8"/>
      <c r="B27" s="15">
        <v>21</v>
      </c>
      <c r="C27" s="15">
        <v>209</v>
      </c>
      <c r="D27" s="15" t="str">
        <f>VLOOKUP(C27,skill_list!$B$7:$C$1030,2)</f>
        <v>石塔の手筋</v>
      </c>
      <c r="E27" s="11" t="s">
        <v>1640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734</v>
      </c>
      <c r="R27" s="15">
        <v>1</v>
      </c>
      <c r="S27" s="15">
        <v>20</v>
      </c>
      <c r="T27" s="15"/>
      <c r="U27" s="1">
        <f t="shared" si="0"/>
        <v>1</v>
      </c>
      <c r="V27" t="b">
        <f t="shared" si="1"/>
        <v>1</v>
      </c>
    </row>
    <row r="28" spans="1:22">
      <c r="A28" s="8"/>
      <c r="B28" s="15">
        <v>22</v>
      </c>
      <c r="C28" s="15">
        <v>213</v>
      </c>
      <c r="D28" s="15" t="str">
        <f>VLOOKUP(C28,skill_list!$B$7:$C$1030,2)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734</v>
      </c>
      <c r="R28" s="15"/>
      <c r="S28" s="15"/>
      <c r="T28" s="15"/>
      <c r="U28" s="1">
        <f t="shared" si="0"/>
        <v>1</v>
      </c>
      <c r="V28" t="b">
        <f t="shared" si="1"/>
        <v>1</v>
      </c>
    </row>
    <row r="29" spans="1:22">
      <c r="A29" s="8"/>
      <c r="B29" s="15">
        <v>23</v>
      </c>
      <c r="C29" s="15">
        <v>216</v>
      </c>
      <c r="D29" s="15" t="str">
        <f>VLOOKUP(C29,skill_list!$B$7:$C$1030,2)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1910</v>
      </c>
      <c r="R29" s="15"/>
      <c r="S29" s="15"/>
      <c r="T29" s="15"/>
      <c r="U29" s="1">
        <f t="shared" si="0"/>
        <v>12</v>
      </c>
      <c r="V29" t="b">
        <f t="shared" si="1"/>
        <v>1</v>
      </c>
    </row>
    <row r="30" spans="1:22">
      <c r="A30" s="8"/>
      <c r="B30" s="15">
        <v>24</v>
      </c>
      <c r="C30" s="15">
        <v>220</v>
      </c>
      <c r="D30" s="15" t="str">
        <f>VLOOKUP(C30,skill_list!$B$7:$C$1030,2)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1887</v>
      </c>
      <c r="R30" s="15"/>
      <c r="S30" s="15"/>
      <c r="T30" s="15"/>
      <c r="U30" s="1">
        <f t="shared" si="0"/>
        <v>6</v>
      </c>
      <c r="V30" t="b">
        <f t="shared" si="1"/>
        <v>1</v>
      </c>
    </row>
    <row r="31" spans="1:22">
      <c r="A31" s="8"/>
      <c r="B31" s="15">
        <v>25</v>
      </c>
      <c r="C31" s="15">
        <v>223</v>
      </c>
      <c r="D31" s="15" t="str">
        <f>VLOOKUP(C31,skill_list!$B$7:$C$1030,2)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1893</v>
      </c>
      <c r="R31" s="15"/>
      <c r="S31" s="15"/>
      <c r="T31" s="15"/>
      <c r="U31" s="1">
        <f t="shared" si="0"/>
        <v>4</v>
      </c>
      <c r="V31" t="b">
        <f t="shared" si="1"/>
        <v>1</v>
      </c>
    </row>
    <row r="32" spans="1:22">
      <c r="A32" s="8"/>
      <c r="B32" s="15">
        <v>26</v>
      </c>
      <c r="C32" s="15">
        <v>227</v>
      </c>
      <c r="D32" s="15" t="str">
        <f>VLOOKUP(C32,skill_list!$B$7:$C$1030,2)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1884</v>
      </c>
      <c r="R32" s="15">
        <v>4</v>
      </c>
      <c r="S32" s="15">
        <v>27</v>
      </c>
      <c r="T32" s="15"/>
      <c r="U32" s="1">
        <f t="shared" si="0"/>
        <v>3</v>
      </c>
      <c r="V32" t="b">
        <f t="shared" si="1"/>
        <v>1</v>
      </c>
    </row>
    <row r="33" spans="1:22">
      <c r="A33" s="8"/>
      <c r="B33" s="15">
        <v>27</v>
      </c>
      <c r="C33" s="15">
        <v>227</v>
      </c>
      <c r="D33" s="15" t="str">
        <f>VLOOKUP(C33,skill_list!$B$7:$C$1030,2)</f>
        <v>ヴォイドストーム</v>
      </c>
      <c r="E33" s="11" t="s">
        <v>1642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1884</v>
      </c>
      <c r="R33" s="15">
        <v>3</v>
      </c>
      <c r="S33" s="15">
        <v>26</v>
      </c>
      <c r="T33" s="15"/>
      <c r="U33" s="1">
        <f t="shared" si="0"/>
        <v>3</v>
      </c>
      <c r="V33" t="b">
        <f t="shared" si="1"/>
        <v>1</v>
      </c>
    </row>
    <row r="34" spans="1:22">
      <c r="A34" s="8"/>
      <c r="B34" s="15">
        <v>28</v>
      </c>
      <c r="C34" s="15">
        <v>230</v>
      </c>
      <c r="D34" s="15" t="str">
        <f>VLOOKUP(C34,skill_list!$B$7:$C$1030,2)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1907</v>
      </c>
      <c r="R34" s="15"/>
      <c r="S34" s="15"/>
      <c r="T34" s="15"/>
      <c r="U34" s="1">
        <f t="shared" si="0"/>
        <v>10</v>
      </c>
      <c r="V34" t="b">
        <f t="shared" si="1"/>
        <v>1</v>
      </c>
    </row>
    <row r="35" spans="1:22">
      <c r="A35" s="8"/>
      <c r="B35" s="15">
        <v>29</v>
      </c>
      <c r="C35" s="15">
        <v>235</v>
      </c>
      <c r="D35" s="15" t="str">
        <f>VLOOKUP(C35,skill_list!$B$7:$C$1030,2)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1912</v>
      </c>
      <c r="R35" s="15"/>
      <c r="S35" s="15"/>
      <c r="T35" s="15"/>
      <c r="U35" s="1">
        <f t="shared" si="0"/>
        <v>6</v>
      </c>
      <c r="V35" t="b">
        <f t="shared" si="1"/>
        <v>1</v>
      </c>
    </row>
    <row r="36" spans="1:22">
      <c r="A36" s="8"/>
      <c r="B36" s="15">
        <v>30</v>
      </c>
      <c r="C36" s="15">
        <v>242</v>
      </c>
      <c r="D36" s="15" t="str">
        <f>VLOOKUP(C36,skill_list!$B$7:$C$1030,2)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1887</v>
      </c>
      <c r="R36" s="15"/>
      <c r="S36" s="15"/>
      <c r="T36" s="15"/>
      <c r="U36" s="1">
        <f t="shared" si="0"/>
        <v>6</v>
      </c>
      <c r="V36" t="b">
        <f t="shared" si="1"/>
        <v>1</v>
      </c>
    </row>
    <row r="37" spans="1:22">
      <c r="A37" s="8"/>
      <c r="B37" s="15">
        <v>31</v>
      </c>
      <c r="C37" s="15">
        <v>244</v>
      </c>
      <c r="D37" s="15" t="str">
        <f>VLOOKUP(C37,skill_list!$B$7:$C$1030,2)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1887</v>
      </c>
      <c r="R37" s="15"/>
      <c r="S37" s="15"/>
      <c r="T37" s="15"/>
      <c r="U37" s="1">
        <f t="shared" si="0"/>
        <v>6</v>
      </c>
      <c r="V37" t="b">
        <f t="shared" si="1"/>
        <v>1</v>
      </c>
    </row>
    <row r="38" spans="1:22">
      <c r="A38" s="8"/>
      <c r="B38" s="15">
        <v>32</v>
      </c>
      <c r="C38" s="15">
        <v>252</v>
      </c>
      <c r="D38" s="15" t="str">
        <f>VLOOKUP(C38,skill_list!$B$7:$C$1030,2)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1911</v>
      </c>
      <c r="R38" s="15"/>
      <c r="S38" s="15"/>
      <c r="T38" s="15"/>
      <c r="U38" s="1">
        <f t="shared" si="0"/>
        <v>4</v>
      </c>
      <c r="V38" t="b">
        <f t="shared" si="1"/>
        <v>1</v>
      </c>
    </row>
    <row r="39" spans="1:22">
      <c r="A39" s="8"/>
      <c r="B39" s="15">
        <v>33</v>
      </c>
      <c r="C39" s="15">
        <v>254</v>
      </c>
      <c r="D39" s="15" t="str">
        <f>VLOOKUP(C39,skill_list!$B$7:$C$1030,2)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1893</v>
      </c>
      <c r="R39" s="15"/>
      <c r="S39" s="15"/>
      <c r="T39" s="15"/>
      <c r="U39" s="1">
        <f t="shared" si="0"/>
        <v>4</v>
      </c>
      <c r="V39" t="b">
        <f t="shared" si="1"/>
        <v>1</v>
      </c>
    </row>
    <row r="40" spans="1:22">
      <c r="A40" s="8"/>
      <c r="B40" s="15">
        <v>34</v>
      </c>
      <c r="C40" s="15">
        <v>256</v>
      </c>
      <c r="D40" s="15" t="str">
        <f>VLOOKUP(C40,skill_list!$B$7:$C$1030,2)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1884</v>
      </c>
      <c r="R40" s="15"/>
      <c r="S40" s="15"/>
      <c r="T40" s="15"/>
      <c r="U40" s="1">
        <f t="shared" si="0"/>
        <v>3</v>
      </c>
      <c r="V40" t="b">
        <f t="shared" si="1"/>
        <v>1</v>
      </c>
    </row>
    <row r="41" spans="1:22">
      <c r="A41" s="8"/>
      <c r="B41" s="15">
        <v>35</v>
      </c>
      <c r="C41" s="15">
        <v>260</v>
      </c>
      <c r="D41" s="15" t="str">
        <f>VLOOKUP(C41,skill_list!$B$7:$C$1030,2)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1885</v>
      </c>
      <c r="R41" s="15"/>
      <c r="S41" s="15"/>
      <c r="T41" s="15"/>
      <c r="U41" s="1">
        <f t="shared" si="0"/>
        <v>4</v>
      </c>
      <c r="V41" t="b">
        <f t="shared" si="1"/>
        <v>1</v>
      </c>
    </row>
    <row r="42" spans="1:22">
      <c r="A42" s="8"/>
      <c r="B42" s="15">
        <v>36</v>
      </c>
      <c r="C42" s="15">
        <v>262</v>
      </c>
      <c r="D42" s="15" t="str">
        <f>VLOOKUP(C42,skill_list!$B$7:$C$1030,2)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1892</v>
      </c>
      <c r="R42" s="15"/>
      <c r="S42" s="15"/>
      <c r="T42" s="15"/>
      <c r="U42" s="1">
        <f t="shared" si="0"/>
        <v>10</v>
      </c>
      <c r="V42" t="b">
        <f t="shared" si="1"/>
        <v>1</v>
      </c>
    </row>
    <row r="43" spans="1:22">
      <c r="A43" s="8"/>
      <c r="B43" s="15">
        <v>37</v>
      </c>
      <c r="C43" s="15">
        <v>264</v>
      </c>
      <c r="D43" s="15" t="str">
        <f>VLOOKUP(C43,skill_list!$B$7:$C$1030,2)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1910</v>
      </c>
      <c r="R43" s="15"/>
      <c r="S43" s="15"/>
      <c r="T43" s="15"/>
      <c r="U43" s="1">
        <f t="shared" si="0"/>
        <v>12</v>
      </c>
      <c r="V43" t="b">
        <f t="shared" si="1"/>
        <v>1</v>
      </c>
    </row>
    <row r="44" spans="1:22">
      <c r="A44" s="8"/>
      <c r="B44" s="15">
        <v>38</v>
      </c>
      <c r="C44" s="15">
        <v>266</v>
      </c>
      <c r="D44" s="15" t="str">
        <f>VLOOKUP(C44,skill_list!$B$7:$C$1030,2)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1894</v>
      </c>
      <c r="R44" s="15"/>
      <c r="S44" s="15"/>
      <c r="T44" s="15"/>
      <c r="U44" s="1">
        <f t="shared" si="0"/>
        <v>3</v>
      </c>
      <c r="V44" t="b">
        <f t="shared" si="1"/>
        <v>1</v>
      </c>
    </row>
    <row r="45" spans="1:22">
      <c r="A45" s="8"/>
      <c r="B45" s="15">
        <v>39</v>
      </c>
      <c r="C45" s="15">
        <v>269</v>
      </c>
      <c r="D45" s="15" t="str">
        <f>VLOOKUP(C45,skill_list!$B$7:$C$1030,2)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1886</v>
      </c>
      <c r="R45" s="15"/>
      <c r="S45" s="15"/>
      <c r="T45" s="15"/>
      <c r="U45" s="1">
        <f t="shared" si="0"/>
        <v>5</v>
      </c>
      <c r="V45" t="b">
        <f t="shared" si="1"/>
        <v>1</v>
      </c>
    </row>
    <row r="46" spans="1:22">
      <c r="A46" s="8"/>
      <c r="B46" s="15">
        <v>40</v>
      </c>
      <c r="C46" s="15">
        <v>271</v>
      </c>
      <c r="D46" s="15" t="str">
        <f>VLOOKUP(C46,skill_list!$B$7:$C$1030,2)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1909</v>
      </c>
      <c r="R46" s="15"/>
      <c r="S46" s="15"/>
      <c r="T46" s="15"/>
      <c r="U46" s="1">
        <f t="shared" si="0"/>
        <v>3</v>
      </c>
      <c r="V46" t="b">
        <f t="shared" si="1"/>
        <v>1</v>
      </c>
    </row>
    <row r="47" spans="1:22">
      <c r="A47" s="8"/>
      <c r="B47" s="15">
        <v>41</v>
      </c>
      <c r="C47" s="15">
        <v>276</v>
      </c>
      <c r="D47" s="15" t="str">
        <f>VLOOKUP(C47,skill_list!$B$7:$C$1030,2)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1887</v>
      </c>
      <c r="R47" s="15"/>
      <c r="S47" s="15"/>
      <c r="T47" s="15"/>
      <c r="U47" s="1">
        <f t="shared" si="0"/>
        <v>6</v>
      </c>
      <c r="V47" t="b">
        <f t="shared" si="1"/>
        <v>1</v>
      </c>
    </row>
    <row r="48" spans="1:22">
      <c r="A48" s="8"/>
      <c r="B48" s="15">
        <v>42</v>
      </c>
      <c r="C48" s="15">
        <v>279</v>
      </c>
      <c r="D48" s="15" t="str">
        <f>VLOOKUP(C48,skill_list!$B$7:$C$1030,2)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1898</v>
      </c>
      <c r="R48" s="15"/>
      <c r="S48" s="15"/>
      <c r="T48" s="15"/>
      <c r="U48" s="1">
        <f t="shared" si="0"/>
        <v>8</v>
      </c>
      <c r="V48" t="b">
        <f t="shared" si="1"/>
        <v>1</v>
      </c>
    </row>
    <row r="49" spans="1:22">
      <c r="A49" s="8"/>
      <c r="B49" s="15">
        <v>43</v>
      </c>
      <c r="C49" s="15">
        <v>281</v>
      </c>
      <c r="D49" s="15" t="str">
        <f>VLOOKUP(C49,skill_list!$B$7:$C$1030,2)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1894</v>
      </c>
      <c r="R49" s="15"/>
      <c r="S49" s="15"/>
      <c r="T49" s="15"/>
      <c r="U49" s="1">
        <f t="shared" si="0"/>
        <v>3</v>
      </c>
      <c r="V49" t="b">
        <f t="shared" si="1"/>
        <v>1</v>
      </c>
    </row>
    <row r="50" spans="1:22">
      <c r="A50" s="8"/>
      <c r="B50" s="15">
        <v>44</v>
      </c>
      <c r="C50" s="15">
        <v>285</v>
      </c>
      <c r="D50" s="15" t="str">
        <f>VLOOKUP(C50,skill_list!$B$7:$C$1030,2)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1887</v>
      </c>
      <c r="R50" s="15">
        <v>4</v>
      </c>
      <c r="S50" s="15">
        <v>45</v>
      </c>
      <c r="T50" s="15"/>
      <c r="U50" s="1">
        <f t="shared" si="0"/>
        <v>6</v>
      </c>
      <c r="V50" t="b">
        <f t="shared" si="1"/>
        <v>1</v>
      </c>
    </row>
    <row r="51" spans="1:22">
      <c r="A51" s="8"/>
      <c r="B51" s="15">
        <v>45</v>
      </c>
      <c r="C51" s="15">
        <v>285</v>
      </c>
      <c r="D51" s="15" t="str">
        <f>VLOOKUP(C51,skill_list!$B$7:$C$1030,2)</f>
        <v>夜嵐</v>
      </c>
      <c r="E51" s="11" t="s">
        <v>1642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1887</v>
      </c>
      <c r="R51" s="15">
        <v>3</v>
      </c>
      <c r="S51" s="15">
        <v>44</v>
      </c>
      <c r="T51" s="15"/>
      <c r="U51" s="1">
        <f t="shared" si="0"/>
        <v>6</v>
      </c>
      <c r="V51" t="b">
        <f t="shared" si="1"/>
        <v>1</v>
      </c>
    </row>
    <row r="52" spans="1:22">
      <c r="A52" s="8"/>
      <c r="B52" s="15">
        <v>46</v>
      </c>
      <c r="C52" s="15">
        <v>287</v>
      </c>
      <c r="D52" s="15" t="str">
        <f>VLOOKUP(C52,skill_list!$B$7:$C$1030,2)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1887</v>
      </c>
      <c r="R52" s="15">
        <v>4</v>
      </c>
      <c r="S52" s="15">
        <v>47</v>
      </c>
      <c r="T52" s="15"/>
      <c r="U52" s="1">
        <f t="shared" si="0"/>
        <v>6</v>
      </c>
      <c r="V52" t="b">
        <f t="shared" si="1"/>
        <v>1</v>
      </c>
    </row>
    <row r="53" spans="1:22">
      <c r="A53" s="8"/>
      <c r="B53" s="15">
        <v>47</v>
      </c>
      <c r="C53" s="15">
        <v>287</v>
      </c>
      <c r="D53" s="15" t="str">
        <f>VLOOKUP(C53,skill_list!$B$7:$C$1030,2)</f>
        <v>覇道妄執我突邁進</v>
      </c>
      <c r="E53" s="11" t="s">
        <v>1642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1887</v>
      </c>
      <c r="R53" s="15">
        <v>3</v>
      </c>
      <c r="S53" s="15">
        <v>46</v>
      </c>
      <c r="T53" s="15"/>
      <c r="U53" s="1">
        <f t="shared" si="0"/>
        <v>6</v>
      </c>
      <c r="V53" t="b">
        <f t="shared" si="1"/>
        <v>1</v>
      </c>
    </row>
    <row r="54" spans="1:22">
      <c r="A54" s="8"/>
      <c r="B54" s="15">
        <v>48</v>
      </c>
      <c r="C54" s="15">
        <v>289</v>
      </c>
      <c r="D54" s="15" t="str">
        <f>VLOOKUP(C54,skill_list!$B$7:$C$1030,2)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1885</v>
      </c>
      <c r="R54" s="15"/>
      <c r="S54" s="15"/>
      <c r="T54" s="15"/>
      <c r="U54" s="1">
        <f t="shared" si="0"/>
        <v>4</v>
      </c>
      <c r="V54" t="b">
        <f t="shared" si="1"/>
        <v>1</v>
      </c>
    </row>
    <row r="55" spans="1:22">
      <c r="A55" s="8"/>
      <c r="B55" s="15">
        <v>49</v>
      </c>
      <c r="C55" s="15">
        <v>292</v>
      </c>
      <c r="D55" s="15" t="str">
        <f>VLOOKUP(C55,skill_list!$B$7:$C$1030,2)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50</v>
      </c>
      <c r="P55" s="14">
        <v>1</v>
      </c>
      <c r="Q55" s="11" t="s">
        <v>1885</v>
      </c>
      <c r="R55" s="15"/>
      <c r="S55" s="15"/>
      <c r="T55" s="15"/>
      <c r="U55" s="1">
        <f t="shared" si="0"/>
        <v>4</v>
      </c>
      <c r="V55" t="b">
        <f t="shared" si="1"/>
        <v>1</v>
      </c>
    </row>
    <row r="56" spans="1:22">
      <c r="A56" s="8"/>
      <c r="B56" s="15">
        <v>50</v>
      </c>
      <c r="C56" s="15">
        <v>292</v>
      </c>
      <c r="D56" s="15" t="str">
        <f>VLOOKUP(C56,skill_list!$B$7:$C$1030,2)</f>
        <v>セイクリッド・クワイア</v>
      </c>
      <c r="E56" s="11" t="s">
        <v>1641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1885</v>
      </c>
      <c r="R56" s="15"/>
      <c r="S56" s="15"/>
      <c r="T56" s="15"/>
      <c r="U56" s="1">
        <f t="shared" si="0"/>
        <v>4</v>
      </c>
      <c r="V56" t="b">
        <f t="shared" si="1"/>
        <v>1</v>
      </c>
    </row>
    <row r="57" spans="1:22">
      <c r="A57" s="8"/>
      <c r="B57" s="15">
        <v>51</v>
      </c>
      <c r="C57" s="15">
        <v>294</v>
      </c>
      <c r="D57" s="15" t="str">
        <f>VLOOKUP(C57,skill_list!$B$7:$C$1030,2)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1894</v>
      </c>
      <c r="R57" s="15"/>
      <c r="S57" s="15"/>
      <c r="T57" s="15"/>
      <c r="U57" s="1">
        <f t="shared" si="0"/>
        <v>3</v>
      </c>
      <c r="V57" t="b">
        <f t="shared" si="1"/>
        <v>1</v>
      </c>
    </row>
    <row r="58" spans="1:22">
      <c r="A58" s="8"/>
      <c r="B58" s="15">
        <v>52</v>
      </c>
      <c r="C58" s="15">
        <v>302</v>
      </c>
      <c r="D58" s="15" t="str">
        <f>VLOOKUP(C58,skill_list!$B$7:$C$1030,2)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1900</v>
      </c>
      <c r="R58" s="15"/>
      <c r="S58" s="15"/>
      <c r="T58" s="15">
        <v>1</v>
      </c>
      <c r="U58" s="1">
        <f t="shared" si="0"/>
        <v>5</v>
      </c>
      <c r="V58" t="b">
        <f t="shared" si="1"/>
        <v>1</v>
      </c>
    </row>
    <row r="59" spans="1:22">
      <c r="A59" s="8"/>
      <c r="B59" s="15">
        <v>53</v>
      </c>
      <c r="C59" s="15">
        <v>304</v>
      </c>
      <c r="D59" s="15" t="str">
        <f>VLOOKUP(C59,skill_list!$B$7:$C$1030,2)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1908</v>
      </c>
      <c r="R59" s="15"/>
      <c r="S59" s="15"/>
      <c r="T59" s="15"/>
      <c r="U59" s="1">
        <f t="shared" si="0"/>
        <v>5</v>
      </c>
      <c r="V59" t="b">
        <f t="shared" si="1"/>
        <v>1</v>
      </c>
    </row>
    <row r="60" spans="1:22">
      <c r="A60" s="8"/>
      <c r="B60" s="15">
        <v>54</v>
      </c>
      <c r="C60" s="15">
        <v>306</v>
      </c>
      <c r="D60" s="15" t="str">
        <f>VLOOKUP(C60,skill_list!$B$7:$C$1030,2)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1908</v>
      </c>
      <c r="R60" s="15"/>
      <c r="S60" s="15"/>
      <c r="T60" s="15"/>
      <c r="U60" s="1">
        <f t="shared" si="0"/>
        <v>5</v>
      </c>
      <c r="V60" t="b">
        <f t="shared" si="1"/>
        <v>1</v>
      </c>
    </row>
    <row r="61" spans="1:22">
      <c r="A61" s="8"/>
      <c r="B61" s="15">
        <v>55</v>
      </c>
      <c r="C61" s="15">
        <v>311</v>
      </c>
      <c r="D61" s="15" t="str">
        <f>VLOOKUP(C61,skill_list!$B$7:$C$1030,2)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1906</v>
      </c>
      <c r="R61" s="15"/>
      <c r="S61" s="15"/>
      <c r="T61" s="15"/>
      <c r="U61" s="1">
        <f t="shared" si="0"/>
        <v>8</v>
      </c>
      <c r="V61" t="b">
        <f t="shared" si="1"/>
        <v>1</v>
      </c>
    </row>
    <row r="62" spans="1:22">
      <c r="A62" s="8"/>
      <c r="B62" s="15">
        <v>56</v>
      </c>
      <c r="C62" s="15">
        <v>316</v>
      </c>
      <c r="D62" s="15" t="str">
        <f>VLOOKUP(C62,skill_list!$B$7:$C$1030,2)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1907</v>
      </c>
      <c r="R62" s="15"/>
      <c r="S62" s="15"/>
      <c r="T62" s="15"/>
      <c r="U62" s="1">
        <f t="shared" si="0"/>
        <v>10</v>
      </c>
      <c r="V62" t="b">
        <f t="shared" si="1"/>
        <v>1</v>
      </c>
    </row>
    <row r="63" spans="1:22">
      <c r="A63" s="8"/>
      <c r="B63" s="15">
        <v>57</v>
      </c>
      <c r="C63" s="15">
        <v>327</v>
      </c>
      <c r="D63" s="15" t="str">
        <f>VLOOKUP(C63,skill_list!$B$7:$C$1030,2)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1907</v>
      </c>
      <c r="R63" s="15"/>
      <c r="S63" s="15"/>
      <c r="T63" s="15"/>
      <c r="U63" s="1">
        <f t="shared" si="0"/>
        <v>10</v>
      </c>
      <c r="V63" t="b">
        <f t="shared" si="1"/>
        <v>1</v>
      </c>
    </row>
    <row r="64" spans="1:22">
      <c r="A64" s="8"/>
      <c r="B64" s="15">
        <v>58</v>
      </c>
      <c r="C64" s="15">
        <v>329</v>
      </c>
      <c r="D64" s="15" t="str">
        <f>VLOOKUP(C64,skill_list!$B$7:$C$1030,2)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1906</v>
      </c>
      <c r="R64" s="15">
        <v>2</v>
      </c>
      <c r="S64" s="15">
        <v>59</v>
      </c>
      <c r="T64" s="15"/>
      <c r="U64" s="1">
        <f t="shared" si="0"/>
        <v>8</v>
      </c>
      <c r="V64" t="b">
        <f t="shared" si="1"/>
        <v>1</v>
      </c>
    </row>
    <row r="65" spans="1:22">
      <c r="A65" s="8"/>
      <c r="B65" s="15">
        <v>59</v>
      </c>
      <c r="C65" s="15">
        <v>329</v>
      </c>
      <c r="D65" s="15" t="str">
        <f>VLOOKUP(C65,skill_list!$B$7:$C$1030,2)</f>
        <v>破滅でおやすみ</v>
      </c>
      <c r="E65" s="11" t="s">
        <v>1640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1906</v>
      </c>
      <c r="R65" s="15">
        <v>1</v>
      </c>
      <c r="S65" s="15">
        <v>58</v>
      </c>
      <c r="T65" s="15"/>
      <c r="U65" s="1">
        <f t="shared" si="0"/>
        <v>8</v>
      </c>
      <c r="V65" t="b">
        <f t="shared" si="1"/>
        <v>1</v>
      </c>
    </row>
    <row r="66" spans="1:22">
      <c r="A66" s="8"/>
      <c r="B66" s="15">
        <v>60</v>
      </c>
      <c r="C66" s="15">
        <v>333</v>
      </c>
      <c r="D66" s="15" t="str">
        <f>VLOOKUP(C66,skill_list!$B$7:$C$1030,2)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1887</v>
      </c>
      <c r="R66" s="15">
        <v>5</v>
      </c>
      <c r="S66" s="15">
        <v>61</v>
      </c>
      <c r="T66" s="15"/>
      <c r="U66" s="1">
        <f t="shared" si="0"/>
        <v>6</v>
      </c>
      <c r="V66" t="b">
        <f t="shared" si="1"/>
        <v>1</v>
      </c>
    </row>
    <row r="67" spans="1:22">
      <c r="A67" s="8"/>
      <c r="B67" s="15">
        <v>61</v>
      </c>
      <c r="C67" s="15">
        <v>333</v>
      </c>
      <c r="D67" s="15" t="str">
        <f>VLOOKUP(C67,skill_list!$B$7:$C$1030,2)</f>
        <v>神崎流忍術・氷塵</v>
      </c>
      <c r="E67" s="11" t="s">
        <v>1643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1887</v>
      </c>
      <c r="R67" s="15">
        <v>6</v>
      </c>
      <c r="S67" s="15">
        <v>60</v>
      </c>
      <c r="T67" s="15"/>
      <c r="U67" s="1">
        <f t="shared" si="0"/>
        <v>6</v>
      </c>
      <c r="V67" t="b">
        <f t="shared" si="1"/>
        <v>1</v>
      </c>
    </row>
    <row r="68" spans="1:22">
      <c r="A68" s="8"/>
      <c r="B68" s="15">
        <v>62</v>
      </c>
      <c r="C68" s="15">
        <v>337</v>
      </c>
      <c r="D68" s="15" t="str">
        <f>VLOOKUP(C68,skill_list!$B$7:$C$1030,2)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1900</v>
      </c>
      <c r="R68" s="15"/>
      <c r="S68" s="15"/>
      <c r="T68" s="15"/>
      <c r="U68" s="1">
        <f t="shared" si="0"/>
        <v>5</v>
      </c>
      <c r="V68" t="b">
        <f t="shared" si="1"/>
        <v>1</v>
      </c>
    </row>
    <row r="69" spans="1:22">
      <c r="A69" s="8"/>
      <c r="B69" s="15">
        <v>63</v>
      </c>
      <c r="C69" s="15">
        <v>340</v>
      </c>
      <c r="D69" s="15" t="str">
        <f>VLOOKUP(C69,skill_list!$B$7:$C$1030,2)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1887</v>
      </c>
      <c r="R69" s="15">
        <v>5</v>
      </c>
      <c r="S69" s="15">
        <v>64</v>
      </c>
      <c r="T69" s="15"/>
      <c r="U69" s="1">
        <f t="shared" si="0"/>
        <v>6</v>
      </c>
      <c r="V69" t="b">
        <f t="shared" si="1"/>
        <v>1</v>
      </c>
    </row>
    <row r="70" spans="1:22">
      <c r="A70" s="8"/>
      <c r="B70" s="15">
        <v>64</v>
      </c>
      <c r="C70" s="15">
        <v>340</v>
      </c>
      <c r="D70" s="15" t="str">
        <f>VLOOKUP(C70,skill_list!$B$7:$C$1030,2)</f>
        <v>最凶のおもてなし</v>
      </c>
      <c r="E70" s="11" t="s">
        <v>1643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1887</v>
      </c>
      <c r="R70" s="15">
        <v>6</v>
      </c>
      <c r="S70" s="15">
        <v>63</v>
      </c>
      <c r="T70" s="15"/>
      <c r="U70" s="1">
        <f t="shared" si="0"/>
        <v>6</v>
      </c>
      <c r="V70" t="b">
        <f t="shared" si="1"/>
        <v>1</v>
      </c>
    </row>
    <row r="71" spans="1:22">
      <c r="A71" s="8"/>
      <c r="B71" s="15">
        <v>65</v>
      </c>
      <c r="C71" s="15">
        <v>342</v>
      </c>
      <c r="D71" s="15" t="str">
        <f>VLOOKUP(C71,skill_list!$B$7:$C$1030,2)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1903</v>
      </c>
      <c r="R71" s="15"/>
      <c r="S71" s="15"/>
      <c r="T71" s="15">
        <v>1</v>
      </c>
      <c r="U71" s="1">
        <f t="shared" ref="U71:U76" si="2">LEN(Q71) - LEN(SUBSTITUTE(Q71, ",", "")) + 1</f>
        <v>3</v>
      </c>
      <c r="V71" t="b">
        <f t="shared" ref="V71:V76" si="3">L71=U71</f>
        <v>1</v>
      </c>
    </row>
    <row r="72" spans="1:22">
      <c r="A72" s="8"/>
      <c r="B72" s="15">
        <v>66</v>
      </c>
      <c r="C72" s="15">
        <v>345</v>
      </c>
      <c r="D72" s="15" t="str">
        <f>VLOOKUP(C72,skill_list!$B$7:$C$1030,2)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1905</v>
      </c>
      <c r="R72" s="15">
        <v>5</v>
      </c>
      <c r="S72" s="15">
        <v>66</v>
      </c>
      <c r="T72" s="15"/>
      <c r="U72" s="1">
        <f t="shared" si="2"/>
        <v>9</v>
      </c>
      <c r="V72" t="b">
        <f t="shared" si="3"/>
        <v>1</v>
      </c>
    </row>
    <row r="73" spans="1:22">
      <c r="A73" s="8"/>
      <c r="B73" s="15">
        <v>67</v>
      </c>
      <c r="C73" s="15">
        <v>345</v>
      </c>
      <c r="D73" s="15" t="str">
        <f>VLOOKUP(C73,skill_list!$B$7:$C$1030,2)</f>
        <v>破壊の女王</v>
      </c>
      <c r="E73" s="11" t="s">
        <v>1643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1905</v>
      </c>
      <c r="R73" s="15">
        <v>6</v>
      </c>
      <c r="S73" s="15">
        <v>65</v>
      </c>
      <c r="T73" s="15"/>
      <c r="U73" s="1">
        <f t="shared" si="2"/>
        <v>9</v>
      </c>
      <c r="V73" t="b">
        <f t="shared" si="3"/>
        <v>1</v>
      </c>
    </row>
    <row r="74" spans="1:22">
      <c r="A74" s="8"/>
      <c r="B74" s="15">
        <v>68</v>
      </c>
      <c r="C74" s="15">
        <v>347</v>
      </c>
      <c r="D74" s="15" t="str">
        <f>VLOOKUP(C74,skill_list!$B$7:$C$1030,2)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1886</v>
      </c>
      <c r="R74" s="15">
        <v>4</v>
      </c>
      <c r="S74" s="15">
        <v>69</v>
      </c>
      <c r="T74" s="15"/>
      <c r="U74" s="1">
        <f t="shared" si="2"/>
        <v>5</v>
      </c>
      <c r="V74" t="b">
        <f t="shared" si="3"/>
        <v>1</v>
      </c>
    </row>
    <row r="75" spans="1:22">
      <c r="A75" s="8"/>
      <c r="B75" s="15">
        <v>69</v>
      </c>
      <c r="C75" s="15">
        <v>347</v>
      </c>
      <c r="D75" s="15" t="str">
        <f>VLOOKUP(C75,skill_list!$B$7:$C$1030,2)</f>
        <v>メイド・イン・パンクチュア</v>
      </c>
      <c r="E75" s="11" t="s">
        <v>1642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1886</v>
      </c>
      <c r="R75" s="15">
        <v>3</v>
      </c>
      <c r="S75" s="15">
        <v>68</v>
      </c>
      <c r="T75" s="15"/>
      <c r="U75" s="1">
        <f t="shared" si="2"/>
        <v>5</v>
      </c>
      <c r="V75" t="b">
        <f t="shared" si="3"/>
        <v>1</v>
      </c>
    </row>
    <row r="76" spans="1:22">
      <c r="A76" s="8"/>
      <c r="B76" s="15">
        <v>70</v>
      </c>
      <c r="C76" s="15">
        <v>350</v>
      </c>
      <c r="D76" s="15" t="str">
        <f>VLOOKUP(C76,skill_list!$B$7:$C$1030,2)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1904</v>
      </c>
      <c r="R76" s="15"/>
      <c r="S76" s="15"/>
      <c r="T76" s="15"/>
      <c r="U76" s="1">
        <f t="shared" si="2"/>
        <v>6</v>
      </c>
      <c r="V76" t="b">
        <f t="shared" si="3"/>
        <v>1</v>
      </c>
    </row>
    <row r="77" spans="1:22">
      <c r="A77" s="8"/>
      <c r="B77" s="15">
        <v>71</v>
      </c>
      <c r="C77" s="15">
        <v>352</v>
      </c>
      <c r="D77" s="15" t="str">
        <f>VLOOKUP(C77,skill_list!$B$7:$C$1030,2)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1892</v>
      </c>
      <c r="R77" s="15"/>
      <c r="S77" s="15"/>
      <c r="T77" s="15"/>
      <c r="U77" s="1">
        <f>LEN(Q77) - LEN(SUBSTITUTE(Q77, ",", "")) + 1</f>
        <v>10</v>
      </c>
      <c r="V77" t="b">
        <f>L77=U77</f>
        <v>1</v>
      </c>
    </row>
    <row r="78" spans="1:22">
      <c r="A78" s="8"/>
      <c r="B78" s="15">
        <v>72</v>
      </c>
      <c r="C78" s="15">
        <v>355</v>
      </c>
      <c r="D78" s="15" t="str">
        <f>VLOOKUP(C78,skill_list!$B$7:$C$1030,2)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1903</v>
      </c>
      <c r="R78" s="15"/>
      <c r="S78" s="15"/>
      <c r="T78" s="15"/>
      <c r="U78" s="1">
        <f t="shared" ref="U78:U138" si="4">LEN(Q78) - LEN(SUBSTITUTE(Q78, ",", "")) + 1</f>
        <v>3</v>
      </c>
      <c r="V78" t="b">
        <f t="shared" ref="V78:V138" si="5">L78=U78</f>
        <v>1</v>
      </c>
    </row>
    <row r="79" spans="1:22">
      <c r="A79" s="8"/>
      <c r="B79" s="15">
        <v>73</v>
      </c>
      <c r="C79" s="15">
        <v>357</v>
      </c>
      <c r="D79" s="15" t="str">
        <f>VLOOKUP(C79,skill_list!$B$7:$C$1030,2)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1885</v>
      </c>
      <c r="R79" s="15">
        <v>8</v>
      </c>
      <c r="S79" s="15">
        <v>74</v>
      </c>
      <c r="T79" s="15"/>
      <c r="U79" s="1">
        <f t="shared" si="4"/>
        <v>4</v>
      </c>
      <c r="V79" t="b">
        <f t="shared" si="5"/>
        <v>1</v>
      </c>
    </row>
    <row r="80" spans="1:22">
      <c r="A80" s="8"/>
      <c r="B80" s="15">
        <v>74</v>
      </c>
      <c r="C80" s="15">
        <v>357</v>
      </c>
      <c r="D80" s="15" t="str">
        <f>VLOOKUP(C80,skill_list!$B$7:$C$1030,2)</f>
        <v>次の主役はあなた</v>
      </c>
      <c r="E80" s="11" t="s">
        <v>1644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1885</v>
      </c>
      <c r="R80" s="15">
        <v>7</v>
      </c>
      <c r="S80" s="15">
        <v>73</v>
      </c>
      <c r="T80" s="15"/>
      <c r="U80" s="1">
        <f t="shared" si="4"/>
        <v>4</v>
      </c>
      <c r="V80" t="b">
        <f t="shared" si="5"/>
        <v>1</v>
      </c>
    </row>
    <row r="81" spans="1:22">
      <c r="A81" s="8"/>
      <c r="B81" s="15">
        <v>75</v>
      </c>
      <c r="C81" s="15">
        <v>359</v>
      </c>
      <c r="D81" s="15" t="str">
        <f>VLOOKUP(C81,skill_list!$B$7:$C$1030,2)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1886</v>
      </c>
      <c r="R81" s="15"/>
      <c r="S81" s="15"/>
      <c r="T81" s="15"/>
      <c r="U81" s="1">
        <f t="shared" si="4"/>
        <v>5</v>
      </c>
      <c r="V81" t="b">
        <f t="shared" si="5"/>
        <v>1</v>
      </c>
    </row>
    <row r="82" spans="1:22">
      <c r="A82" s="8"/>
      <c r="B82" s="15">
        <v>76</v>
      </c>
      <c r="C82" s="15">
        <v>361</v>
      </c>
      <c r="D82" s="15" t="str">
        <f>VLOOKUP(C82,skill_list!$B$7:$C$1030,2)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1903</v>
      </c>
      <c r="R82" s="15"/>
      <c r="S82" s="15"/>
      <c r="T82" s="15"/>
      <c r="U82" s="1">
        <f t="shared" si="4"/>
        <v>3</v>
      </c>
      <c r="V82" t="b">
        <f t="shared" si="5"/>
        <v>1</v>
      </c>
    </row>
    <row r="83" spans="1:22">
      <c r="A83" s="8"/>
      <c r="B83" s="15">
        <v>77</v>
      </c>
      <c r="C83" s="15">
        <v>367</v>
      </c>
      <c r="D83" s="15" t="str">
        <f>VLOOKUP(C83,skill_list!$B$7:$C$1030,2)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1902</v>
      </c>
      <c r="R83" s="15"/>
      <c r="S83" s="15"/>
      <c r="T83" s="15"/>
      <c r="U83" s="1">
        <f t="shared" si="4"/>
        <v>8</v>
      </c>
      <c r="V83" t="b">
        <f t="shared" si="5"/>
        <v>1</v>
      </c>
    </row>
    <row r="84" spans="1:22">
      <c r="A84" s="8"/>
      <c r="B84" s="15">
        <v>78</v>
      </c>
      <c r="C84" s="15">
        <v>372</v>
      </c>
      <c r="D84" s="15" t="str">
        <f>VLOOKUP(C84,skill_list!$B$7:$C$1030,2)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1901</v>
      </c>
      <c r="R84" s="15"/>
      <c r="S84" s="15"/>
      <c r="T84" s="15"/>
      <c r="U84" s="1">
        <f t="shared" si="4"/>
        <v>6</v>
      </c>
      <c r="V84" t="b">
        <f t="shared" si="5"/>
        <v>1</v>
      </c>
    </row>
    <row r="85" spans="1:22">
      <c r="A85" s="8"/>
      <c r="B85" s="15">
        <v>79</v>
      </c>
      <c r="C85" s="15">
        <v>372</v>
      </c>
      <c r="D85" s="15" t="str">
        <f>VLOOKUP(C85,skill_list!$B$7:$C$1030,2)</f>
        <v>シーサイドベルセルク</v>
      </c>
      <c r="E85" s="11" t="s">
        <v>1645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1901</v>
      </c>
      <c r="R85" s="15"/>
      <c r="S85" s="15"/>
      <c r="T85" s="15"/>
      <c r="U85" s="1">
        <f t="shared" si="4"/>
        <v>6</v>
      </c>
      <c r="V85" t="b">
        <f t="shared" si="5"/>
        <v>1</v>
      </c>
    </row>
    <row r="86" spans="1:22">
      <c r="A86" s="8"/>
      <c r="B86" s="15">
        <v>80</v>
      </c>
      <c r="C86" s="15">
        <v>374</v>
      </c>
      <c r="D86" s="15" t="str">
        <f>VLOOKUP(C86,skill_list!$B$7:$C$1030,2)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1900</v>
      </c>
      <c r="R86" s="15"/>
      <c r="S86" s="15"/>
      <c r="T86" s="15"/>
      <c r="U86" s="1">
        <f t="shared" si="4"/>
        <v>5</v>
      </c>
      <c r="V86" t="b">
        <f t="shared" si="5"/>
        <v>1</v>
      </c>
    </row>
    <row r="87" spans="1:22">
      <c r="A87" s="8"/>
      <c r="B87" s="15">
        <v>81</v>
      </c>
      <c r="C87" s="15">
        <v>376</v>
      </c>
      <c r="D87" s="15" t="str">
        <f>VLOOKUP(C87,skill_list!$B$7:$C$1030,2)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1908</v>
      </c>
      <c r="R87" s="15">
        <v>5</v>
      </c>
      <c r="S87" s="15">
        <v>82</v>
      </c>
      <c r="T87" s="15"/>
      <c r="U87" s="1">
        <f t="shared" si="4"/>
        <v>5</v>
      </c>
      <c r="V87" t="b">
        <f t="shared" si="5"/>
        <v>1</v>
      </c>
    </row>
    <row r="88" spans="1:22">
      <c r="A88" s="8"/>
      <c r="B88" s="15">
        <v>82</v>
      </c>
      <c r="C88" s="15">
        <v>376</v>
      </c>
      <c r="D88" s="15" t="str">
        <f>VLOOKUP(C88,skill_list!$B$7:$C$1030,2)</f>
        <v>破壊のシニシズム</v>
      </c>
      <c r="E88" s="11" t="s">
        <v>1643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1908</v>
      </c>
      <c r="R88" s="15">
        <v>6</v>
      </c>
      <c r="S88" s="15">
        <v>81</v>
      </c>
      <c r="T88" s="15"/>
      <c r="U88" s="1">
        <f t="shared" si="4"/>
        <v>5</v>
      </c>
      <c r="V88" t="b">
        <f t="shared" si="5"/>
        <v>1</v>
      </c>
    </row>
    <row r="89" spans="1:22">
      <c r="A89" s="8"/>
      <c r="B89" s="15">
        <v>83</v>
      </c>
      <c r="C89" s="15">
        <v>379</v>
      </c>
      <c r="D89" s="15" t="str">
        <f>VLOOKUP(C89,skill_list!$B$7:$C$1030,2)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50</v>
      </c>
      <c r="O89" s="15">
        <v>0</v>
      </c>
      <c r="P89" s="14">
        <v>2</v>
      </c>
      <c r="Q89" s="11" t="s">
        <v>1886</v>
      </c>
      <c r="R89" s="15">
        <v>4</v>
      </c>
      <c r="S89" s="15">
        <v>84</v>
      </c>
      <c r="T89" s="15"/>
      <c r="U89" s="1">
        <f t="shared" si="4"/>
        <v>5</v>
      </c>
      <c r="V89" t="b">
        <f t="shared" si="5"/>
        <v>1</v>
      </c>
    </row>
    <row r="90" spans="1:22">
      <c r="A90" s="8"/>
      <c r="B90" s="15">
        <v>84</v>
      </c>
      <c r="C90" s="15">
        <v>379</v>
      </c>
      <c r="D90" s="15" t="str">
        <f>VLOOKUP(C90,skill_list!$B$7:$C$1030,2)</f>
        <v>唯雅粛正</v>
      </c>
      <c r="E90" s="11" t="s">
        <v>1642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2</v>
      </c>
      <c r="Q90" s="11" t="s">
        <v>1886</v>
      </c>
      <c r="R90" s="15">
        <v>3</v>
      </c>
      <c r="S90" s="15">
        <v>83</v>
      </c>
      <c r="T90" s="15"/>
      <c r="U90" s="1">
        <f t="shared" si="4"/>
        <v>5</v>
      </c>
      <c r="V90" t="b">
        <f t="shared" si="5"/>
        <v>1</v>
      </c>
    </row>
    <row r="91" spans="1:22">
      <c r="A91" s="8"/>
      <c r="B91" s="15">
        <v>85</v>
      </c>
      <c r="C91" s="15">
        <v>381</v>
      </c>
      <c r="D91" s="15" t="str">
        <f>VLOOKUP(C91,skill_list!$B$7:$C$1030,2)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1894</v>
      </c>
      <c r="R91" s="15"/>
      <c r="S91" s="15"/>
      <c r="T91" s="15"/>
      <c r="U91" s="1">
        <f t="shared" si="4"/>
        <v>3</v>
      </c>
      <c r="V91" t="b">
        <f t="shared" si="5"/>
        <v>1</v>
      </c>
    </row>
    <row r="92" spans="1:22">
      <c r="A92" s="8"/>
      <c r="B92" s="15">
        <v>86</v>
      </c>
      <c r="C92" s="15">
        <v>386</v>
      </c>
      <c r="D92" s="15" t="str">
        <f>VLOOKUP(C92,skill_list!$B$7:$C$1030,2)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1899</v>
      </c>
      <c r="R92" s="15"/>
      <c r="S92" s="15"/>
      <c r="T92" s="15"/>
      <c r="U92" s="1">
        <f t="shared" si="4"/>
        <v>3</v>
      </c>
      <c r="V92" t="b">
        <f t="shared" si="5"/>
        <v>1</v>
      </c>
    </row>
    <row r="93" spans="1:22">
      <c r="A93" s="8"/>
      <c r="B93" s="15">
        <v>87</v>
      </c>
      <c r="C93" s="15">
        <v>390</v>
      </c>
      <c r="D93" s="15" t="str">
        <f>VLOOKUP(C93,skill_list!$B$7:$C$1030,2)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1898</v>
      </c>
      <c r="R93" s="15">
        <v>8</v>
      </c>
      <c r="S93" s="15">
        <v>88</v>
      </c>
      <c r="T93" s="15"/>
      <c r="U93" s="1">
        <f t="shared" si="4"/>
        <v>8</v>
      </c>
      <c r="V93" t="b">
        <f t="shared" si="5"/>
        <v>1</v>
      </c>
    </row>
    <row r="94" spans="1:22">
      <c r="A94" s="8"/>
      <c r="B94" s="15">
        <v>88</v>
      </c>
      <c r="C94" s="15">
        <v>390</v>
      </c>
      <c r="D94" s="15" t="str">
        <f>VLOOKUP(C94,skill_list!$B$7:$C$1030,2)</f>
        <v>爽籟に舞う仁慈</v>
      </c>
      <c r="E94" s="11" t="s">
        <v>1644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1898</v>
      </c>
      <c r="R94" s="15">
        <v>7</v>
      </c>
      <c r="S94" s="15">
        <v>87</v>
      </c>
      <c r="T94" s="15"/>
      <c r="U94" s="1">
        <f t="shared" si="4"/>
        <v>8</v>
      </c>
      <c r="V94" t="b">
        <f t="shared" si="5"/>
        <v>1</v>
      </c>
    </row>
    <row r="95" spans="1:22">
      <c r="A95" s="8"/>
      <c r="B95" s="15">
        <v>89</v>
      </c>
      <c r="C95" s="15">
        <v>395</v>
      </c>
      <c r="D95" s="15" t="str">
        <f>VLOOKUP(C95,skill_list!$B$7:$C$1030,2)</f>
        <v>神崎流忍術・散華</v>
      </c>
      <c r="E95" s="15"/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1885</v>
      </c>
      <c r="R95" s="15">
        <v>5</v>
      </c>
      <c r="S95" s="15">
        <v>90</v>
      </c>
      <c r="T95" s="15"/>
      <c r="U95" s="1">
        <f t="shared" si="4"/>
        <v>4</v>
      </c>
      <c r="V95" t="b">
        <f t="shared" si="5"/>
        <v>1</v>
      </c>
    </row>
    <row r="96" spans="1:22">
      <c r="A96" s="8"/>
      <c r="B96" s="15">
        <v>90</v>
      </c>
      <c r="C96" s="15">
        <v>395</v>
      </c>
      <c r="D96" s="15" t="str">
        <f>VLOOKUP(C96,skill_list!$B$7:$C$1030,2)</f>
        <v>神崎流忍術・散華</v>
      </c>
      <c r="E96" s="11" t="s">
        <v>1643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1885</v>
      </c>
      <c r="R96" s="15">
        <v>6</v>
      </c>
      <c r="S96" s="15">
        <v>89</v>
      </c>
      <c r="T96" s="15"/>
      <c r="U96" s="1">
        <f t="shared" si="4"/>
        <v>4</v>
      </c>
      <c r="V96" t="b">
        <f t="shared" si="5"/>
        <v>1</v>
      </c>
    </row>
    <row r="97" spans="1:22">
      <c r="A97" s="8"/>
      <c r="B97" s="15">
        <v>91</v>
      </c>
      <c r="C97" s="15">
        <v>402</v>
      </c>
      <c r="D97" s="15" t="str">
        <f>VLOOKUP(C97,skill_list!$B$7:$C$1030,2)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1885</v>
      </c>
      <c r="R97" s="15"/>
      <c r="S97" s="15"/>
      <c r="T97" s="15">
        <v>1</v>
      </c>
      <c r="U97" s="1">
        <f t="shared" si="4"/>
        <v>4</v>
      </c>
      <c r="V97" t="b">
        <f t="shared" si="5"/>
        <v>1</v>
      </c>
    </row>
    <row r="98" spans="1:22">
      <c r="A98" s="8"/>
      <c r="B98" s="15">
        <v>92</v>
      </c>
      <c r="C98" s="15">
        <v>402</v>
      </c>
      <c r="D98" s="15" t="str">
        <f>VLOOKUP(C98,skill_list!$B$7:$C$1030,2)</f>
        <v>輝神</v>
      </c>
      <c r="E98" s="11" t="s">
        <v>1645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1885</v>
      </c>
      <c r="R98" s="15"/>
      <c r="S98" s="15"/>
      <c r="T98" s="15">
        <v>1</v>
      </c>
      <c r="U98" s="1">
        <f t="shared" si="4"/>
        <v>4</v>
      </c>
      <c r="V98" t="b">
        <f t="shared" si="5"/>
        <v>1</v>
      </c>
    </row>
    <row r="99" spans="1:22">
      <c r="A99" s="8"/>
      <c r="B99" s="15">
        <v>93</v>
      </c>
      <c r="C99" s="15">
        <v>405</v>
      </c>
      <c r="D99" s="15" t="str">
        <f>VLOOKUP(C99,skill_list!$B$7:$C$1030,2)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1894</v>
      </c>
      <c r="R99" s="15"/>
      <c r="S99" s="15"/>
      <c r="T99" s="15"/>
      <c r="U99" s="1">
        <f t="shared" si="4"/>
        <v>3</v>
      </c>
      <c r="V99" t="b">
        <f t="shared" si="5"/>
        <v>1</v>
      </c>
    </row>
    <row r="100" spans="1:22">
      <c r="A100" s="8"/>
      <c r="B100" s="15">
        <v>94</v>
      </c>
      <c r="C100" s="15">
        <v>396</v>
      </c>
      <c r="D100" s="15" t="str">
        <f>VLOOKUP(C100,skill_list!$B$7:$C$1030,2)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1898</v>
      </c>
      <c r="R100" s="15"/>
      <c r="S100" s="15"/>
      <c r="T100" s="15"/>
      <c r="U100" s="1">
        <f t="shared" si="4"/>
        <v>8</v>
      </c>
      <c r="V100" t="b">
        <f t="shared" si="5"/>
        <v>1</v>
      </c>
    </row>
    <row r="101" spans="1:22">
      <c r="A101" s="8"/>
      <c r="B101" s="15">
        <v>95</v>
      </c>
      <c r="C101" s="15">
        <v>399</v>
      </c>
      <c r="D101" s="15" t="str">
        <f>VLOOKUP(C101,skill_list!$B$7:$C$1030,2)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1893</v>
      </c>
      <c r="R101" s="15"/>
      <c r="S101" s="15"/>
      <c r="T101" s="15"/>
      <c r="U101" s="1">
        <f t="shared" si="4"/>
        <v>4</v>
      </c>
      <c r="V101" t="b">
        <f t="shared" si="5"/>
        <v>1</v>
      </c>
    </row>
    <row r="102" spans="1:22">
      <c r="A102" s="8"/>
      <c r="B102" s="15">
        <v>96</v>
      </c>
      <c r="C102" s="15">
        <v>406</v>
      </c>
      <c r="D102" s="15" t="str">
        <f>VLOOKUP(C102,skill_list!$B$7:$C$1030,2)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734</v>
      </c>
      <c r="R102" s="15">
        <v>2</v>
      </c>
      <c r="S102" s="15">
        <v>97</v>
      </c>
      <c r="T102" s="15"/>
      <c r="U102" s="1">
        <f t="shared" si="4"/>
        <v>1</v>
      </c>
      <c r="V102" t="b">
        <f t="shared" si="5"/>
        <v>1</v>
      </c>
    </row>
    <row r="103" spans="1:22">
      <c r="A103" s="8"/>
      <c r="B103" s="15">
        <v>97</v>
      </c>
      <c r="C103" s="15">
        <v>406</v>
      </c>
      <c r="D103" s="15" t="str">
        <f>VLOOKUP(C103,skill_list!$B$7:$C$1030,2)</f>
        <v>石塔の手筋+</v>
      </c>
      <c r="E103" s="11" t="s">
        <v>1640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734</v>
      </c>
      <c r="R103" s="15">
        <v>1</v>
      </c>
      <c r="S103" s="15">
        <v>96</v>
      </c>
      <c r="T103" s="15"/>
      <c r="U103" s="1">
        <f t="shared" si="4"/>
        <v>1</v>
      </c>
      <c r="V103" t="b">
        <f t="shared" si="5"/>
        <v>1</v>
      </c>
    </row>
    <row r="104" spans="1:22">
      <c r="A104" s="8"/>
      <c r="B104" s="15">
        <v>98</v>
      </c>
      <c r="C104" s="15">
        <v>407</v>
      </c>
      <c r="D104" s="15" t="str">
        <f>VLOOKUP(C104,skill_list!$B$7:$C$1030,2)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734</v>
      </c>
      <c r="R104" s="15"/>
      <c r="S104" s="15"/>
      <c r="T104" s="15"/>
      <c r="U104" s="1">
        <f t="shared" si="4"/>
        <v>1</v>
      </c>
      <c r="V104" t="b">
        <f t="shared" si="5"/>
        <v>0</v>
      </c>
    </row>
    <row r="105" spans="1:22">
      <c r="A105" s="8"/>
      <c r="B105" s="15">
        <v>99</v>
      </c>
      <c r="C105" s="15">
        <v>409</v>
      </c>
      <c r="D105" s="15" t="str">
        <f>VLOOKUP(C105,skill_list!$B$7:$C$1030,2)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1897</v>
      </c>
      <c r="R105" s="15"/>
      <c r="S105" s="15"/>
      <c r="T105" s="15">
        <v>1</v>
      </c>
      <c r="U105" s="1">
        <f t="shared" si="4"/>
        <v>5</v>
      </c>
      <c r="V105" t="b">
        <f t="shared" si="5"/>
        <v>1</v>
      </c>
    </row>
    <row r="106" spans="1:22">
      <c r="A106" s="8"/>
      <c r="B106" s="15">
        <v>100</v>
      </c>
      <c r="C106" s="15">
        <v>411</v>
      </c>
      <c r="D106" s="15" t="str">
        <f>VLOOKUP(C106,skill_list!$B$7:$C$1030,2)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1894</v>
      </c>
      <c r="R106" s="15"/>
      <c r="S106" s="15"/>
      <c r="T106" s="15"/>
      <c r="U106" s="1">
        <f t="shared" si="4"/>
        <v>3</v>
      </c>
      <c r="V106" t="b">
        <f t="shared" si="5"/>
        <v>1</v>
      </c>
    </row>
    <row r="107" spans="1:22">
      <c r="A107" s="8"/>
      <c r="B107" s="15">
        <v>101</v>
      </c>
      <c r="C107" s="15">
        <v>413</v>
      </c>
      <c r="D107" s="15" t="str">
        <f>VLOOKUP(C107,skill_list!$B$7:$C$1030,2)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1896</v>
      </c>
      <c r="R107" s="15">
        <v>2</v>
      </c>
      <c r="S107" s="15">
        <v>102</v>
      </c>
      <c r="T107" s="15"/>
      <c r="U107" s="1">
        <f t="shared" si="4"/>
        <v>12</v>
      </c>
      <c r="V107" t="b">
        <f t="shared" si="5"/>
        <v>1</v>
      </c>
    </row>
    <row r="108" spans="1:22">
      <c r="A108" s="8"/>
      <c r="B108" s="15">
        <v>102</v>
      </c>
      <c r="C108" s="15">
        <v>413</v>
      </c>
      <c r="D108" s="15" t="str">
        <f>VLOOKUP(C108,skill_list!$B$7:$C$1030,2)</f>
        <v>フローズン・ワルツ</v>
      </c>
      <c r="E108" s="11" t="s">
        <v>1640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1896</v>
      </c>
      <c r="R108" s="15">
        <v>1</v>
      </c>
      <c r="S108" s="15">
        <v>101</v>
      </c>
      <c r="T108" s="15"/>
      <c r="U108" s="1">
        <f t="shared" si="4"/>
        <v>12</v>
      </c>
      <c r="V108" t="b">
        <f t="shared" si="5"/>
        <v>1</v>
      </c>
    </row>
    <row r="109" spans="1:22">
      <c r="A109" s="8"/>
      <c r="B109" s="15">
        <v>103</v>
      </c>
      <c r="C109" s="15">
        <v>415</v>
      </c>
      <c r="D109" s="15" t="str">
        <f>VLOOKUP(C109,skill_list!$B$7:$C$1030,2)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1895</v>
      </c>
      <c r="R109" s="15"/>
      <c r="S109" s="15"/>
      <c r="T109" s="15"/>
      <c r="U109" s="1">
        <f t="shared" si="4"/>
        <v>2</v>
      </c>
      <c r="V109" t="b">
        <f t="shared" si="5"/>
        <v>1</v>
      </c>
    </row>
    <row r="110" spans="1:22">
      <c r="A110" s="8"/>
      <c r="B110" s="15">
        <v>104</v>
      </c>
      <c r="C110" s="15">
        <v>419</v>
      </c>
      <c r="D110" s="15" t="str">
        <f>VLOOKUP(C110,skill_list!$B$7:$C$1030,2)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734</v>
      </c>
      <c r="R110" s="15"/>
      <c r="S110" s="15"/>
      <c r="T110" s="15"/>
      <c r="U110" s="1">
        <f t="shared" si="4"/>
        <v>1</v>
      </c>
      <c r="V110" t="b">
        <f t="shared" si="5"/>
        <v>1</v>
      </c>
    </row>
    <row r="111" spans="1:22">
      <c r="A111" s="8"/>
      <c r="B111" s="15">
        <v>105</v>
      </c>
      <c r="C111" s="15">
        <v>422</v>
      </c>
      <c r="D111" s="15" t="str">
        <f>VLOOKUP(C111,skill_list!$B$7:$C$1030,2)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1892</v>
      </c>
      <c r="R111" s="15"/>
      <c r="S111" s="15"/>
      <c r="T111" s="15"/>
      <c r="U111" s="1">
        <f t="shared" si="4"/>
        <v>10</v>
      </c>
      <c r="V111" t="b">
        <f t="shared" si="5"/>
        <v>1</v>
      </c>
    </row>
    <row r="112" spans="1:22">
      <c r="A112" s="8"/>
      <c r="B112" s="15">
        <v>106</v>
      </c>
      <c r="C112" s="15">
        <v>418</v>
      </c>
      <c r="D112" s="15" t="str">
        <f>VLOOKUP(C112,skill_list!$B$7:$C$1030,2)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1884</v>
      </c>
      <c r="R112" s="15"/>
      <c r="S112" s="15"/>
      <c r="T112" s="15"/>
      <c r="U112" s="1">
        <f t="shared" si="4"/>
        <v>3</v>
      </c>
      <c r="V112" t="b">
        <f t="shared" si="5"/>
        <v>1</v>
      </c>
    </row>
    <row r="113" spans="1:22">
      <c r="A113" s="8"/>
      <c r="B113" s="15">
        <v>107</v>
      </c>
      <c r="C113" s="15">
        <v>426</v>
      </c>
      <c r="D113" s="15" t="str">
        <f>VLOOKUP(C113,skill_list!$B$7:$C$1030,2)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1894</v>
      </c>
      <c r="R113" s="15"/>
      <c r="S113" s="15"/>
      <c r="T113" s="15"/>
      <c r="U113" s="1">
        <f t="shared" si="4"/>
        <v>3</v>
      </c>
      <c r="V113" t="b">
        <f t="shared" si="5"/>
        <v>1</v>
      </c>
    </row>
    <row r="114" spans="1:22">
      <c r="A114" s="8"/>
      <c r="B114" s="15">
        <v>108</v>
      </c>
      <c r="C114" s="15">
        <v>432</v>
      </c>
      <c r="D114" s="15" t="str">
        <f>VLOOKUP(C114,skill_list!$B$7:$C$1030,2)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734</v>
      </c>
      <c r="R114" s="15"/>
      <c r="S114" s="15"/>
      <c r="T114" s="15"/>
      <c r="U114" s="1">
        <f t="shared" si="4"/>
        <v>1</v>
      </c>
      <c r="V114" t="b">
        <f t="shared" si="5"/>
        <v>1</v>
      </c>
    </row>
    <row r="115" spans="1:22">
      <c r="A115" s="8"/>
      <c r="B115" s="15">
        <v>109</v>
      </c>
      <c r="C115" s="15">
        <v>432</v>
      </c>
      <c r="D115" s="15" t="str">
        <f>VLOOKUP(C115,skill_list!$B$7:$C$1030,2)</f>
        <v>スパークル・トライショット+</v>
      </c>
      <c r="E115" s="11" t="s">
        <v>1646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734</v>
      </c>
      <c r="R115" s="15"/>
      <c r="S115" s="15"/>
      <c r="T115" s="15"/>
      <c r="U115" s="1">
        <f t="shared" si="4"/>
        <v>1</v>
      </c>
      <c r="V115" t="b">
        <f t="shared" si="5"/>
        <v>1</v>
      </c>
    </row>
    <row r="116" spans="1:22">
      <c r="A116" s="8"/>
      <c r="B116" s="15">
        <v>110</v>
      </c>
      <c r="C116" s="15">
        <v>433</v>
      </c>
      <c r="D116" s="15" t="str">
        <f>VLOOKUP(C116,skill_list!$B$7:$C$1030,2)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734</v>
      </c>
      <c r="R116" s="15"/>
      <c r="S116" s="15"/>
      <c r="T116" s="15"/>
      <c r="U116" s="1">
        <f t="shared" si="4"/>
        <v>1</v>
      </c>
      <c r="V116" t="b">
        <f t="shared" si="5"/>
        <v>1</v>
      </c>
    </row>
    <row r="117" spans="1:22">
      <c r="A117" s="8"/>
      <c r="B117" s="15">
        <v>111</v>
      </c>
      <c r="C117" s="15">
        <v>433</v>
      </c>
      <c r="D117" s="15" t="str">
        <f>VLOOKUP(C117,skill_list!$B$7:$C$1030,2)</f>
        <v>スパークル・トライエッジ+</v>
      </c>
      <c r="E117" s="11" t="s">
        <v>1646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734</v>
      </c>
      <c r="R117" s="15"/>
      <c r="S117" s="15"/>
      <c r="T117" s="15"/>
      <c r="U117" s="1">
        <f t="shared" si="4"/>
        <v>1</v>
      </c>
      <c r="V117" t="b">
        <f t="shared" si="5"/>
        <v>1</v>
      </c>
    </row>
    <row r="118" spans="1:22">
      <c r="A118" s="8"/>
      <c r="B118" s="15">
        <v>112</v>
      </c>
      <c r="C118" s="15">
        <v>442</v>
      </c>
      <c r="D118" s="15" t="str">
        <f>VLOOKUP(C118,skill_list!$B$7:$C$1030,2)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1893</v>
      </c>
      <c r="R118" s="15"/>
      <c r="S118" s="15"/>
      <c r="T118" s="15"/>
      <c r="U118" s="1">
        <f t="shared" si="4"/>
        <v>4</v>
      </c>
      <c r="V118" t="b">
        <f t="shared" si="5"/>
        <v>1</v>
      </c>
    </row>
    <row r="119" spans="1:22">
      <c r="A119" s="8"/>
      <c r="B119" s="15">
        <v>115</v>
      </c>
      <c r="C119" s="15">
        <v>439</v>
      </c>
      <c r="D119" s="15" t="str">
        <f>VLOOKUP(C119,skill_list!$B$7:$C$1030,2)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734</v>
      </c>
      <c r="R119" s="15"/>
      <c r="S119" s="15"/>
      <c r="T119" s="15"/>
      <c r="U119" s="1">
        <f t="shared" si="4"/>
        <v>1</v>
      </c>
      <c r="V119" t="b">
        <f t="shared" si="5"/>
        <v>0</v>
      </c>
    </row>
    <row r="120" spans="1:22">
      <c r="A120" s="8"/>
      <c r="B120" s="15">
        <v>116</v>
      </c>
      <c r="C120" s="15">
        <v>448</v>
      </c>
      <c r="D120" s="15" t="str">
        <f>VLOOKUP(C120,skill_list!$B$7:$C$1030,2)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1886</v>
      </c>
      <c r="R120" s="15"/>
      <c r="S120" s="15"/>
      <c r="T120" s="15"/>
      <c r="U120" s="1">
        <f t="shared" si="4"/>
        <v>5</v>
      </c>
      <c r="V120" t="b">
        <f t="shared" si="5"/>
        <v>1</v>
      </c>
    </row>
    <row r="121" spans="1:22">
      <c r="A121" s="8"/>
      <c r="B121" s="15">
        <v>117</v>
      </c>
      <c r="C121" s="15">
        <v>450</v>
      </c>
      <c r="D121" s="15" t="str">
        <f>VLOOKUP(C121,skill_list!$B$7:$C$1030,2)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1892</v>
      </c>
      <c r="R121" s="15"/>
      <c r="S121" s="15"/>
      <c r="T121" s="15"/>
      <c r="U121" s="1">
        <f t="shared" si="4"/>
        <v>10</v>
      </c>
      <c r="V121" t="b">
        <f t="shared" si="5"/>
        <v>1</v>
      </c>
    </row>
    <row r="122" spans="1:22">
      <c r="A122" s="8"/>
      <c r="B122" s="15">
        <v>118</v>
      </c>
      <c r="C122" s="15">
        <v>453</v>
      </c>
      <c r="D122" s="15" t="str">
        <f>VLOOKUP(C122,skill_list!$B$7:$C$1030,2)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1891</v>
      </c>
      <c r="R122" s="15"/>
      <c r="S122" s="15"/>
      <c r="T122" s="15"/>
      <c r="U122" s="1">
        <f t="shared" si="4"/>
        <v>2</v>
      </c>
      <c r="V122" t="b">
        <f t="shared" si="5"/>
        <v>1</v>
      </c>
    </row>
    <row r="123" spans="1:22">
      <c r="A123" s="8"/>
      <c r="B123" s="15">
        <v>119</v>
      </c>
      <c r="C123" s="15">
        <v>453</v>
      </c>
      <c r="D123" s="15" t="str">
        <f>VLOOKUP(C123,skill_list!$B$7:$C$1030,2)</f>
        <v>星火燎原+</v>
      </c>
      <c r="E123" s="11" t="s">
        <v>1647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1891</v>
      </c>
      <c r="R123" s="15"/>
      <c r="S123" s="15"/>
      <c r="T123" s="15"/>
      <c r="U123" s="1">
        <f t="shared" si="4"/>
        <v>2</v>
      </c>
      <c r="V123" t="b">
        <f t="shared" si="5"/>
        <v>1</v>
      </c>
    </row>
    <row r="124" spans="1:22">
      <c r="A124" s="8"/>
      <c r="B124" s="15">
        <v>120</v>
      </c>
      <c r="C124" s="15">
        <v>454</v>
      </c>
      <c r="D124" s="15" t="str">
        <f>VLOOKUP(C124,skill_list!$B$7:$C$1030,2)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/>
      <c r="R124" s="15"/>
      <c r="S124" s="15"/>
      <c r="T124" s="15"/>
      <c r="U124" s="1">
        <f t="shared" si="4"/>
        <v>1</v>
      </c>
      <c r="V124" t="b">
        <f t="shared" si="5"/>
        <v>0</v>
      </c>
    </row>
    <row r="125" spans="1:22">
      <c r="A125" s="8"/>
      <c r="B125" s="15">
        <v>121</v>
      </c>
      <c r="C125" s="15">
        <v>454</v>
      </c>
      <c r="D125" s="15" t="str">
        <f>VLOOKUP(C125,skill_list!$B$7:$C$1030,2)</f>
        <v>絶対零度+</v>
      </c>
      <c r="E125" s="11" t="s">
        <v>1648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/>
      <c r="R125" s="15"/>
      <c r="S125" s="15"/>
      <c r="T125" s="15"/>
      <c r="U125" s="1">
        <f t="shared" si="4"/>
        <v>1</v>
      </c>
      <c r="V125" t="b">
        <f t="shared" si="5"/>
        <v>0</v>
      </c>
    </row>
    <row r="126" spans="1:22">
      <c r="A126" s="8"/>
      <c r="B126" s="15">
        <v>122</v>
      </c>
      <c r="C126" s="15">
        <v>452</v>
      </c>
      <c r="D126" s="15" t="str">
        <f>VLOOKUP(C126,skill_list!$B$7:$C$1030,2)</f>
        <v>黒曜のオーバーロード</v>
      </c>
      <c r="E126" s="11" t="s">
        <v>1649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1890</v>
      </c>
      <c r="R126" s="15"/>
      <c r="S126" s="15"/>
      <c r="T126" s="15"/>
      <c r="U126" s="1">
        <f t="shared" si="4"/>
        <v>10</v>
      </c>
      <c r="V126" t="b">
        <f t="shared" si="5"/>
        <v>1</v>
      </c>
    </row>
    <row r="127" spans="1:22">
      <c r="A127" s="8"/>
      <c r="B127" s="15">
        <v>123</v>
      </c>
      <c r="C127" s="15">
        <v>452</v>
      </c>
      <c r="D127" s="15" t="str">
        <f>VLOOKUP(C127,skill_list!$B$7:$C$1030,2)</f>
        <v>黒曜のオーバーロード</v>
      </c>
      <c r="E127" s="11" t="s">
        <v>1651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1890</v>
      </c>
      <c r="R127" s="15"/>
      <c r="S127" s="15"/>
      <c r="T127" s="15"/>
      <c r="U127" s="1">
        <f t="shared" si="4"/>
        <v>10</v>
      </c>
      <c r="V127" t="b">
        <f t="shared" si="5"/>
        <v>1</v>
      </c>
    </row>
    <row r="128" spans="1:22">
      <c r="A128" s="8"/>
      <c r="B128" s="15">
        <v>124</v>
      </c>
      <c r="C128" s="15">
        <v>452</v>
      </c>
      <c r="D128" s="15" t="str">
        <f>VLOOKUP(C128,skill_list!$B$7:$C$1030,2)</f>
        <v>黒曜のオーバーロード</v>
      </c>
      <c r="E128" s="11" t="s">
        <v>1650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1890</v>
      </c>
      <c r="R128" s="15"/>
      <c r="S128" s="15"/>
      <c r="T128" s="15"/>
      <c r="U128" s="1">
        <f t="shared" si="4"/>
        <v>10</v>
      </c>
      <c r="V128" t="b">
        <f t="shared" si="5"/>
        <v>1</v>
      </c>
    </row>
    <row r="129" spans="1:22">
      <c r="A129" s="8"/>
      <c r="B129" s="15">
        <v>125</v>
      </c>
      <c r="C129" s="15">
        <v>452</v>
      </c>
      <c r="D129" s="15" t="str">
        <f>VLOOKUP(C129,skill_list!$B$7:$C$1030,2)</f>
        <v>黒曜のオーバーロード</v>
      </c>
      <c r="E129" s="11" t="s">
        <v>1652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1890</v>
      </c>
      <c r="R129" s="15"/>
      <c r="S129" s="15"/>
      <c r="T129" s="15"/>
      <c r="U129" s="1">
        <f t="shared" si="4"/>
        <v>10</v>
      </c>
      <c r="V129" t="b">
        <f t="shared" si="5"/>
        <v>1</v>
      </c>
    </row>
    <row r="130" spans="1:22">
      <c r="A130" s="8"/>
      <c r="B130" s="15">
        <v>126</v>
      </c>
      <c r="C130" s="15">
        <v>459</v>
      </c>
      <c r="D130" s="15" t="str">
        <f>VLOOKUP(C130,skill_list!$B$7:$C$1030,2)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1889</v>
      </c>
      <c r="R130" s="15"/>
      <c r="S130" s="15"/>
      <c r="T130" s="15"/>
      <c r="U130" s="1">
        <f t="shared" si="4"/>
        <v>8</v>
      </c>
      <c r="V130" t="b">
        <f t="shared" si="5"/>
        <v>1</v>
      </c>
    </row>
    <row r="131" spans="1:22">
      <c r="A131" s="8"/>
      <c r="B131" s="15">
        <v>127</v>
      </c>
      <c r="C131" s="15">
        <v>459</v>
      </c>
      <c r="D131" s="15" t="str">
        <f>VLOOKUP(C131,skill_list!$B$7:$C$1030,2)</f>
        <v>三色団子乱れ撃ち</v>
      </c>
      <c r="E131" s="11" t="s">
        <v>1641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1889</v>
      </c>
      <c r="R131" s="15"/>
      <c r="S131" s="15"/>
      <c r="T131" s="15"/>
      <c r="U131" s="1">
        <f t="shared" si="4"/>
        <v>8</v>
      </c>
      <c r="V131" t="b">
        <f t="shared" si="5"/>
        <v>1</v>
      </c>
    </row>
    <row r="132" spans="1:22">
      <c r="A132" s="8"/>
      <c r="B132" s="15">
        <v>128</v>
      </c>
      <c r="C132" s="15">
        <v>460</v>
      </c>
      <c r="D132" s="15" t="str">
        <f>VLOOKUP(C132,skill_list!$B$7:$C$1030,2)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/>
      <c r="R132" s="15"/>
      <c r="S132" s="15"/>
      <c r="T132" s="15"/>
      <c r="U132" s="1">
        <f t="shared" si="4"/>
        <v>1</v>
      </c>
      <c r="V132" t="b">
        <f t="shared" si="5"/>
        <v>0</v>
      </c>
    </row>
    <row r="133" spans="1:22">
      <c r="A133" s="8"/>
      <c r="B133" s="15">
        <v>129</v>
      </c>
      <c r="C133" s="15">
        <v>470</v>
      </c>
      <c r="D133" s="15" t="str">
        <f>VLOOKUP(C133,skill_list!$B$7:$C$1030,2)</f>
        <v>氷華、千射万箭</v>
      </c>
      <c r="E133" s="11"/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1888</v>
      </c>
      <c r="R133" s="15"/>
      <c r="S133" s="15"/>
      <c r="T133" s="15"/>
      <c r="U133" s="1">
        <f t="shared" si="4"/>
        <v>5</v>
      </c>
      <c r="V133" t="b">
        <f t="shared" si="5"/>
        <v>1</v>
      </c>
    </row>
    <row r="134" spans="1:22">
      <c r="A134" s="8"/>
      <c r="B134" s="15">
        <v>130</v>
      </c>
      <c r="C134" s="15">
        <v>472</v>
      </c>
      <c r="D134" s="15" t="str">
        <f>VLOOKUP(C134,skill_list!$B$7:$C$1030,2)</f>
        <v>ロリータフルバースト</v>
      </c>
      <c r="E134" s="11"/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1887</v>
      </c>
      <c r="R134" s="15"/>
      <c r="S134" s="15"/>
      <c r="T134" s="15"/>
      <c r="U134" s="1">
        <f t="shared" si="4"/>
        <v>6</v>
      </c>
      <c r="V134" t="b">
        <f t="shared" si="5"/>
        <v>1</v>
      </c>
    </row>
    <row r="135" spans="1:22">
      <c r="A135" s="8"/>
      <c r="B135" s="15">
        <v>131</v>
      </c>
      <c r="C135" s="15">
        <v>475</v>
      </c>
      <c r="D135" s="15" t="str">
        <f>VLOOKUP(C135,skill_list!$B$7:$C$1030,2)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1884</v>
      </c>
      <c r="R135" s="15"/>
      <c r="S135" s="15"/>
      <c r="T135" s="15"/>
      <c r="U135" s="1">
        <f t="shared" si="4"/>
        <v>3</v>
      </c>
      <c r="V135" t="b">
        <f t="shared" si="5"/>
        <v>1</v>
      </c>
    </row>
    <row r="136" spans="1:22">
      <c r="A136" s="8"/>
      <c r="B136" s="15">
        <v>132</v>
      </c>
      <c r="C136" s="15">
        <v>475</v>
      </c>
      <c r="D136" s="15" t="str">
        <f>VLOOKUP(C136,skill_list!$B$7:$C$1030,2)</f>
        <v>ヴォイドストーム+</v>
      </c>
      <c r="E136" s="11" t="s">
        <v>550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1884</v>
      </c>
      <c r="R136" s="15"/>
      <c r="S136" s="15"/>
      <c r="T136" s="15"/>
      <c r="U136" s="1">
        <f t="shared" si="4"/>
        <v>3</v>
      </c>
      <c r="V136" t="b">
        <f t="shared" si="5"/>
        <v>1</v>
      </c>
    </row>
    <row r="137" spans="1:22">
      <c r="A137" s="8"/>
      <c r="B137" s="15">
        <v>133</v>
      </c>
      <c r="C137" s="15">
        <v>477</v>
      </c>
      <c r="D137" s="15" t="str">
        <f>VLOOKUP(C137,skill_list!$B$7:$C$1030,2)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1886</v>
      </c>
      <c r="R137" s="15"/>
      <c r="S137" s="15"/>
      <c r="T137" s="15"/>
      <c r="U137" s="1">
        <f t="shared" si="4"/>
        <v>5</v>
      </c>
      <c r="V137" t="b">
        <f t="shared" si="5"/>
        <v>1</v>
      </c>
    </row>
    <row r="138" spans="1:22">
      <c r="A138" s="8"/>
      <c r="B138" s="15">
        <v>134</v>
      </c>
      <c r="C138" s="15">
        <v>479</v>
      </c>
      <c r="D138" s="15" t="str">
        <f>VLOOKUP(C138,skill_list!$B$7:$C$1030,2)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1885</v>
      </c>
      <c r="R138" s="15"/>
      <c r="S138" s="15"/>
      <c r="T138" s="15"/>
      <c r="U138" s="1">
        <f t="shared" si="4"/>
        <v>4</v>
      </c>
      <c r="V138" t="b">
        <f t="shared" si="5"/>
        <v>1</v>
      </c>
    </row>
    <row r="139" spans="1:22">
      <c r="A139" s="8"/>
      <c r="B139" s="15">
        <v>135</v>
      </c>
      <c r="C139" s="15">
        <v>481</v>
      </c>
      <c r="D139" s="15" t="str">
        <f>VLOOKUP(C139,skill_list!$B$7:$C$1030,2)</f>
        <v>華麗なるファントム・シーフ</v>
      </c>
      <c r="E139" s="11"/>
      <c r="F139" s="15">
        <v>2</v>
      </c>
      <c r="G139" s="15">
        <v>1</v>
      </c>
      <c r="H139" s="15">
        <v>0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30</v>
      </c>
      <c r="P139" s="14">
        <v>1</v>
      </c>
      <c r="Q139" s="11"/>
      <c r="R139" s="15"/>
      <c r="S139" s="15"/>
      <c r="T139" s="15"/>
      <c r="U139" s="1">
        <f t="shared" ref="U139:U141" si="6">LEN(Q139) - LEN(SUBSTITUTE(Q139, ",", "")) + 1</f>
        <v>1</v>
      </c>
      <c r="V139" t="b">
        <f t="shared" ref="V139:V141" si="7">L139=U139</f>
        <v>0</v>
      </c>
    </row>
    <row r="140" spans="1:22">
      <c r="A140" s="8"/>
      <c r="B140" s="15">
        <v>136</v>
      </c>
      <c r="C140" s="15">
        <v>487</v>
      </c>
      <c r="D140" s="15" t="str">
        <f>VLOOKUP(C140,skill_list!$B$7:$C$1030,2)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  <c r="U140" s="1">
        <f t="shared" si="6"/>
        <v>1</v>
      </c>
      <c r="V140" t="b">
        <f t="shared" si="7"/>
        <v>0</v>
      </c>
    </row>
    <row r="141" spans="1:22">
      <c r="A141" s="8"/>
      <c r="B141" s="15">
        <v>137</v>
      </c>
      <c r="C141" s="15">
        <v>491</v>
      </c>
      <c r="D141" s="15" t="str">
        <f>VLOOKUP(C141,skill_list!$B$7:$C$1030,2)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1884</v>
      </c>
      <c r="R141" s="15"/>
      <c r="S141" s="15"/>
      <c r="T141" s="15"/>
      <c r="U141" s="1">
        <f t="shared" si="6"/>
        <v>3</v>
      </c>
      <c r="V141" t="b">
        <f t="shared" si="7"/>
        <v>1</v>
      </c>
    </row>
    <row r="142" spans="1:22">
      <c r="A142" s="8"/>
      <c r="B142" s="15">
        <v>138</v>
      </c>
      <c r="C142" s="15">
        <v>492</v>
      </c>
      <c r="D142" s="15" t="str">
        <f>VLOOKUP(C142,skill_list!$B$7:$C$1030,2)</f>
        <v>蒼焔ノ迷宮</v>
      </c>
      <c r="E142" s="14"/>
      <c r="F142" s="14">
        <v>1</v>
      </c>
      <c r="G142" s="14">
        <v>2</v>
      </c>
      <c r="H142" s="14">
        <v>0</v>
      </c>
      <c r="I142" s="15">
        <v>2</v>
      </c>
      <c r="J142" s="15">
        <v>2175</v>
      </c>
      <c r="K142" s="15">
        <v>10875</v>
      </c>
      <c r="L142" s="14">
        <v>5</v>
      </c>
      <c r="M142" s="14">
        <v>3</v>
      </c>
      <c r="N142" s="14">
        <v>50</v>
      </c>
      <c r="O142" s="14">
        <v>0</v>
      </c>
      <c r="P142" s="14">
        <v>2</v>
      </c>
      <c r="Q142" s="11" t="s">
        <v>2036</v>
      </c>
      <c r="R142" s="14"/>
      <c r="S142" s="14"/>
      <c r="T142" s="14"/>
      <c r="U142" s="1">
        <f t="shared" ref="U142:U152" si="8">LEN(Q142) - LEN(SUBSTITUTE(Q142, ",", "")) + 1</f>
        <v>5</v>
      </c>
      <c r="V142" t="b">
        <f t="shared" ref="V142:V152" si="9">L142=U142</f>
        <v>1</v>
      </c>
    </row>
    <row r="143" spans="1:22">
      <c r="A143" s="8"/>
      <c r="B143" s="15">
        <v>139</v>
      </c>
      <c r="C143" s="15">
        <v>492</v>
      </c>
      <c r="D143" s="15" t="str">
        <f>VLOOKUP(C143,skill_list!$B$7:$C$1030,2)</f>
        <v>蒼焔ノ迷宮</v>
      </c>
      <c r="E143" s="11" t="s">
        <v>1645</v>
      </c>
      <c r="F143" s="14">
        <v>1</v>
      </c>
      <c r="G143" s="14">
        <v>2</v>
      </c>
      <c r="H143" s="14">
        <v>0</v>
      </c>
      <c r="I143" s="15">
        <v>2</v>
      </c>
      <c r="J143" s="15">
        <v>2175</v>
      </c>
      <c r="K143" s="15">
        <v>10875</v>
      </c>
      <c r="L143" s="14">
        <v>5</v>
      </c>
      <c r="M143" s="14">
        <v>3</v>
      </c>
      <c r="N143" s="14">
        <v>50</v>
      </c>
      <c r="O143" s="14">
        <v>0</v>
      </c>
      <c r="P143" s="14">
        <v>2</v>
      </c>
      <c r="Q143" s="11" t="s">
        <v>2036</v>
      </c>
      <c r="R143" s="14"/>
      <c r="S143" s="14"/>
      <c r="T143" s="14"/>
      <c r="U143" s="1">
        <f t="shared" si="8"/>
        <v>5</v>
      </c>
      <c r="V143" t="b">
        <f t="shared" si="9"/>
        <v>1</v>
      </c>
    </row>
    <row r="144" spans="1:22">
      <c r="A144" s="8"/>
      <c r="B144" s="15">
        <v>140</v>
      </c>
      <c r="C144" s="15">
        <v>493</v>
      </c>
      <c r="D144" s="15" t="str">
        <f>VLOOKUP(C144,skill_list!$B$7:$C$1030,2)</f>
        <v>蒼焔ノ螺旋</v>
      </c>
      <c r="E144" s="14"/>
      <c r="F144" s="14">
        <v>1</v>
      </c>
      <c r="G144" s="14">
        <v>2</v>
      </c>
      <c r="H144" s="14">
        <v>0</v>
      </c>
      <c r="I144" s="15">
        <v>2</v>
      </c>
      <c r="J144" s="15">
        <v>1790</v>
      </c>
      <c r="K144" s="24">
        <v>8951</v>
      </c>
      <c r="L144" s="14">
        <v>10</v>
      </c>
      <c r="M144" s="14">
        <v>16.2</v>
      </c>
      <c r="N144" s="14">
        <v>0</v>
      </c>
      <c r="O144" s="14">
        <v>0</v>
      </c>
      <c r="P144" s="14">
        <v>2</v>
      </c>
      <c r="Q144" s="11" t="s">
        <v>1892</v>
      </c>
      <c r="R144" s="14"/>
      <c r="S144" s="14"/>
      <c r="T144" s="14"/>
      <c r="U144" s="1">
        <f t="shared" si="8"/>
        <v>10</v>
      </c>
      <c r="V144" t="b">
        <f t="shared" si="9"/>
        <v>1</v>
      </c>
    </row>
    <row r="145" spans="1:22">
      <c r="A145" s="8"/>
      <c r="B145" s="15">
        <v>141</v>
      </c>
      <c r="C145" s="15">
        <v>495</v>
      </c>
      <c r="D145" s="15" t="str">
        <f>VLOOKUP(C145,skill_list!$B$7:$C$1030,2)</f>
        <v>レッドラウンドイリュージョン</v>
      </c>
      <c r="E145" s="14"/>
      <c r="F145" s="14">
        <v>0</v>
      </c>
      <c r="G145" s="14">
        <v>1</v>
      </c>
      <c r="H145" s="14">
        <v>2</v>
      </c>
      <c r="I145" s="15">
        <v>1</v>
      </c>
      <c r="J145" s="14">
        <v>1350</v>
      </c>
      <c r="K145" s="14">
        <v>6750</v>
      </c>
      <c r="L145" s="14">
        <v>6</v>
      </c>
      <c r="M145" s="14">
        <v>15</v>
      </c>
      <c r="N145" s="14">
        <v>0</v>
      </c>
      <c r="O145" s="14">
        <v>0</v>
      </c>
      <c r="P145" s="14">
        <v>1</v>
      </c>
      <c r="Q145" s="11" t="s">
        <v>1912</v>
      </c>
      <c r="R145" s="14"/>
      <c r="S145" s="14"/>
      <c r="T145" s="14"/>
      <c r="U145" s="1">
        <f t="shared" si="8"/>
        <v>6</v>
      </c>
      <c r="V145" t="b">
        <f t="shared" si="9"/>
        <v>1</v>
      </c>
    </row>
    <row r="146" spans="1:22">
      <c r="A146" s="8"/>
      <c r="B146" s="15">
        <v>142</v>
      </c>
      <c r="C146" s="15">
        <v>497</v>
      </c>
      <c r="D146" s="15" t="str">
        <f>VLOOKUP(C146,skill_list!$B$7:$C$1030,2)</f>
        <v>浮き浮きサニー・ボマー</v>
      </c>
      <c r="E146" s="14"/>
      <c r="F146" s="14">
        <v>1</v>
      </c>
      <c r="G146" s="14">
        <v>2</v>
      </c>
      <c r="H146" s="14">
        <v>0</v>
      </c>
      <c r="I146" s="15">
        <v>1</v>
      </c>
      <c r="J146" s="14">
        <v>2673</v>
      </c>
      <c r="K146" s="14">
        <v>13365</v>
      </c>
      <c r="L146" s="14">
        <v>6</v>
      </c>
      <c r="M146" s="14">
        <v>3.625</v>
      </c>
      <c r="N146" s="14">
        <v>50</v>
      </c>
      <c r="O146" s="14">
        <v>0</v>
      </c>
      <c r="P146" s="14">
        <v>1</v>
      </c>
      <c r="Q146" s="11" t="s">
        <v>1912</v>
      </c>
      <c r="R146" s="14"/>
      <c r="S146" s="14"/>
      <c r="T146" s="14"/>
      <c r="U146" s="1">
        <f t="shared" si="8"/>
        <v>6</v>
      </c>
      <c r="V146" t="b">
        <f t="shared" si="9"/>
        <v>1</v>
      </c>
    </row>
    <row r="147" spans="1:22">
      <c r="A147" s="8"/>
      <c r="B147" s="15">
        <v>143</v>
      </c>
      <c r="C147" s="15">
        <v>497</v>
      </c>
      <c r="D147" s="15" t="str">
        <f>VLOOKUP(C147,skill_list!$B$7:$C$1030,2)</f>
        <v>浮き浮きサニー・ボマー</v>
      </c>
      <c r="E147" s="14" t="s">
        <v>2057</v>
      </c>
      <c r="F147" s="14">
        <v>1</v>
      </c>
      <c r="G147" s="14">
        <v>2</v>
      </c>
      <c r="H147" s="14">
        <v>0</v>
      </c>
      <c r="I147" s="15">
        <v>1</v>
      </c>
      <c r="J147" s="14">
        <v>2673</v>
      </c>
      <c r="K147" s="14">
        <v>13365</v>
      </c>
      <c r="L147" s="14">
        <v>6</v>
      </c>
      <c r="M147" s="14">
        <v>3.625</v>
      </c>
      <c r="N147" s="14">
        <v>50</v>
      </c>
      <c r="O147" s="14">
        <v>0</v>
      </c>
      <c r="P147" s="14">
        <v>1</v>
      </c>
      <c r="Q147" s="11" t="s">
        <v>1912</v>
      </c>
      <c r="R147" s="14"/>
      <c r="S147" s="14"/>
      <c r="T147" s="14"/>
      <c r="U147" s="1">
        <f t="shared" si="8"/>
        <v>6</v>
      </c>
      <c r="V147" t="b">
        <f t="shared" si="9"/>
        <v>1</v>
      </c>
    </row>
    <row r="148" spans="1:22">
      <c r="A148" s="8"/>
      <c r="B148" s="15">
        <v>144</v>
      </c>
      <c r="C148" s="14">
        <v>501</v>
      </c>
      <c r="D148" s="15" t="str">
        <f>VLOOKUP(C148,skill_list!$B$7:$C$1030,2)</f>
        <v>潮風ハイボルテージ</v>
      </c>
      <c r="E148" s="14"/>
      <c r="F148" s="14">
        <v>0</v>
      </c>
      <c r="G148" s="14">
        <v>1</v>
      </c>
      <c r="H148" s="14">
        <v>2</v>
      </c>
      <c r="I148" s="14">
        <v>3</v>
      </c>
      <c r="J148" s="14">
        <v>1671</v>
      </c>
      <c r="K148" s="14">
        <v>8355</v>
      </c>
      <c r="L148" s="14">
        <v>3</v>
      </c>
      <c r="M148" s="14">
        <v>2.6</v>
      </c>
      <c r="N148" s="14">
        <v>0</v>
      </c>
      <c r="O148" s="14">
        <v>0</v>
      </c>
      <c r="P148" s="14">
        <v>2</v>
      </c>
      <c r="Q148" s="14" t="s">
        <v>1884</v>
      </c>
      <c r="R148" s="14"/>
      <c r="S148" s="14"/>
      <c r="T148" s="14"/>
      <c r="U148" s="1">
        <f t="shared" si="8"/>
        <v>3</v>
      </c>
      <c r="V148" t="b">
        <f t="shared" si="9"/>
        <v>1</v>
      </c>
    </row>
    <row r="149" spans="1:22">
      <c r="A149" s="8"/>
      <c r="B149" s="15">
        <v>145</v>
      </c>
      <c r="C149" s="14">
        <v>503</v>
      </c>
      <c r="D149" s="15" t="str">
        <f>VLOOKUP(C149,skill_list!$B$7:$C$1030,2)</f>
        <v>フグリングクラッシュ</v>
      </c>
      <c r="E149" s="14"/>
      <c r="F149" s="14">
        <v>0</v>
      </c>
      <c r="G149" s="14">
        <v>1</v>
      </c>
      <c r="H149" s="14">
        <v>2</v>
      </c>
      <c r="I149" s="14">
        <v>5</v>
      </c>
      <c r="J149" s="14">
        <v>1239</v>
      </c>
      <c r="K149" s="14">
        <v>6195</v>
      </c>
      <c r="L149" s="14">
        <v>6</v>
      </c>
      <c r="M149" s="14">
        <v>2.2000000000000002</v>
      </c>
      <c r="N149" s="14">
        <v>0</v>
      </c>
      <c r="O149" s="14">
        <v>0</v>
      </c>
      <c r="P149" s="14">
        <v>2</v>
      </c>
      <c r="Q149" s="14" t="s">
        <v>2110</v>
      </c>
      <c r="R149" s="14"/>
      <c r="S149" s="14"/>
      <c r="T149" s="14"/>
      <c r="U149" s="1">
        <f t="shared" si="8"/>
        <v>6</v>
      </c>
      <c r="V149" t="b">
        <f t="shared" si="9"/>
        <v>1</v>
      </c>
    </row>
    <row r="150" spans="1:22">
      <c r="A150" s="8"/>
      <c r="B150" s="15">
        <v>146</v>
      </c>
      <c r="C150" s="14">
        <v>503</v>
      </c>
      <c r="D150" s="15" t="str">
        <f>VLOOKUP(C150,skill_list!$B$7:$C$1030,2)</f>
        <v>フグリングクラッシュ</v>
      </c>
      <c r="E150" s="14" t="s">
        <v>2111</v>
      </c>
      <c r="F150" s="14">
        <v>0</v>
      </c>
      <c r="G150" s="14">
        <v>1</v>
      </c>
      <c r="H150" s="14">
        <v>2</v>
      </c>
      <c r="I150" s="14">
        <v>5</v>
      </c>
      <c r="J150" s="14">
        <v>1239</v>
      </c>
      <c r="K150" s="14">
        <v>6195</v>
      </c>
      <c r="L150" s="14">
        <v>6</v>
      </c>
      <c r="M150" s="14">
        <v>17.600000000000001</v>
      </c>
      <c r="N150" s="14">
        <v>0</v>
      </c>
      <c r="O150" s="14">
        <v>0</v>
      </c>
      <c r="P150" s="14">
        <v>2</v>
      </c>
      <c r="Q150" s="14" t="s">
        <v>2110</v>
      </c>
      <c r="R150" s="14"/>
      <c r="S150" s="14"/>
      <c r="T150" s="14"/>
      <c r="U150" s="1">
        <f t="shared" ref="U150" si="10">LEN(Q150) - LEN(SUBSTITUTE(Q150, ",", "")) + 1</f>
        <v>6</v>
      </c>
      <c r="V150" t="b">
        <f t="shared" ref="V150" si="11">L150=U150</f>
        <v>1</v>
      </c>
    </row>
    <row r="151" spans="1:22">
      <c r="A151" s="8"/>
      <c r="B151" s="15">
        <v>147</v>
      </c>
      <c r="C151" s="14">
        <v>505</v>
      </c>
      <c r="D151" s="15" t="str">
        <f>VLOOKUP(C151,skill_list!$B$7:$C$1030,2)</f>
        <v>ブラッディ・ダンス+</v>
      </c>
      <c r="E151" s="14"/>
      <c r="F151" s="14">
        <v>0</v>
      </c>
      <c r="G151" s="14">
        <v>1</v>
      </c>
      <c r="H151" s="14">
        <v>2</v>
      </c>
      <c r="I151" s="14">
        <v>0</v>
      </c>
      <c r="J151" s="14">
        <v>2178</v>
      </c>
      <c r="K151" s="14">
        <v>10890</v>
      </c>
      <c r="L151" s="14">
        <v>10</v>
      </c>
      <c r="M151" s="14">
        <v>13</v>
      </c>
      <c r="N151" s="14">
        <v>0</v>
      </c>
      <c r="O151" s="14">
        <v>0</v>
      </c>
      <c r="P151" s="14">
        <v>1</v>
      </c>
      <c r="Q151" s="14"/>
      <c r="R151" s="14"/>
      <c r="S151" s="14"/>
      <c r="T151" s="14"/>
      <c r="U151" s="1">
        <f t="shared" si="8"/>
        <v>1</v>
      </c>
      <c r="V151" t="b">
        <f t="shared" si="9"/>
        <v>0</v>
      </c>
    </row>
    <row r="152" spans="1:22">
      <c r="A152" s="8"/>
      <c r="B152" s="15">
        <v>148</v>
      </c>
      <c r="C152" s="14">
        <v>506</v>
      </c>
      <c r="D152" s="15" t="str">
        <f>VLOOKUP(C152,skill_list!$B$7:$C$1030,2)</f>
        <v>滅殺影分身+</v>
      </c>
      <c r="E152" s="14"/>
      <c r="F152" s="14">
        <v>0</v>
      </c>
      <c r="G152" s="14">
        <v>1</v>
      </c>
      <c r="H152" s="14">
        <v>2</v>
      </c>
      <c r="I152" s="14">
        <v>0</v>
      </c>
      <c r="J152" s="14">
        <v>1914</v>
      </c>
      <c r="K152" s="14">
        <v>9570</v>
      </c>
      <c r="L152" s="14">
        <v>6</v>
      </c>
      <c r="M152" s="14">
        <v>16.8</v>
      </c>
      <c r="N152" s="14">
        <v>0</v>
      </c>
      <c r="O152" s="14">
        <v>0</v>
      </c>
      <c r="P152" s="14">
        <v>2</v>
      </c>
      <c r="Q152" s="14" t="s">
        <v>1912</v>
      </c>
      <c r="R152" s="14"/>
      <c r="S152" s="14"/>
      <c r="T152" s="14"/>
      <c r="U152" s="1">
        <f t="shared" si="8"/>
        <v>6</v>
      </c>
      <c r="V152" t="b">
        <f t="shared" si="9"/>
        <v>1</v>
      </c>
    </row>
    <row r="153" spans="1:22">
      <c r="A153" s="8"/>
      <c r="B153" s="15">
        <v>2001</v>
      </c>
      <c r="C153" s="15">
        <v>5</v>
      </c>
      <c r="D153" s="15" t="str">
        <f>VLOOKUP(C153,skill_list!$B$7:$C$1030,2)</f>
        <v>フルブレイカー</v>
      </c>
      <c r="E153" s="11"/>
      <c r="F153" s="15">
        <v>2</v>
      </c>
      <c r="G153" s="15">
        <v>1</v>
      </c>
      <c r="H153" s="15">
        <v>0</v>
      </c>
      <c r="I153" s="15">
        <v>0</v>
      </c>
      <c r="J153" s="15">
        <v>1350</v>
      </c>
      <c r="K153" s="15">
        <v>6750</v>
      </c>
      <c r="L153" s="15">
        <v>2</v>
      </c>
      <c r="M153" s="15">
        <v>2.5</v>
      </c>
      <c r="N153" s="15">
        <v>0</v>
      </c>
      <c r="O153" s="15">
        <v>30</v>
      </c>
      <c r="P153" s="14">
        <v>1</v>
      </c>
      <c r="Q153" s="11" t="s">
        <v>734</v>
      </c>
      <c r="R153" s="15"/>
      <c r="S153" s="15"/>
      <c r="T153" s="15"/>
    </row>
    <row r="154" spans="1:22">
      <c r="A154" s="8"/>
      <c r="B154" s="15">
        <v>2002</v>
      </c>
      <c r="C154" s="15">
        <v>243</v>
      </c>
      <c r="D154" s="15" t="str">
        <f>VLOOKUP(C154,skill_list!$B$7:$C$1030,2)</f>
        <v>銀蜂</v>
      </c>
      <c r="E154" s="11"/>
      <c r="F154" s="15">
        <v>1</v>
      </c>
      <c r="G154" s="15">
        <v>2</v>
      </c>
      <c r="H154" s="15">
        <v>0</v>
      </c>
      <c r="I154" s="15">
        <v>0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734</v>
      </c>
      <c r="R154" s="15"/>
      <c r="S154" s="15"/>
      <c r="T154" s="15"/>
    </row>
    <row r="155" spans="1:22">
      <c r="A155" s="8"/>
      <c r="B155" s="15">
        <v>2003</v>
      </c>
      <c r="C155" s="15">
        <v>369</v>
      </c>
      <c r="D155" s="15" t="str">
        <f>VLOOKUP(C155,skill_list!$B$7:$C$1030,2)</f>
        <v>プリズムアタック</v>
      </c>
      <c r="E155" s="11"/>
      <c r="F155" s="15">
        <v>0</v>
      </c>
      <c r="G155" s="15">
        <v>1</v>
      </c>
      <c r="H155" s="15">
        <v>2</v>
      </c>
      <c r="I155" s="15">
        <v>4</v>
      </c>
      <c r="J155" s="15">
        <v>1350</v>
      </c>
      <c r="K155" s="15">
        <v>6750</v>
      </c>
      <c r="L155" s="15">
        <v>4</v>
      </c>
      <c r="M155" s="15">
        <v>2.5</v>
      </c>
      <c r="N155" s="15">
        <v>0</v>
      </c>
      <c r="O155" s="15">
        <v>0</v>
      </c>
      <c r="P155" s="14">
        <v>1</v>
      </c>
      <c r="Q155" s="11" t="s">
        <v>734</v>
      </c>
      <c r="R155" s="15"/>
      <c r="S155" s="15"/>
      <c r="T155" s="15"/>
    </row>
    <row r="156" spans="1:22">
      <c r="A156" s="8"/>
      <c r="B156" s="15">
        <v>2004</v>
      </c>
      <c r="C156" s="15">
        <v>200</v>
      </c>
      <c r="D156" s="15" t="str">
        <f>VLOOKUP(C156,skill_list!$B$7:$C$1030,2)</f>
        <v>キラーショット</v>
      </c>
      <c r="E156" s="11"/>
      <c r="F156" s="15">
        <v>1</v>
      </c>
      <c r="G156" s="15">
        <v>2</v>
      </c>
      <c r="H156" s="15">
        <v>0</v>
      </c>
      <c r="I156" s="15">
        <v>0</v>
      </c>
      <c r="J156" s="15">
        <v>1350</v>
      </c>
      <c r="K156" s="15">
        <v>6750</v>
      </c>
      <c r="L156" s="15">
        <v>1</v>
      </c>
      <c r="M156" s="15">
        <v>2.5</v>
      </c>
      <c r="N156" s="15">
        <v>30</v>
      </c>
      <c r="O156" s="15">
        <v>0</v>
      </c>
      <c r="P156" s="14">
        <v>1</v>
      </c>
      <c r="Q156" s="11" t="s">
        <v>734</v>
      </c>
      <c r="R156" s="15"/>
      <c r="S156" s="15"/>
      <c r="T156" s="15"/>
    </row>
    <row r="157" spans="1:22">
      <c r="A157" s="8"/>
      <c r="B157" s="15">
        <v>2005</v>
      </c>
      <c r="C157" s="15">
        <v>57</v>
      </c>
      <c r="D157" s="15" t="str">
        <f>VLOOKUP(C157,skill_list!$B$7:$C$1030,2)</f>
        <v>レイジングクロー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1350</v>
      </c>
      <c r="K157" s="15">
        <v>6750</v>
      </c>
      <c r="L157" s="15">
        <v>5</v>
      </c>
      <c r="M157" s="15">
        <v>16.666</v>
      </c>
      <c r="N157" s="15">
        <v>0</v>
      </c>
      <c r="O157" s="15">
        <v>0</v>
      </c>
      <c r="P157" s="14">
        <v>1</v>
      </c>
      <c r="Q157" s="11" t="s">
        <v>734</v>
      </c>
      <c r="R157" s="15"/>
      <c r="S157" s="15"/>
      <c r="T157" s="15"/>
    </row>
    <row r="158" spans="1:22">
      <c r="A158" s="8"/>
      <c r="B158" s="15">
        <v>2006</v>
      </c>
      <c r="C158" s="15">
        <v>360</v>
      </c>
      <c r="D158" s="15" t="str">
        <f>VLOOKUP(C158,skill_list!$B$7:$C$1030,2)</f>
        <v>衝撃零度</v>
      </c>
      <c r="E158" s="11"/>
      <c r="F158" s="15">
        <v>0</v>
      </c>
      <c r="G158" s="15">
        <v>1</v>
      </c>
      <c r="H158" s="15">
        <v>2</v>
      </c>
      <c r="I158" s="15">
        <v>2</v>
      </c>
      <c r="J158" s="15">
        <v>1350</v>
      </c>
      <c r="K158" s="15">
        <v>6750</v>
      </c>
      <c r="L158" s="15">
        <v>1</v>
      </c>
      <c r="M158" s="15">
        <v>2.5</v>
      </c>
      <c r="N158" s="15">
        <v>0</v>
      </c>
      <c r="O158" s="15">
        <v>0</v>
      </c>
      <c r="P158" s="14">
        <v>1</v>
      </c>
      <c r="Q158" s="11" t="s">
        <v>734</v>
      </c>
      <c r="R158" s="15"/>
      <c r="S158" s="15"/>
      <c r="T158" s="15"/>
    </row>
    <row r="159" spans="1:22">
      <c r="A159" s="8"/>
      <c r="B159" s="15">
        <v>2007</v>
      </c>
      <c r="C159" s="15">
        <v>263</v>
      </c>
      <c r="D159" s="15" t="str">
        <f>VLOOKUP(C159,skill_list!$B$7:$C$1030,2)</f>
        <v>雷鳴</v>
      </c>
      <c r="E159" s="11"/>
      <c r="F159" s="15">
        <v>0</v>
      </c>
      <c r="G159" s="15">
        <v>1</v>
      </c>
      <c r="H159" s="15">
        <v>2</v>
      </c>
      <c r="I159" s="15">
        <v>3</v>
      </c>
      <c r="J159" s="15">
        <v>1350</v>
      </c>
      <c r="K159" s="15">
        <v>6750</v>
      </c>
      <c r="L159" s="15">
        <v>4</v>
      </c>
      <c r="M159" s="15">
        <v>10</v>
      </c>
      <c r="N159" s="15">
        <v>0</v>
      </c>
      <c r="O159" s="15">
        <v>0</v>
      </c>
      <c r="P159" s="14">
        <v>1</v>
      </c>
      <c r="Q159" s="11" t="s">
        <v>734</v>
      </c>
      <c r="R159" s="15"/>
      <c r="S159" s="15"/>
      <c r="T159" s="15"/>
    </row>
    <row r="160" spans="1:22">
      <c r="A160" s="8"/>
      <c r="B160" s="15">
        <v>2008</v>
      </c>
      <c r="C160" s="15">
        <v>237</v>
      </c>
      <c r="D160" s="15" t="str">
        <f>VLOOKUP(C160,skill_list!$B$7:$C$1030,2)</f>
        <v>滾る激情</v>
      </c>
      <c r="E160" s="11"/>
      <c r="F160" s="15">
        <v>0</v>
      </c>
      <c r="G160" s="15">
        <v>1</v>
      </c>
      <c r="H160" s="15">
        <v>2</v>
      </c>
      <c r="I160" s="15">
        <v>1</v>
      </c>
      <c r="J160" s="15">
        <v>1350</v>
      </c>
      <c r="K160" s="15">
        <v>6750</v>
      </c>
      <c r="L160" s="15">
        <v>3</v>
      </c>
      <c r="M160" s="15">
        <v>2.5</v>
      </c>
      <c r="N160" s="15">
        <v>0</v>
      </c>
      <c r="O160" s="15">
        <v>0</v>
      </c>
      <c r="P160" s="14">
        <v>1</v>
      </c>
      <c r="Q160" s="11" t="s">
        <v>734</v>
      </c>
      <c r="R160" s="15"/>
      <c r="S160" s="15"/>
      <c r="T160" s="15"/>
    </row>
    <row r="161" spans="1:20">
      <c r="A161" s="8"/>
      <c r="B161" s="15">
        <v>2009</v>
      </c>
      <c r="C161" s="15">
        <v>280</v>
      </c>
      <c r="D161" s="15" t="str">
        <f>VLOOKUP(C161,skill_list!$B$7:$C$1030,2)</f>
        <v>パワークラッシュ</v>
      </c>
      <c r="E161" s="11"/>
      <c r="F161" s="15">
        <v>1</v>
      </c>
      <c r="G161" s="15">
        <v>2</v>
      </c>
      <c r="H161" s="15">
        <v>0</v>
      </c>
      <c r="I161" s="15">
        <v>0</v>
      </c>
      <c r="J161" s="15">
        <v>1350</v>
      </c>
      <c r="K161" s="15">
        <v>6750</v>
      </c>
      <c r="L161" s="15">
        <v>2</v>
      </c>
      <c r="M161" s="15">
        <v>2.5</v>
      </c>
      <c r="N161" s="15">
        <v>30</v>
      </c>
      <c r="O161" s="15">
        <v>0</v>
      </c>
      <c r="P161" s="14">
        <v>1</v>
      </c>
      <c r="Q161" s="11" t="s">
        <v>734</v>
      </c>
      <c r="R161" s="15"/>
      <c r="S161" s="15"/>
      <c r="T161" s="15"/>
    </row>
    <row r="162" spans="1:20">
      <c r="A162" s="8"/>
      <c r="B162" s="15">
        <v>2010</v>
      </c>
      <c r="C162" s="15">
        <v>391</v>
      </c>
      <c r="D162" s="15" t="str">
        <f>VLOOKUP(C162,skill_list!$B$7:$C$1030,2)</f>
        <v>露わな鋒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1350</v>
      </c>
      <c r="K162" s="15">
        <v>6750</v>
      </c>
      <c r="L162" s="15">
        <v>4</v>
      </c>
      <c r="M162" s="15">
        <v>2.5</v>
      </c>
      <c r="N162" s="15">
        <v>0</v>
      </c>
      <c r="O162" s="15">
        <v>0</v>
      </c>
      <c r="P162" s="14">
        <v>1</v>
      </c>
      <c r="Q162" s="11" t="s">
        <v>734</v>
      </c>
      <c r="R162" s="15"/>
      <c r="S162" s="15"/>
      <c r="T162" s="15"/>
    </row>
    <row r="163" spans="1:20">
      <c r="A163" s="8"/>
      <c r="B163" s="15">
        <v>2011</v>
      </c>
      <c r="C163" s="15">
        <v>393</v>
      </c>
      <c r="D163" s="15" t="str">
        <f>VLOOKUP(C163,skill_list!$B$7:$C$1030,2)</f>
        <v>生存の業</v>
      </c>
      <c r="E163" s="11"/>
      <c r="F163" s="15">
        <v>0</v>
      </c>
      <c r="G163" s="15">
        <v>1</v>
      </c>
      <c r="H163" s="15">
        <v>2</v>
      </c>
      <c r="I163" s="15">
        <v>1</v>
      </c>
      <c r="J163" s="15">
        <v>1350</v>
      </c>
      <c r="K163" s="15">
        <v>6750</v>
      </c>
      <c r="L163" s="15">
        <v>3</v>
      </c>
      <c r="M163" s="15">
        <v>2.5</v>
      </c>
      <c r="N163" s="15">
        <v>0</v>
      </c>
      <c r="O163" s="15">
        <v>0</v>
      </c>
      <c r="P163" s="14">
        <v>1</v>
      </c>
      <c r="Q163" s="11" t="s">
        <v>734</v>
      </c>
      <c r="R163" s="15"/>
      <c r="S163" s="15"/>
      <c r="T163" s="15"/>
    </row>
    <row r="164" spans="1:20">
      <c r="A164" s="8"/>
      <c r="B164" s="15">
        <v>2012</v>
      </c>
      <c r="C164" s="15">
        <v>382</v>
      </c>
      <c r="D164" s="15" t="str">
        <f>VLOOKUP(C164,skill_list!$B$7:$C$1030,2)</f>
        <v>エキゾーストノート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1350</v>
      </c>
      <c r="K164" s="15">
        <v>6750</v>
      </c>
      <c r="L164" s="15">
        <v>1</v>
      </c>
      <c r="M164" s="15">
        <v>2.5</v>
      </c>
      <c r="N164" s="15">
        <v>0</v>
      </c>
      <c r="O164" s="15">
        <v>0</v>
      </c>
      <c r="P164" s="14">
        <v>1</v>
      </c>
      <c r="Q164" s="11" t="s">
        <v>734</v>
      </c>
      <c r="R164" s="15"/>
      <c r="S164" s="15"/>
      <c r="T164" s="15"/>
    </row>
    <row r="165" spans="1:20">
      <c r="A165" s="8"/>
      <c r="B165" s="15">
        <v>2013</v>
      </c>
      <c r="C165" s="15">
        <v>261</v>
      </c>
      <c r="D165" s="15" t="str">
        <f>VLOOKUP(C165,skill_list!$B$7:$C$1030,2)</f>
        <v>疾黒破弾</v>
      </c>
      <c r="E165" s="11"/>
      <c r="F165" s="15">
        <v>1</v>
      </c>
      <c r="G165" s="15">
        <v>2</v>
      </c>
      <c r="H165" s="15">
        <v>0</v>
      </c>
      <c r="I165" s="15">
        <v>5</v>
      </c>
      <c r="J165" s="15">
        <v>1350</v>
      </c>
      <c r="K165" s="15">
        <v>6750</v>
      </c>
      <c r="L165" s="15">
        <v>3</v>
      </c>
      <c r="M165" s="15">
        <v>2.5</v>
      </c>
      <c r="N165" s="15">
        <v>30</v>
      </c>
      <c r="O165" s="15">
        <v>0</v>
      </c>
      <c r="P165" s="14">
        <v>1</v>
      </c>
      <c r="Q165" s="11" t="s">
        <v>734</v>
      </c>
      <c r="R165" s="15"/>
      <c r="S165" s="15"/>
      <c r="T165" s="15"/>
    </row>
    <row r="166" spans="1:20">
      <c r="A166" s="8"/>
      <c r="B166" s="15">
        <v>2014</v>
      </c>
      <c r="C166" s="15">
        <v>315</v>
      </c>
      <c r="D166" s="15" t="str">
        <f>VLOOKUP(C166,skill_list!$B$7:$C$1030,2)</f>
        <v>バーストファイア</v>
      </c>
      <c r="E166" s="11"/>
      <c r="F166" s="15">
        <v>0</v>
      </c>
      <c r="G166" s="15">
        <v>1</v>
      </c>
      <c r="H166" s="15">
        <v>2</v>
      </c>
      <c r="I166" s="15">
        <v>1</v>
      </c>
      <c r="J166" s="15">
        <v>1350</v>
      </c>
      <c r="K166" s="15">
        <v>6750</v>
      </c>
      <c r="L166" s="15">
        <v>1</v>
      </c>
      <c r="M166" s="15">
        <v>10</v>
      </c>
      <c r="N166" s="15">
        <v>0</v>
      </c>
      <c r="O166" s="15">
        <v>0</v>
      </c>
      <c r="P166" s="14">
        <v>1</v>
      </c>
      <c r="Q166" s="11" t="s">
        <v>734</v>
      </c>
      <c r="R166" s="15"/>
      <c r="S166" s="15"/>
      <c r="T166" s="15"/>
    </row>
    <row r="167" spans="1:20">
      <c r="A167" s="8"/>
      <c r="B167" s="15">
        <v>2015</v>
      </c>
      <c r="C167" s="15">
        <v>440</v>
      </c>
      <c r="D167" s="15" t="str">
        <f>VLOOKUP(C167,skill_list!$B$7:$C$1030,2)</f>
        <v>フロストソーン</v>
      </c>
      <c r="E167" s="11"/>
      <c r="F167" s="15">
        <v>2</v>
      </c>
      <c r="G167" s="15">
        <v>1</v>
      </c>
      <c r="H167" s="15">
        <v>0</v>
      </c>
      <c r="I167" s="15">
        <v>2</v>
      </c>
      <c r="J167" s="15">
        <v>1350</v>
      </c>
      <c r="K167" s="15">
        <v>6750</v>
      </c>
      <c r="L167" s="15">
        <v>1</v>
      </c>
      <c r="M167" s="15">
        <v>2.5</v>
      </c>
      <c r="N167" s="15">
        <v>0</v>
      </c>
      <c r="O167" s="15">
        <v>30</v>
      </c>
      <c r="P167" s="14">
        <v>1</v>
      </c>
      <c r="Q167" s="11" t="s">
        <v>734</v>
      </c>
      <c r="R167" s="15"/>
      <c r="S167" s="15"/>
      <c r="T167" s="15"/>
    </row>
    <row r="168" spans="1:20">
      <c r="A168" s="8"/>
      <c r="B168" s="15">
        <v>2016</v>
      </c>
      <c r="C168" s="15">
        <v>441</v>
      </c>
      <c r="D168" s="15" t="str">
        <f>VLOOKUP(C168,skill_list!$B$7:$C$1030,2)</f>
        <v>コールドバレット</v>
      </c>
      <c r="E168" s="11"/>
      <c r="F168" s="15">
        <v>0</v>
      </c>
      <c r="G168" s="15">
        <v>1</v>
      </c>
      <c r="H168" s="15">
        <v>2</v>
      </c>
      <c r="I168" s="15">
        <v>2</v>
      </c>
      <c r="J168" s="15">
        <v>1350</v>
      </c>
      <c r="K168" s="15">
        <v>6750</v>
      </c>
      <c r="L168" s="15">
        <v>1</v>
      </c>
      <c r="M168" s="15">
        <v>10</v>
      </c>
      <c r="N168" s="15">
        <v>0</v>
      </c>
      <c r="O168" s="15">
        <v>0</v>
      </c>
      <c r="P168" s="14">
        <v>1</v>
      </c>
      <c r="Q168" s="11" t="s">
        <v>734</v>
      </c>
      <c r="R168" s="15"/>
      <c r="S168" s="15"/>
      <c r="T168" s="15"/>
    </row>
    <row r="169" spans="1:20">
      <c r="A169" s="8"/>
      <c r="B169" s="15">
        <v>2017</v>
      </c>
      <c r="C169" s="15">
        <v>334</v>
      </c>
      <c r="D169" s="15" t="str">
        <f>VLOOKUP(C169,skill_list!$B$7:$C$1030,2)</f>
        <v>バラ撒き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1239</v>
      </c>
      <c r="K169" s="15">
        <v>6195</v>
      </c>
      <c r="L169" s="15">
        <v>3</v>
      </c>
      <c r="M169" s="15">
        <v>2.2000000000000002</v>
      </c>
      <c r="N169" s="15">
        <v>0</v>
      </c>
      <c r="O169" s="15">
        <v>0</v>
      </c>
      <c r="P169" s="14">
        <v>2</v>
      </c>
      <c r="Q169" s="11" t="s">
        <v>734</v>
      </c>
      <c r="R169" s="15"/>
      <c r="S169" s="15"/>
      <c r="T169" s="15"/>
    </row>
    <row r="170" spans="1:20">
      <c r="A170" s="8"/>
      <c r="B170" s="15">
        <v>2018</v>
      </c>
      <c r="C170" s="15">
        <v>137</v>
      </c>
      <c r="D170" s="15" t="str">
        <f>VLOOKUP(C170,skill_list!$B$7:$C$1030,2)</f>
        <v>サイクロンブレード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1239</v>
      </c>
      <c r="K170" s="15">
        <v>6195</v>
      </c>
      <c r="L170" s="15">
        <v>1</v>
      </c>
      <c r="M170" s="15">
        <v>2.2000000000000002</v>
      </c>
      <c r="N170" s="15">
        <v>0</v>
      </c>
      <c r="O170" s="15">
        <v>0</v>
      </c>
      <c r="P170" s="14">
        <v>2</v>
      </c>
      <c r="Q170" s="11" t="s">
        <v>734</v>
      </c>
      <c r="R170" s="15"/>
      <c r="S170" s="15"/>
      <c r="T170" s="15"/>
    </row>
    <row r="171" spans="1:20">
      <c r="A171" s="8"/>
      <c r="B171" s="15">
        <v>2019</v>
      </c>
      <c r="C171" s="15">
        <v>298</v>
      </c>
      <c r="D171" s="15" t="str">
        <f>VLOOKUP(C171,skill_list!$B$7:$C$1030,2)</f>
        <v>パニッシャー</v>
      </c>
      <c r="E171" s="11"/>
      <c r="F171" s="15">
        <v>1</v>
      </c>
      <c r="G171" s="15">
        <v>2</v>
      </c>
      <c r="H171" s="15">
        <v>0</v>
      </c>
      <c r="I171" s="15">
        <v>0</v>
      </c>
      <c r="J171" s="15">
        <v>1233</v>
      </c>
      <c r="K171" s="15">
        <v>6165</v>
      </c>
      <c r="L171" s="15">
        <v>4</v>
      </c>
      <c r="M171" s="15">
        <v>2.375</v>
      </c>
      <c r="N171" s="15">
        <v>30</v>
      </c>
      <c r="O171" s="15">
        <v>0</v>
      </c>
      <c r="P171" s="14">
        <v>1</v>
      </c>
      <c r="Q171" s="11" t="s">
        <v>734</v>
      </c>
      <c r="R171" s="15"/>
      <c r="S171" s="15"/>
      <c r="T171" s="15"/>
    </row>
    <row r="172" spans="1:20">
      <c r="A172" s="8"/>
      <c r="B172" s="15">
        <v>2020</v>
      </c>
      <c r="C172" s="15">
        <v>385</v>
      </c>
      <c r="D172" s="15" t="str">
        <f>VLOOKUP(C172,skill_list!$B$7:$C$1030,2)</f>
        <v>乙女の輝き</v>
      </c>
      <c r="E172" s="11"/>
      <c r="F172" s="15">
        <v>2</v>
      </c>
      <c r="G172" s="15">
        <v>1</v>
      </c>
      <c r="H172" s="15">
        <v>0</v>
      </c>
      <c r="I172" s="15">
        <v>4</v>
      </c>
      <c r="J172" s="15">
        <v>1122</v>
      </c>
      <c r="K172" s="15">
        <v>5610</v>
      </c>
      <c r="L172" s="15">
        <v>3</v>
      </c>
      <c r="M172" s="15">
        <v>2.25</v>
      </c>
      <c r="N172" s="15">
        <v>0</v>
      </c>
      <c r="O172" s="15">
        <v>30</v>
      </c>
      <c r="P172" s="14">
        <v>1</v>
      </c>
      <c r="Q172" s="11" t="s">
        <v>734</v>
      </c>
      <c r="R172" s="15"/>
      <c r="S172" s="15"/>
      <c r="T172" s="15"/>
    </row>
    <row r="173" spans="1:20">
      <c r="A173" s="8"/>
      <c r="B173" s="15">
        <v>2021</v>
      </c>
      <c r="C173" s="15">
        <v>205</v>
      </c>
      <c r="D173" s="15" t="str">
        <f>VLOOKUP(C173,skill_list!$B$7:$C$1030,2)</f>
        <v>狂乱舞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1122</v>
      </c>
      <c r="K173" s="15">
        <v>5610</v>
      </c>
      <c r="L173" s="15">
        <v>4</v>
      </c>
      <c r="M173" s="15">
        <v>9</v>
      </c>
      <c r="N173" s="15">
        <v>0</v>
      </c>
      <c r="O173" s="15">
        <v>0</v>
      </c>
      <c r="P173" s="14">
        <v>1</v>
      </c>
      <c r="Q173" s="11" t="s">
        <v>734</v>
      </c>
      <c r="R173" s="15"/>
      <c r="S173" s="15"/>
      <c r="T173" s="15"/>
    </row>
    <row r="174" spans="1:20">
      <c r="A174" s="8"/>
      <c r="B174" s="15">
        <v>2022</v>
      </c>
      <c r="C174" s="15">
        <v>219</v>
      </c>
      <c r="D174" s="15" t="str">
        <f>VLOOKUP(C174,skill_list!$B$7:$C$1030,2)</f>
        <v>夢十夜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1122</v>
      </c>
      <c r="K174" s="15">
        <v>5610</v>
      </c>
      <c r="L174" s="15">
        <v>4</v>
      </c>
      <c r="M174" s="15">
        <v>9</v>
      </c>
      <c r="N174" s="15">
        <v>0</v>
      </c>
      <c r="O174" s="15">
        <v>0</v>
      </c>
      <c r="P174" s="14">
        <v>1</v>
      </c>
      <c r="Q174" s="11" t="s">
        <v>734</v>
      </c>
      <c r="R174" s="15"/>
      <c r="S174" s="15"/>
      <c r="T174" s="15"/>
    </row>
    <row r="175" spans="1:20">
      <c r="A175" s="8"/>
      <c r="B175" s="15">
        <v>2023</v>
      </c>
      <c r="C175" s="15">
        <v>389</v>
      </c>
      <c r="D175" s="15" t="str">
        <f>VLOOKUP(C175,skill_list!$B$7:$C$1030,2)</f>
        <v>誘掖の途</v>
      </c>
      <c r="E175" s="11"/>
      <c r="F175" s="15">
        <v>0</v>
      </c>
      <c r="G175" s="15">
        <v>1</v>
      </c>
      <c r="H175" s="15">
        <v>2</v>
      </c>
      <c r="I175" s="15">
        <v>4</v>
      </c>
      <c r="J175" s="15">
        <v>1122</v>
      </c>
      <c r="K175" s="15">
        <v>5610</v>
      </c>
      <c r="L175" s="15">
        <v>4</v>
      </c>
      <c r="M175" s="15">
        <v>9</v>
      </c>
      <c r="N175" s="15">
        <v>0</v>
      </c>
      <c r="O175" s="15">
        <v>0</v>
      </c>
      <c r="P175" s="14">
        <v>1</v>
      </c>
      <c r="Q175" s="11" t="s">
        <v>734</v>
      </c>
      <c r="R175" s="15"/>
      <c r="S175" s="15"/>
      <c r="T175" s="15"/>
    </row>
    <row r="176" spans="1:20">
      <c r="A176" s="8"/>
      <c r="B176" s="15">
        <v>2024</v>
      </c>
      <c r="C176" s="15">
        <v>377</v>
      </c>
      <c r="D176" s="15" t="str">
        <f>VLOOKUP(C176,skill_list!$B$7:$C$1030,2)</f>
        <v>主君の努め</v>
      </c>
      <c r="E176" s="11"/>
      <c r="F176" s="15">
        <v>2</v>
      </c>
      <c r="G176" s="15">
        <v>1</v>
      </c>
      <c r="H176" s="15">
        <v>0</v>
      </c>
      <c r="I176" s="15">
        <v>0</v>
      </c>
      <c r="J176" s="15">
        <v>1122</v>
      </c>
      <c r="K176" s="15">
        <v>5610</v>
      </c>
      <c r="L176" s="15">
        <v>3</v>
      </c>
      <c r="M176" s="15">
        <v>2.25</v>
      </c>
      <c r="N176" s="15">
        <v>0</v>
      </c>
      <c r="O176" s="15">
        <v>30</v>
      </c>
      <c r="P176" s="14">
        <v>1</v>
      </c>
      <c r="Q176" s="11" t="s">
        <v>734</v>
      </c>
      <c r="R176" s="15"/>
      <c r="S176" s="15"/>
      <c r="T176" s="15"/>
    </row>
    <row r="177" spans="1:20">
      <c r="A177" s="8"/>
      <c r="B177" s="15">
        <v>2025</v>
      </c>
      <c r="C177" s="15">
        <v>354</v>
      </c>
      <c r="D177" s="15" t="str">
        <f>VLOOKUP(C177,skill_list!$B$7:$C$1030,2)</f>
        <v>狼狽プーリァ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1122</v>
      </c>
      <c r="K177" s="15">
        <v>5610</v>
      </c>
      <c r="L177" s="15">
        <v>3</v>
      </c>
      <c r="M177" s="15">
        <v>2.25</v>
      </c>
      <c r="N177" s="15">
        <v>0</v>
      </c>
      <c r="O177" s="15">
        <v>0</v>
      </c>
      <c r="P177" s="14">
        <v>1</v>
      </c>
      <c r="Q177" s="11" t="s">
        <v>734</v>
      </c>
      <c r="R177" s="15"/>
      <c r="S177" s="15"/>
      <c r="T177" s="15"/>
    </row>
    <row r="178" spans="1:20">
      <c r="A178" s="8"/>
      <c r="B178" s="15">
        <v>2026</v>
      </c>
      <c r="C178" s="15">
        <v>446</v>
      </c>
      <c r="D178" s="15" t="str">
        <f>VLOOKUP(C178,skill_list!$B$7:$C$1030,2)</f>
        <v>コールドクラッシュ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1122</v>
      </c>
      <c r="K178" s="15">
        <v>5610</v>
      </c>
      <c r="L178" s="15">
        <v>2</v>
      </c>
      <c r="M178" s="15">
        <v>2.25</v>
      </c>
      <c r="N178" s="15">
        <v>0</v>
      </c>
      <c r="O178" s="15">
        <v>0</v>
      </c>
      <c r="P178" s="14">
        <v>1</v>
      </c>
      <c r="Q178" s="11" t="s">
        <v>734</v>
      </c>
      <c r="R178" s="15"/>
      <c r="S178" s="15"/>
      <c r="T178" s="15"/>
    </row>
    <row r="179" spans="1:20">
      <c r="A179" s="8"/>
      <c r="B179" s="15">
        <v>2027</v>
      </c>
      <c r="C179" s="15">
        <v>305</v>
      </c>
      <c r="D179" s="15" t="str">
        <f>VLOOKUP(C179,skill_list!$B$7:$C$1030,2)</f>
        <v>スパイクサージ</v>
      </c>
      <c r="E179" s="11"/>
      <c r="F179" s="15">
        <v>1</v>
      </c>
      <c r="G179" s="15">
        <v>2</v>
      </c>
      <c r="H179" s="15">
        <v>0</v>
      </c>
      <c r="I179" s="15">
        <v>3</v>
      </c>
      <c r="J179" s="15">
        <v>1050</v>
      </c>
      <c r="K179" s="15">
        <v>5250</v>
      </c>
      <c r="L179" s="15">
        <v>3</v>
      </c>
      <c r="M179" s="15">
        <v>2</v>
      </c>
      <c r="N179" s="15">
        <v>30</v>
      </c>
      <c r="O179" s="15">
        <v>0</v>
      </c>
      <c r="P179" s="14">
        <v>2</v>
      </c>
      <c r="Q179" s="11" t="s">
        <v>734</v>
      </c>
      <c r="R179" s="15"/>
      <c r="S179" s="15"/>
      <c r="T179" s="15"/>
    </row>
    <row r="180" spans="1:20">
      <c r="A180" s="8"/>
      <c r="B180" s="15">
        <v>2028</v>
      </c>
      <c r="C180" s="15">
        <v>447</v>
      </c>
      <c r="D180" s="15" t="str">
        <f>VLOOKUP(C180,skill_list!$B$7:$C$1030,2)</f>
        <v>仮面のワルツ</v>
      </c>
      <c r="E180" s="11"/>
      <c r="F180" s="15">
        <v>2</v>
      </c>
      <c r="G180" s="15">
        <v>1</v>
      </c>
      <c r="H180" s="15">
        <v>0</v>
      </c>
      <c r="I180" s="15">
        <v>4</v>
      </c>
      <c r="J180" s="15">
        <v>1050</v>
      </c>
      <c r="K180" s="15">
        <v>5250</v>
      </c>
      <c r="L180" s="15">
        <v>3</v>
      </c>
      <c r="M180" s="15">
        <v>2</v>
      </c>
      <c r="N180" s="15">
        <v>0</v>
      </c>
      <c r="O180" s="15">
        <v>30</v>
      </c>
      <c r="P180" s="14">
        <v>2</v>
      </c>
      <c r="Q180" s="11" t="s">
        <v>734</v>
      </c>
      <c r="R180" s="15"/>
      <c r="S180" s="15"/>
      <c r="T180" s="15"/>
    </row>
    <row r="181" spans="1:20">
      <c r="A181" s="8"/>
      <c r="B181" s="15">
        <v>2029</v>
      </c>
      <c r="C181" s="15">
        <v>17</v>
      </c>
      <c r="D181" s="15" t="str">
        <f>VLOOKUP(C181,skill_list!$B$7:$C$1030,2)</f>
        <v>フルスイング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1050</v>
      </c>
      <c r="K181" s="15">
        <v>5250</v>
      </c>
      <c r="L181" s="15">
        <v>1</v>
      </c>
      <c r="M181" s="15">
        <v>2</v>
      </c>
      <c r="N181" s="15">
        <v>0</v>
      </c>
      <c r="O181" s="15">
        <v>0</v>
      </c>
      <c r="P181" s="14">
        <v>2</v>
      </c>
      <c r="Q181" s="11" t="s">
        <v>734</v>
      </c>
      <c r="R181" s="15"/>
      <c r="S181" s="15"/>
      <c r="T181" s="15"/>
    </row>
    <row r="182" spans="1:20">
      <c r="A182" s="8"/>
      <c r="B182" s="15">
        <v>2030</v>
      </c>
      <c r="C182" s="15">
        <v>277</v>
      </c>
      <c r="D182" s="15" t="str">
        <f>VLOOKUP(C182,skill_list!$B$7:$C$1030,2)</f>
        <v>イノセンス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1050</v>
      </c>
      <c r="K182" s="15">
        <v>5250</v>
      </c>
      <c r="L182" s="15">
        <v>2</v>
      </c>
      <c r="M182" s="15">
        <v>2</v>
      </c>
      <c r="N182" s="15">
        <v>0</v>
      </c>
      <c r="O182" s="15">
        <v>0</v>
      </c>
      <c r="P182" s="14">
        <v>2</v>
      </c>
      <c r="Q182" s="11" t="s">
        <v>734</v>
      </c>
      <c r="R182" s="15"/>
      <c r="S182" s="15"/>
      <c r="T182" s="15"/>
    </row>
    <row r="183" spans="1:20">
      <c r="A183" s="8"/>
      <c r="B183" s="15">
        <v>2031</v>
      </c>
      <c r="C183" s="15">
        <v>296</v>
      </c>
      <c r="D183" s="15" t="str">
        <f>VLOOKUP(C183,skill_list!$B$7:$C$1030,2)</f>
        <v>コールドウェイヴ</v>
      </c>
      <c r="E183" s="11"/>
      <c r="F183" s="15">
        <v>0</v>
      </c>
      <c r="G183" s="15">
        <v>1</v>
      </c>
      <c r="H183" s="15">
        <v>2</v>
      </c>
      <c r="I183" s="15">
        <v>2</v>
      </c>
      <c r="J183" s="15">
        <v>1050</v>
      </c>
      <c r="K183" s="15">
        <v>5250</v>
      </c>
      <c r="L183" s="15">
        <v>3</v>
      </c>
      <c r="M183" s="15">
        <v>2</v>
      </c>
      <c r="N183" s="15">
        <v>0</v>
      </c>
      <c r="O183" s="15">
        <v>0</v>
      </c>
      <c r="P183" s="14">
        <v>2</v>
      </c>
      <c r="Q183" s="11" t="s">
        <v>734</v>
      </c>
      <c r="R183" s="15"/>
      <c r="S183" s="15"/>
      <c r="T183" s="15"/>
    </row>
    <row r="184" spans="1:20">
      <c r="A184" s="8"/>
      <c r="B184" s="15">
        <v>2032</v>
      </c>
      <c r="C184" s="15">
        <v>290</v>
      </c>
      <c r="D184" s="15" t="str">
        <f>VLOOKUP(C184,skill_list!$B$7:$C$1030,2)</f>
        <v>魔莢</v>
      </c>
      <c r="E184" s="11"/>
      <c r="F184" s="15">
        <v>0</v>
      </c>
      <c r="G184" s="15">
        <v>1</v>
      </c>
      <c r="H184" s="15">
        <v>2</v>
      </c>
      <c r="I184" s="15">
        <v>0</v>
      </c>
      <c r="J184" s="15">
        <v>1050</v>
      </c>
      <c r="K184" s="15">
        <v>5250</v>
      </c>
      <c r="L184" s="15">
        <v>2</v>
      </c>
      <c r="M184" s="15">
        <v>2</v>
      </c>
      <c r="N184" s="15">
        <v>0</v>
      </c>
      <c r="O184" s="15">
        <v>0</v>
      </c>
      <c r="P184" s="14">
        <v>2</v>
      </c>
      <c r="Q184" s="11" t="s">
        <v>734</v>
      </c>
      <c r="R184" s="15"/>
      <c r="S184" s="15"/>
      <c r="T184" s="15"/>
    </row>
    <row r="185" spans="1:20">
      <c r="A185" s="8"/>
      <c r="B185" s="15">
        <v>2033</v>
      </c>
      <c r="C185" s="15">
        <v>291</v>
      </c>
      <c r="D185" s="15" t="str">
        <f>VLOOKUP(C185,skill_list!$B$7:$C$1030,2)</f>
        <v>スターマイン</v>
      </c>
      <c r="E185" s="11"/>
      <c r="F185" s="15">
        <v>0</v>
      </c>
      <c r="G185" s="15">
        <v>1</v>
      </c>
      <c r="H185" s="15">
        <v>2</v>
      </c>
      <c r="I185" s="15">
        <v>4</v>
      </c>
      <c r="J185" s="15">
        <v>1050</v>
      </c>
      <c r="K185" s="15">
        <v>5250</v>
      </c>
      <c r="L185" s="15">
        <v>2</v>
      </c>
      <c r="M185" s="15">
        <v>2</v>
      </c>
      <c r="N185" s="15">
        <v>0</v>
      </c>
      <c r="O185" s="15">
        <v>0</v>
      </c>
      <c r="P185" s="14">
        <v>2</v>
      </c>
      <c r="Q185" s="11" t="s">
        <v>734</v>
      </c>
      <c r="R185" s="15"/>
      <c r="S185" s="15"/>
      <c r="T185" s="15"/>
    </row>
    <row r="186" spans="1:20">
      <c r="A186" s="8"/>
      <c r="B186" s="15">
        <v>2034</v>
      </c>
      <c r="C186" s="15">
        <v>197</v>
      </c>
      <c r="D186" s="15" t="str">
        <f>VLOOKUP(C186,skill_list!$B$7:$C$1030,2)</f>
        <v>烈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1050</v>
      </c>
      <c r="K186" s="15">
        <v>5250</v>
      </c>
      <c r="L186" s="15">
        <v>1</v>
      </c>
      <c r="M186" s="15">
        <v>2</v>
      </c>
      <c r="N186" s="15">
        <v>30</v>
      </c>
      <c r="O186" s="15">
        <v>0</v>
      </c>
      <c r="P186" s="14">
        <v>2</v>
      </c>
      <c r="Q186" s="11" t="s">
        <v>734</v>
      </c>
      <c r="R186" s="15"/>
      <c r="S186" s="15"/>
      <c r="T186" s="15"/>
    </row>
    <row r="187" spans="1:20">
      <c r="A187" s="8"/>
      <c r="B187" s="15">
        <v>2035</v>
      </c>
      <c r="C187" s="15">
        <v>278</v>
      </c>
      <c r="D187" s="15" t="str">
        <f>VLOOKUP(C187,skill_list!$B$7:$C$1030,2)</f>
        <v>レヴォリューション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1050</v>
      </c>
      <c r="K187" s="15">
        <v>5250</v>
      </c>
      <c r="L187" s="15">
        <v>3</v>
      </c>
      <c r="M187" s="15">
        <v>8</v>
      </c>
      <c r="N187" s="15">
        <v>0</v>
      </c>
      <c r="O187" s="15">
        <v>0</v>
      </c>
      <c r="P187" s="14">
        <v>2</v>
      </c>
      <c r="Q187" s="11" t="s">
        <v>734</v>
      </c>
      <c r="R187" s="15"/>
      <c r="S187" s="15"/>
      <c r="T187" s="15"/>
    </row>
    <row r="188" spans="1:20">
      <c r="A188" s="8"/>
      <c r="B188" s="15">
        <v>2036</v>
      </c>
      <c r="C188" s="15">
        <v>214</v>
      </c>
      <c r="D188" s="15" t="str">
        <f>VLOOKUP(C188,skill_list!$B$7:$C$1030,2)</f>
        <v>瞬刃</v>
      </c>
      <c r="E188" s="11"/>
      <c r="F188" s="15">
        <v>1</v>
      </c>
      <c r="G188" s="15">
        <v>2</v>
      </c>
      <c r="H188" s="15">
        <v>0</v>
      </c>
      <c r="I188" s="15">
        <v>0</v>
      </c>
      <c r="J188" s="15">
        <v>1050</v>
      </c>
      <c r="K188" s="15">
        <v>5250</v>
      </c>
      <c r="L188" s="15">
        <v>3</v>
      </c>
      <c r="M188" s="15">
        <v>2</v>
      </c>
      <c r="N188" s="15">
        <v>30</v>
      </c>
      <c r="O188" s="15">
        <v>0</v>
      </c>
      <c r="P188" s="14">
        <v>2</v>
      </c>
      <c r="Q188" s="11" t="s">
        <v>734</v>
      </c>
      <c r="R188" s="15"/>
      <c r="S188" s="15"/>
      <c r="T188" s="15"/>
    </row>
    <row r="189" spans="1:20">
      <c r="A189" s="8"/>
      <c r="B189" s="15">
        <v>2037</v>
      </c>
      <c r="C189" s="15">
        <v>435</v>
      </c>
      <c r="D189" s="15" t="str">
        <f>VLOOKUP(C189,skill_list!$B$7:$C$1030,2)</f>
        <v>コールドストローク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1050</v>
      </c>
      <c r="K189" s="15">
        <v>5250</v>
      </c>
      <c r="L189" s="15">
        <v>3</v>
      </c>
      <c r="M189" s="15">
        <v>2</v>
      </c>
      <c r="N189" s="15">
        <v>0</v>
      </c>
      <c r="O189" s="15">
        <v>0</v>
      </c>
      <c r="P189" s="14">
        <v>2</v>
      </c>
      <c r="Q189" s="11" t="s">
        <v>734</v>
      </c>
      <c r="R189" s="15"/>
      <c r="S189" s="15"/>
      <c r="T189" s="15"/>
    </row>
    <row r="190" spans="1:20">
      <c r="A190" s="8"/>
      <c r="B190" s="15">
        <v>2038</v>
      </c>
      <c r="C190" s="15">
        <v>222</v>
      </c>
      <c r="D190" s="15" t="str">
        <f>VLOOKUP(C190,skill_list!$B$7:$C$1030,2)</f>
        <v>夜雨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1017</v>
      </c>
      <c r="K190" s="15">
        <v>5085</v>
      </c>
      <c r="L190" s="15">
        <v>1</v>
      </c>
      <c r="M190" s="15">
        <v>2.125</v>
      </c>
      <c r="N190" s="15">
        <v>0</v>
      </c>
      <c r="O190" s="15">
        <v>0</v>
      </c>
      <c r="P190" s="14">
        <v>1</v>
      </c>
      <c r="Q190" s="11" t="s">
        <v>734</v>
      </c>
      <c r="R190" s="15"/>
      <c r="S190" s="15"/>
      <c r="T190" s="15"/>
    </row>
    <row r="191" spans="1:20">
      <c r="A191" s="8"/>
      <c r="B191" s="15">
        <v>2039</v>
      </c>
      <c r="C191" s="15">
        <v>257</v>
      </c>
      <c r="D191" s="15" t="str">
        <f>VLOOKUP(C191,skill_list!$B$7:$C$1030,2)</f>
        <v>プリンシプルチャンダス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1017</v>
      </c>
      <c r="K191" s="15">
        <v>5085</v>
      </c>
      <c r="L191" s="15">
        <v>3</v>
      </c>
      <c r="M191" s="15">
        <v>2.125</v>
      </c>
      <c r="N191" s="15">
        <v>0</v>
      </c>
      <c r="O191" s="15">
        <v>0</v>
      </c>
      <c r="P191" s="14">
        <v>1</v>
      </c>
      <c r="Q191" s="11" t="s">
        <v>734</v>
      </c>
      <c r="R191" s="15"/>
      <c r="S191" s="15"/>
      <c r="T191" s="15"/>
    </row>
    <row r="192" spans="1:20">
      <c r="A192" s="8"/>
      <c r="B192" s="15">
        <v>2040</v>
      </c>
      <c r="C192" s="15">
        <v>467</v>
      </c>
      <c r="D192" s="15" t="str">
        <f>VLOOKUP(C192,skill_list!$B$7:$C$1030,2)</f>
        <v>螳螂之斧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962.25</v>
      </c>
      <c r="K192" s="15">
        <v>4811.25</v>
      </c>
      <c r="L192" s="15">
        <v>3</v>
      </c>
      <c r="M192" s="15">
        <v>1.9</v>
      </c>
      <c r="N192" s="15">
        <v>0</v>
      </c>
      <c r="O192" s="15">
        <v>0</v>
      </c>
      <c r="P192" s="14">
        <v>2</v>
      </c>
      <c r="Q192" s="11" t="s">
        <v>734</v>
      </c>
      <c r="R192" s="15"/>
      <c r="S192" s="15"/>
      <c r="T192" s="15"/>
    </row>
    <row r="193" spans="1:20">
      <c r="A193" s="8"/>
      <c r="B193" s="15">
        <v>2041</v>
      </c>
      <c r="C193" s="15">
        <v>215</v>
      </c>
      <c r="D193" s="15" t="str">
        <f>VLOOKUP(C193,skill_list!$B$7:$C$1030,2)</f>
        <v>ノーブルウェッジ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2</v>
      </c>
      <c r="M193" s="15">
        <v>8</v>
      </c>
      <c r="N193" s="15">
        <v>0</v>
      </c>
      <c r="O193" s="15">
        <v>0</v>
      </c>
      <c r="P193" s="14">
        <v>1</v>
      </c>
      <c r="Q193" s="11" t="s">
        <v>734</v>
      </c>
      <c r="R193" s="15"/>
      <c r="S193" s="15"/>
      <c r="T193" s="15"/>
    </row>
    <row r="194" spans="1:20">
      <c r="A194" s="8"/>
      <c r="B194" s="15">
        <v>2042</v>
      </c>
      <c r="C194" s="15">
        <v>16</v>
      </c>
      <c r="D194" s="15" t="str">
        <f>VLOOKUP(C194,skill_list!$B$7:$C$1030,2)</f>
        <v>ハードブレード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918</v>
      </c>
      <c r="K194" s="15">
        <v>4590</v>
      </c>
      <c r="L194" s="15">
        <v>2</v>
      </c>
      <c r="M194" s="15">
        <v>2</v>
      </c>
      <c r="N194" s="15">
        <v>0</v>
      </c>
      <c r="O194" s="15">
        <v>0</v>
      </c>
      <c r="P194" s="14">
        <v>1</v>
      </c>
      <c r="Q194" s="11" t="s">
        <v>734</v>
      </c>
      <c r="R194" s="15"/>
      <c r="S194" s="15"/>
      <c r="T194" s="15"/>
    </row>
    <row r="195" spans="1:20">
      <c r="A195" s="8"/>
      <c r="B195" s="15">
        <v>2043</v>
      </c>
      <c r="C195" s="15">
        <v>388</v>
      </c>
      <c r="D195" s="15" t="str">
        <f>VLOOKUP(C195,skill_list!$B$7:$C$1030,2)</f>
        <v>残焔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918</v>
      </c>
      <c r="K195" s="15">
        <v>4590</v>
      </c>
      <c r="L195" s="15">
        <v>4</v>
      </c>
      <c r="M195" s="15">
        <v>8</v>
      </c>
      <c r="N195" s="15">
        <v>0</v>
      </c>
      <c r="O195" s="15">
        <v>0</v>
      </c>
      <c r="P195" s="14">
        <v>1</v>
      </c>
      <c r="Q195" s="11" t="s">
        <v>734</v>
      </c>
      <c r="R195" s="15"/>
      <c r="S195" s="15"/>
      <c r="T195" s="15"/>
    </row>
    <row r="196" spans="1:20">
      <c r="A196" s="8"/>
      <c r="B196" s="15">
        <v>2044</v>
      </c>
      <c r="C196" s="15">
        <v>206</v>
      </c>
      <c r="D196" s="15" t="str">
        <f>VLOOKUP(C196,skill_list!$B$7:$C$1030,2)</f>
        <v>フレイムテンペスト</v>
      </c>
      <c r="E196" s="11"/>
      <c r="F196" s="15">
        <v>0</v>
      </c>
      <c r="G196" s="15">
        <v>1</v>
      </c>
      <c r="H196" s="15">
        <v>2</v>
      </c>
      <c r="I196" s="15">
        <v>1</v>
      </c>
      <c r="J196" s="15">
        <v>918</v>
      </c>
      <c r="K196" s="15">
        <v>4590</v>
      </c>
      <c r="L196" s="15">
        <v>4</v>
      </c>
      <c r="M196" s="15">
        <v>2</v>
      </c>
      <c r="N196" s="15">
        <v>0</v>
      </c>
      <c r="O196" s="15">
        <v>0</v>
      </c>
      <c r="P196" s="14">
        <v>1</v>
      </c>
      <c r="Q196" s="11" t="s">
        <v>734</v>
      </c>
      <c r="R196" s="15"/>
      <c r="S196" s="15"/>
      <c r="T196" s="15"/>
    </row>
    <row r="197" spans="1:20">
      <c r="A197" s="8"/>
      <c r="B197" s="15">
        <v>2045</v>
      </c>
      <c r="C197" s="15">
        <v>251</v>
      </c>
      <c r="D197" s="15" t="str">
        <f>VLOOKUP(C197,skill_list!$B$7:$C$1030,2)</f>
        <v>ランブルシャーク</v>
      </c>
      <c r="E197" s="11"/>
      <c r="F197" s="15">
        <v>1</v>
      </c>
      <c r="G197" s="15">
        <v>2</v>
      </c>
      <c r="H197" s="15">
        <v>0</v>
      </c>
      <c r="I197" s="15">
        <v>0</v>
      </c>
      <c r="J197" s="15">
        <v>918</v>
      </c>
      <c r="K197" s="15">
        <v>4590</v>
      </c>
      <c r="L197" s="15">
        <v>4</v>
      </c>
      <c r="M197" s="15">
        <v>2</v>
      </c>
      <c r="N197" s="15">
        <v>30</v>
      </c>
      <c r="O197" s="15">
        <v>0</v>
      </c>
      <c r="P197" s="14">
        <v>1</v>
      </c>
      <c r="Q197" s="11" t="s">
        <v>734</v>
      </c>
      <c r="R197" s="15"/>
      <c r="S197" s="15"/>
      <c r="T197" s="15"/>
    </row>
    <row r="198" spans="1:20">
      <c r="A198" s="8"/>
      <c r="B198" s="15">
        <v>2046</v>
      </c>
      <c r="C198" s="15">
        <v>62</v>
      </c>
      <c r="D198" s="15" t="str">
        <f>VLOOKUP(C198,skill_list!$B$7:$C$1030,2)</f>
        <v>キリングエッジ</v>
      </c>
      <c r="E198" s="11"/>
      <c r="F198" s="15">
        <v>1</v>
      </c>
      <c r="G198" s="15">
        <v>2</v>
      </c>
      <c r="H198" s="15">
        <v>0</v>
      </c>
      <c r="I198" s="15">
        <v>0</v>
      </c>
      <c r="J198" s="15">
        <v>918</v>
      </c>
      <c r="K198" s="15">
        <v>4590</v>
      </c>
      <c r="L198" s="15">
        <v>4</v>
      </c>
      <c r="M198" s="15">
        <v>2</v>
      </c>
      <c r="N198" s="15">
        <v>30</v>
      </c>
      <c r="O198" s="15">
        <v>0</v>
      </c>
      <c r="P198" s="14">
        <v>1</v>
      </c>
      <c r="Q198" s="11" t="s">
        <v>734</v>
      </c>
      <c r="R198" s="15"/>
      <c r="S198" s="15"/>
      <c r="T198" s="15"/>
    </row>
    <row r="199" spans="1:20">
      <c r="A199" s="8"/>
      <c r="B199" s="15">
        <v>2047</v>
      </c>
      <c r="C199" s="15">
        <v>65</v>
      </c>
      <c r="D199" s="15" t="str">
        <f>VLOOKUP(C199,skill_list!$B$7:$C$1030,2)</f>
        <v>ポラリスの輝き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918</v>
      </c>
      <c r="K199" s="15">
        <v>4590</v>
      </c>
      <c r="L199" s="15">
        <v>3</v>
      </c>
      <c r="M199" s="15">
        <v>2</v>
      </c>
      <c r="N199" s="15">
        <v>0</v>
      </c>
      <c r="O199" s="15">
        <v>0</v>
      </c>
      <c r="P199" s="14">
        <v>1</v>
      </c>
      <c r="Q199" s="11" t="s">
        <v>734</v>
      </c>
      <c r="R199" s="15"/>
      <c r="S199" s="15"/>
      <c r="T199" s="15"/>
    </row>
    <row r="200" spans="1:20">
      <c r="A200" s="8"/>
      <c r="B200" s="15">
        <v>2048</v>
      </c>
      <c r="C200" s="15">
        <v>234</v>
      </c>
      <c r="D200" s="15" t="str">
        <f>VLOOKUP(C200,skill_list!$B$7:$C$1030,2)</f>
        <v>一片氷心</v>
      </c>
      <c r="E200" s="11"/>
      <c r="F200" s="15">
        <v>0</v>
      </c>
      <c r="G200" s="15">
        <v>1</v>
      </c>
      <c r="H200" s="15">
        <v>2</v>
      </c>
      <c r="I200" s="15">
        <v>2</v>
      </c>
      <c r="J200" s="15">
        <v>918</v>
      </c>
      <c r="K200" s="15">
        <v>4590</v>
      </c>
      <c r="L200" s="15">
        <v>4</v>
      </c>
      <c r="M200" s="15">
        <v>8</v>
      </c>
      <c r="N200" s="15">
        <v>0</v>
      </c>
      <c r="O200" s="15">
        <v>0</v>
      </c>
      <c r="P200" s="14">
        <v>1</v>
      </c>
      <c r="Q200" s="11" t="s">
        <v>734</v>
      </c>
      <c r="R200" s="15"/>
      <c r="S200" s="15"/>
      <c r="T200" s="15"/>
    </row>
    <row r="201" spans="1:20">
      <c r="A201" s="8"/>
      <c r="B201" s="15">
        <v>2049</v>
      </c>
      <c r="C201" s="15">
        <v>190</v>
      </c>
      <c r="D201" s="15" t="str">
        <f>VLOOKUP(C201,skill_list!$B$7:$C$1030,2)</f>
        <v>ゲインカノン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918</v>
      </c>
      <c r="K201" s="15">
        <v>4590</v>
      </c>
      <c r="L201" s="15">
        <v>3</v>
      </c>
      <c r="M201" s="15">
        <v>2</v>
      </c>
      <c r="N201" s="15">
        <v>0</v>
      </c>
      <c r="O201" s="15">
        <v>0</v>
      </c>
      <c r="P201" s="14">
        <v>1</v>
      </c>
      <c r="Q201" s="11" t="s">
        <v>734</v>
      </c>
      <c r="R201" s="15"/>
      <c r="S201" s="15"/>
      <c r="T201" s="15"/>
    </row>
    <row r="202" spans="1:20">
      <c r="A202" s="8"/>
      <c r="B202" s="15">
        <v>2050</v>
      </c>
      <c r="C202" s="15">
        <v>98</v>
      </c>
      <c r="D202" s="15" t="str">
        <f>VLOOKUP(C202,skill_list!$B$7:$C$1030,2)</f>
        <v>ディミニッシュ・レイ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918</v>
      </c>
      <c r="K202" s="15">
        <v>4590</v>
      </c>
      <c r="L202" s="15">
        <v>3</v>
      </c>
      <c r="M202" s="15">
        <v>2</v>
      </c>
      <c r="N202" s="15">
        <v>0</v>
      </c>
      <c r="O202" s="15">
        <v>0</v>
      </c>
      <c r="P202" s="14">
        <v>1</v>
      </c>
      <c r="Q202" s="11" t="s">
        <v>734</v>
      </c>
      <c r="R202" s="15"/>
      <c r="S202" s="15"/>
      <c r="T202" s="15"/>
    </row>
    <row r="203" spans="1:20">
      <c r="A203" s="8"/>
      <c r="B203" s="15">
        <v>2051</v>
      </c>
      <c r="C203" s="15">
        <v>208</v>
      </c>
      <c r="D203" s="15" t="str">
        <f>VLOOKUP(C203,skill_list!$B$7:$C$1030,2)</f>
        <v>極点の一手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918</v>
      </c>
      <c r="K203" s="15">
        <v>4590</v>
      </c>
      <c r="L203" s="15">
        <v>3</v>
      </c>
      <c r="M203" s="15">
        <v>2</v>
      </c>
      <c r="N203" s="15">
        <v>0</v>
      </c>
      <c r="O203" s="15">
        <v>0</v>
      </c>
      <c r="P203" s="14">
        <v>1</v>
      </c>
      <c r="Q203" s="11" t="s">
        <v>734</v>
      </c>
      <c r="R203" s="15"/>
      <c r="S203" s="15"/>
      <c r="T203" s="15"/>
    </row>
    <row r="204" spans="1:20">
      <c r="A204" s="8"/>
      <c r="B204" s="15">
        <v>2052</v>
      </c>
      <c r="C204" s="15">
        <v>253</v>
      </c>
      <c r="D204" s="15" t="str">
        <f>VLOOKUP(C204,skill_list!$B$7:$C$1030,2)</f>
        <v>ライトニングロア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918</v>
      </c>
      <c r="K204" s="15">
        <v>4590</v>
      </c>
      <c r="L204" s="15">
        <v>4</v>
      </c>
      <c r="M204" s="15">
        <v>2</v>
      </c>
      <c r="N204" s="15">
        <v>0</v>
      </c>
      <c r="O204" s="15">
        <v>0</v>
      </c>
      <c r="P204" s="14">
        <v>1</v>
      </c>
      <c r="Q204" s="11" t="s">
        <v>734</v>
      </c>
      <c r="R204" s="15"/>
      <c r="S204" s="15"/>
      <c r="T204" s="15"/>
    </row>
    <row r="205" spans="1:20">
      <c r="A205" s="8"/>
      <c r="B205" s="15">
        <v>2053</v>
      </c>
      <c r="C205" s="15">
        <v>195</v>
      </c>
      <c r="D205" s="15" t="str">
        <f>VLOOKUP(C205,skill_list!$B$7:$C$1030,2)</f>
        <v>ネイキッドイレイザー</v>
      </c>
      <c r="E205" s="11"/>
      <c r="F205" s="15">
        <v>0</v>
      </c>
      <c r="G205" s="15">
        <v>1</v>
      </c>
      <c r="H205" s="15">
        <v>2</v>
      </c>
      <c r="I205" s="15">
        <v>0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734</v>
      </c>
      <c r="R205" s="15"/>
      <c r="S205" s="15"/>
      <c r="T205" s="15"/>
    </row>
    <row r="206" spans="1:20">
      <c r="A206" s="8"/>
      <c r="B206" s="15">
        <v>2054</v>
      </c>
      <c r="C206" s="15">
        <v>249</v>
      </c>
      <c r="D206" s="15" t="str">
        <f>VLOOKUP(C206,skill_list!$B$7:$C$1030,2)</f>
        <v>シルキーフレア</v>
      </c>
      <c r="E206" s="11"/>
      <c r="F206" s="15">
        <v>0</v>
      </c>
      <c r="G206" s="15">
        <v>1</v>
      </c>
      <c r="H206" s="15">
        <v>2</v>
      </c>
      <c r="I206" s="15">
        <v>1</v>
      </c>
      <c r="J206" s="15">
        <v>879</v>
      </c>
      <c r="K206" s="15">
        <v>4395</v>
      </c>
      <c r="L206" s="15">
        <v>2</v>
      </c>
      <c r="M206" s="15">
        <v>1.8</v>
      </c>
      <c r="N206" s="15">
        <v>0</v>
      </c>
      <c r="O206" s="15">
        <v>0</v>
      </c>
      <c r="P206" s="14">
        <v>2</v>
      </c>
      <c r="Q206" s="11" t="s">
        <v>734</v>
      </c>
      <c r="R206" s="15"/>
      <c r="S206" s="15"/>
      <c r="T206" s="15"/>
    </row>
    <row r="207" spans="1:20">
      <c r="A207" s="8"/>
      <c r="B207" s="15">
        <v>2055</v>
      </c>
      <c r="C207" s="15">
        <v>375</v>
      </c>
      <c r="D207" s="15" t="str">
        <f>VLOOKUP(C207,skill_list!$B$7:$C$1030,2)</f>
        <v>キルキルヒカル</v>
      </c>
      <c r="E207" s="11"/>
      <c r="F207" s="15">
        <v>0</v>
      </c>
      <c r="G207" s="15">
        <v>1</v>
      </c>
      <c r="H207" s="15">
        <v>2</v>
      </c>
      <c r="I207" s="15">
        <v>4</v>
      </c>
      <c r="J207" s="15">
        <v>879</v>
      </c>
      <c r="K207" s="15">
        <v>4395</v>
      </c>
      <c r="L207" s="15">
        <v>3</v>
      </c>
      <c r="M207" s="15">
        <v>7.2</v>
      </c>
      <c r="N207" s="15">
        <v>0</v>
      </c>
      <c r="O207" s="15">
        <v>0</v>
      </c>
      <c r="P207" s="14">
        <v>2</v>
      </c>
      <c r="Q207" s="11" t="s">
        <v>734</v>
      </c>
      <c r="R207" s="15"/>
      <c r="S207" s="15"/>
      <c r="T207" s="15"/>
    </row>
    <row r="208" spans="1:20">
      <c r="A208" s="8"/>
      <c r="B208" s="15">
        <v>2056</v>
      </c>
      <c r="C208" s="15">
        <v>423</v>
      </c>
      <c r="D208" s="15" t="str">
        <f>VLOOKUP(C208,skill_list!$B$7:$C$1030,2)</f>
        <v>アイドルスマイル</v>
      </c>
      <c r="E208" s="11"/>
      <c r="F208" s="15">
        <v>0</v>
      </c>
      <c r="G208" s="15">
        <v>1</v>
      </c>
      <c r="H208" s="15">
        <v>2</v>
      </c>
      <c r="I208" s="15">
        <v>1</v>
      </c>
      <c r="J208" s="15">
        <v>879</v>
      </c>
      <c r="K208" s="15">
        <v>4395</v>
      </c>
      <c r="L208" s="15">
        <v>3</v>
      </c>
      <c r="M208" s="15">
        <v>1.8</v>
      </c>
      <c r="N208" s="15">
        <v>0</v>
      </c>
      <c r="O208" s="15">
        <v>0</v>
      </c>
      <c r="P208" s="14">
        <v>2</v>
      </c>
      <c r="Q208" s="11" t="s">
        <v>734</v>
      </c>
      <c r="R208" s="15"/>
      <c r="S208" s="15"/>
      <c r="T208" s="15"/>
    </row>
    <row r="209" spans="1:20">
      <c r="A209" s="8"/>
      <c r="B209" s="15">
        <v>2057</v>
      </c>
      <c r="C209" s="15">
        <v>423</v>
      </c>
      <c r="D209" s="15" t="str">
        <f>VLOOKUP(C209,skill_list!$B$7:$C$1030,2)</f>
        <v>アイドルスマイル</v>
      </c>
      <c r="E209" s="11" t="s">
        <v>1643</v>
      </c>
      <c r="F209" s="15">
        <v>0</v>
      </c>
      <c r="G209" s="15">
        <v>1</v>
      </c>
      <c r="H209" s="15">
        <v>2</v>
      </c>
      <c r="I209" s="15">
        <v>1</v>
      </c>
      <c r="J209" s="15">
        <v>1050</v>
      </c>
      <c r="K209" s="15">
        <v>5250</v>
      </c>
      <c r="L209" s="15">
        <v>3</v>
      </c>
      <c r="M209" s="15">
        <v>8</v>
      </c>
      <c r="N209" s="15">
        <v>0</v>
      </c>
      <c r="O209" s="15">
        <v>0</v>
      </c>
      <c r="P209" s="14">
        <v>2</v>
      </c>
      <c r="Q209" s="11" t="s">
        <v>734</v>
      </c>
      <c r="R209" s="15"/>
      <c r="S209" s="15"/>
      <c r="T209" s="15"/>
    </row>
    <row r="210" spans="1:20">
      <c r="A210" s="8"/>
      <c r="B210" s="15">
        <v>2058</v>
      </c>
      <c r="C210" s="15">
        <v>202</v>
      </c>
      <c r="D210" s="15" t="str">
        <f>VLOOKUP(C210,skill_list!$B$7:$C$1030,2)</f>
        <v>風斬りの刃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879</v>
      </c>
      <c r="K210" s="15">
        <v>4395</v>
      </c>
      <c r="L210" s="15">
        <v>3</v>
      </c>
      <c r="M210" s="15">
        <v>1.8</v>
      </c>
      <c r="N210" s="15">
        <v>0</v>
      </c>
      <c r="O210" s="15">
        <v>30</v>
      </c>
      <c r="P210" s="14">
        <v>2</v>
      </c>
      <c r="Q210" s="11" t="s">
        <v>734</v>
      </c>
      <c r="R210" s="15"/>
      <c r="S210" s="15"/>
      <c r="T210" s="15"/>
    </row>
    <row r="211" spans="1:20">
      <c r="A211" s="8"/>
      <c r="B211" s="15">
        <v>2059</v>
      </c>
      <c r="C211" s="15">
        <v>344</v>
      </c>
      <c r="D211" s="15" t="str">
        <f>VLOOKUP(C211,skill_list!$B$7:$C$1030,2)</f>
        <v>ヒロイックプラウド</v>
      </c>
      <c r="E211" s="11"/>
      <c r="F211" s="15">
        <v>0</v>
      </c>
      <c r="G211" s="15">
        <v>1</v>
      </c>
      <c r="H211" s="15">
        <v>2</v>
      </c>
      <c r="I211" s="15">
        <v>3</v>
      </c>
      <c r="J211" s="15">
        <v>879</v>
      </c>
      <c r="K211" s="15">
        <v>4395</v>
      </c>
      <c r="L211" s="15">
        <v>2</v>
      </c>
      <c r="M211" s="15">
        <v>7.2</v>
      </c>
      <c r="N211" s="15">
        <v>0</v>
      </c>
      <c r="O211" s="15">
        <v>0</v>
      </c>
      <c r="P211" s="14">
        <v>2</v>
      </c>
      <c r="Q211" s="11" t="s">
        <v>734</v>
      </c>
      <c r="R211" s="15"/>
      <c r="S211" s="15"/>
      <c r="T211" s="15"/>
    </row>
    <row r="212" spans="1:20">
      <c r="A212" s="8"/>
      <c r="B212" s="15">
        <v>2060</v>
      </c>
      <c r="C212" s="15">
        <v>71</v>
      </c>
      <c r="D212" s="15" t="str">
        <f>VLOOKUP(C212,skill_list!$B$7:$C$1030,2)</f>
        <v>ルーンバースト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879</v>
      </c>
      <c r="K212" s="15">
        <v>4395</v>
      </c>
      <c r="L212" s="15">
        <v>2</v>
      </c>
      <c r="M212" s="15">
        <v>1.8</v>
      </c>
      <c r="N212" s="15">
        <v>0</v>
      </c>
      <c r="O212" s="15">
        <v>0</v>
      </c>
      <c r="P212" s="14">
        <v>2</v>
      </c>
      <c r="Q212" s="11" t="s">
        <v>734</v>
      </c>
      <c r="R212" s="15"/>
      <c r="S212" s="15"/>
      <c r="T212" s="15"/>
    </row>
    <row r="213" spans="1:20">
      <c r="A213" s="8"/>
      <c r="B213" s="15">
        <v>2061</v>
      </c>
      <c r="C213" s="15">
        <v>394</v>
      </c>
      <c r="D213" s="15" t="str">
        <f>VLOOKUP(C213,skill_list!$B$7:$C$1030,2)</f>
        <v>寝ても醒めても</v>
      </c>
      <c r="E213" s="11"/>
      <c r="F213" s="15">
        <v>0</v>
      </c>
      <c r="G213" s="15">
        <v>1</v>
      </c>
      <c r="H213" s="15">
        <v>2</v>
      </c>
      <c r="I213" s="15">
        <v>5</v>
      </c>
      <c r="J213" s="15">
        <v>879</v>
      </c>
      <c r="K213" s="15">
        <v>4395</v>
      </c>
      <c r="L213" s="15">
        <v>3</v>
      </c>
      <c r="M213" s="15">
        <v>7.2</v>
      </c>
      <c r="N213" s="15">
        <v>0</v>
      </c>
      <c r="O213" s="15">
        <v>0</v>
      </c>
      <c r="P213" s="14">
        <v>2</v>
      </c>
      <c r="Q213" s="11" t="s">
        <v>734</v>
      </c>
      <c r="R213" s="15"/>
      <c r="S213" s="15"/>
      <c r="T213" s="15"/>
    </row>
    <row r="214" spans="1:20">
      <c r="A214" s="8"/>
      <c r="B214" s="15">
        <v>2062</v>
      </c>
      <c r="C214" s="15">
        <v>356</v>
      </c>
      <c r="D214" s="15" t="str">
        <f>VLOOKUP(C214,skill_list!$B$7:$C$1030,2)</f>
        <v>別れの朝</v>
      </c>
      <c r="E214" s="11"/>
      <c r="F214" s="15">
        <v>1</v>
      </c>
      <c r="G214" s="15">
        <v>2</v>
      </c>
      <c r="H214" s="15">
        <v>0</v>
      </c>
      <c r="I214" s="15">
        <v>2</v>
      </c>
      <c r="J214" s="15">
        <v>879</v>
      </c>
      <c r="K214" s="15">
        <v>4395</v>
      </c>
      <c r="L214" s="15">
        <v>3</v>
      </c>
      <c r="M214" s="15">
        <v>1.8</v>
      </c>
      <c r="N214" s="15">
        <v>30</v>
      </c>
      <c r="O214" s="15">
        <v>0</v>
      </c>
      <c r="P214" s="14">
        <v>2</v>
      </c>
      <c r="Q214" s="11" t="s">
        <v>734</v>
      </c>
      <c r="R214" s="15"/>
      <c r="S214" s="15"/>
      <c r="T214" s="15"/>
    </row>
    <row r="215" spans="1:20">
      <c r="A215" s="8"/>
      <c r="B215" s="15">
        <v>2063</v>
      </c>
      <c r="C215" s="15">
        <v>106</v>
      </c>
      <c r="D215" s="15" t="str">
        <f>VLOOKUP(C215,skill_list!$B$7:$C$1030,2)</f>
        <v>地獄変</v>
      </c>
      <c r="E215" s="11"/>
      <c r="F215" s="15">
        <v>0</v>
      </c>
      <c r="G215" s="15">
        <v>1</v>
      </c>
      <c r="H215" s="15">
        <v>2</v>
      </c>
      <c r="I215" s="15">
        <v>0</v>
      </c>
      <c r="J215" s="15">
        <v>879</v>
      </c>
      <c r="K215" s="15">
        <v>4395</v>
      </c>
      <c r="L215" s="15">
        <v>3</v>
      </c>
      <c r="M215" s="15">
        <v>7.2</v>
      </c>
      <c r="N215" s="15">
        <v>0</v>
      </c>
      <c r="O215" s="15">
        <v>0</v>
      </c>
      <c r="P215" s="14">
        <v>2</v>
      </c>
      <c r="Q215" s="11" t="s">
        <v>734</v>
      </c>
      <c r="R215" s="15"/>
      <c r="S215" s="15"/>
      <c r="T215" s="15"/>
    </row>
    <row r="216" spans="1:20">
      <c r="A216" s="8"/>
      <c r="B216" s="15">
        <v>2064</v>
      </c>
      <c r="C216" s="15">
        <v>416</v>
      </c>
      <c r="D216" s="15" t="str">
        <f>VLOOKUP(C216,skill_list!$B$7:$C$1030,2)</f>
        <v>デバノデバン</v>
      </c>
      <c r="E216" s="11"/>
      <c r="F216" s="15">
        <v>0</v>
      </c>
      <c r="G216" s="15">
        <v>1</v>
      </c>
      <c r="H216" s="15">
        <v>2</v>
      </c>
      <c r="I216" s="15">
        <v>2</v>
      </c>
      <c r="J216" s="15">
        <v>879</v>
      </c>
      <c r="K216" s="15">
        <v>4395</v>
      </c>
      <c r="L216" s="15">
        <v>1</v>
      </c>
      <c r="M216" s="15">
        <v>1.8</v>
      </c>
      <c r="N216" s="15">
        <v>0</v>
      </c>
      <c r="O216" s="15">
        <v>0</v>
      </c>
      <c r="P216" s="14">
        <v>2</v>
      </c>
      <c r="Q216" s="11" t="s">
        <v>734</v>
      </c>
      <c r="R216" s="15"/>
      <c r="S216" s="15"/>
      <c r="T216" s="15"/>
    </row>
    <row r="217" spans="1:20">
      <c r="A217" s="8"/>
      <c r="B217" s="15">
        <v>2065</v>
      </c>
      <c r="C217" s="15">
        <v>228</v>
      </c>
      <c r="D217" s="15" t="str">
        <f>VLOOKUP(C217,skill_list!$B$7:$C$1030,2)</f>
        <v>喧嘩上等！！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879</v>
      </c>
      <c r="K217" s="15">
        <v>4395</v>
      </c>
      <c r="L217" s="15">
        <v>1</v>
      </c>
      <c r="M217" s="15">
        <v>1.8</v>
      </c>
      <c r="N217" s="15">
        <v>0</v>
      </c>
      <c r="O217" s="15">
        <v>0</v>
      </c>
      <c r="P217" s="14">
        <v>2</v>
      </c>
      <c r="Q217" s="11" t="s">
        <v>734</v>
      </c>
      <c r="R217" s="15"/>
      <c r="S217" s="15"/>
      <c r="T217" s="15"/>
    </row>
    <row r="218" spans="1:20">
      <c r="A218" s="8"/>
      <c r="B218" s="15">
        <v>2066</v>
      </c>
      <c r="C218" s="15">
        <v>11</v>
      </c>
      <c r="D218" s="15" t="str">
        <f>VLOOKUP(C218,skill_list!$B$7:$C$1030,2)</f>
        <v>ブレイクカノン</v>
      </c>
      <c r="E218" s="11"/>
      <c r="F218" s="15">
        <v>2</v>
      </c>
      <c r="G218" s="15">
        <v>1</v>
      </c>
      <c r="H218" s="15">
        <v>0</v>
      </c>
      <c r="I218" s="15">
        <v>0</v>
      </c>
      <c r="J218" s="15">
        <v>738</v>
      </c>
      <c r="K218" s="15">
        <v>3690</v>
      </c>
      <c r="L218" s="15">
        <v>3</v>
      </c>
      <c r="M218" s="15">
        <v>1.75</v>
      </c>
      <c r="N218" s="15">
        <v>0</v>
      </c>
      <c r="O218" s="15">
        <v>30</v>
      </c>
      <c r="P218" s="14">
        <v>1</v>
      </c>
      <c r="Q218" s="11" t="s">
        <v>734</v>
      </c>
      <c r="R218" s="15"/>
      <c r="S218" s="15"/>
      <c r="T218" s="15"/>
    </row>
    <row r="219" spans="1:20">
      <c r="A219" s="8"/>
      <c r="B219" s="15">
        <v>2067</v>
      </c>
      <c r="C219" s="15">
        <v>22</v>
      </c>
      <c r="D219" s="15" t="str">
        <f>VLOOKUP(C219,skill_list!$B$7:$C$1030,2)</f>
        <v>ブレスショット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738</v>
      </c>
      <c r="K219" s="15">
        <v>3690</v>
      </c>
      <c r="L219" s="15">
        <v>1</v>
      </c>
      <c r="M219" s="15">
        <v>1.75</v>
      </c>
      <c r="N219" s="15">
        <v>0</v>
      </c>
      <c r="O219" s="15">
        <v>0</v>
      </c>
      <c r="P219" s="14">
        <v>1</v>
      </c>
      <c r="Q219" s="11" t="s">
        <v>734</v>
      </c>
      <c r="R219" s="15"/>
      <c r="S219" s="15"/>
      <c r="T219" s="15"/>
    </row>
    <row r="220" spans="1:20">
      <c r="A220" s="8"/>
      <c r="B220" s="15">
        <v>2068</v>
      </c>
      <c r="C220" s="15">
        <v>45</v>
      </c>
      <c r="D220" s="15" t="str">
        <f>VLOOKUP(C220,skill_list!$B$7:$C$1030,2)</f>
        <v>残心撃</v>
      </c>
      <c r="E220" s="11"/>
      <c r="F220" s="15">
        <v>0</v>
      </c>
      <c r="G220" s="15">
        <v>1</v>
      </c>
      <c r="H220" s="15">
        <v>2</v>
      </c>
      <c r="I220" s="15">
        <v>0</v>
      </c>
      <c r="J220" s="15">
        <v>738</v>
      </c>
      <c r="K220" s="15">
        <v>3690</v>
      </c>
      <c r="L220" s="15">
        <v>4</v>
      </c>
      <c r="M220" s="15">
        <v>1.75</v>
      </c>
      <c r="N220" s="15">
        <v>0</v>
      </c>
      <c r="O220" s="15">
        <v>0</v>
      </c>
      <c r="P220" s="14">
        <v>1</v>
      </c>
      <c r="Q220" s="11" t="s">
        <v>734</v>
      </c>
      <c r="R220" s="15"/>
      <c r="S220" s="15"/>
      <c r="T220" s="15"/>
    </row>
    <row r="221" spans="1:20">
      <c r="A221" s="8"/>
      <c r="B221" s="15">
        <v>2069</v>
      </c>
      <c r="C221" s="15">
        <v>258</v>
      </c>
      <c r="D221" s="15" t="str">
        <f>VLOOKUP(C221,skill_list!$B$7:$C$1030,2)</f>
        <v>リサイクル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738</v>
      </c>
      <c r="K221" s="15">
        <v>3690</v>
      </c>
      <c r="L221" s="15">
        <v>3</v>
      </c>
      <c r="M221" s="15">
        <v>1.75</v>
      </c>
      <c r="N221" s="15">
        <v>0</v>
      </c>
      <c r="O221" s="15">
        <v>0</v>
      </c>
      <c r="P221" s="14">
        <v>1</v>
      </c>
      <c r="Q221" s="11" t="s">
        <v>734</v>
      </c>
      <c r="R221" s="15"/>
      <c r="S221" s="15"/>
      <c r="T221" s="15"/>
    </row>
    <row r="222" spans="1:20">
      <c r="A222" s="8"/>
      <c r="B222" s="15">
        <v>2070</v>
      </c>
      <c r="C222" s="15">
        <v>204</v>
      </c>
      <c r="D222" s="15" t="str">
        <f>VLOOKUP(C222,skill_list!$B$7:$C$1030,2)</f>
        <v>ミストイングレイブ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738</v>
      </c>
      <c r="K222" s="15">
        <v>3690</v>
      </c>
      <c r="L222" s="15">
        <v>4</v>
      </c>
      <c r="M222" s="15">
        <v>1.75</v>
      </c>
      <c r="N222" s="15">
        <v>0</v>
      </c>
      <c r="O222" s="15">
        <v>0</v>
      </c>
      <c r="P222" s="14">
        <v>1</v>
      </c>
      <c r="Q222" s="11" t="s">
        <v>734</v>
      </c>
      <c r="R222" s="15"/>
      <c r="S222" s="15"/>
      <c r="T222" s="15"/>
    </row>
    <row r="223" spans="1:20">
      <c r="A223" s="8"/>
      <c r="B223" s="15">
        <v>2071</v>
      </c>
      <c r="C223" s="15">
        <v>194</v>
      </c>
      <c r="D223" s="15" t="str">
        <f>VLOOKUP(C223,skill_list!$B$7:$C$1030,2)</f>
        <v>渾身銃撃</v>
      </c>
      <c r="E223" s="11"/>
      <c r="F223" s="15">
        <v>2</v>
      </c>
      <c r="G223" s="15">
        <v>1</v>
      </c>
      <c r="H223" s="15">
        <v>0</v>
      </c>
      <c r="I223" s="15">
        <v>0</v>
      </c>
      <c r="J223" s="15">
        <v>738</v>
      </c>
      <c r="K223" s="15">
        <v>3690</v>
      </c>
      <c r="L223" s="15">
        <v>1</v>
      </c>
      <c r="M223" s="15">
        <v>1.75</v>
      </c>
      <c r="N223" s="15">
        <v>0</v>
      </c>
      <c r="O223" s="15">
        <v>30</v>
      </c>
      <c r="P223" s="14">
        <v>1</v>
      </c>
      <c r="Q223" s="11" t="s">
        <v>734</v>
      </c>
      <c r="R223" s="15"/>
      <c r="S223" s="15"/>
      <c r="T223" s="15"/>
    </row>
    <row r="224" spans="1:20">
      <c r="A224" s="8"/>
      <c r="B224" s="15">
        <v>2072</v>
      </c>
      <c r="C224" s="15">
        <v>3</v>
      </c>
      <c r="D224" s="15" t="str">
        <f>VLOOKUP(C224,skill_list!$B$7:$C$1030,2)</f>
        <v>スピニングスラッシュ</v>
      </c>
      <c r="E224" s="11"/>
      <c r="F224" s="15">
        <v>0</v>
      </c>
      <c r="G224" s="15">
        <v>1</v>
      </c>
      <c r="H224" s="15">
        <v>2</v>
      </c>
      <c r="I224" s="15">
        <v>0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734</v>
      </c>
      <c r="R224" s="15"/>
      <c r="S224" s="15"/>
      <c r="T224" s="15"/>
    </row>
    <row r="225" spans="1:20">
      <c r="A225" s="8"/>
      <c r="B225" s="15">
        <v>2073</v>
      </c>
      <c r="C225" s="15">
        <v>248</v>
      </c>
      <c r="D225" s="15" t="str">
        <f>VLOOKUP(C225,skill_list!$B$7:$C$1030,2)</f>
        <v>バーニングインパクト</v>
      </c>
      <c r="E225" s="11"/>
      <c r="F225" s="15">
        <v>1</v>
      </c>
      <c r="G225" s="15">
        <v>2</v>
      </c>
      <c r="H225" s="15">
        <v>0</v>
      </c>
      <c r="I225" s="15">
        <v>1</v>
      </c>
      <c r="J225" s="15">
        <v>726</v>
      </c>
      <c r="K225" s="15">
        <v>3630</v>
      </c>
      <c r="L225" s="15">
        <v>2</v>
      </c>
      <c r="M225" s="15">
        <v>1.6</v>
      </c>
      <c r="N225" s="15">
        <v>30</v>
      </c>
      <c r="O225" s="15">
        <v>0</v>
      </c>
      <c r="P225" s="14">
        <v>2</v>
      </c>
      <c r="Q225" s="11" t="s">
        <v>734</v>
      </c>
      <c r="R225" s="15"/>
      <c r="S225" s="15"/>
      <c r="T225" s="15"/>
    </row>
    <row r="226" spans="1:20">
      <c r="A226" s="8"/>
      <c r="B226" s="15">
        <v>2074</v>
      </c>
      <c r="C226" s="15">
        <v>368</v>
      </c>
      <c r="D226" s="15" t="str">
        <f>VLOOKUP(C226,skill_list!$B$7:$C$1030,2)</f>
        <v>レッドオペレーション</v>
      </c>
      <c r="E226" s="11"/>
      <c r="F226" s="15">
        <v>2</v>
      </c>
      <c r="G226" s="15">
        <v>1</v>
      </c>
      <c r="H226" s="15">
        <v>0</v>
      </c>
      <c r="I226" s="15">
        <v>1</v>
      </c>
      <c r="J226" s="15">
        <v>726</v>
      </c>
      <c r="K226" s="15">
        <v>3630</v>
      </c>
      <c r="L226" s="15">
        <v>3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734</v>
      </c>
      <c r="R226" s="15"/>
      <c r="S226" s="15"/>
      <c r="T226" s="15"/>
    </row>
    <row r="227" spans="1:20">
      <c r="A227" s="8"/>
      <c r="B227" s="15">
        <v>2075</v>
      </c>
      <c r="C227" s="15">
        <v>229</v>
      </c>
      <c r="D227" s="15" t="str">
        <f>VLOOKUP(C227,skill_list!$B$7:$C$1030,2)</f>
        <v>フューリーインパルス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734</v>
      </c>
      <c r="R227" s="15"/>
      <c r="S227" s="15"/>
      <c r="T227" s="15"/>
    </row>
    <row r="228" spans="1:20">
      <c r="A228" s="8"/>
      <c r="B228" s="15">
        <v>2076</v>
      </c>
      <c r="C228" s="15">
        <v>343</v>
      </c>
      <c r="D228" s="15" t="str">
        <f>VLOOKUP(C228,skill_list!$B$7:$C$1030,2)</f>
        <v>天の慈悲</v>
      </c>
      <c r="E228" s="11"/>
      <c r="F228" s="15">
        <v>1</v>
      </c>
      <c r="G228" s="15">
        <v>2</v>
      </c>
      <c r="H228" s="15">
        <v>0</v>
      </c>
      <c r="I228" s="15">
        <v>3</v>
      </c>
      <c r="J228" s="15">
        <v>726</v>
      </c>
      <c r="K228" s="15">
        <v>3630</v>
      </c>
      <c r="L228" s="15">
        <v>2</v>
      </c>
      <c r="M228" s="15">
        <v>1.6</v>
      </c>
      <c r="N228" s="15">
        <v>30</v>
      </c>
      <c r="O228" s="15">
        <v>0</v>
      </c>
      <c r="P228" s="14">
        <v>2</v>
      </c>
      <c r="Q228" s="11" t="s">
        <v>734</v>
      </c>
      <c r="R228" s="15"/>
      <c r="S228" s="15"/>
      <c r="T228" s="15"/>
    </row>
    <row r="229" spans="1:20">
      <c r="A229" s="8"/>
      <c r="B229" s="15">
        <v>2077</v>
      </c>
      <c r="C229" s="15">
        <v>427</v>
      </c>
      <c r="D229" s="15" t="str">
        <f>VLOOKUP(C229,skill_list!$B$7:$C$1030,2)</f>
        <v>ファンタズム</v>
      </c>
      <c r="E229" s="11"/>
      <c r="F229" s="15">
        <v>0</v>
      </c>
      <c r="G229" s="15">
        <v>1</v>
      </c>
      <c r="H229" s="15">
        <v>2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734</v>
      </c>
      <c r="R229" s="15"/>
      <c r="S229" s="15"/>
      <c r="T229" s="15"/>
    </row>
    <row r="230" spans="1:20">
      <c r="A230" s="8"/>
      <c r="B230" s="15">
        <v>2078</v>
      </c>
      <c r="C230" s="15">
        <v>231</v>
      </c>
      <c r="D230" s="15" t="str">
        <f>VLOOKUP(C230,skill_list!$B$7:$C$1030,2)</f>
        <v>ミストスラッシュ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734</v>
      </c>
      <c r="R230" s="15"/>
      <c r="S230" s="15"/>
      <c r="T230" s="15"/>
    </row>
    <row r="231" spans="1:20">
      <c r="A231" s="8"/>
      <c r="B231" s="15">
        <v>2079</v>
      </c>
      <c r="C231" s="15">
        <v>192</v>
      </c>
      <c r="D231" s="15" t="str">
        <f>VLOOKUP(C231,skill_list!$B$7:$C$1030,2)</f>
        <v>アイススラッシュ</v>
      </c>
      <c r="E231" s="11"/>
      <c r="F231" s="15">
        <v>1</v>
      </c>
      <c r="G231" s="15">
        <v>2</v>
      </c>
      <c r="H231" s="15">
        <v>0</v>
      </c>
      <c r="I231" s="15">
        <v>2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734</v>
      </c>
      <c r="R231" s="15"/>
      <c r="S231" s="15"/>
      <c r="T231" s="15"/>
    </row>
    <row r="232" spans="1:20">
      <c r="A232" s="8"/>
      <c r="B232" s="15">
        <v>2080</v>
      </c>
      <c r="C232" s="15">
        <v>455</v>
      </c>
      <c r="D232" s="15" t="str">
        <f>VLOOKUP(C232,skill_list!$B$7:$C$1030,2)</f>
        <v>シャインテラー</v>
      </c>
      <c r="E232" s="11"/>
      <c r="F232" s="15">
        <v>0</v>
      </c>
      <c r="G232" s="15">
        <v>1</v>
      </c>
      <c r="H232" s="15">
        <v>2</v>
      </c>
      <c r="I232" s="15">
        <v>4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734</v>
      </c>
      <c r="R232" s="15"/>
      <c r="S232" s="15"/>
      <c r="T232" s="15"/>
    </row>
    <row r="233" spans="1:20">
      <c r="A233" s="8"/>
      <c r="B233" s="15">
        <v>2081</v>
      </c>
      <c r="C233" s="15">
        <v>77</v>
      </c>
      <c r="D233" s="15" t="str">
        <f>VLOOKUP(C233,skill_list!$B$7:$C$1030,2)</f>
        <v>ビスコッティ</v>
      </c>
      <c r="E233" s="11"/>
      <c r="F233" s="15">
        <v>2</v>
      </c>
      <c r="G233" s="15">
        <v>1</v>
      </c>
      <c r="H233" s="15">
        <v>0</v>
      </c>
      <c r="I233" s="15">
        <v>0</v>
      </c>
      <c r="J233" s="15">
        <v>726</v>
      </c>
      <c r="K233" s="15">
        <v>3630</v>
      </c>
      <c r="L233" s="15">
        <v>2</v>
      </c>
      <c r="M233" s="15">
        <v>1.6</v>
      </c>
      <c r="N233" s="15">
        <v>0</v>
      </c>
      <c r="O233" s="15">
        <v>30</v>
      </c>
      <c r="P233" s="14">
        <v>2</v>
      </c>
      <c r="Q233" s="11" t="s">
        <v>734</v>
      </c>
      <c r="R233" s="15"/>
      <c r="S233" s="15"/>
      <c r="T233" s="15"/>
    </row>
    <row r="234" spans="1:20">
      <c r="A234" s="8"/>
      <c r="B234" s="15">
        <v>2082</v>
      </c>
      <c r="C234" s="15">
        <v>212</v>
      </c>
      <c r="D234" s="15" t="str">
        <f>VLOOKUP(C234,skill_list!$B$7:$C$1030,2)</f>
        <v>粛正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734</v>
      </c>
      <c r="R234" s="15"/>
      <c r="S234" s="15"/>
      <c r="T234" s="15"/>
    </row>
    <row r="235" spans="1:20">
      <c r="A235" s="8"/>
      <c r="B235" s="15">
        <v>2083</v>
      </c>
      <c r="C235" s="15">
        <v>401</v>
      </c>
      <c r="D235" s="15" t="str">
        <f>VLOOKUP(C235,skill_list!$B$7:$C$1030,2)</f>
        <v>朧</v>
      </c>
      <c r="E235" s="11"/>
      <c r="F235" s="15">
        <v>0</v>
      </c>
      <c r="G235" s="15">
        <v>1</v>
      </c>
      <c r="H235" s="15">
        <v>2</v>
      </c>
      <c r="I235" s="15">
        <v>4</v>
      </c>
      <c r="J235" s="15">
        <v>726</v>
      </c>
      <c r="K235" s="15">
        <v>3630</v>
      </c>
      <c r="L235" s="15">
        <v>1</v>
      </c>
      <c r="M235" s="15">
        <v>1.6</v>
      </c>
      <c r="N235" s="15">
        <v>0</v>
      </c>
      <c r="O235" s="15">
        <v>0</v>
      </c>
      <c r="P235" s="14">
        <v>2</v>
      </c>
      <c r="Q235" s="11" t="s">
        <v>734</v>
      </c>
      <c r="R235" s="15"/>
      <c r="S235" s="15"/>
      <c r="T235" s="15"/>
    </row>
    <row r="236" spans="1:20">
      <c r="A236" s="8"/>
      <c r="B236" s="15">
        <v>2084</v>
      </c>
      <c r="C236" s="15">
        <v>265</v>
      </c>
      <c r="D236" s="15" t="str">
        <f>VLOOKUP(C236,skill_list!$B$7:$C$1030,2)</f>
        <v>神妙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726</v>
      </c>
      <c r="K236" s="15">
        <v>3630</v>
      </c>
      <c r="L236" s="15">
        <v>2</v>
      </c>
      <c r="M236" s="15">
        <v>1.6</v>
      </c>
      <c r="N236" s="15">
        <v>0</v>
      </c>
      <c r="O236" s="15">
        <v>0</v>
      </c>
      <c r="P236" s="14">
        <v>2</v>
      </c>
      <c r="Q236" s="11" t="s">
        <v>734</v>
      </c>
      <c r="R236" s="15"/>
      <c r="S236" s="15"/>
      <c r="T236" s="15"/>
    </row>
    <row r="237" spans="1:20">
      <c r="A237" s="8"/>
      <c r="B237" s="15">
        <v>2085</v>
      </c>
      <c r="C237" s="15">
        <v>365</v>
      </c>
      <c r="D237" s="15" t="str">
        <f>VLOOKUP(C237,skill_list!$B$7:$C$1030,2)</f>
        <v>ファイトパッション</v>
      </c>
      <c r="E237" s="11"/>
      <c r="F237" s="15">
        <v>5</v>
      </c>
      <c r="G237" s="15">
        <v>0</v>
      </c>
      <c r="H237" s="15">
        <v>0</v>
      </c>
      <c r="I237" s="15">
        <v>5</v>
      </c>
      <c r="J237" s="15">
        <v>726</v>
      </c>
      <c r="K237" s="15">
        <v>3630</v>
      </c>
      <c r="L237" s="15">
        <v>2</v>
      </c>
      <c r="M237" s="15">
        <v>1.6</v>
      </c>
      <c r="N237" s="15">
        <v>0</v>
      </c>
      <c r="O237" s="15">
        <v>0</v>
      </c>
      <c r="P237" s="14">
        <v>2</v>
      </c>
      <c r="Q237" s="11" t="s">
        <v>734</v>
      </c>
      <c r="R237" s="15"/>
      <c r="S237" s="15"/>
      <c r="T237" s="15"/>
    </row>
    <row r="238" spans="1:20">
      <c r="A238" s="8"/>
      <c r="B238" s="15">
        <v>2086</v>
      </c>
      <c r="C238" s="15">
        <v>348</v>
      </c>
      <c r="D238" s="15" t="str">
        <f>VLOOKUP(C238,skill_list!$B$7:$C$1030,2)</f>
        <v>儚き目覚め</v>
      </c>
      <c r="E238" s="11"/>
      <c r="F238" s="15">
        <v>5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734</v>
      </c>
      <c r="R238" s="15"/>
      <c r="S238" s="15"/>
      <c r="T238" s="15"/>
    </row>
    <row r="239" spans="1:20">
      <c r="A239" s="8"/>
      <c r="B239" s="15">
        <v>2087</v>
      </c>
      <c r="C239" s="15">
        <v>210</v>
      </c>
      <c r="D239" s="15" t="str">
        <f>VLOOKUP(C239,skill_list!$B$7:$C$1030,2)</f>
        <v>スライスショット</v>
      </c>
      <c r="E239" s="11"/>
      <c r="F239" s="15">
        <v>2</v>
      </c>
      <c r="G239" s="15">
        <v>1</v>
      </c>
      <c r="H239" s="15">
        <v>0</v>
      </c>
      <c r="I239" s="15">
        <v>0</v>
      </c>
      <c r="J239" s="15">
        <v>726</v>
      </c>
      <c r="K239" s="15">
        <v>3630</v>
      </c>
      <c r="L239" s="15">
        <v>1</v>
      </c>
      <c r="M239" s="15">
        <v>1.6</v>
      </c>
      <c r="N239" s="15">
        <v>0</v>
      </c>
      <c r="O239" s="15">
        <v>30</v>
      </c>
      <c r="P239" s="14">
        <v>2</v>
      </c>
      <c r="Q239" s="11" t="s">
        <v>734</v>
      </c>
      <c r="R239" s="15"/>
      <c r="S239" s="15"/>
      <c r="T239" s="15"/>
    </row>
    <row r="240" spans="1:20">
      <c r="A240" s="8"/>
      <c r="B240" s="15">
        <v>2088</v>
      </c>
      <c r="C240" s="15">
        <v>414</v>
      </c>
      <c r="D240" s="15" t="str">
        <f>VLOOKUP(C240,skill_list!$B$7:$C$1030,2)</f>
        <v>アバランチ</v>
      </c>
      <c r="E240" s="11"/>
      <c r="F240" s="15">
        <v>2</v>
      </c>
      <c r="G240" s="15">
        <v>1</v>
      </c>
      <c r="H240" s="15">
        <v>0</v>
      </c>
      <c r="I240" s="15">
        <v>2</v>
      </c>
      <c r="J240" s="15">
        <v>726</v>
      </c>
      <c r="K240" s="15">
        <v>3630</v>
      </c>
      <c r="L240" s="15">
        <v>1</v>
      </c>
      <c r="M240" s="15">
        <v>1.6</v>
      </c>
      <c r="N240" s="15">
        <v>0</v>
      </c>
      <c r="O240" s="15">
        <v>30</v>
      </c>
      <c r="P240" s="14">
        <v>2</v>
      </c>
      <c r="Q240" s="11" t="s">
        <v>734</v>
      </c>
      <c r="R240" s="15"/>
      <c r="S240" s="15"/>
      <c r="T240" s="15"/>
    </row>
    <row r="241" spans="1:20">
      <c r="A241" s="8"/>
      <c r="B241" s="15">
        <v>2089</v>
      </c>
      <c r="C241" s="15">
        <v>349</v>
      </c>
      <c r="D241" s="15" t="str">
        <f>VLOOKUP(C241,skill_list!$B$7:$C$1030,2)</f>
        <v>大海原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726</v>
      </c>
      <c r="K241" s="15">
        <v>3630</v>
      </c>
      <c r="L241" s="15">
        <v>1</v>
      </c>
      <c r="M241" s="15">
        <v>1.6</v>
      </c>
      <c r="N241" s="15">
        <v>0</v>
      </c>
      <c r="O241" s="15">
        <v>0</v>
      </c>
      <c r="P241" s="14">
        <v>2</v>
      </c>
      <c r="Q241" s="11" t="s">
        <v>734</v>
      </c>
      <c r="R241" s="15"/>
      <c r="S241" s="15"/>
      <c r="T241" s="15"/>
    </row>
    <row r="242" spans="1:20">
      <c r="A242" s="8"/>
      <c r="B242" s="15">
        <v>2090</v>
      </c>
      <c r="C242" s="15">
        <v>330</v>
      </c>
      <c r="D242" s="15" t="str">
        <f>VLOOKUP(C242,skill_list!$B$7:$C$1030,2)</f>
        <v>負けるな、私</v>
      </c>
      <c r="E242" s="11"/>
      <c r="F242" s="15">
        <v>1</v>
      </c>
      <c r="G242" s="15">
        <v>2</v>
      </c>
      <c r="H242" s="15">
        <v>0</v>
      </c>
      <c r="I242" s="15">
        <v>1</v>
      </c>
      <c r="J242" s="15">
        <v>726</v>
      </c>
      <c r="K242" s="15">
        <v>3630</v>
      </c>
      <c r="L242" s="15">
        <v>3</v>
      </c>
      <c r="M242" s="15">
        <v>1.6</v>
      </c>
      <c r="N242" s="15">
        <v>30</v>
      </c>
      <c r="O242" s="15">
        <v>0</v>
      </c>
      <c r="P242" s="14">
        <v>2</v>
      </c>
      <c r="Q242" s="11" t="s">
        <v>734</v>
      </c>
      <c r="R242" s="15"/>
      <c r="S242" s="15"/>
      <c r="T242" s="15"/>
    </row>
    <row r="243" spans="1:20">
      <c r="A243" s="8"/>
      <c r="B243" s="15">
        <v>2091</v>
      </c>
      <c r="C243" s="15">
        <v>133</v>
      </c>
      <c r="D243" s="15" t="str">
        <f>VLOOKUP(C243,skill_list!$B$7:$C$1030,2)</f>
        <v>桜華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3</v>
      </c>
      <c r="M243" s="15">
        <v>1.6</v>
      </c>
      <c r="N243" s="15">
        <v>0</v>
      </c>
      <c r="O243" s="15">
        <v>0</v>
      </c>
      <c r="P243" s="14">
        <v>2</v>
      </c>
      <c r="Q243" s="11" t="s">
        <v>734</v>
      </c>
      <c r="R243" s="15"/>
      <c r="S243" s="15"/>
      <c r="T243" s="15"/>
    </row>
    <row r="244" spans="1:20">
      <c r="A244" s="8"/>
      <c r="B244" s="15">
        <v>2092</v>
      </c>
      <c r="C244" s="15">
        <v>241</v>
      </c>
      <c r="D244" s="15" t="str">
        <f>VLOOKUP(C244,skill_list!$B$7:$C$1030,2)</f>
        <v>怒裂昂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726</v>
      </c>
      <c r="K244" s="15">
        <v>3630</v>
      </c>
      <c r="L244" s="15">
        <v>3</v>
      </c>
      <c r="M244" s="15">
        <v>1.6</v>
      </c>
      <c r="N244" s="15">
        <v>0</v>
      </c>
      <c r="O244" s="15">
        <v>0</v>
      </c>
      <c r="P244" s="14">
        <v>2</v>
      </c>
      <c r="Q244" s="11" t="s">
        <v>734</v>
      </c>
      <c r="R244" s="15"/>
      <c r="S244" s="15"/>
      <c r="T244" s="15"/>
    </row>
    <row r="245" spans="1:20">
      <c r="A245" s="8"/>
      <c r="B245" s="15">
        <v>2093</v>
      </c>
      <c r="C245" s="15">
        <v>324</v>
      </c>
      <c r="D245" s="15" t="str">
        <f>VLOOKUP(C245,skill_list!$B$7:$C$1030,2)</f>
        <v>トランスペイン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726</v>
      </c>
      <c r="K245" s="15">
        <v>3630</v>
      </c>
      <c r="L245" s="15">
        <v>3</v>
      </c>
      <c r="M245" s="15">
        <v>1.6</v>
      </c>
      <c r="N245" s="15">
        <v>0</v>
      </c>
      <c r="O245" s="15">
        <v>0</v>
      </c>
      <c r="P245" s="14">
        <v>2</v>
      </c>
      <c r="Q245" s="11" t="s">
        <v>734</v>
      </c>
      <c r="R245" s="15"/>
      <c r="S245" s="15"/>
      <c r="T245" s="15"/>
    </row>
    <row r="246" spans="1:20">
      <c r="A246" s="8"/>
      <c r="B246" s="15">
        <v>2094</v>
      </c>
      <c r="C246" s="15">
        <v>259</v>
      </c>
      <c r="D246" s="15" t="str">
        <f>VLOOKUP(C246,skill_list!$B$7:$C$1030,2)</f>
        <v>不純なアリア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726</v>
      </c>
      <c r="K246" s="15">
        <v>3630</v>
      </c>
      <c r="L246" s="15">
        <v>3</v>
      </c>
      <c r="M246" s="15">
        <v>1.6</v>
      </c>
      <c r="N246" s="15">
        <v>0</v>
      </c>
      <c r="O246" s="15">
        <v>0</v>
      </c>
      <c r="P246" s="14">
        <v>2</v>
      </c>
      <c r="Q246" s="11" t="s">
        <v>734</v>
      </c>
      <c r="R246" s="15"/>
      <c r="S246" s="15"/>
      <c r="T246" s="15"/>
    </row>
    <row r="247" spans="1:20">
      <c r="A247" s="8"/>
      <c r="B247" s="15">
        <v>2095</v>
      </c>
      <c r="C247" s="15">
        <v>286</v>
      </c>
      <c r="D247" s="15" t="str">
        <f>VLOOKUP(C247,skill_list!$B$7:$C$1030,2)</f>
        <v>武血伽魔死</v>
      </c>
      <c r="E247" s="11"/>
      <c r="F247" s="15">
        <v>0</v>
      </c>
      <c r="G247" s="15">
        <v>1</v>
      </c>
      <c r="H247" s="15">
        <v>2</v>
      </c>
      <c r="I247" s="15">
        <v>5</v>
      </c>
      <c r="J247" s="15">
        <v>726</v>
      </c>
      <c r="K247" s="15">
        <v>3630</v>
      </c>
      <c r="L247" s="15">
        <v>1</v>
      </c>
      <c r="M247" s="15">
        <v>6.4</v>
      </c>
      <c r="N247" s="15">
        <v>0</v>
      </c>
      <c r="O247" s="15">
        <v>0</v>
      </c>
      <c r="P247" s="14">
        <v>2</v>
      </c>
      <c r="Q247" s="11" t="s">
        <v>734</v>
      </c>
      <c r="R247" s="15"/>
      <c r="S247" s="15"/>
      <c r="T247" s="15"/>
    </row>
    <row r="248" spans="1:20">
      <c r="A248" s="8"/>
      <c r="B248" s="15">
        <v>2096</v>
      </c>
      <c r="C248" s="15">
        <v>397</v>
      </c>
      <c r="D248" s="15" t="str">
        <f>VLOOKUP(C248,skill_list!$B$7:$C$1030,2)</f>
        <v>春雷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726</v>
      </c>
      <c r="K248" s="15">
        <v>3630</v>
      </c>
      <c r="L248" s="15">
        <v>3</v>
      </c>
      <c r="M248" s="15">
        <v>1.6</v>
      </c>
      <c r="N248" s="15">
        <v>0</v>
      </c>
      <c r="O248" s="15">
        <v>0</v>
      </c>
      <c r="P248" s="14">
        <v>2</v>
      </c>
      <c r="Q248" s="11" t="s">
        <v>734</v>
      </c>
      <c r="R248" s="15"/>
      <c r="S248" s="15"/>
      <c r="T248" s="15"/>
    </row>
    <row r="249" spans="1:20">
      <c r="A249" s="8"/>
      <c r="B249" s="15">
        <v>2097</v>
      </c>
      <c r="C249" s="15">
        <v>400</v>
      </c>
      <c r="D249" s="15" t="str">
        <f>VLOOKUP(C249,skill_list!$B$7:$C$1030,2)</f>
        <v>ジーナーカーナー</v>
      </c>
      <c r="E249" s="11"/>
      <c r="F249" s="15">
        <v>3</v>
      </c>
      <c r="G249" s="15">
        <v>0</v>
      </c>
      <c r="H249" s="15">
        <v>0</v>
      </c>
      <c r="I249" s="15">
        <v>0</v>
      </c>
      <c r="J249" s="15">
        <v>726</v>
      </c>
      <c r="K249" s="15">
        <v>3630</v>
      </c>
      <c r="L249" s="15">
        <v>3</v>
      </c>
      <c r="M249" s="15">
        <v>1.6</v>
      </c>
      <c r="N249" s="15">
        <v>0</v>
      </c>
      <c r="O249" s="15">
        <v>0</v>
      </c>
      <c r="P249" s="14">
        <v>2</v>
      </c>
      <c r="Q249" s="11" t="s">
        <v>734</v>
      </c>
      <c r="R249" s="15"/>
      <c r="S249" s="15"/>
      <c r="T249" s="15"/>
    </row>
    <row r="250" spans="1:20">
      <c r="A250" s="8"/>
      <c r="B250" s="15">
        <v>2098</v>
      </c>
      <c r="C250" s="15">
        <v>438</v>
      </c>
      <c r="D250" s="15" t="str">
        <f>VLOOKUP(C250,skill_list!$B$7:$C$1030,2)</f>
        <v>フローズンタイム</v>
      </c>
      <c r="E250" s="11"/>
      <c r="F250" s="15">
        <v>1</v>
      </c>
      <c r="G250" s="15">
        <v>2</v>
      </c>
      <c r="H250" s="15">
        <v>0</v>
      </c>
      <c r="I250" s="15">
        <v>2</v>
      </c>
      <c r="J250" s="15">
        <v>726</v>
      </c>
      <c r="K250" s="15">
        <v>3630</v>
      </c>
      <c r="L250" s="15">
        <v>2</v>
      </c>
      <c r="M250" s="15">
        <v>1.6</v>
      </c>
      <c r="N250" s="15">
        <v>30</v>
      </c>
      <c r="O250" s="15">
        <v>0</v>
      </c>
      <c r="P250" s="14">
        <v>2</v>
      </c>
      <c r="Q250" s="11" t="s">
        <v>734</v>
      </c>
      <c r="R250" s="15"/>
      <c r="S250" s="15"/>
      <c r="T250" s="15"/>
    </row>
    <row r="251" spans="1:20">
      <c r="A251" s="8"/>
      <c r="B251" s="15">
        <v>2099</v>
      </c>
      <c r="C251" s="15">
        <v>319</v>
      </c>
      <c r="D251" s="15" t="str">
        <f>VLOOKUP(C251,skill_list!$B$7:$C$1030,2)</f>
        <v>ダウンビート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726</v>
      </c>
      <c r="K251" s="15">
        <v>3630</v>
      </c>
      <c r="L251" s="15">
        <v>3</v>
      </c>
      <c r="M251" s="15">
        <v>1.6</v>
      </c>
      <c r="N251" s="15">
        <v>0</v>
      </c>
      <c r="O251" s="15">
        <v>0</v>
      </c>
      <c r="P251" s="14">
        <v>2</v>
      </c>
      <c r="Q251" s="11" t="s">
        <v>734</v>
      </c>
      <c r="R251" s="15"/>
      <c r="S251" s="15"/>
      <c r="T251" s="15"/>
    </row>
    <row r="252" spans="1:20">
      <c r="A252" s="8"/>
      <c r="B252" s="15">
        <v>2100</v>
      </c>
      <c r="C252" s="15">
        <v>303</v>
      </c>
      <c r="D252" s="15" t="str">
        <f>VLOOKUP(C252,skill_list!$B$7:$C$1030,2)</f>
        <v>サンダーパルス</v>
      </c>
      <c r="E252" s="11"/>
      <c r="F252" s="15">
        <v>2</v>
      </c>
      <c r="G252" s="15">
        <v>1</v>
      </c>
      <c r="H252" s="15">
        <v>0</v>
      </c>
      <c r="I252" s="15">
        <v>3</v>
      </c>
      <c r="J252" s="15">
        <v>591</v>
      </c>
      <c r="K252" s="15">
        <v>2955</v>
      </c>
      <c r="L252" s="15">
        <v>2</v>
      </c>
      <c r="M252" s="15">
        <v>1.4</v>
      </c>
      <c r="N252" s="15">
        <v>0</v>
      </c>
      <c r="O252" s="15">
        <v>30</v>
      </c>
      <c r="P252" s="14">
        <v>2</v>
      </c>
      <c r="Q252" s="11" t="s">
        <v>734</v>
      </c>
      <c r="R252" s="15"/>
      <c r="S252" s="15"/>
      <c r="T252" s="15"/>
    </row>
    <row r="253" spans="1:20">
      <c r="A253" s="8"/>
      <c r="B253" s="15">
        <v>2101</v>
      </c>
      <c r="C253" s="15">
        <v>27</v>
      </c>
      <c r="D253" s="15" t="str">
        <f>VLOOKUP(C253,skill_list!$B$7:$C$1030,2)</f>
        <v>ワイルドスロー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591</v>
      </c>
      <c r="K253" s="15">
        <v>2955</v>
      </c>
      <c r="L253" s="15">
        <v>3</v>
      </c>
      <c r="M253" s="15">
        <v>5.6</v>
      </c>
      <c r="N253" s="15">
        <v>0</v>
      </c>
      <c r="O253" s="15">
        <v>0</v>
      </c>
      <c r="P253" s="14">
        <v>2</v>
      </c>
      <c r="Q253" s="11" t="s">
        <v>734</v>
      </c>
      <c r="R253" s="15"/>
      <c r="S253" s="15"/>
      <c r="T253" s="15"/>
    </row>
    <row r="254" spans="1:20">
      <c r="A254" s="8"/>
      <c r="B254" s="15">
        <v>2102</v>
      </c>
      <c r="C254" s="15">
        <v>33</v>
      </c>
      <c r="D254" s="15" t="str">
        <f>VLOOKUP(C254,skill_list!$B$7:$C$1030,2)</f>
        <v>闘気斬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591</v>
      </c>
      <c r="K254" s="15">
        <v>2955</v>
      </c>
      <c r="L254" s="15">
        <v>3</v>
      </c>
      <c r="M254" s="15">
        <v>1.4</v>
      </c>
      <c r="N254" s="15">
        <v>0</v>
      </c>
      <c r="O254" s="15">
        <v>0</v>
      </c>
      <c r="P254" s="14">
        <v>2</v>
      </c>
      <c r="Q254" s="11" t="s">
        <v>734</v>
      </c>
      <c r="R254" s="15"/>
      <c r="S254" s="15"/>
      <c r="T254" s="15"/>
    </row>
    <row r="255" spans="1:20">
      <c r="A255" s="8"/>
      <c r="B255" s="15">
        <v>2103</v>
      </c>
      <c r="C255" s="15">
        <v>76</v>
      </c>
      <c r="D255" s="15" t="str">
        <f>VLOOKUP(C255,skill_list!$B$7:$C$1030,2)</f>
        <v>プレッツェル</v>
      </c>
      <c r="E255" s="11"/>
      <c r="F255" s="15">
        <v>2</v>
      </c>
      <c r="G255" s="15">
        <v>1</v>
      </c>
      <c r="H255" s="15">
        <v>0</v>
      </c>
      <c r="I255" s="15">
        <v>0</v>
      </c>
      <c r="J255" s="15">
        <v>591</v>
      </c>
      <c r="K255" s="15">
        <v>2955</v>
      </c>
      <c r="L255" s="15">
        <v>2</v>
      </c>
      <c r="M255" s="15">
        <v>1.4</v>
      </c>
      <c r="N255" s="15">
        <v>0</v>
      </c>
      <c r="O255" s="15">
        <v>30</v>
      </c>
      <c r="P255" s="14">
        <v>2</v>
      </c>
      <c r="Q255" s="11" t="s">
        <v>734</v>
      </c>
      <c r="R255" s="15"/>
      <c r="S255" s="15"/>
      <c r="T255" s="15"/>
    </row>
    <row r="256" spans="1:20">
      <c r="A256" s="8"/>
      <c r="B256" s="15">
        <v>2104</v>
      </c>
      <c r="C256" s="15">
        <v>218</v>
      </c>
      <c r="D256" s="15" t="str">
        <f>VLOOKUP(C256,skill_list!$B$7:$C$1030,2)</f>
        <v>薙の矢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591</v>
      </c>
      <c r="K256" s="15">
        <v>2955</v>
      </c>
      <c r="L256" s="15">
        <v>2</v>
      </c>
      <c r="M256" s="15">
        <v>1.4</v>
      </c>
      <c r="N256" s="15">
        <v>0</v>
      </c>
      <c r="O256" s="15">
        <v>0</v>
      </c>
      <c r="P256" s="14">
        <v>2</v>
      </c>
      <c r="Q256" s="11" t="s">
        <v>734</v>
      </c>
      <c r="R256" s="15"/>
      <c r="S256" s="15"/>
      <c r="T256" s="15"/>
    </row>
    <row r="257" spans="1:20">
      <c r="A257" s="8"/>
      <c r="B257" s="15">
        <v>2105</v>
      </c>
      <c r="C257" s="15">
        <v>362</v>
      </c>
      <c r="D257" s="15" t="str">
        <f>VLOOKUP(C257,skill_list!$B$7:$C$1030,2)</f>
        <v>R.I.P.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591</v>
      </c>
      <c r="K257" s="15">
        <v>2955</v>
      </c>
      <c r="L257" s="15">
        <v>3</v>
      </c>
      <c r="M257" s="15">
        <v>1.4</v>
      </c>
      <c r="N257" s="15">
        <v>0</v>
      </c>
      <c r="O257" s="15">
        <v>0</v>
      </c>
      <c r="P257" s="14">
        <v>2</v>
      </c>
      <c r="Q257" s="11" t="s">
        <v>734</v>
      </c>
      <c r="R257" s="15"/>
      <c r="S257" s="15"/>
      <c r="T257" s="15"/>
    </row>
    <row r="258" spans="1:20">
      <c r="A258" s="8"/>
      <c r="B258" s="15">
        <v>2106</v>
      </c>
      <c r="C258" s="15">
        <v>239</v>
      </c>
      <c r="D258" s="15" t="str">
        <f>VLOOKUP(C258,skill_list!$B$7:$C$1030,2)</f>
        <v>キャンディ・バースト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591</v>
      </c>
      <c r="K258" s="15">
        <v>2955</v>
      </c>
      <c r="L258" s="15">
        <v>2</v>
      </c>
      <c r="M258" s="15">
        <v>1.4</v>
      </c>
      <c r="N258" s="15">
        <v>0</v>
      </c>
      <c r="O258" s="15">
        <v>0</v>
      </c>
      <c r="P258" s="14">
        <v>2</v>
      </c>
      <c r="Q258" s="11" t="s">
        <v>734</v>
      </c>
      <c r="R258" s="15"/>
      <c r="S258" s="15"/>
      <c r="T258" s="15"/>
    </row>
    <row r="259" spans="1:20">
      <c r="A259" s="8"/>
      <c r="B259" s="15">
        <v>2107</v>
      </c>
      <c r="C259" s="15">
        <v>283</v>
      </c>
      <c r="D259" s="15" t="str">
        <f>VLOOKUP(C259,skill_list!$B$7:$C$1030,2)</f>
        <v>シャドウインサイト</v>
      </c>
      <c r="E259" s="11"/>
      <c r="F259" s="15">
        <v>2</v>
      </c>
      <c r="G259" s="15">
        <v>1</v>
      </c>
      <c r="H259" s="15">
        <v>0</v>
      </c>
      <c r="I259" s="15">
        <v>5</v>
      </c>
      <c r="J259" s="15">
        <v>591</v>
      </c>
      <c r="K259" s="15">
        <v>2955</v>
      </c>
      <c r="L259" s="15">
        <v>3</v>
      </c>
      <c r="M259" s="15">
        <v>1.4</v>
      </c>
      <c r="N259" s="15">
        <v>0</v>
      </c>
      <c r="O259" s="15">
        <v>30</v>
      </c>
      <c r="P259" s="14">
        <v>2</v>
      </c>
      <c r="Q259" s="11" t="s">
        <v>734</v>
      </c>
      <c r="R259" s="15"/>
      <c r="S259" s="15"/>
      <c r="T259" s="15"/>
    </row>
    <row r="260" spans="1:20">
      <c r="A260" s="8"/>
      <c r="B260" s="15">
        <v>2108</v>
      </c>
      <c r="C260" s="15">
        <v>309</v>
      </c>
      <c r="D260" s="15" t="str">
        <f>VLOOKUP(C260,skill_list!$B$7:$C$1030,2)</f>
        <v>フォーチュンスラッシュ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591</v>
      </c>
      <c r="K260" s="15">
        <v>2955</v>
      </c>
      <c r="L260" s="15">
        <v>2</v>
      </c>
      <c r="M260" s="15">
        <v>1.4</v>
      </c>
      <c r="N260" s="15">
        <v>0</v>
      </c>
      <c r="O260" s="15">
        <v>0</v>
      </c>
      <c r="P260" s="14">
        <v>2</v>
      </c>
      <c r="Q260" s="11" t="s">
        <v>734</v>
      </c>
      <c r="R260" s="15"/>
      <c r="S260" s="15"/>
      <c r="T260" s="15"/>
    </row>
    <row r="261" spans="1:20">
      <c r="A261" s="8"/>
      <c r="B261" s="15">
        <v>2109</v>
      </c>
      <c r="C261" s="15">
        <v>445</v>
      </c>
      <c r="D261" s="15" t="str">
        <f>VLOOKUP(C261,skill_list!$B$7:$C$1030,2)</f>
        <v>ヴァンダリズム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1</v>
      </c>
      <c r="M261" s="15">
        <v>1.4</v>
      </c>
      <c r="N261" s="15">
        <v>0</v>
      </c>
      <c r="O261" s="15">
        <v>0</v>
      </c>
      <c r="P261" s="14">
        <v>2</v>
      </c>
      <c r="Q261" s="11" t="s">
        <v>734</v>
      </c>
      <c r="R261" s="15"/>
      <c r="S261" s="15"/>
      <c r="T261" s="15"/>
    </row>
    <row r="262" spans="1:20">
      <c r="A262" s="8"/>
      <c r="B262" s="15">
        <v>2110</v>
      </c>
      <c r="C262" s="15">
        <v>2</v>
      </c>
      <c r="D262" s="15" t="str">
        <f>VLOOKUP(C262,skill_list!$B$7:$C$1030,2)</f>
        <v>クロス斬り</v>
      </c>
      <c r="E262" s="11"/>
      <c r="F262" s="15">
        <v>1</v>
      </c>
      <c r="G262" s="15">
        <v>2</v>
      </c>
      <c r="H262" s="15">
        <v>0</v>
      </c>
      <c r="I262" s="15">
        <v>0</v>
      </c>
      <c r="J262" s="15">
        <v>582</v>
      </c>
      <c r="K262" s="15">
        <v>2910</v>
      </c>
      <c r="L262" s="15">
        <v>2</v>
      </c>
      <c r="M262" s="15">
        <v>1.5</v>
      </c>
      <c r="N262" s="15">
        <v>30</v>
      </c>
      <c r="O262" s="15">
        <v>0</v>
      </c>
      <c r="P262" s="14">
        <v>1</v>
      </c>
      <c r="Q262" s="11" t="s">
        <v>734</v>
      </c>
      <c r="R262" s="15"/>
      <c r="S262" s="15"/>
      <c r="T262" s="15"/>
    </row>
    <row r="263" spans="1:20">
      <c r="A263" s="8"/>
      <c r="B263" s="15">
        <v>2111</v>
      </c>
      <c r="C263" s="15">
        <v>87</v>
      </c>
      <c r="D263" s="15" t="str">
        <f>VLOOKUP(C263,skill_list!$B$7:$C$1030,2)</f>
        <v>ブレイブソード</v>
      </c>
      <c r="E263" s="11"/>
      <c r="F263" s="15">
        <v>1</v>
      </c>
      <c r="G263" s="15">
        <v>2</v>
      </c>
      <c r="H263" s="15">
        <v>0</v>
      </c>
      <c r="I263" s="15">
        <v>0</v>
      </c>
      <c r="J263" s="15">
        <v>582</v>
      </c>
      <c r="K263" s="15">
        <v>2910</v>
      </c>
      <c r="L263" s="15">
        <v>4</v>
      </c>
      <c r="M263" s="15">
        <v>1.5</v>
      </c>
      <c r="N263" s="15">
        <v>30</v>
      </c>
      <c r="O263" s="15">
        <v>0</v>
      </c>
      <c r="P263" s="14">
        <v>1</v>
      </c>
      <c r="Q263" s="11" t="s">
        <v>734</v>
      </c>
      <c r="R263" s="15"/>
      <c r="S263" s="15"/>
      <c r="T263" s="15"/>
    </row>
    <row r="264" spans="1:20">
      <c r="A264" s="8"/>
      <c r="B264" s="15">
        <v>2112</v>
      </c>
      <c r="C264" s="15">
        <v>339</v>
      </c>
      <c r="D264" s="15" t="str">
        <f>VLOOKUP(C264,skill_list!$B$7:$C$1030,2)</f>
        <v>大切り盛り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582</v>
      </c>
      <c r="K264" s="15">
        <v>2910</v>
      </c>
      <c r="L264" s="15">
        <v>4</v>
      </c>
      <c r="M264" s="15">
        <v>6</v>
      </c>
      <c r="N264" s="15">
        <v>0</v>
      </c>
      <c r="O264" s="15">
        <v>0</v>
      </c>
      <c r="P264" s="14">
        <v>1</v>
      </c>
      <c r="Q264" s="11" t="s">
        <v>734</v>
      </c>
      <c r="R264" s="15"/>
      <c r="S264" s="15"/>
      <c r="T264" s="15"/>
    </row>
    <row r="265" spans="1:20">
      <c r="A265" s="8"/>
      <c r="B265" s="15">
        <v>2113</v>
      </c>
      <c r="C265" s="15">
        <v>328</v>
      </c>
      <c r="D265" s="15" t="str">
        <f>VLOOKUP(C265,skill_list!$B$7:$C$1030,2)</f>
        <v>先に逝くなよ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582</v>
      </c>
      <c r="K265" s="15">
        <v>2910</v>
      </c>
      <c r="L265" s="15">
        <v>4</v>
      </c>
      <c r="M265" s="15">
        <v>1.5</v>
      </c>
      <c r="N265" s="15">
        <v>0</v>
      </c>
      <c r="O265" s="15">
        <v>0</v>
      </c>
      <c r="P265" s="14">
        <v>1</v>
      </c>
      <c r="Q265" s="11" t="s">
        <v>734</v>
      </c>
      <c r="R265" s="15"/>
      <c r="S265" s="15"/>
      <c r="T265" s="15"/>
    </row>
    <row r="266" spans="1:20">
      <c r="A266" s="8"/>
      <c r="B266" s="15">
        <v>2114</v>
      </c>
      <c r="C266" s="15">
        <v>321</v>
      </c>
      <c r="D266" s="15" t="str">
        <f>VLOOKUP(C266,skill_list!$B$7:$C$1030,2)</f>
        <v>ファーストラヴ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582</v>
      </c>
      <c r="K266" s="15">
        <v>2910</v>
      </c>
      <c r="L266" s="15">
        <v>4</v>
      </c>
      <c r="M266" s="15">
        <v>1.5</v>
      </c>
      <c r="N266" s="15">
        <v>0</v>
      </c>
      <c r="O266" s="15">
        <v>0</v>
      </c>
      <c r="P266" s="14">
        <v>1</v>
      </c>
      <c r="Q266" s="11" t="s">
        <v>734</v>
      </c>
      <c r="R266" s="15"/>
      <c r="S266" s="15"/>
      <c r="T266" s="15"/>
    </row>
    <row r="267" spans="1:20">
      <c r="A267" s="8"/>
      <c r="B267" s="15">
        <v>2115</v>
      </c>
      <c r="C267" s="15">
        <v>428</v>
      </c>
      <c r="D267" s="15" t="str">
        <f>VLOOKUP(C267,skill_list!$B$7:$C$1030,2)</f>
        <v>グッナイ</v>
      </c>
      <c r="E267" s="11"/>
      <c r="F267" s="15">
        <v>5</v>
      </c>
      <c r="G267" s="15">
        <v>0</v>
      </c>
      <c r="H267" s="15">
        <v>0</v>
      </c>
      <c r="I267" s="15">
        <v>4</v>
      </c>
      <c r="J267" s="15">
        <v>582</v>
      </c>
      <c r="K267" s="15">
        <v>2910</v>
      </c>
      <c r="L267" s="15">
        <v>1</v>
      </c>
      <c r="M267" s="15">
        <v>1.5</v>
      </c>
      <c r="N267" s="15">
        <v>0</v>
      </c>
      <c r="O267" s="15">
        <v>0</v>
      </c>
      <c r="P267" s="14">
        <v>1</v>
      </c>
      <c r="Q267" s="11" t="s">
        <v>734</v>
      </c>
      <c r="R267" s="15"/>
      <c r="S267" s="15"/>
      <c r="T267" s="15"/>
    </row>
    <row r="268" spans="1:20">
      <c r="A268" s="8"/>
      <c r="B268" s="15">
        <v>2116</v>
      </c>
      <c r="C268" s="15">
        <v>282</v>
      </c>
      <c r="D268" s="15" t="str">
        <f>VLOOKUP(C268,skill_list!$B$7:$C$1030,2)</f>
        <v>ヴィクタープラクティス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582</v>
      </c>
      <c r="K268" s="15">
        <v>2910</v>
      </c>
      <c r="L268" s="15">
        <v>4</v>
      </c>
      <c r="M268" s="15">
        <v>1.5</v>
      </c>
      <c r="N268" s="15">
        <v>0</v>
      </c>
      <c r="O268" s="15">
        <v>0</v>
      </c>
      <c r="P268" s="14">
        <v>1</v>
      </c>
      <c r="Q268" s="11" t="s">
        <v>734</v>
      </c>
      <c r="R268" s="15"/>
      <c r="S268" s="15"/>
      <c r="T268" s="15"/>
    </row>
    <row r="269" spans="1:20">
      <c r="A269" s="8"/>
      <c r="B269" s="15">
        <v>2117</v>
      </c>
      <c r="C269" s="15">
        <v>226</v>
      </c>
      <c r="D269" s="15" t="str">
        <f>VLOOKUP(C269,skill_list!$B$7:$C$1030,2)</f>
        <v>ハイセンス・ショット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582</v>
      </c>
      <c r="K269" s="15">
        <v>2910</v>
      </c>
      <c r="L269" s="15">
        <v>3</v>
      </c>
      <c r="M269" s="15">
        <v>1.5</v>
      </c>
      <c r="N269" s="15">
        <v>0</v>
      </c>
      <c r="O269" s="15">
        <v>0</v>
      </c>
      <c r="P269" s="14">
        <v>1</v>
      </c>
      <c r="Q269" s="11" t="s">
        <v>734</v>
      </c>
      <c r="R269" s="15"/>
      <c r="S269" s="15"/>
      <c r="T269" s="15"/>
    </row>
    <row r="270" spans="1:20">
      <c r="A270" s="8"/>
      <c r="B270" s="15">
        <v>2118</v>
      </c>
      <c r="C270" s="15">
        <v>163</v>
      </c>
      <c r="D270" s="15" t="str">
        <f>VLOOKUP(C270,skill_list!$B$7:$C$1030,2)</f>
        <v>残心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582</v>
      </c>
      <c r="K270" s="15">
        <v>2910</v>
      </c>
      <c r="L270" s="15">
        <v>4</v>
      </c>
      <c r="M270" s="15">
        <v>1.5</v>
      </c>
      <c r="N270" s="15">
        <v>0</v>
      </c>
      <c r="O270" s="15">
        <v>0</v>
      </c>
      <c r="P270" s="14">
        <v>1</v>
      </c>
      <c r="Q270" s="11" t="s">
        <v>734</v>
      </c>
      <c r="R270" s="15"/>
      <c r="S270" s="15"/>
      <c r="T270" s="15"/>
    </row>
    <row r="271" spans="1:20">
      <c r="A271" s="8"/>
      <c r="B271" s="15">
        <v>2119</v>
      </c>
      <c r="C271" s="15">
        <v>173</v>
      </c>
      <c r="D271" s="15" t="str">
        <f>VLOOKUP(C271,skill_list!$B$7:$C$1030,2)</f>
        <v>臥龍演舞斬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582</v>
      </c>
      <c r="K271" s="15">
        <v>2910</v>
      </c>
      <c r="L271" s="15">
        <v>4</v>
      </c>
      <c r="M271" s="15">
        <v>1.5</v>
      </c>
      <c r="N271" s="15">
        <v>0</v>
      </c>
      <c r="O271" s="15">
        <v>0</v>
      </c>
      <c r="P271" s="14">
        <v>1</v>
      </c>
      <c r="Q271" s="11" t="s">
        <v>734</v>
      </c>
      <c r="R271" s="15"/>
      <c r="S271" s="15"/>
      <c r="T271" s="15"/>
    </row>
    <row r="272" spans="1:20">
      <c r="A272" s="8"/>
      <c r="B272" s="15">
        <v>2120</v>
      </c>
      <c r="C272" s="15">
        <v>56</v>
      </c>
      <c r="D272" s="15" t="str">
        <f>VLOOKUP(C272,skill_list!$B$7:$C$1030,2)</f>
        <v>スラッシュクロー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474</v>
      </c>
      <c r="K272" s="15">
        <v>2370</v>
      </c>
      <c r="L272" s="15">
        <v>2</v>
      </c>
      <c r="M272" s="15">
        <v>4.8</v>
      </c>
      <c r="N272" s="15">
        <v>0</v>
      </c>
      <c r="O272" s="15">
        <v>0</v>
      </c>
      <c r="P272" s="14">
        <v>2</v>
      </c>
      <c r="Q272" s="11" t="s">
        <v>734</v>
      </c>
      <c r="R272" s="15"/>
      <c r="S272" s="15"/>
      <c r="T272" s="15"/>
    </row>
    <row r="273" spans="1:20">
      <c r="A273" s="8"/>
      <c r="B273" s="15">
        <v>2121</v>
      </c>
      <c r="C273" s="15">
        <v>81</v>
      </c>
      <c r="D273" s="15" t="str">
        <f>VLOOKUP(C273,skill_list!$B$7:$C$1030,2)</f>
        <v>旋風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474</v>
      </c>
      <c r="K273" s="15">
        <v>2370</v>
      </c>
      <c r="L273" s="15">
        <v>3</v>
      </c>
      <c r="M273" s="15">
        <v>4.8</v>
      </c>
      <c r="N273" s="15">
        <v>0</v>
      </c>
      <c r="O273" s="15">
        <v>0</v>
      </c>
      <c r="P273" s="14">
        <v>2</v>
      </c>
      <c r="Q273" s="11" t="s">
        <v>734</v>
      </c>
      <c r="R273" s="15"/>
      <c r="S273" s="15"/>
      <c r="T273" s="15"/>
    </row>
    <row r="274" spans="1:20">
      <c r="A274" s="8"/>
      <c r="B274" s="15">
        <v>2122</v>
      </c>
      <c r="C274" s="15">
        <v>338</v>
      </c>
      <c r="D274" s="15" t="str">
        <f>VLOOKUP(C274,skill_list!$B$7:$C$1030,2)</f>
        <v>ブレイブソウル</v>
      </c>
      <c r="E274" s="11"/>
      <c r="F274" s="15">
        <v>1</v>
      </c>
      <c r="G274" s="15">
        <v>2</v>
      </c>
      <c r="H274" s="15">
        <v>0</v>
      </c>
      <c r="I274" s="15">
        <v>4</v>
      </c>
      <c r="J274" s="15">
        <v>474</v>
      </c>
      <c r="K274" s="15">
        <v>2370</v>
      </c>
      <c r="L274" s="15">
        <v>3</v>
      </c>
      <c r="M274" s="15">
        <v>1.2</v>
      </c>
      <c r="N274" s="15">
        <v>30</v>
      </c>
      <c r="O274" s="15">
        <v>0</v>
      </c>
      <c r="P274" s="14">
        <v>2</v>
      </c>
      <c r="Q274" s="11" t="s">
        <v>734</v>
      </c>
      <c r="R274" s="15"/>
      <c r="S274" s="15"/>
      <c r="T274" s="15"/>
    </row>
    <row r="275" spans="1:20">
      <c r="A275" s="8"/>
      <c r="B275" s="15">
        <v>2123</v>
      </c>
      <c r="C275" s="15">
        <v>126</v>
      </c>
      <c r="D275" s="15" t="str">
        <f>VLOOKUP(C275,skill_list!$B$7:$C$1030,2)</f>
        <v>ラブカ・ブレード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474</v>
      </c>
      <c r="K275" s="15">
        <v>2370</v>
      </c>
      <c r="L275" s="15">
        <v>1</v>
      </c>
      <c r="M275" s="15">
        <v>1.2</v>
      </c>
      <c r="N275" s="15">
        <v>0</v>
      </c>
      <c r="O275" s="15">
        <v>0</v>
      </c>
      <c r="P275" s="14">
        <v>2</v>
      </c>
      <c r="Q275" s="11" t="s">
        <v>734</v>
      </c>
      <c r="R275" s="15"/>
      <c r="S275" s="15"/>
      <c r="T275" s="15"/>
    </row>
    <row r="276" spans="1:20">
      <c r="A276" s="8"/>
      <c r="B276" s="15">
        <v>2124</v>
      </c>
      <c r="C276" s="15">
        <v>143</v>
      </c>
      <c r="D276" s="15" t="str">
        <f>VLOOKUP(C276,skill_list!$B$7:$C$1030,2)</f>
        <v>トラブルメーカー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474</v>
      </c>
      <c r="K276" s="15">
        <v>2370</v>
      </c>
      <c r="L276" s="15">
        <v>3</v>
      </c>
      <c r="M276" s="15">
        <v>1.2</v>
      </c>
      <c r="N276" s="15">
        <v>0</v>
      </c>
      <c r="O276" s="15">
        <v>0</v>
      </c>
      <c r="P276" s="14">
        <v>2</v>
      </c>
      <c r="Q276" s="11" t="s">
        <v>734</v>
      </c>
      <c r="R276" s="15"/>
      <c r="S276" s="15"/>
      <c r="T276" s="15"/>
    </row>
    <row r="277" spans="1:20">
      <c r="A277" s="8"/>
      <c r="B277" s="15">
        <v>2125</v>
      </c>
      <c r="C277" s="15">
        <v>150</v>
      </c>
      <c r="D277" s="15" t="str">
        <f>VLOOKUP(C277,skill_list!$B$7:$C$1030,2)</f>
        <v>華麗なる清掃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474</v>
      </c>
      <c r="K277" s="15">
        <v>2370</v>
      </c>
      <c r="L277" s="15">
        <v>2</v>
      </c>
      <c r="M277" s="15">
        <v>1.2</v>
      </c>
      <c r="N277" s="15">
        <v>0</v>
      </c>
      <c r="O277" s="15">
        <v>0</v>
      </c>
      <c r="P277" s="14">
        <v>2</v>
      </c>
      <c r="Q277" s="11" t="s">
        <v>734</v>
      </c>
      <c r="R277" s="15"/>
      <c r="S277" s="15"/>
      <c r="T277" s="15"/>
    </row>
    <row r="278" spans="1:20">
      <c r="A278" s="8"/>
      <c r="B278" s="15">
        <v>2126</v>
      </c>
      <c r="C278" s="15">
        <v>180</v>
      </c>
      <c r="D278" s="15" t="str">
        <f>VLOOKUP(C278,skill_list!$B$7:$C$1030,2)</f>
        <v>トータルサブトラクション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474</v>
      </c>
      <c r="K278" s="15">
        <v>2370</v>
      </c>
      <c r="L278" s="15">
        <v>3</v>
      </c>
      <c r="M278" s="15">
        <v>1.2</v>
      </c>
      <c r="N278" s="15">
        <v>0</v>
      </c>
      <c r="O278" s="15">
        <v>0</v>
      </c>
      <c r="P278" s="14">
        <v>2</v>
      </c>
      <c r="Q278" s="11" t="s">
        <v>734</v>
      </c>
      <c r="R278" s="15"/>
      <c r="S278" s="15"/>
      <c r="T278" s="15"/>
    </row>
    <row r="279" spans="1:20">
      <c r="A279" s="8"/>
      <c r="B279" s="15">
        <v>2127</v>
      </c>
      <c r="C279" s="15">
        <v>314</v>
      </c>
      <c r="D279" s="15" t="str">
        <f>VLOOKUP(C279,skill_list!$B$7:$C$1030,2)</f>
        <v>オンラッシュ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474</v>
      </c>
      <c r="K279" s="15">
        <v>2370</v>
      </c>
      <c r="L279" s="15">
        <v>2</v>
      </c>
      <c r="M279" s="15">
        <v>4.8</v>
      </c>
      <c r="N279" s="15">
        <v>0</v>
      </c>
      <c r="O279" s="15">
        <v>0</v>
      </c>
      <c r="P279" s="14">
        <v>2</v>
      </c>
      <c r="Q279" s="11" t="s">
        <v>734</v>
      </c>
      <c r="R279" s="15"/>
      <c r="S279" s="15"/>
      <c r="T279" s="15"/>
    </row>
    <row r="280" spans="1:20">
      <c r="A280" s="8"/>
      <c r="B280" s="15">
        <v>2128</v>
      </c>
      <c r="C280" s="15">
        <v>15</v>
      </c>
      <c r="D280" s="15" t="str">
        <f>VLOOKUP(C280,skill_list!$B$7:$C$1030,2)</f>
        <v>スタンブレード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734</v>
      </c>
      <c r="R280" s="15"/>
      <c r="S280" s="15"/>
      <c r="T280" s="15"/>
    </row>
    <row r="281" spans="1:20">
      <c r="A281" s="8"/>
      <c r="B281" s="15">
        <v>2129</v>
      </c>
      <c r="C281" s="15">
        <v>417</v>
      </c>
      <c r="D281" s="15" t="str">
        <f>VLOOKUP(C281,skill_list!$B$7:$C$1030,2)</f>
        <v>ナイトフォール</v>
      </c>
      <c r="E281" s="11"/>
      <c r="F281" s="15">
        <v>0</v>
      </c>
      <c r="G281" s="15">
        <v>1</v>
      </c>
      <c r="H281" s="15">
        <v>2</v>
      </c>
      <c r="I281" s="15">
        <v>5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734</v>
      </c>
      <c r="R281" s="15"/>
      <c r="S281" s="15"/>
      <c r="T281" s="15"/>
    </row>
    <row r="282" spans="1:20">
      <c r="A282" s="8"/>
      <c r="B282" s="15">
        <v>2130</v>
      </c>
      <c r="C282" s="15">
        <v>26</v>
      </c>
      <c r="D282" s="15" t="str">
        <f>VLOOKUP(C282,skill_list!$B$7:$C$1030,2)</f>
        <v>乱舞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4</v>
      </c>
      <c r="M282" s="15">
        <v>5</v>
      </c>
      <c r="N282" s="15">
        <v>0</v>
      </c>
      <c r="O282" s="15">
        <v>0</v>
      </c>
      <c r="P282" s="14">
        <v>1</v>
      </c>
      <c r="Q282" s="11" t="s">
        <v>734</v>
      </c>
      <c r="R282" s="15"/>
      <c r="S282" s="15"/>
      <c r="T282" s="15"/>
    </row>
    <row r="283" spans="1:20">
      <c r="A283" s="8"/>
      <c r="B283" s="15">
        <v>2131</v>
      </c>
      <c r="C283" s="15">
        <v>44</v>
      </c>
      <c r="D283" s="15" t="str">
        <f>VLOOKUP(C283,skill_list!$B$7:$C$1030,2)</f>
        <v>残影</v>
      </c>
      <c r="E283" s="11"/>
      <c r="F283" s="15">
        <v>2</v>
      </c>
      <c r="G283" s="15">
        <v>1</v>
      </c>
      <c r="H283" s="15">
        <v>0</v>
      </c>
      <c r="I283" s="15">
        <v>0</v>
      </c>
      <c r="J283" s="15">
        <v>450</v>
      </c>
      <c r="K283" s="15">
        <v>2250</v>
      </c>
      <c r="L283" s="15">
        <v>4</v>
      </c>
      <c r="M283" s="15">
        <v>1.25</v>
      </c>
      <c r="N283" s="15">
        <v>0</v>
      </c>
      <c r="O283" s="15">
        <v>30</v>
      </c>
      <c r="P283" s="14">
        <v>1</v>
      </c>
      <c r="Q283" s="11" t="s">
        <v>734</v>
      </c>
      <c r="R283" s="15"/>
      <c r="S283" s="15"/>
      <c r="T283" s="15"/>
    </row>
    <row r="284" spans="1:20">
      <c r="A284" s="8"/>
      <c r="B284" s="15">
        <v>2132</v>
      </c>
      <c r="C284" s="15">
        <v>53</v>
      </c>
      <c r="D284" s="15" t="str">
        <f>VLOOKUP(C284,skill_list!$B$7:$C$1030,2)</f>
        <v>ミストサイス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4</v>
      </c>
      <c r="M284" s="15">
        <v>1.25</v>
      </c>
      <c r="N284" s="15">
        <v>0</v>
      </c>
      <c r="O284" s="15">
        <v>0</v>
      </c>
      <c r="P284" s="14">
        <v>1</v>
      </c>
      <c r="Q284" s="11" t="s">
        <v>734</v>
      </c>
      <c r="R284" s="15"/>
      <c r="S284" s="15"/>
      <c r="T284" s="15"/>
    </row>
    <row r="285" spans="1:20">
      <c r="A285" s="8"/>
      <c r="B285" s="15">
        <v>2133</v>
      </c>
      <c r="C285" s="15">
        <v>61</v>
      </c>
      <c r="D285" s="15" t="str">
        <f>VLOOKUP(C285,skill_list!$B$7:$C$1030,2)</f>
        <v>キラーサイス</v>
      </c>
      <c r="E285" s="11"/>
      <c r="F285" s="15">
        <v>1</v>
      </c>
      <c r="G285" s="15">
        <v>2</v>
      </c>
      <c r="H285" s="15">
        <v>0</v>
      </c>
      <c r="I285" s="15">
        <v>0</v>
      </c>
      <c r="J285" s="15">
        <v>450</v>
      </c>
      <c r="K285" s="15">
        <v>2250</v>
      </c>
      <c r="L285" s="15">
        <v>4</v>
      </c>
      <c r="M285" s="15">
        <v>1.25</v>
      </c>
      <c r="N285" s="15">
        <v>30</v>
      </c>
      <c r="O285" s="15">
        <v>0</v>
      </c>
      <c r="P285" s="14">
        <v>1</v>
      </c>
      <c r="Q285" s="11" t="s">
        <v>734</v>
      </c>
      <c r="R285" s="15"/>
      <c r="S285" s="15"/>
      <c r="T285" s="15"/>
    </row>
    <row r="286" spans="1:20">
      <c r="A286" s="8"/>
      <c r="B286" s="15">
        <v>2134</v>
      </c>
      <c r="C286" s="15">
        <v>75</v>
      </c>
      <c r="D286" s="15" t="str">
        <f>VLOOKUP(C286,skill_list!$B$7:$C$1030,2)</f>
        <v>クラッカー</v>
      </c>
      <c r="E286" s="11"/>
      <c r="F286" s="15">
        <v>2</v>
      </c>
      <c r="G286" s="15">
        <v>1</v>
      </c>
      <c r="H286" s="15">
        <v>0</v>
      </c>
      <c r="I286" s="15">
        <v>0</v>
      </c>
      <c r="J286" s="15">
        <v>450</v>
      </c>
      <c r="K286" s="15">
        <v>2250</v>
      </c>
      <c r="L286" s="15">
        <v>1</v>
      </c>
      <c r="M286" s="15">
        <v>1.25</v>
      </c>
      <c r="N286" s="15">
        <v>0</v>
      </c>
      <c r="O286" s="15">
        <v>30</v>
      </c>
      <c r="P286" s="14">
        <v>1</v>
      </c>
      <c r="Q286" s="11" t="s">
        <v>734</v>
      </c>
      <c r="R286" s="15"/>
      <c r="S286" s="15"/>
      <c r="T286" s="15"/>
    </row>
    <row r="287" spans="1:20">
      <c r="A287" s="8"/>
      <c r="B287" s="15">
        <v>2135</v>
      </c>
      <c r="C287" s="15">
        <v>91</v>
      </c>
      <c r="D287" s="15" t="str">
        <f>VLOOKUP(C287,skill_list!$B$7:$C$1030,2)</f>
        <v>断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450</v>
      </c>
      <c r="K287" s="15">
        <v>2250</v>
      </c>
      <c r="L287" s="15">
        <v>2</v>
      </c>
      <c r="M287" s="15">
        <v>1.25</v>
      </c>
      <c r="N287" s="15">
        <v>0</v>
      </c>
      <c r="O287" s="15">
        <v>0</v>
      </c>
      <c r="P287" s="14">
        <v>1</v>
      </c>
      <c r="Q287" s="11" t="s">
        <v>734</v>
      </c>
      <c r="R287" s="15"/>
      <c r="S287" s="15"/>
      <c r="T287" s="15"/>
    </row>
    <row r="288" spans="1:20">
      <c r="A288" s="8"/>
      <c r="B288" s="15">
        <v>2136</v>
      </c>
      <c r="C288" s="15">
        <v>94</v>
      </c>
      <c r="D288" s="15" t="str">
        <f>VLOOKUP(C288,skill_list!$B$7:$C$1030,2)</f>
        <v>呪怨の矢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1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734</v>
      </c>
      <c r="R288" s="15"/>
      <c r="S288" s="15"/>
      <c r="T288" s="15"/>
    </row>
    <row r="289" spans="1:20">
      <c r="A289" s="8"/>
      <c r="B289" s="15">
        <v>2137</v>
      </c>
      <c r="C289" s="15">
        <v>105</v>
      </c>
      <c r="D289" s="15" t="str">
        <f>VLOOKUP(C289,skill_list!$B$7:$C$1030,2)</f>
        <v>斜陽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450</v>
      </c>
      <c r="K289" s="15">
        <v>2250</v>
      </c>
      <c r="L289" s="15">
        <v>4</v>
      </c>
      <c r="M289" s="15">
        <v>5</v>
      </c>
      <c r="N289" s="15">
        <v>0</v>
      </c>
      <c r="O289" s="15">
        <v>0</v>
      </c>
      <c r="P289" s="14">
        <v>1</v>
      </c>
      <c r="Q289" s="11" t="s">
        <v>734</v>
      </c>
      <c r="R289" s="15"/>
      <c r="S289" s="15"/>
      <c r="T289" s="15"/>
    </row>
    <row r="290" spans="1:20">
      <c r="A290" s="8"/>
      <c r="B290" s="15">
        <v>2138</v>
      </c>
      <c r="C290" s="15">
        <v>113</v>
      </c>
      <c r="D290" s="15" t="str">
        <f>VLOOKUP(C290,skill_list!$B$7:$C$1030,2)</f>
        <v>ヴィヴィットシュート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450</v>
      </c>
      <c r="K290" s="15">
        <v>2250</v>
      </c>
      <c r="L290" s="15">
        <v>1</v>
      </c>
      <c r="M290" s="15">
        <v>1.25</v>
      </c>
      <c r="N290" s="15">
        <v>0</v>
      </c>
      <c r="O290" s="15">
        <v>0</v>
      </c>
      <c r="P290" s="14">
        <v>1</v>
      </c>
      <c r="Q290" s="11" t="s">
        <v>734</v>
      </c>
      <c r="R290" s="15"/>
      <c r="S290" s="15"/>
      <c r="T290" s="15"/>
    </row>
    <row r="291" spans="1:20">
      <c r="A291" s="8"/>
      <c r="B291" s="15">
        <v>2139</v>
      </c>
      <c r="C291" s="15">
        <v>120</v>
      </c>
      <c r="D291" s="15" t="str">
        <f>VLOOKUP(C291,skill_list!$B$7:$C$1030,2)</f>
        <v>リバースショット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450</v>
      </c>
      <c r="K291" s="15">
        <v>2250</v>
      </c>
      <c r="L291" s="15">
        <v>3</v>
      </c>
      <c r="M291" s="15">
        <v>1.25</v>
      </c>
      <c r="N291" s="15">
        <v>0</v>
      </c>
      <c r="O291" s="15">
        <v>0</v>
      </c>
      <c r="P291" s="14">
        <v>1</v>
      </c>
      <c r="Q291" s="11" t="s">
        <v>734</v>
      </c>
      <c r="R291" s="15"/>
      <c r="S291" s="15"/>
      <c r="T291" s="15"/>
    </row>
    <row r="292" spans="1:20">
      <c r="A292" s="8"/>
      <c r="B292" s="15">
        <v>2140</v>
      </c>
      <c r="C292" s="15">
        <v>272</v>
      </c>
      <c r="D292" s="15" t="str">
        <f>VLOOKUP(C292,skill_list!$B$7:$C$1030,2)</f>
        <v>ディープブロー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450</v>
      </c>
      <c r="K292" s="15">
        <v>2250</v>
      </c>
      <c r="L292" s="15">
        <v>2</v>
      </c>
      <c r="M292" s="15">
        <v>1.25</v>
      </c>
      <c r="N292" s="15">
        <v>0</v>
      </c>
      <c r="O292" s="15">
        <v>0</v>
      </c>
      <c r="P292" s="14">
        <v>1</v>
      </c>
      <c r="Q292" s="11" t="s">
        <v>734</v>
      </c>
      <c r="R292" s="15"/>
      <c r="S292" s="15"/>
      <c r="T292" s="15"/>
    </row>
    <row r="293" spans="1:20">
      <c r="A293" s="8"/>
      <c r="B293" s="15">
        <v>2141</v>
      </c>
      <c r="C293" s="15">
        <v>166</v>
      </c>
      <c r="D293" s="15" t="str">
        <f>VLOOKUP(C293,skill_list!$B$7:$C$1030,2)</f>
        <v>一発入魂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450</v>
      </c>
      <c r="K293" s="15">
        <v>2250</v>
      </c>
      <c r="L293" s="15">
        <v>2</v>
      </c>
      <c r="M293" s="15">
        <v>4</v>
      </c>
      <c r="N293" s="15">
        <v>0</v>
      </c>
      <c r="O293" s="15">
        <v>0</v>
      </c>
      <c r="P293" s="14">
        <v>1</v>
      </c>
      <c r="Q293" s="11" t="s">
        <v>734</v>
      </c>
      <c r="R293" s="15"/>
      <c r="S293" s="15"/>
      <c r="T293" s="15"/>
    </row>
    <row r="294" spans="1:20">
      <c r="A294" s="8"/>
      <c r="B294" s="15">
        <v>2142</v>
      </c>
      <c r="C294" s="15">
        <v>41</v>
      </c>
      <c r="D294" s="15" t="str">
        <f>VLOOKUP(C294,skill_list!$B$7:$C$1030,2)</f>
        <v>キャノンボール</v>
      </c>
      <c r="E294" s="11"/>
      <c r="F294" s="15">
        <v>1</v>
      </c>
      <c r="G294" s="15">
        <v>2</v>
      </c>
      <c r="H294" s="15">
        <v>0</v>
      </c>
      <c r="I294" s="15">
        <v>0</v>
      </c>
      <c r="J294" s="15">
        <v>375</v>
      </c>
      <c r="K294" s="15">
        <v>1875</v>
      </c>
      <c r="L294" s="15">
        <v>2</v>
      </c>
      <c r="M294" s="15">
        <v>1</v>
      </c>
      <c r="N294" s="15">
        <v>30</v>
      </c>
      <c r="O294" s="15">
        <v>0</v>
      </c>
      <c r="P294" s="14">
        <v>2</v>
      </c>
      <c r="Q294" s="11" t="s">
        <v>734</v>
      </c>
      <c r="R294" s="15"/>
      <c r="S294" s="15"/>
      <c r="T294" s="15"/>
    </row>
    <row r="295" spans="1:20">
      <c r="A295" s="8"/>
      <c r="B295" s="15">
        <v>2143</v>
      </c>
      <c r="C295" s="15">
        <v>102</v>
      </c>
      <c r="D295" s="15" t="str">
        <f>VLOOKUP(C295,skill_list!$B$7:$C$1030,2)</f>
        <v>朧月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375</v>
      </c>
      <c r="K295" s="15">
        <v>1875</v>
      </c>
      <c r="L295" s="15">
        <v>2</v>
      </c>
      <c r="M295" s="15">
        <v>1</v>
      </c>
      <c r="N295" s="15">
        <v>0</v>
      </c>
      <c r="O295" s="15">
        <v>30</v>
      </c>
      <c r="P295" s="14">
        <v>2</v>
      </c>
      <c r="Q295" s="11" t="s">
        <v>734</v>
      </c>
      <c r="R295" s="15"/>
      <c r="S295" s="15"/>
      <c r="T295" s="15"/>
    </row>
    <row r="296" spans="1:20">
      <c r="A296" s="8"/>
      <c r="B296" s="15">
        <v>2144</v>
      </c>
      <c r="C296" s="15">
        <v>109</v>
      </c>
      <c r="D296" s="15" t="str">
        <f>VLOOKUP(C296,skill_list!$B$7:$C$1030,2)</f>
        <v>ハネ殺し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375</v>
      </c>
      <c r="K296" s="15">
        <v>1875</v>
      </c>
      <c r="L296" s="15">
        <v>3</v>
      </c>
      <c r="M296" s="15">
        <v>1</v>
      </c>
      <c r="N296" s="15">
        <v>0</v>
      </c>
      <c r="O296" s="15">
        <v>0</v>
      </c>
      <c r="P296" s="14">
        <v>2</v>
      </c>
      <c r="Q296" s="11" t="s">
        <v>734</v>
      </c>
      <c r="R296" s="15"/>
      <c r="S296" s="15"/>
      <c r="T296" s="15"/>
    </row>
    <row r="297" spans="1:20">
      <c r="A297" s="8"/>
      <c r="B297" s="15">
        <v>2145</v>
      </c>
      <c r="C297" s="15">
        <v>116</v>
      </c>
      <c r="D297" s="15" t="str">
        <f>VLOOKUP(C297,skill_list!$B$7:$C$1030,2)</f>
        <v>レイジングシャウト</v>
      </c>
      <c r="E297" s="11"/>
      <c r="F297" s="15">
        <v>0</v>
      </c>
      <c r="G297" s="15">
        <v>1</v>
      </c>
      <c r="H297" s="15">
        <v>2</v>
      </c>
      <c r="I297" s="15">
        <v>0</v>
      </c>
      <c r="J297" s="15">
        <v>375</v>
      </c>
      <c r="K297" s="15">
        <v>1875</v>
      </c>
      <c r="L297" s="15">
        <v>3</v>
      </c>
      <c r="M297" s="15">
        <v>1</v>
      </c>
      <c r="N297" s="15">
        <v>0</v>
      </c>
      <c r="O297" s="15">
        <v>0</v>
      </c>
      <c r="P297" s="14">
        <v>2</v>
      </c>
      <c r="Q297" s="11" t="s">
        <v>734</v>
      </c>
      <c r="R297" s="15"/>
      <c r="S297" s="15"/>
      <c r="T297" s="15"/>
    </row>
    <row r="298" spans="1:20">
      <c r="A298" s="8"/>
      <c r="B298" s="15">
        <v>2146</v>
      </c>
      <c r="C298" s="15">
        <v>186</v>
      </c>
      <c r="D298" s="15" t="str">
        <f>VLOOKUP(C298,skill_list!$B$7:$C$1030,2)</f>
        <v>ディザスター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375</v>
      </c>
      <c r="K298" s="15">
        <v>1875</v>
      </c>
      <c r="L298" s="15">
        <v>3</v>
      </c>
      <c r="M298" s="15">
        <v>1</v>
      </c>
      <c r="N298" s="15">
        <v>0</v>
      </c>
      <c r="O298" s="15">
        <v>0</v>
      </c>
      <c r="P298" s="14">
        <v>2</v>
      </c>
      <c r="Q298" s="11" t="s">
        <v>734</v>
      </c>
      <c r="R298" s="15"/>
      <c r="S298" s="15"/>
      <c r="T298" s="15"/>
    </row>
    <row r="299" spans="1:20">
      <c r="A299" s="8"/>
      <c r="B299" s="15">
        <v>2147</v>
      </c>
      <c r="C299" s="15">
        <v>410</v>
      </c>
      <c r="D299" s="15" t="str">
        <f>VLOOKUP(C299,skill_list!$B$7:$C$1030,2)</f>
        <v>ザヴィーシマスチ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375</v>
      </c>
      <c r="K299" s="15">
        <v>1875</v>
      </c>
      <c r="L299" s="15">
        <v>3</v>
      </c>
      <c r="M299" s="15">
        <v>1</v>
      </c>
      <c r="N299" s="15">
        <v>0</v>
      </c>
      <c r="O299" s="15">
        <v>0</v>
      </c>
      <c r="P299" s="14">
        <v>2</v>
      </c>
      <c r="Q299" s="11" t="s">
        <v>734</v>
      </c>
      <c r="R299" s="15"/>
      <c r="S299" s="15"/>
      <c r="T299" s="15"/>
    </row>
    <row r="300" spans="1:20">
      <c r="A300" s="8"/>
      <c r="B300" s="15">
        <v>2148</v>
      </c>
      <c r="C300" s="15">
        <v>37</v>
      </c>
      <c r="D300" s="15" t="str">
        <f>VLOOKUP(C300,skill_list!$B$7:$C$1030,2)</f>
        <v>シールドレイ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342</v>
      </c>
      <c r="K300" s="15">
        <v>1710</v>
      </c>
      <c r="L300" s="15">
        <v>3</v>
      </c>
      <c r="M300" s="15">
        <v>1</v>
      </c>
      <c r="N300" s="15">
        <v>0</v>
      </c>
      <c r="O300" s="15">
        <v>0</v>
      </c>
      <c r="P300" s="14">
        <v>1</v>
      </c>
      <c r="Q300" s="11" t="s">
        <v>734</v>
      </c>
      <c r="R300" s="15"/>
      <c r="S300" s="15"/>
      <c r="T300" s="15"/>
    </row>
    <row r="301" spans="1:20">
      <c r="A301" s="8"/>
      <c r="B301" s="15">
        <v>2149</v>
      </c>
      <c r="C301" s="15">
        <v>275</v>
      </c>
      <c r="D301" s="15" t="str">
        <f>VLOOKUP(C301,skill_list!$B$7:$C$1030,2)</f>
        <v>カースサイス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342</v>
      </c>
      <c r="K301" s="15">
        <v>1710</v>
      </c>
      <c r="L301" s="15">
        <v>4</v>
      </c>
      <c r="M301" s="15">
        <v>1</v>
      </c>
      <c r="N301" s="15">
        <v>0</v>
      </c>
      <c r="O301" s="15">
        <v>0</v>
      </c>
      <c r="P301" s="14">
        <v>1</v>
      </c>
      <c r="Q301" s="11" t="s">
        <v>734</v>
      </c>
      <c r="R301" s="15"/>
      <c r="S301" s="15"/>
      <c r="T301" s="15"/>
    </row>
    <row r="302" spans="1:20">
      <c r="A302" s="8"/>
      <c r="B302" s="15">
        <v>2150</v>
      </c>
      <c r="C302" s="15">
        <v>70</v>
      </c>
      <c r="D302" s="15" t="str">
        <f>VLOOKUP(C302,skill_list!$B$7:$C$1030,2)</f>
        <v>ウィザードショット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342</v>
      </c>
      <c r="K302" s="15">
        <v>1710</v>
      </c>
      <c r="L302" s="15">
        <v>1</v>
      </c>
      <c r="M302" s="15">
        <v>1</v>
      </c>
      <c r="N302" s="15">
        <v>0</v>
      </c>
      <c r="O302" s="15">
        <v>0</v>
      </c>
      <c r="P302" s="14">
        <v>1</v>
      </c>
      <c r="Q302" s="11" t="s">
        <v>734</v>
      </c>
      <c r="R302" s="15"/>
      <c r="S302" s="15"/>
      <c r="T302" s="15"/>
    </row>
    <row r="303" spans="1:20">
      <c r="A303" s="8"/>
      <c r="B303" s="15">
        <v>2151</v>
      </c>
      <c r="C303" s="15">
        <v>380</v>
      </c>
      <c r="D303" s="15" t="str">
        <f>VLOOKUP(C303,skill_list!$B$7:$C$1030,2)</f>
        <v>天変の相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342</v>
      </c>
      <c r="K303" s="15">
        <v>1710</v>
      </c>
      <c r="L303" s="15">
        <v>1</v>
      </c>
      <c r="M303" s="15">
        <v>1</v>
      </c>
      <c r="N303" s="15">
        <v>0</v>
      </c>
      <c r="O303" s="15">
        <v>0</v>
      </c>
      <c r="P303" s="14">
        <v>1</v>
      </c>
      <c r="Q303" s="11" t="s">
        <v>734</v>
      </c>
      <c r="R303" s="15"/>
      <c r="S303" s="15"/>
      <c r="T303" s="15"/>
    </row>
    <row r="304" spans="1:20">
      <c r="A304" s="8"/>
      <c r="B304" s="15">
        <v>2152</v>
      </c>
      <c r="C304" s="15">
        <v>123</v>
      </c>
      <c r="D304" s="15" t="str">
        <f>VLOOKUP(C304,skill_list!$B$7:$C$1030,2)</f>
        <v>サービス・エース</v>
      </c>
      <c r="E304" s="11"/>
      <c r="F304" s="15">
        <v>2</v>
      </c>
      <c r="G304" s="15">
        <v>1</v>
      </c>
      <c r="H304" s="15">
        <v>0</v>
      </c>
      <c r="I304" s="15">
        <v>0</v>
      </c>
      <c r="J304" s="15">
        <v>342</v>
      </c>
      <c r="K304" s="15">
        <v>1710</v>
      </c>
      <c r="L304" s="15">
        <v>2</v>
      </c>
      <c r="M304" s="15">
        <v>1</v>
      </c>
      <c r="N304" s="15">
        <v>0</v>
      </c>
      <c r="O304" s="15">
        <v>30</v>
      </c>
      <c r="P304" s="14">
        <v>1</v>
      </c>
      <c r="Q304" s="11" t="s">
        <v>734</v>
      </c>
      <c r="R304" s="15"/>
      <c r="S304" s="15"/>
      <c r="T304" s="15"/>
    </row>
    <row r="305" spans="1:20">
      <c r="A305" s="8"/>
      <c r="B305" s="15">
        <v>2153</v>
      </c>
      <c r="C305" s="15">
        <v>132</v>
      </c>
      <c r="D305" s="15" t="str">
        <f>VLOOKUP(C305,skill_list!$B$7:$C$1030,2)</f>
        <v>砕華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342</v>
      </c>
      <c r="K305" s="15">
        <v>1710</v>
      </c>
      <c r="L305" s="15">
        <v>4</v>
      </c>
      <c r="M305" s="15">
        <v>4</v>
      </c>
      <c r="N305" s="15">
        <v>0</v>
      </c>
      <c r="O305" s="15">
        <v>0</v>
      </c>
      <c r="P305" s="14">
        <v>1</v>
      </c>
      <c r="Q305" s="11" t="s">
        <v>734</v>
      </c>
      <c r="R305" s="15"/>
      <c r="S305" s="15"/>
      <c r="T305" s="15"/>
    </row>
    <row r="306" spans="1:20">
      <c r="A306" s="8"/>
      <c r="B306" s="15">
        <v>2154</v>
      </c>
      <c r="C306" s="15">
        <v>136</v>
      </c>
      <c r="D306" s="15" t="str">
        <f>VLOOKUP(C306,skill_list!$B$7:$C$1030,2)</f>
        <v>ダッシュブレード</v>
      </c>
      <c r="E306" s="11"/>
      <c r="F306" s="15">
        <v>1</v>
      </c>
      <c r="G306" s="15">
        <v>2</v>
      </c>
      <c r="H306" s="15">
        <v>0</v>
      </c>
      <c r="I306" s="15">
        <v>0</v>
      </c>
      <c r="J306" s="15">
        <v>342</v>
      </c>
      <c r="K306" s="15">
        <v>1710</v>
      </c>
      <c r="L306" s="15">
        <v>2</v>
      </c>
      <c r="M306" s="15">
        <v>1</v>
      </c>
      <c r="N306" s="15">
        <v>30</v>
      </c>
      <c r="O306" s="15">
        <v>0</v>
      </c>
      <c r="P306" s="14">
        <v>1</v>
      </c>
      <c r="Q306" s="11" t="s">
        <v>734</v>
      </c>
      <c r="R306" s="15"/>
      <c r="S306" s="15"/>
      <c r="T306" s="15"/>
    </row>
    <row r="307" spans="1:20">
      <c r="A307" s="8"/>
      <c r="B307" s="15">
        <v>2155</v>
      </c>
      <c r="C307" s="15">
        <v>160</v>
      </c>
      <c r="D307" s="15" t="str">
        <f>VLOOKUP(C307,skill_list!$B$7:$C$1030,2)</f>
        <v>ギャザー・バッシュ</v>
      </c>
      <c r="E307" s="11"/>
      <c r="F307" s="15">
        <v>0</v>
      </c>
      <c r="G307" s="15">
        <v>1</v>
      </c>
      <c r="H307" s="15">
        <v>2</v>
      </c>
      <c r="I307" s="15">
        <v>0</v>
      </c>
      <c r="J307" s="15">
        <v>342</v>
      </c>
      <c r="K307" s="15">
        <v>1710</v>
      </c>
      <c r="L307" s="15">
        <v>3</v>
      </c>
      <c r="M307" s="15">
        <v>1</v>
      </c>
      <c r="N307" s="15">
        <v>0</v>
      </c>
      <c r="O307" s="15">
        <v>0</v>
      </c>
      <c r="P307" s="14">
        <v>1</v>
      </c>
      <c r="Q307" s="11" t="s">
        <v>734</v>
      </c>
      <c r="R307" s="15"/>
      <c r="S307" s="15"/>
      <c r="T307" s="15"/>
    </row>
    <row r="308" spans="1:20">
      <c r="A308" s="8"/>
      <c r="B308" s="15">
        <v>2156</v>
      </c>
      <c r="C308" s="15">
        <v>176</v>
      </c>
      <c r="D308" s="15" t="str">
        <f>VLOOKUP(C308,skill_list!$B$7:$C$1030,2)</f>
        <v>エレメンタリー・バレット</v>
      </c>
      <c r="E308" s="11"/>
      <c r="F308" s="15">
        <v>2</v>
      </c>
      <c r="G308" s="15">
        <v>1</v>
      </c>
      <c r="H308" s="15">
        <v>0</v>
      </c>
      <c r="I308" s="15">
        <v>0</v>
      </c>
      <c r="J308" s="15">
        <v>342</v>
      </c>
      <c r="K308" s="15">
        <v>1710</v>
      </c>
      <c r="L308" s="15">
        <v>1</v>
      </c>
      <c r="M308" s="15">
        <v>1</v>
      </c>
      <c r="N308" s="15">
        <v>0</v>
      </c>
      <c r="O308" s="15">
        <v>30</v>
      </c>
      <c r="P308" s="14">
        <v>1</v>
      </c>
      <c r="Q308" s="11" t="s">
        <v>734</v>
      </c>
      <c r="R308" s="15"/>
      <c r="S308" s="15"/>
      <c r="T308" s="15"/>
    </row>
    <row r="309" spans="1:20">
      <c r="A309" s="8"/>
      <c r="B309" s="15">
        <v>2157</v>
      </c>
      <c r="C309" s="15">
        <v>10</v>
      </c>
      <c r="D309" s="15" t="str">
        <f>VLOOKUP(C309,skill_list!$B$7:$C$1030,2)</f>
        <v>ブレイクバースト</v>
      </c>
      <c r="E309" s="11"/>
      <c r="F309" s="15">
        <v>2</v>
      </c>
      <c r="G309" s="15">
        <v>1</v>
      </c>
      <c r="H309" s="15">
        <v>0</v>
      </c>
      <c r="I309" s="15">
        <v>0</v>
      </c>
      <c r="J309" s="15">
        <v>294</v>
      </c>
      <c r="K309" s="15">
        <v>1470</v>
      </c>
      <c r="L309" s="15">
        <v>3</v>
      </c>
      <c r="M309" s="15">
        <v>0.8</v>
      </c>
      <c r="N309" s="15">
        <v>0</v>
      </c>
      <c r="O309" s="15">
        <v>30</v>
      </c>
      <c r="P309" s="14">
        <v>2</v>
      </c>
      <c r="Q309" s="11" t="s">
        <v>734</v>
      </c>
      <c r="R309" s="15"/>
      <c r="S309" s="15"/>
      <c r="T309" s="15"/>
    </row>
    <row r="310" spans="1:20">
      <c r="A310" s="8"/>
      <c r="B310" s="15">
        <v>2158</v>
      </c>
      <c r="C310" s="15">
        <v>153</v>
      </c>
      <c r="D310" s="15" t="str">
        <f>VLOOKUP(C310,skill_list!$B$7:$C$1030,2)</f>
        <v>ラージ・カノン</v>
      </c>
      <c r="E310" s="11"/>
      <c r="F310" s="15">
        <v>2</v>
      </c>
      <c r="G310" s="15">
        <v>1</v>
      </c>
      <c r="H310" s="15">
        <v>0</v>
      </c>
      <c r="I310" s="15">
        <v>0</v>
      </c>
      <c r="J310" s="15">
        <v>294</v>
      </c>
      <c r="K310" s="15">
        <v>1470</v>
      </c>
      <c r="L310" s="15">
        <v>3</v>
      </c>
      <c r="M310" s="15">
        <v>0.8</v>
      </c>
      <c r="N310" s="15">
        <v>0</v>
      </c>
      <c r="O310" s="15">
        <v>30</v>
      </c>
      <c r="P310" s="14">
        <v>2</v>
      </c>
      <c r="Q310" s="11" t="s">
        <v>734</v>
      </c>
      <c r="R310" s="15"/>
      <c r="S310" s="15"/>
      <c r="T310" s="15"/>
    </row>
    <row r="311" spans="1:20">
      <c r="A311" s="8"/>
      <c r="B311" s="15">
        <v>2159</v>
      </c>
      <c r="C311" s="15">
        <v>169</v>
      </c>
      <c r="D311" s="15" t="str">
        <f>VLOOKUP(C311,skill_list!$B$7:$C$1030,2)</f>
        <v>ブラスト・スラッシュ</v>
      </c>
      <c r="E311" s="11"/>
      <c r="F311" s="15">
        <v>1</v>
      </c>
      <c r="G311" s="15">
        <v>2</v>
      </c>
      <c r="H311" s="15">
        <v>0</v>
      </c>
      <c r="I311" s="15">
        <v>0</v>
      </c>
      <c r="J311" s="15">
        <v>294</v>
      </c>
      <c r="K311" s="15">
        <v>1470</v>
      </c>
      <c r="L311" s="15">
        <v>3</v>
      </c>
      <c r="M311" s="15">
        <v>0.8</v>
      </c>
      <c r="N311" s="15">
        <v>30</v>
      </c>
      <c r="O311" s="15">
        <v>0</v>
      </c>
      <c r="P311" s="14">
        <v>2</v>
      </c>
      <c r="Q311" s="11" t="s">
        <v>734</v>
      </c>
      <c r="R311" s="15"/>
      <c r="S311" s="15"/>
      <c r="T311" s="15"/>
    </row>
    <row r="312" spans="1:20">
      <c r="A312" s="8"/>
      <c r="B312" s="15">
        <v>2160</v>
      </c>
      <c r="C312" s="15">
        <v>301</v>
      </c>
      <c r="D312" s="15" t="str">
        <f>VLOOKUP(C312,skill_list!$B$7:$C$1030,2)</f>
        <v>サクリファイス</v>
      </c>
      <c r="E312" s="11"/>
      <c r="F312" s="15">
        <v>0</v>
      </c>
      <c r="G312" s="15">
        <v>1</v>
      </c>
      <c r="H312" s="15">
        <v>2</v>
      </c>
      <c r="I312" s="15">
        <v>0</v>
      </c>
      <c r="J312" s="15">
        <v>657</v>
      </c>
      <c r="K312" s="15">
        <v>3285</v>
      </c>
      <c r="L312" s="15">
        <v>2</v>
      </c>
      <c r="M312" s="15">
        <v>1.625</v>
      </c>
      <c r="N312" s="15">
        <v>0</v>
      </c>
      <c r="O312" s="15">
        <v>0</v>
      </c>
      <c r="P312" s="14">
        <v>1</v>
      </c>
      <c r="Q312" s="11"/>
      <c r="R312" s="15"/>
      <c r="S312" s="15"/>
      <c r="T312" s="15">
        <v>1</v>
      </c>
    </row>
    <row r="313" spans="1:20">
      <c r="A313" s="8"/>
      <c r="B313" s="15">
        <v>2161</v>
      </c>
      <c r="C313" s="15">
        <v>246</v>
      </c>
      <c r="D313" s="15" t="str">
        <f>VLOOKUP(C313,skill_list!$B$7:$C$1030,2)</f>
        <v>シールドトルネード</v>
      </c>
      <c r="E313" s="11"/>
      <c r="F313" s="15">
        <v>0</v>
      </c>
      <c r="G313" s="15">
        <v>1</v>
      </c>
      <c r="H313" s="15">
        <v>2</v>
      </c>
      <c r="I313" s="15">
        <v>0</v>
      </c>
      <c r="J313" s="15">
        <v>474</v>
      </c>
      <c r="K313" s="15">
        <v>2370</v>
      </c>
      <c r="L313" s="15">
        <v>3</v>
      </c>
      <c r="M313" s="15">
        <v>1.2</v>
      </c>
      <c r="N313" s="15">
        <v>0</v>
      </c>
      <c r="O313" s="15">
        <v>0</v>
      </c>
      <c r="P313" s="14">
        <v>2</v>
      </c>
      <c r="Q313" s="11"/>
      <c r="R313" s="15"/>
      <c r="S313" s="15"/>
      <c r="T313" s="15"/>
    </row>
    <row r="314" spans="1:20">
      <c r="A314" s="8"/>
      <c r="B314" s="15">
        <v>2162</v>
      </c>
      <c r="C314" s="15">
        <v>199</v>
      </c>
      <c r="D314" s="15" t="str">
        <f>VLOOKUP(C314,skill_list!$B$7:$C$1030,2)</f>
        <v>コーシュカ・アルマータ</v>
      </c>
      <c r="E314" s="11"/>
      <c r="F314" s="15">
        <v>0</v>
      </c>
      <c r="G314" s="15">
        <v>1</v>
      </c>
      <c r="H314" s="15">
        <v>2</v>
      </c>
      <c r="I314" s="15">
        <v>0</v>
      </c>
      <c r="J314" s="15">
        <v>3618</v>
      </c>
      <c r="K314" s="15">
        <v>18090</v>
      </c>
      <c r="L314" s="15">
        <v>3</v>
      </c>
      <c r="M314" s="15">
        <v>4.25</v>
      </c>
      <c r="N314" s="15">
        <v>0</v>
      </c>
      <c r="O314" s="15">
        <v>0</v>
      </c>
      <c r="P314" s="14">
        <v>1</v>
      </c>
      <c r="Q314" s="11"/>
      <c r="R314" s="15"/>
      <c r="S314" s="15"/>
      <c r="T314" s="15"/>
    </row>
    <row r="315" spans="1:20">
      <c r="A315" s="8"/>
      <c r="B315" s="15">
        <v>2163</v>
      </c>
      <c r="C315" s="15">
        <v>473</v>
      </c>
      <c r="D315" s="15" t="str">
        <f>VLOOKUP(C315,skill_list!$B$7:$C$1030,2)</f>
        <v>朝霜</v>
      </c>
      <c r="E315" s="11"/>
      <c r="F315" s="15">
        <v>0</v>
      </c>
      <c r="G315" s="15">
        <v>1</v>
      </c>
      <c r="H315" s="15">
        <v>2</v>
      </c>
      <c r="I315" s="15">
        <v>2</v>
      </c>
      <c r="J315" s="15">
        <v>1050</v>
      </c>
      <c r="K315" s="15">
        <v>5250</v>
      </c>
      <c r="L315" s="15">
        <v>2</v>
      </c>
      <c r="M315" s="15">
        <v>2</v>
      </c>
      <c r="N315" s="15">
        <v>0</v>
      </c>
      <c r="O315" s="15">
        <v>0</v>
      </c>
      <c r="P315" s="14">
        <v>2</v>
      </c>
      <c r="Q315" s="11"/>
      <c r="R315" s="15"/>
      <c r="S315" s="15"/>
      <c r="T315" s="15"/>
    </row>
    <row r="316" spans="1:20">
      <c r="A316" s="8"/>
      <c r="B316" s="15">
        <v>2164</v>
      </c>
      <c r="C316" s="15">
        <v>480</v>
      </c>
      <c r="D316" s="15" t="str">
        <f>VLOOKUP(C316,skill_list!$B$7:$C$1030,2)</f>
        <v>スイーツチャージ！</v>
      </c>
      <c r="E316" s="11"/>
      <c r="F316" s="15">
        <v>0</v>
      </c>
      <c r="G316" s="15">
        <v>1</v>
      </c>
      <c r="H316" s="15">
        <v>2</v>
      </c>
      <c r="I316" s="15">
        <v>0</v>
      </c>
      <c r="J316" s="15">
        <v>513</v>
      </c>
      <c r="K316" s="15">
        <v>2565</v>
      </c>
      <c r="L316" s="15">
        <v>3</v>
      </c>
      <c r="M316" s="15">
        <v>1.375</v>
      </c>
      <c r="N316" s="15">
        <v>0</v>
      </c>
      <c r="O316" s="15">
        <v>0</v>
      </c>
      <c r="P316" s="14">
        <v>1</v>
      </c>
      <c r="Q316" s="11"/>
      <c r="R316" s="15"/>
      <c r="S316" s="15"/>
      <c r="T316" s="15"/>
    </row>
    <row r="317" spans="1:20">
      <c r="A317" s="8"/>
      <c r="B317" s="15">
        <v>2165</v>
      </c>
      <c r="C317" s="15">
        <v>476</v>
      </c>
      <c r="D317" s="15" t="str">
        <f>VLOOKUP(C317,skill_list!$B$7:$C$1030,2)</f>
        <v>ヌラルジャ</v>
      </c>
      <c r="E317" s="11"/>
      <c r="F317" s="15">
        <v>0</v>
      </c>
      <c r="G317" s="15">
        <v>1</v>
      </c>
      <c r="H317" s="15">
        <v>2</v>
      </c>
      <c r="I317" s="15">
        <v>5</v>
      </c>
      <c r="J317" s="15">
        <v>1556.25</v>
      </c>
      <c r="K317" s="15">
        <v>7781.25</v>
      </c>
      <c r="L317" s="15">
        <v>1</v>
      </c>
      <c r="M317" s="15">
        <v>2.5</v>
      </c>
      <c r="N317" s="15">
        <v>0</v>
      </c>
      <c r="O317" s="15">
        <v>0</v>
      </c>
      <c r="P317" s="14">
        <v>2</v>
      </c>
      <c r="Q317" s="11"/>
      <c r="R317" s="15"/>
      <c r="S317" s="15"/>
      <c r="T317" s="15"/>
    </row>
    <row r="318" spans="1:20">
      <c r="A318" s="8"/>
      <c r="B318" s="15">
        <v>2166</v>
      </c>
      <c r="C318" s="15">
        <v>485</v>
      </c>
      <c r="D318" s="15" t="str">
        <f>VLOOKUP(C318,skill_list!$B$7:$C$1030,2)</f>
        <v>渦中のヴァイオレット</v>
      </c>
      <c r="E318" s="11"/>
      <c r="F318" s="15">
        <v>2</v>
      </c>
      <c r="G318" s="15">
        <v>1</v>
      </c>
      <c r="H318" s="15">
        <v>0</v>
      </c>
      <c r="I318" s="15">
        <v>3</v>
      </c>
      <c r="J318" s="15">
        <v>962.25</v>
      </c>
      <c r="K318" s="15">
        <v>4811.25</v>
      </c>
      <c r="L318" s="15">
        <v>3</v>
      </c>
      <c r="M318" s="15">
        <v>1.9</v>
      </c>
      <c r="N318" s="15">
        <v>0</v>
      </c>
      <c r="O318" s="15">
        <v>30</v>
      </c>
      <c r="P318" s="14">
        <v>2</v>
      </c>
      <c r="Q318" s="11"/>
      <c r="R318" s="15"/>
      <c r="S318" s="15"/>
      <c r="T318" s="15"/>
    </row>
    <row r="319" spans="1:20">
      <c r="A319" s="8"/>
      <c r="B319" s="15">
        <v>2167</v>
      </c>
      <c r="C319" s="15">
        <v>484</v>
      </c>
      <c r="D319" s="15" t="str">
        <f>VLOOKUP(C319,skill_list!$B$7:$C$1030,2)</f>
        <v>パドマ・ナーチュナー</v>
      </c>
      <c r="E319" s="11"/>
      <c r="F319" s="15">
        <v>0</v>
      </c>
      <c r="G319" s="15">
        <v>1</v>
      </c>
      <c r="H319" s="15">
        <v>2</v>
      </c>
      <c r="I319" s="15">
        <v>0</v>
      </c>
      <c r="J319" s="15">
        <v>1142.25</v>
      </c>
      <c r="K319" s="15">
        <v>5711.25</v>
      </c>
      <c r="L319" s="15">
        <v>3</v>
      </c>
      <c r="M319" s="15">
        <v>2.1</v>
      </c>
      <c r="N319" s="15">
        <v>0</v>
      </c>
      <c r="O319" s="15">
        <v>0</v>
      </c>
      <c r="P319" s="14">
        <v>0</v>
      </c>
      <c r="Q319" s="11"/>
      <c r="R319" s="15"/>
      <c r="S319" s="15"/>
      <c r="T319" s="15"/>
    </row>
  </sheetData>
  <autoFilter ref="B6:V319" xr:uid="{03D05E3A-2E9E-4B06-A301-68A36CCCDE6A}"/>
  <phoneticPr fontId="1"/>
  <dataValidations count="1">
    <dataValidation type="list" allowBlank="1" showInputMessage="1" showErrorMessage="1" sqref="A7:A319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S307"/>
  <sheetViews>
    <sheetView zoomScale="85" zoomScaleNormal="85" workbookViewId="0">
      <pane ySplit="6" topLeftCell="A148" activePane="bottomLeft" state="frozen"/>
      <selection pane="bottomLeft" activeCell="G163" sqref="G163"/>
    </sheetView>
  </sheetViews>
  <sheetFormatPr defaultRowHeight="18.75"/>
  <cols>
    <col min="2" max="5" width="12.5" customWidth="1"/>
    <col min="6" max="6" width="29" bestFit="1" customWidth="1"/>
    <col min="7" max="17" width="12.5" customWidth="1"/>
    <col min="18" max="18" width="29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 t="s">
        <v>2143</v>
      </c>
      <c r="Q1" s="9" t="s">
        <v>2144</v>
      </c>
    </row>
    <row r="2" spans="1:17">
      <c r="A2" t="s">
        <v>61</v>
      </c>
      <c r="B2" s="9" t="s">
        <v>58</v>
      </c>
      <c r="C2" s="9" t="s">
        <v>1468</v>
      </c>
      <c r="D2" s="9" t="s">
        <v>59</v>
      </c>
      <c r="E2" s="9" t="s">
        <v>60</v>
      </c>
      <c r="F2" s="9" t="s">
        <v>1792</v>
      </c>
      <c r="G2" s="9" t="s">
        <v>1639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1345</v>
      </c>
      <c r="M2" s="9" t="s">
        <v>1793</v>
      </c>
      <c r="N2" s="9" t="s">
        <v>1176</v>
      </c>
      <c r="O2" s="9" t="s">
        <v>40</v>
      </c>
      <c r="P2" s="9" t="s">
        <v>329</v>
      </c>
      <c r="Q2" s="9" t="s">
        <v>417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41</v>
      </c>
      <c r="Q4" s="9" t="s">
        <v>35</v>
      </c>
    </row>
    <row r="5" spans="1:17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188</v>
      </c>
      <c r="G6" s="9" t="s">
        <v>188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188</v>
      </c>
      <c r="P6" s="9" t="s">
        <v>188</v>
      </c>
      <c r="Q6" s="9" t="s">
        <v>188</v>
      </c>
    </row>
    <row r="7" spans="1:17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  <c r="Q7" s="15"/>
    </row>
    <row r="8" spans="1:17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  <c r="Q8" s="15"/>
    </row>
    <row r="9" spans="1:17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  <c r="Q9" s="15"/>
    </row>
    <row r="10" spans="1:17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/>
      <c r="Q10" s="15"/>
    </row>
    <row r="11" spans="1:17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  <c r="Q11" s="15"/>
    </row>
    <row r="12" spans="1:17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  <c r="Q12" s="15"/>
    </row>
    <row r="13" spans="1:17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  <c r="Q13" s="15"/>
    </row>
    <row r="14" spans="1:17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  <c r="Q14" s="15"/>
    </row>
    <row r="15" spans="1:17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  <c r="Q15" s="15"/>
    </row>
    <row r="16" spans="1:17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  <c r="Q16" s="15"/>
    </row>
    <row r="17" spans="1:17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  <c r="Q17" s="15"/>
    </row>
    <row r="18" spans="1:17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  <c r="Q18" s="15"/>
    </row>
    <row r="19" spans="1:17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  <c r="Q19" s="15"/>
    </row>
    <row r="20" spans="1:17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  <c r="Q20" s="15"/>
    </row>
    <row r="21" spans="1:17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  <c r="Q21" s="15"/>
    </row>
    <row r="22" spans="1:17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  <c r="Q22" s="15"/>
    </row>
    <row r="23" spans="1:17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  <c r="Q23" s="15"/>
    </row>
    <row r="24" spans="1:17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  <c r="Q24" s="15"/>
    </row>
    <row r="25" spans="1:17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  <c r="Q25" s="15"/>
    </row>
    <row r="26" spans="1:17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  <c r="Q26" s="15"/>
    </row>
    <row r="27" spans="1:17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  <c r="Q27" s="15"/>
    </row>
    <row r="28" spans="1:17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  <c r="Q28" s="15"/>
    </row>
    <row r="29" spans="1:17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  <c r="Q29" s="15"/>
    </row>
    <row r="30" spans="1:17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  <c r="Q30" s="15"/>
    </row>
    <row r="31" spans="1:17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  <c r="Q31" s="15"/>
    </row>
    <row r="32" spans="1:17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  <c r="Q32" s="15"/>
    </row>
    <row r="33" spans="1:17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  <c r="Q33" s="15"/>
    </row>
    <row r="34" spans="1:17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  <c r="Q34" s="15"/>
    </row>
    <row r="35" spans="1:17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  <c r="Q35" s="15"/>
    </row>
    <row r="36" spans="1:17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  <c r="Q36" s="15"/>
    </row>
    <row r="37" spans="1:17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  <c r="Q37" s="15"/>
    </row>
    <row r="38" spans="1:17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  <c r="Q38" s="15"/>
    </row>
    <row r="39" spans="1:17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  <c r="Q39" s="15"/>
    </row>
    <row r="40" spans="1:17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  <c r="Q40" s="15"/>
    </row>
    <row r="41" spans="1:17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  <c r="Q41" s="15"/>
    </row>
    <row r="42" spans="1:17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  <c r="Q42" s="15"/>
    </row>
    <row r="43" spans="1:17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  <c r="Q43" s="15"/>
    </row>
    <row r="44" spans="1:17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  <c r="Q44" s="15"/>
    </row>
    <row r="45" spans="1:17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1664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/>
      <c r="Q45" s="15">
        <v>1</v>
      </c>
    </row>
    <row r="46" spans="1:17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1664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/>
      <c r="Q46" s="15">
        <v>1</v>
      </c>
    </row>
    <row r="47" spans="1:17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  <c r="Q47" s="15"/>
    </row>
    <row r="48" spans="1:17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  <c r="Q48" s="15"/>
    </row>
    <row r="49" spans="1:17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  <c r="Q49" s="15"/>
    </row>
    <row r="50" spans="1:17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  <c r="Q50" s="15"/>
    </row>
    <row r="51" spans="1:17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  <c r="Q51" s="15"/>
    </row>
    <row r="52" spans="1:17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1665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  <c r="Q52" s="15"/>
    </row>
    <row r="53" spans="1:17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  <c r="Q53" s="15"/>
    </row>
    <row r="54" spans="1:17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  <c r="Q54" s="15"/>
    </row>
    <row r="55" spans="1:17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  <c r="Q55" s="15"/>
    </row>
    <row r="56" spans="1:17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  <c r="Q56" s="15"/>
    </row>
    <row r="57" spans="1:17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  <c r="Q57" s="15"/>
    </row>
    <row r="58" spans="1:17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  <c r="Q58" s="15"/>
    </row>
    <row r="59" spans="1:17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  <c r="Q59" s="15"/>
    </row>
    <row r="60" spans="1:17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  <c r="Q60" s="15"/>
    </row>
    <row r="61" spans="1:17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  <c r="Q61" s="15"/>
    </row>
    <row r="62" spans="1:17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  <c r="Q62" s="15"/>
    </row>
    <row r="63" spans="1:17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  <c r="Q63" s="15"/>
    </row>
    <row r="64" spans="1:17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  <c r="Q64" s="15"/>
    </row>
    <row r="65" spans="1:17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  <c r="Q65" s="15"/>
    </row>
    <row r="66" spans="1:17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  <c r="Q66" s="15"/>
    </row>
    <row r="67" spans="1:17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  <c r="Q67" s="15"/>
    </row>
    <row r="68" spans="1:17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  <c r="Q68" s="15"/>
    </row>
    <row r="69" spans="1:17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  <c r="Q69" s="15"/>
    </row>
    <row r="70" spans="1:17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  <c r="Q70" s="15"/>
    </row>
    <row r="71" spans="1:17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  <c r="Q71" s="15"/>
    </row>
    <row r="72" spans="1:17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  <c r="Q72" s="15"/>
    </row>
    <row r="73" spans="1:17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  <c r="Q73" s="15"/>
    </row>
    <row r="74" spans="1:17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  <c r="Q74" s="15"/>
    </row>
    <row r="75" spans="1:17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  <c r="Q75" s="15"/>
    </row>
    <row r="76" spans="1:17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  <c r="Q76" s="15"/>
    </row>
    <row r="77" spans="1:17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  <c r="Q77" s="15"/>
    </row>
    <row r="78" spans="1:17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  <c r="Q78" s="15"/>
    </row>
    <row r="79" spans="1:17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  <c r="Q79" s="15"/>
    </row>
    <row r="80" spans="1:17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  <c r="Q80" s="15"/>
    </row>
    <row r="81" spans="1:17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  <c r="Q81" s="15"/>
    </row>
    <row r="82" spans="1:17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  <c r="Q82" s="15"/>
    </row>
    <row r="83" spans="1:17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  <c r="Q83" s="15"/>
    </row>
    <row r="84" spans="1:17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  <c r="Q84" s="15"/>
    </row>
    <row r="85" spans="1:17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  <c r="Q85" s="15"/>
    </row>
    <row r="86" spans="1:17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  <c r="Q86" s="15"/>
    </row>
    <row r="87" spans="1:17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  <c r="Q87" s="15"/>
    </row>
    <row r="88" spans="1:17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  <c r="Q88" s="15"/>
    </row>
    <row r="89" spans="1:17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  <c r="Q89" s="15"/>
    </row>
    <row r="90" spans="1:17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  <c r="Q90" s="15"/>
    </row>
    <row r="91" spans="1:17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  <c r="Q91" s="15"/>
    </row>
    <row r="92" spans="1:17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  <c r="Q92" s="15"/>
    </row>
    <row r="93" spans="1:17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  <c r="Q93" s="15"/>
    </row>
    <row r="94" spans="1:17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  <c r="Q94" s="15"/>
    </row>
    <row r="95" spans="1:17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  <c r="Q95" s="15"/>
    </row>
    <row r="96" spans="1:17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  <c r="Q96" s="15"/>
    </row>
    <row r="97" spans="1:19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  <c r="Q97" s="15"/>
    </row>
    <row r="98" spans="1:19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1664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/>
      <c r="Q98" s="15">
        <v>1</v>
      </c>
    </row>
    <row r="99" spans="1:19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  <c r="Q99" s="15"/>
    </row>
    <row r="100" spans="1:19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  <c r="Q100" s="15"/>
    </row>
    <row r="101" spans="1:19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  <c r="Q101" s="15"/>
    </row>
    <row r="102" spans="1:19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  <c r="Q102" s="15"/>
    </row>
    <row r="103" spans="1:19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  <c r="Q103" s="15"/>
    </row>
    <row r="104" spans="1:19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  <c r="Q104" s="15"/>
    </row>
    <row r="105" spans="1:19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  <c r="Q105" s="15"/>
    </row>
    <row r="106" spans="1:19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  <c r="Q106" s="15"/>
    </row>
    <row r="107" spans="1:19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  <c r="Q107" s="15"/>
    </row>
    <row r="108" spans="1:19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  <c r="Q108" s="15"/>
    </row>
    <row r="109" spans="1:19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  <c r="Q109" s="15"/>
    </row>
    <row r="110" spans="1:19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  <c r="Q110" s="15"/>
    </row>
    <row r="111" spans="1:19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Q111" s="15"/>
      <c r="S111" s="16"/>
    </row>
    <row r="112" spans="1:19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Q112" s="15"/>
      <c r="S112" s="17"/>
    </row>
    <row r="113" spans="1:17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  <c r="Q113" s="15"/>
    </row>
    <row r="114" spans="1:17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  <c r="Q114" s="15"/>
    </row>
    <row r="115" spans="1:17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  <c r="Q115" s="15"/>
    </row>
    <row r="116" spans="1:17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  <c r="Q116" s="15"/>
    </row>
    <row r="117" spans="1:17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1775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  <c r="Q117" s="15"/>
    </row>
    <row r="118" spans="1:17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1777</v>
      </c>
      <c r="H118" s="15">
        <v>3</v>
      </c>
      <c r="I118" s="15">
        <v>3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  <c r="Q118" s="15"/>
    </row>
    <row r="119" spans="1:17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1776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  <c r="Q119" s="15"/>
    </row>
    <row r="120" spans="1:17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  <c r="Q120" s="15"/>
    </row>
    <row r="121" spans="1:17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  <c r="Q121" s="15"/>
    </row>
    <row r="122" spans="1:17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  <c r="Q122" s="15"/>
    </row>
    <row r="123" spans="1:17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550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  <c r="Q123" s="15"/>
    </row>
    <row r="124" spans="1:17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  <c r="Q124" s="15"/>
    </row>
    <row r="125" spans="1:17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  <c r="Q125" s="15"/>
    </row>
    <row r="126" spans="1:17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  <c r="Q126" s="15"/>
    </row>
    <row r="127" spans="1:17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  <c r="Q127" s="15"/>
    </row>
    <row r="128" spans="1:17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  <c r="Q128" s="15"/>
    </row>
    <row r="129" spans="1:17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  <c r="Q129" s="15"/>
    </row>
    <row r="130" spans="1:17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  <c r="Q130" s="15"/>
    </row>
    <row r="131" spans="1:17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  <c r="Q131" s="15"/>
    </row>
    <row r="132" spans="1:17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  <c r="Q132" s="15"/>
    </row>
    <row r="133" spans="1:17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  <c r="Q133" s="15"/>
    </row>
    <row r="134" spans="1:17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  <c r="Q134" s="15"/>
    </row>
    <row r="135" spans="1:17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  <c r="Q135" s="15"/>
    </row>
    <row r="136" spans="1:17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  <c r="Q136" s="15"/>
    </row>
    <row r="137" spans="1:17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  <c r="Q137" s="15"/>
    </row>
    <row r="138" spans="1:17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1878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  <c r="Q138" s="15"/>
    </row>
    <row r="139" spans="1:17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  <c r="Q139" s="15"/>
    </row>
    <row r="140" spans="1:17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  <c r="Q140" s="15"/>
    </row>
    <row r="141" spans="1:17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  <c r="Q141" s="15"/>
    </row>
    <row r="142" spans="1:17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  <c r="Q142" s="15"/>
    </row>
    <row r="143" spans="1:17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  <c r="Q143" s="15"/>
    </row>
    <row r="144" spans="1:17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  <c r="Q144" s="15"/>
    </row>
    <row r="145" spans="1:17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  <c r="Q145" s="15"/>
    </row>
    <row r="146" spans="1:17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  <c r="Q146" s="15"/>
    </row>
    <row r="147" spans="1:17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  <c r="Q147" s="15"/>
    </row>
    <row r="148" spans="1:17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  <c r="Q148" s="15"/>
    </row>
    <row r="149" spans="1:17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  <c r="Q149" s="15"/>
    </row>
    <row r="150" spans="1:17">
      <c r="A150" s="8"/>
      <c r="B150" s="15">
        <v>146</v>
      </c>
      <c r="C150" s="15">
        <v>492</v>
      </c>
      <c r="D150" s="15">
        <v>17</v>
      </c>
      <c r="E150" s="15">
        <v>0</v>
      </c>
      <c r="F150" s="14" t="str">
        <f>VLOOKUP(C150,skill_list!B:C,2)</f>
        <v>蒼焔ノ迷宮</v>
      </c>
      <c r="G150" s="11" t="s">
        <v>1965</v>
      </c>
      <c r="H150" s="15">
        <v>3</v>
      </c>
      <c r="I150" s="15">
        <v>3</v>
      </c>
      <c r="J150" s="15">
        <v>0</v>
      </c>
      <c r="K150" s="15">
        <v>1</v>
      </c>
      <c r="L150" s="15">
        <v>7</v>
      </c>
      <c r="M150" s="15">
        <v>0</v>
      </c>
      <c r="N150" s="15">
        <v>1</v>
      </c>
      <c r="O150" s="15">
        <v>139</v>
      </c>
      <c r="P150" s="15"/>
      <c r="Q150" s="15"/>
    </row>
    <row r="151" spans="1:17">
      <c r="A151" s="8"/>
      <c r="B151" s="15">
        <v>147</v>
      </c>
      <c r="C151" s="15">
        <v>495</v>
      </c>
      <c r="D151" s="15">
        <v>1</v>
      </c>
      <c r="E151" s="15">
        <v>1</v>
      </c>
      <c r="F151" s="14" t="str">
        <f>VLOOKUP(C151,skill_list!B:C,2)</f>
        <v>レッドラウンドイリュージョン</v>
      </c>
      <c r="G151" s="11"/>
      <c r="H151" s="15">
        <v>65</v>
      </c>
      <c r="I151" s="15">
        <v>80</v>
      </c>
      <c r="J151" s="15">
        <v>135</v>
      </c>
      <c r="K151" s="15">
        <v>10</v>
      </c>
      <c r="L151" s="15">
        <v>6</v>
      </c>
      <c r="M151" s="15">
        <v>0</v>
      </c>
      <c r="N151" s="15">
        <v>1</v>
      </c>
      <c r="O151" s="15">
        <v>141</v>
      </c>
      <c r="P151" s="15"/>
      <c r="Q151" s="15"/>
    </row>
    <row r="152" spans="1:17">
      <c r="A152" s="8"/>
      <c r="B152" s="15">
        <v>148</v>
      </c>
      <c r="C152" s="15">
        <v>495</v>
      </c>
      <c r="D152" s="15">
        <v>9</v>
      </c>
      <c r="E152" s="15">
        <v>1</v>
      </c>
      <c r="F152" s="14" t="str">
        <f>VLOOKUP(C152,skill_list!B:C,2)</f>
        <v>レッドラウンドイリュージョン</v>
      </c>
      <c r="G152" s="11"/>
      <c r="H152" s="15">
        <v>45</v>
      </c>
      <c r="I152" s="15">
        <v>45</v>
      </c>
      <c r="J152" s="15">
        <v>0</v>
      </c>
      <c r="K152" s="15">
        <v>1</v>
      </c>
      <c r="L152" s="15">
        <v>6</v>
      </c>
      <c r="M152" s="15">
        <v>0</v>
      </c>
      <c r="N152" s="15">
        <v>1</v>
      </c>
      <c r="O152" s="15">
        <v>141</v>
      </c>
      <c r="P152" s="15"/>
      <c r="Q152" s="15"/>
    </row>
    <row r="153" spans="1:17">
      <c r="A153" s="8"/>
      <c r="B153" s="15">
        <v>149</v>
      </c>
      <c r="C153" s="15">
        <v>497</v>
      </c>
      <c r="D153" s="15">
        <v>6</v>
      </c>
      <c r="E153" s="15">
        <v>0</v>
      </c>
      <c r="F153" s="14" t="str">
        <f>VLOOKUP(C153,skill_list!B:C,2)</f>
        <v>浮き浮きサニー・ボマー</v>
      </c>
      <c r="G153" s="11"/>
      <c r="H153" s="15">
        <v>70</v>
      </c>
      <c r="I153" s="15">
        <v>70</v>
      </c>
      <c r="J153" s="15">
        <v>0</v>
      </c>
      <c r="K153" s="15">
        <v>1</v>
      </c>
      <c r="L153" s="15">
        <v>7</v>
      </c>
      <c r="M153" s="15">
        <v>0</v>
      </c>
      <c r="N153" s="15">
        <v>1</v>
      </c>
      <c r="O153" s="15">
        <v>143</v>
      </c>
      <c r="P153" s="15"/>
      <c r="Q153" s="15"/>
    </row>
    <row r="154" spans="1:17">
      <c r="A154" s="8"/>
      <c r="B154" s="15">
        <v>150</v>
      </c>
      <c r="C154" s="15">
        <v>497</v>
      </c>
      <c r="D154" s="15">
        <v>7</v>
      </c>
      <c r="E154" s="15">
        <v>0</v>
      </c>
      <c r="F154" s="14" t="str">
        <f>VLOOKUP(C154,skill_list!B:C,2)</f>
        <v>浮き浮きサニー・ボマー</v>
      </c>
      <c r="G154" s="11"/>
      <c r="H154" s="15">
        <v>30</v>
      </c>
      <c r="I154" s="15">
        <v>30</v>
      </c>
      <c r="J154" s="15">
        <v>0</v>
      </c>
      <c r="K154" s="15">
        <v>1</v>
      </c>
      <c r="L154" s="15">
        <v>7</v>
      </c>
      <c r="M154" s="15">
        <v>0</v>
      </c>
      <c r="N154" s="15">
        <v>1</v>
      </c>
      <c r="O154" s="15">
        <v>143</v>
      </c>
      <c r="P154" s="15"/>
      <c r="Q154" s="15"/>
    </row>
    <row r="155" spans="1:17">
      <c r="A155" s="8"/>
      <c r="B155" s="15">
        <v>151</v>
      </c>
      <c r="C155" s="15">
        <v>497</v>
      </c>
      <c r="D155" s="15">
        <v>2</v>
      </c>
      <c r="E155" s="15">
        <v>0</v>
      </c>
      <c r="F155" s="14" t="str">
        <f>VLOOKUP(C155,skill_list!B:C,2)</f>
        <v>浮き浮きサニー・ボマー</v>
      </c>
      <c r="G155" s="11"/>
      <c r="H155" s="15">
        <v>35</v>
      </c>
      <c r="I155" s="15">
        <v>50</v>
      </c>
      <c r="J155" s="15">
        <v>149</v>
      </c>
      <c r="K155" s="15">
        <v>1</v>
      </c>
      <c r="L155" s="15">
        <v>7</v>
      </c>
      <c r="M155" s="15">
        <v>0</v>
      </c>
      <c r="N155" s="15">
        <v>1</v>
      </c>
      <c r="O155" s="15">
        <v>143</v>
      </c>
      <c r="P155" s="15"/>
      <c r="Q155" s="15"/>
    </row>
    <row r="156" spans="1:17">
      <c r="A156" s="8"/>
      <c r="B156" s="15">
        <v>152</v>
      </c>
      <c r="C156" s="15">
        <v>501</v>
      </c>
      <c r="D156" s="15">
        <v>4</v>
      </c>
      <c r="E156" s="15">
        <v>3</v>
      </c>
      <c r="F156" s="14" t="str">
        <f>VLOOKUP(C156,skill_list!B:C,2)</f>
        <v>潮風ハイボルテージ</v>
      </c>
      <c r="G156" s="11"/>
      <c r="H156" s="15">
        <v>30</v>
      </c>
      <c r="I156" s="15">
        <v>45</v>
      </c>
      <c r="J156" s="15">
        <v>144</v>
      </c>
      <c r="K156" s="15">
        <v>1</v>
      </c>
      <c r="L156" s="15">
        <v>2</v>
      </c>
      <c r="M156" s="15">
        <v>0</v>
      </c>
      <c r="N156" s="15">
        <v>2</v>
      </c>
      <c r="O156" s="15">
        <v>144</v>
      </c>
      <c r="P156" s="15"/>
      <c r="Q156" s="15"/>
    </row>
    <row r="157" spans="1:17">
      <c r="A157" s="8"/>
      <c r="B157" s="15">
        <v>153</v>
      </c>
      <c r="C157" s="15">
        <v>501</v>
      </c>
      <c r="D157" s="15">
        <v>11</v>
      </c>
      <c r="E157" s="15">
        <v>3</v>
      </c>
      <c r="F157" s="14" t="str">
        <f>VLOOKUP(C157,skill_list!B:C,2)</f>
        <v>潮風ハイボルテージ</v>
      </c>
      <c r="G157" s="11"/>
      <c r="H157" s="15">
        <v>65</v>
      </c>
      <c r="I157" s="15">
        <v>65</v>
      </c>
      <c r="J157" s="15">
        <v>0</v>
      </c>
      <c r="K157" s="15">
        <v>1</v>
      </c>
      <c r="L157" s="15">
        <v>0</v>
      </c>
      <c r="M157" s="15">
        <v>0</v>
      </c>
      <c r="N157" s="15">
        <v>8</v>
      </c>
      <c r="O157" s="15">
        <v>144</v>
      </c>
      <c r="P157" s="15"/>
      <c r="Q157" s="15"/>
    </row>
    <row r="158" spans="1:17">
      <c r="A158" s="8"/>
      <c r="B158" s="15">
        <v>154</v>
      </c>
      <c r="C158" s="15">
        <v>503</v>
      </c>
      <c r="D158" s="15">
        <v>6</v>
      </c>
      <c r="E158" s="15">
        <v>5</v>
      </c>
      <c r="F158" s="14" t="str">
        <f>VLOOKUP(C158,skill_list!B:C,2)</f>
        <v>フグリングクラッシュ</v>
      </c>
      <c r="G158" s="11"/>
      <c r="H158" s="15">
        <v>70</v>
      </c>
      <c r="I158" s="15">
        <v>70</v>
      </c>
      <c r="J158" s="15">
        <v>0</v>
      </c>
      <c r="K158" s="15">
        <v>1</v>
      </c>
      <c r="L158" s="15">
        <v>6</v>
      </c>
      <c r="M158" s="15">
        <v>0</v>
      </c>
      <c r="N158" s="15">
        <v>1</v>
      </c>
      <c r="O158" s="15">
        <v>145</v>
      </c>
      <c r="P158" s="15"/>
      <c r="Q158" s="15"/>
    </row>
    <row r="159" spans="1:17">
      <c r="A159" s="8"/>
      <c r="B159" s="15">
        <v>155</v>
      </c>
      <c r="C159" s="15">
        <v>503</v>
      </c>
      <c r="D159" s="15">
        <v>9</v>
      </c>
      <c r="E159" s="15">
        <v>5</v>
      </c>
      <c r="F159" s="14" t="str">
        <f>VLOOKUP(C159,skill_list!B:C,2)</f>
        <v>フグリングクラッシュ</v>
      </c>
      <c r="G159" s="11"/>
      <c r="H159" s="15">
        <v>30</v>
      </c>
      <c r="I159" s="15">
        <v>45</v>
      </c>
      <c r="J159" s="15">
        <v>0</v>
      </c>
      <c r="K159" s="15">
        <v>1</v>
      </c>
      <c r="L159" s="15">
        <v>6</v>
      </c>
      <c r="M159" s="15">
        <v>0</v>
      </c>
      <c r="N159" s="15">
        <v>1</v>
      </c>
      <c r="O159" s="15">
        <v>145</v>
      </c>
      <c r="P159" s="15"/>
      <c r="Q159" s="15"/>
    </row>
    <row r="160" spans="1:17">
      <c r="A160" s="8"/>
      <c r="B160" s="15">
        <v>156</v>
      </c>
      <c r="C160" s="15">
        <v>503</v>
      </c>
      <c r="D160" s="15">
        <v>6</v>
      </c>
      <c r="E160" s="15">
        <v>5</v>
      </c>
      <c r="F160" s="14" t="str">
        <f>VLOOKUP(C160,skill_list!B:C,2)</f>
        <v>フグリングクラッシュ</v>
      </c>
      <c r="G160" s="11"/>
      <c r="H160" s="15">
        <v>70</v>
      </c>
      <c r="I160" s="15">
        <v>70</v>
      </c>
      <c r="J160" s="15">
        <v>0</v>
      </c>
      <c r="K160" s="15">
        <v>1</v>
      </c>
      <c r="L160" s="15">
        <v>6</v>
      </c>
      <c r="M160" s="15">
        <v>0</v>
      </c>
      <c r="N160" s="15">
        <v>1</v>
      </c>
      <c r="O160" s="15">
        <v>146</v>
      </c>
      <c r="P160" s="15"/>
      <c r="Q160" s="15"/>
    </row>
    <row r="161" spans="1:17">
      <c r="A161" s="8"/>
      <c r="B161" s="15">
        <v>157</v>
      </c>
      <c r="C161" s="15">
        <v>503</v>
      </c>
      <c r="D161" s="15">
        <v>9</v>
      </c>
      <c r="E161" s="15">
        <v>5</v>
      </c>
      <c r="F161" s="14" t="str">
        <f>VLOOKUP(C161,skill_list!B:C,2)</f>
        <v>フグリングクラッシュ</v>
      </c>
      <c r="G161" s="11"/>
      <c r="H161" s="15">
        <v>30</v>
      </c>
      <c r="I161" s="15">
        <v>45</v>
      </c>
      <c r="J161" s="15">
        <v>0</v>
      </c>
      <c r="K161" s="15">
        <v>1</v>
      </c>
      <c r="L161" s="15">
        <v>6</v>
      </c>
      <c r="M161" s="15">
        <v>0</v>
      </c>
      <c r="N161" s="15">
        <v>1</v>
      </c>
      <c r="O161" s="15">
        <v>146</v>
      </c>
      <c r="P161" s="15"/>
      <c r="Q161" s="15"/>
    </row>
    <row r="162" spans="1:17">
      <c r="A162" s="8"/>
      <c r="B162" s="15">
        <v>158</v>
      </c>
      <c r="C162" s="15">
        <v>292</v>
      </c>
      <c r="D162" s="15">
        <v>21</v>
      </c>
      <c r="E162" s="15">
        <v>0</v>
      </c>
      <c r="F162" s="14" t="str">
        <f>VLOOKUP(C162,skill_list!B:C,2)</f>
        <v>セイクリッド・クワイア</v>
      </c>
      <c r="G162" s="11" t="s">
        <v>1664</v>
      </c>
      <c r="H162" s="15">
        <v>20</v>
      </c>
      <c r="I162" s="15">
        <v>30</v>
      </c>
      <c r="J162" s="15">
        <v>153</v>
      </c>
      <c r="K162" s="15">
        <v>1</v>
      </c>
      <c r="L162" s="15">
        <v>1</v>
      </c>
      <c r="M162" s="15">
        <v>0</v>
      </c>
      <c r="N162" s="15">
        <v>0</v>
      </c>
      <c r="O162" s="15">
        <v>50</v>
      </c>
      <c r="P162" s="15"/>
      <c r="Q162" s="15">
        <v>1</v>
      </c>
    </row>
    <row r="163" spans="1:17">
      <c r="A163" s="8"/>
      <c r="B163" s="15">
        <v>159</v>
      </c>
      <c r="C163" s="15">
        <v>250</v>
      </c>
      <c r="D163" s="15">
        <v>1</v>
      </c>
      <c r="E163" s="15">
        <v>1</v>
      </c>
      <c r="F163" s="14" t="str">
        <f>VLOOKUP(C163,skill_list!B:C,2)</f>
        <v>ウィッシュカムトゥルー</v>
      </c>
      <c r="G163" s="11"/>
      <c r="H163" s="15">
        <v>65</v>
      </c>
      <c r="I163" s="15">
        <v>80</v>
      </c>
      <c r="J163" s="15">
        <v>240</v>
      </c>
      <c r="K163" s="15">
        <v>1</v>
      </c>
      <c r="L163" s="15">
        <v>6</v>
      </c>
      <c r="M163" s="15">
        <v>0</v>
      </c>
      <c r="N163" s="15">
        <v>1</v>
      </c>
      <c r="O163" s="15">
        <v>0</v>
      </c>
      <c r="P163" s="15"/>
      <c r="Q163" s="15"/>
    </row>
    <row r="164" spans="1:17">
      <c r="A164" s="8"/>
      <c r="B164" s="15">
        <v>160</v>
      </c>
      <c r="C164" s="15">
        <v>254</v>
      </c>
      <c r="D164" s="15">
        <v>0</v>
      </c>
      <c r="E164" s="15">
        <v>0</v>
      </c>
      <c r="F164" s="14" t="str">
        <f>VLOOKUP(C164,skill_list!B:C,2)</f>
        <v>サンダーストーム</v>
      </c>
      <c r="G164" s="11"/>
      <c r="H164" s="15">
        <v>60</v>
      </c>
      <c r="I164" s="15">
        <v>70</v>
      </c>
      <c r="J164" s="15">
        <v>146</v>
      </c>
      <c r="K164" s="15">
        <v>1</v>
      </c>
      <c r="L164" s="15">
        <v>7</v>
      </c>
      <c r="M164" s="15">
        <v>0</v>
      </c>
      <c r="N164" s="15">
        <v>1</v>
      </c>
      <c r="O164" s="15">
        <v>33</v>
      </c>
      <c r="P164" s="15"/>
      <c r="Q164" s="15"/>
    </row>
    <row r="165" spans="1:17">
      <c r="A165" s="8"/>
      <c r="B165" s="15">
        <v>1000</v>
      </c>
      <c r="C165" s="15">
        <v>9005</v>
      </c>
      <c r="D165" s="15">
        <v>0</v>
      </c>
      <c r="E165" s="15">
        <v>0</v>
      </c>
      <c r="F165" s="14" t="str">
        <f>VLOOKUP(C165,skill_list!B:C,2)</f>
        <v>アタックライズ</v>
      </c>
      <c r="G165" s="11"/>
      <c r="H165" s="15">
        <v>50</v>
      </c>
      <c r="I165" s="15">
        <v>65</v>
      </c>
      <c r="J165" s="15">
        <v>450</v>
      </c>
      <c r="K165" s="15">
        <v>1</v>
      </c>
      <c r="L165" s="15">
        <v>7</v>
      </c>
      <c r="M165" s="15">
        <v>0</v>
      </c>
      <c r="N165" s="15">
        <v>1</v>
      </c>
      <c r="O165" s="15">
        <v>0</v>
      </c>
      <c r="P165" s="15"/>
      <c r="Q165" s="15"/>
    </row>
    <row r="166" spans="1:17">
      <c r="A166" s="8"/>
      <c r="B166" s="15">
        <v>1001</v>
      </c>
      <c r="C166" s="15">
        <v>21</v>
      </c>
      <c r="D166" s="15">
        <v>0</v>
      </c>
      <c r="E166" s="15">
        <v>0</v>
      </c>
      <c r="F166" s="14" t="str">
        <f>VLOOKUP(C166,skill_list!B:C,2)</f>
        <v>エンハンス</v>
      </c>
      <c r="G166" s="11"/>
      <c r="H166" s="15">
        <v>50</v>
      </c>
      <c r="I166" s="15">
        <v>65</v>
      </c>
      <c r="J166" s="15">
        <v>208</v>
      </c>
      <c r="K166" s="15">
        <v>10</v>
      </c>
      <c r="L166" s="15">
        <v>4</v>
      </c>
      <c r="M166" s="15">
        <v>0</v>
      </c>
      <c r="N166" s="15">
        <v>1</v>
      </c>
      <c r="O166" s="15">
        <v>0</v>
      </c>
      <c r="P166" s="15"/>
      <c r="Q166" s="15"/>
    </row>
    <row r="167" spans="1:17">
      <c r="A167" s="8"/>
      <c r="B167" s="15">
        <v>1002</v>
      </c>
      <c r="C167" s="15">
        <v>48</v>
      </c>
      <c r="D167" s="15">
        <v>0</v>
      </c>
      <c r="E167" s="15">
        <v>0</v>
      </c>
      <c r="F167" s="14" t="str">
        <f>VLOOKUP(C167,skill_list!B:C,2)</f>
        <v>エンハンス</v>
      </c>
      <c r="G167" s="11"/>
      <c r="H167" s="15">
        <v>50</v>
      </c>
      <c r="I167" s="15">
        <v>65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>
        <v>0</v>
      </c>
      <c r="P167" s="15"/>
      <c r="Q167" s="15"/>
    </row>
    <row r="168" spans="1:17">
      <c r="A168" s="8"/>
      <c r="B168" s="15">
        <v>1003</v>
      </c>
      <c r="C168" s="15">
        <v>84</v>
      </c>
      <c r="D168" s="15">
        <v>0</v>
      </c>
      <c r="E168" s="15">
        <v>0</v>
      </c>
      <c r="F168" s="14" t="str">
        <f>VLOOKUP(C168,skill_list!B:C,2)</f>
        <v>エンハンス</v>
      </c>
      <c r="G168" s="11"/>
      <c r="H168" s="15">
        <v>50</v>
      </c>
      <c r="I168" s="15">
        <v>65</v>
      </c>
      <c r="J168" s="15">
        <v>208</v>
      </c>
      <c r="K168" s="15">
        <v>10</v>
      </c>
      <c r="L168" s="15">
        <v>4</v>
      </c>
      <c r="M168" s="15">
        <v>0</v>
      </c>
      <c r="N168" s="15">
        <v>1</v>
      </c>
      <c r="O168" s="15">
        <v>0</v>
      </c>
      <c r="P168" s="15"/>
      <c r="Q168" s="15"/>
    </row>
    <row r="169" spans="1:17">
      <c r="A169" s="8"/>
      <c r="B169" s="15">
        <v>1004</v>
      </c>
      <c r="C169" s="15">
        <v>112</v>
      </c>
      <c r="D169" s="15">
        <v>0</v>
      </c>
      <c r="E169" s="15">
        <v>0</v>
      </c>
      <c r="F169" s="14" t="str">
        <f>VLOOKUP(C169,skill_list!B:C,2)</f>
        <v>エンハンス</v>
      </c>
      <c r="G169" s="11"/>
      <c r="H169" s="15">
        <v>50</v>
      </c>
      <c r="I169" s="15">
        <v>65</v>
      </c>
      <c r="J169" s="15">
        <v>208</v>
      </c>
      <c r="K169" s="15">
        <v>10</v>
      </c>
      <c r="L169" s="15">
        <v>4</v>
      </c>
      <c r="M169" s="15">
        <v>0</v>
      </c>
      <c r="N169" s="15">
        <v>1</v>
      </c>
      <c r="O169" s="15">
        <v>0</v>
      </c>
      <c r="P169" s="15"/>
      <c r="Q169" s="15"/>
    </row>
    <row r="170" spans="1:17">
      <c r="A170" s="8"/>
      <c r="B170" s="15">
        <v>1005</v>
      </c>
      <c r="C170" s="15">
        <v>140</v>
      </c>
      <c r="D170" s="15">
        <v>0</v>
      </c>
      <c r="E170" s="15">
        <v>0</v>
      </c>
      <c r="F170" s="14" t="str">
        <f>VLOOKUP(C170,skill_list!B:C,2)</f>
        <v>エンハンス</v>
      </c>
      <c r="G170" s="11"/>
      <c r="H170" s="15">
        <v>50</v>
      </c>
      <c r="I170" s="15">
        <v>65</v>
      </c>
      <c r="J170" s="15">
        <v>208</v>
      </c>
      <c r="K170" s="15">
        <v>10</v>
      </c>
      <c r="L170" s="15">
        <v>4</v>
      </c>
      <c r="M170" s="15">
        <v>0</v>
      </c>
      <c r="N170" s="15">
        <v>1</v>
      </c>
      <c r="O170" s="15">
        <v>0</v>
      </c>
      <c r="P170" s="15"/>
      <c r="Q170" s="15"/>
    </row>
    <row r="171" spans="1:17">
      <c r="A171" s="8"/>
      <c r="B171" s="15">
        <v>1006</v>
      </c>
      <c r="C171" s="15">
        <v>156</v>
      </c>
      <c r="D171" s="15">
        <v>0</v>
      </c>
      <c r="E171" s="15">
        <v>0</v>
      </c>
      <c r="F171" s="14" t="str">
        <f>VLOOKUP(C171,skill_list!B:C,2)</f>
        <v>エンハンス</v>
      </c>
      <c r="G171" s="11"/>
      <c r="H171" s="15">
        <v>50</v>
      </c>
      <c r="I171" s="15">
        <v>65</v>
      </c>
      <c r="J171" s="15">
        <v>208</v>
      </c>
      <c r="K171" s="15">
        <v>10</v>
      </c>
      <c r="L171" s="15">
        <v>4</v>
      </c>
      <c r="M171" s="15">
        <v>0</v>
      </c>
      <c r="N171" s="15">
        <v>1</v>
      </c>
      <c r="O171" s="15">
        <v>0</v>
      </c>
      <c r="P171" s="15"/>
      <c r="Q171" s="15"/>
    </row>
    <row r="172" spans="1:17">
      <c r="A172" s="8"/>
      <c r="B172" s="15">
        <v>1007</v>
      </c>
      <c r="C172" s="15">
        <v>172</v>
      </c>
      <c r="D172" s="15">
        <v>0</v>
      </c>
      <c r="E172" s="15">
        <v>0</v>
      </c>
      <c r="F172" s="14" t="str">
        <f>VLOOKUP(C172,skill_list!B:C,2)</f>
        <v>エンハンス</v>
      </c>
      <c r="G172" s="11"/>
      <c r="H172" s="15">
        <v>50</v>
      </c>
      <c r="I172" s="15">
        <v>65</v>
      </c>
      <c r="J172" s="15">
        <v>208</v>
      </c>
      <c r="K172" s="15">
        <v>10</v>
      </c>
      <c r="L172" s="15">
        <v>4</v>
      </c>
      <c r="M172" s="15">
        <v>0</v>
      </c>
      <c r="N172" s="15">
        <v>1</v>
      </c>
      <c r="O172" s="15">
        <v>0</v>
      </c>
      <c r="P172" s="15"/>
      <c r="Q172" s="15"/>
    </row>
    <row r="173" spans="1:17">
      <c r="A173" s="8"/>
      <c r="B173" s="15">
        <v>1008</v>
      </c>
      <c r="C173" s="15">
        <v>88</v>
      </c>
      <c r="D173" s="15">
        <v>0</v>
      </c>
      <c r="E173" s="15">
        <v>0</v>
      </c>
      <c r="F173" s="14" t="str">
        <f>VLOOKUP(C173,skill_list!B:C,2)</f>
        <v>導きの号令</v>
      </c>
      <c r="G173" s="11"/>
      <c r="H173" s="15">
        <v>50</v>
      </c>
      <c r="I173" s="15">
        <v>65</v>
      </c>
      <c r="J173" s="15">
        <v>224</v>
      </c>
      <c r="K173" s="15">
        <v>10</v>
      </c>
      <c r="L173" s="15">
        <v>4</v>
      </c>
      <c r="M173" s="15">
        <v>0</v>
      </c>
      <c r="N173" s="15">
        <v>1</v>
      </c>
      <c r="O173" s="15">
        <v>0</v>
      </c>
      <c r="P173" s="15"/>
      <c r="Q173" s="15"/>
    </row>
    <row r="174" spans="1:17">
      <c r="A174" s="8"/>
      <c r="B174" s="15">
        <v>1009</v>
      </c>
      <c r="C174" s="15">
        <v>221</v>
      </c>
      <c r="D174" s="15">
        <v>0</v>
      </c>
      <c r="E174" s="15">
        <v>0</v>
      </c>
      <c r="F174" s="14" t="str">
        <f>VLOOKUP(C174,skill_list!B:C,2)</f>
        <v>クールダウン</v>
      </c>
      <c r="G174" s="11"/>
      <c r="H174" s="15">
        <v>75</v>
      </c>
      <c r="I174" s="15">
        <v>90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  <c r="Q174" s="15"/>
    </row>
    <row r="175" spans="1:17">
      <c r="A175" s="8"/>
      <c r="B175" s="15">
        <v>1010</v>
      </c>
      <c r="C175" s="15">
        <v>240</v>
      </c>
      <c r="D175" s="15">
        <v>0</v>
      </c>
      <c r="E175" s="15">
        <v>0</v>
      </c>
      <c r="F175" s="14" t="str">
        <f>VLOOKUP(C175,skill_list!B:C,2)</f>
        <v>クールダウン</v>
      </c>
      <c r="G175" s="11"/>
      <c r="H175" s="15">
        <v>75</v>
      </c>
      <c r="I175" s="15">
        <v>90</v>
      </c>
      <c r="J175" s="15">
        <v>200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  <c r="Q175" s="15"/>
    </row>
    <row r="176" spans="1:17">
      <c r="A176" s="8"/>
      <c r="B176" s="15">
        <v>1011</v>
      </c>
      <c r="C176" s="15">
        <v>284</v>
      </c>
      <c r="D176" s="15">
        <v>0</v>
      </c>
      <c r="E176" s="15">
        <v>0</v>
      </c>
      <c r="F176" s="14" t="str">
        <f>VLOOKUP(C176,skill_list!B:C,2)</f>
        <v>クールダウン</v>
      </c>
      <c r="G176" s="11"/>
      <c r="H176" s="15">
        <v>75</v>
      </c>
      <c r="I176" s="15">
        <v>90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  <c r="Q176" s="15"/>
    </row>
    <row r="177" spans="1:17">
      <c r="A177" s="8"/>
      <c r="B177" s="15">
        <v>1012</v>
      </c>
      <c r="C177" s="15">
        <v>336</v>
      </c>
      <c r="D177" s="15">
        <v>0</v>
      </c>
      <c r="E177" s="15">
        <v>0</v>
      </c>
      <c r="F177" s="14" t="str">
        <f>VLOOKUP(C177,skill_list!B:C,2)</f>
        <v>クールダウン</v>
      </c>
      <c r="G177" s="11"/>
      <c r="H177" s="15">
        <v>75</v>
      </c>
      <c r="I177" s="15">
        <v>90</v>
      </c>
      <c r="J177" s="15">
        <v>200</v>
      </c>
      <c r="K177" s="15">
        <v>10</v>
      </c>
      <c r="L177" s="15">
        <v>7</v>
      </c>
      <c r="M177" s="15">
        <v>0</v>
      </c>
      <c r="N177" s="15">
        <v>1</v>
      </c>
      <c r="O177" s="15">
        <v>0</v>
      </c>
      <c r="P177" s="15"/>
      <c r="Q177" s="15"/>
    </row>
    <row r="178" spans="1:17">
      <c r="A178" s="8"/>
      <c r="B178" s="15">
        <v>1013</v>
      </c>
      <c r="C178" s="15">
        <v>49</v>
      </c>
      <c r="D178" s="15">
        <v>0</v>
      </c>
      <c r="E178" s="15">
        <v>0</v>
      </c>
      <c r="F178" s="14" t="str">
        <f>VLOOKUP(C178,skill_list!B:C,2)</f>
        <v>ドーピング</v>
      </c>
      <c r="G178" s="11"/>
      <c r="H178" s="15">
        <v>75</v>
      </c>
      <c r="I178" s="15">
        <v>90</v>
      </c>
      <c r="J178" s="15">
        <v>216</v>
      </c>
      <c r="K178" s="15">
        <v>10</v>
      </c>
      <c r="L178" s="15">
        <v>4</v>
      </c>
      <c r="M178" s="15">
        <v>0</v>
      </c>
      <c r="N178" s="15">
        <v>1</v>
      </c>
      <c r="O178" s="15">
        <v>0</v>
      </c>
      <c r="P178" s="15"/>
      <c r="Q178" s="15"/>
    </row>
    <row r="179" spans="1:17">
      <c r="A179" s="8"/>
      <c r="B179" s="15">
        <v>1014</v>
      </c>
      <c r="C179" s="15">
        <v>299</v>
      </c>
      <c r="D179" s="15">
        <v>0</v>
      </c>
      <c r="E179" s="15">
        <v>0</v>
      </c>
      <c r="F179" s="14" t="str">
        <f>VLOOKUP(C179,skill_list!B:C,2)</f>
        <v>臥龍天命</v>
      </c>
      <c r="G179" s="11"/>
      <c r="H179" s="15">
        <v>75</v>
      </c>
      <c r="I179" s="15">
        <v>90</v>
      </c>
      <c r="J179" s="15">
        <v>216</v>
      </c>
      <c r="K179" s="15">
        <v>10</v>
      </c>
      <c r="L179" s="15">
        <v>4</v>
      </c>
      <c r="M179" s="15">
        <v>0</v>
      </c>
      <c r="N179" s="15">
        <v>1</v>
      </c>
      <c r="O179" s="15">
        <v>0</v>
      </c>
      <c r="P179" s="15"/>
      <c r="Q179" s="15"/>
    </row>
    <row r="180" spans="1:17">
      <c r="A180" s="8"/>
      <c r="B180" s="15">
        <v>1015</v>
      </c>
      <c r="C180" s="15">
        <v>322</v>
      </c>
      <c r="D180" s="15">
        <v>0</v>
      </c>
      <c r="E180" s="15">
        <v>0</v>
      </c>
      <c r="F180" s="14" t="str">
        <f>VLOOKUP(C180,skill_list!B:C,2)</f>
        <v>決戦前夜</v>
      </c>
      <c r="G180" s="11"/>
      <c r="H180" s="15">
        <v>75</v>
      </c>
      <c r="I180" s="15">
        <v>90</v>
      </c>
      <c r="J180" s="15">
        <v>216</v>
      </c>
      <c r="K180" s="15">
        <v>10</v>
      </c>
      <c r="L180" s="15">
        <v>5</v>
      </c>
      <c r="M180" s="15">
        <v>0</v>
      </c>
      <c r="N180" s="15">
        <v>1</v>
      </c>
      <c r="O180" s="15">
        <v>0</v>
      </c>
      <c r="P180" s="15"/>
      <c r="Q180" s="15"/>
    </row>
    <row r="181" spans="1:17">
      <c r="A181" s="8"/>
      <c r="B181" s="15">
        <v>1016</v>
      </c>
      <c r="C181" s="15">
        <v>188</v>
      </c>
      <c r="D181" s="15">
        <v>0</v>
      </c>
      <c r="E181" s="15">
        <v>0</v>
      </c>
      <c r="F181" s="14" t="str">
        <f>VLOOKUP(C181,skill_list!B:C,2)</f>
        <v>フィルエンハンス</v>
      </c>
      <c r="G181" s="11"/>
      <c r="H181" s="15">
        <v>50</v>
      </c>
      <c r="I181" s="15">
        <v>65</v>
      </c>
      <c r="J181" s="15">
        <v>232</v>
      </c>
      <c r="K181" s="15">
        <v>10</v>
      </c>
      <c r="L181" s="15">
        <v>6</v>
      </c>
      <c r="M181" s="15">
        <v>0</v>
      </c>
      <c r="N181" s="15">
        <v>1</v>
      </c>
      <c r="O181" s="15">
        <v>0</v>
      </c>
      <c r="P181" s="15"/>
      <c r="Q181" s="15"/>
    </row>
    <row r="182" spans="1:17">
      <c r="A182" s="8"/>
      <c r="B182" s="15">
        <v>1017</v>
      </c>
      <c r="C182" s="15">
        <v>268</v>
      </c>
      <c r="D182" s="15">
        <v>0</v>
      </c>
      <c r="E182" s="15">
        <v>0</v>
      </c>
      <c r="F182" s="14" t="str">
        <f>VLOOKUP(C182,skill_list!B:C,2)</f>
        <v>フィルエンハンス</v>
      </c>
      <c r="G182" s="11"/>
      <c r="H182" s="15">
        <v>50</v>
      </c>
      <c r="I182" s="15">
        <v>65</v>
      </c>
      <c r="J182" s="15">
        <v>232</v>
      </c>
      <c r="K182" s="15">
        <v>10</v>
      </c>
      <c r="L182" s="15">
        <v>6</v>
      </c>
      <c r="M182" s="15">
        <v>0</v>
      </c>
      <c r="N182" s="15">
        <v>1</v>
      </c>
      <c r="O182" s="15">
        <v>0</v>
      </c>
      <c r="P182" s="15"/>
      <c r="Q182" s="15"/>
    </row>
    <row r="183" spans="1:17">
      <c r="A183" s="8"/>
      <c r="B183" s="15">
        <v>1018</v>
      </c>
      <c r="C183" s="15">
        <v>273</v>
      </c>
      <c r="D183" s="15">
        <v>0</v>
      </c>
      <c r="E183" s="15">
        <v>0</v>
      </c>
      <c r="F183" s="14" t="str">
        <f>VLOOKUP(C183,skill_list!B:C,2)</f>
        <v>フィルエンハンス</v>
      </c>
      <c r="G183" s="11"/>
      <c r="H183" s="15">
        <v>50</v>
      </c>
      <c r="I183" s="15">
        <v>65</v>
      </c>
      <c r="J183" s="15">
        <v>232</v>
      </c>
      <c r="K183" s="15">
        <v>10</v>
      </c>
      <c r="L183" s="15">
        <v>6</v>
      </c>
      <c r="M183" s="15">
        <v>0</v>
      </c>
      <c r="N183" s="15">
        <v>1</v>
      </c>
      <c r="O183" s="15">
        <v>0</v>
      </c>
      <c r="P183" s="15"/>
      <c r="Q183" s="15"/>
    </row>
    <row r="184" spans="1:17">
      <c r="A184" s="8"/>
      <c r="B184" s="15">
        <v>1019</v>
      </c>
      <c r="C184" s="15">
        <v>295</v>
      </c>
      <c r="D184" s="15">
        <v>0</v>
      </c>
      <c r="E184" s="15">
        <v>0</v>
      </c>
      <c r="F184" s="14" t="str">
        <f>VLOOKUP(C184,skill_list!B:C,2)</f>
        <v>フィルエンハンス</v>
      </c>
      <c r="G184" s="11"/>
      <c r="H184" s="15">
        <v>50</v>
      </c>
      <c r="I184" s="15">
        <v>65</v>
      </c>
      <c r="J184" s="15">
        <v>232</v>
      </c>
      <c r="K184" s="15">
        <v>10</v>
      </c>
      <c r="L184" s="15">
        <v>6</v>
      </c>
      <c r="M184" s="15">
        <v>0</v>
      </c>
      <c r="N184" s="15">
        <v>1</v>
      </c>
      <c r="O184" s="15">
        <v>0</v>
      </c>
      <c r="P184" s="15"/>
      <c r="Q184" s="15"/>
    </row>
    <row r="185" spans="1:17">
      <c r="A185" s="8"/>
      <c r="B185" s="15">
        <v>1020</v>
      </c>
      <c r="C185" s="15">
        <v>62</v>
      </c>
      <c r="D185" s="15">
        <v>0</v>
      </c>
      <c r="E185" s="15">
        <v>0</v>
      </c>
      <c r="F185" s="14" t="str">
        <f>VLOOKUP(C185,skill_list!B:C,2)</f>
        <v>キリングエッジ</v>
      </c>
      <c r="G185" s="11"/>
      <c r="H185" s="15">
        <v>35</v>
      </c>
      <c r="I185" s="15">
        <v>50</v>
      </c>
      <c r="J185" s="15">
        <v>129</v>
      </c>
      <c r="K185" s="15">
        <v>1</v>
      </c>
      <c r="L185" s="15">
        <v>7</v>
      </c>
      <c r="M185" s="15">
        <v>0</v>
      </c>
      <c r="N185" s="15">
        <v>1</v>
      </c>
      <c r="O185" s="15">
        <v>0</v>
      </c>
      <c r="P185" s="15"/>
      <c r="Q185" s="15"/>
    </row>
    <row r="186" spans="1:17">
      <c r="A186" s="8"/>
      <c r="B186" s="15">
        <v>1021</v>
      </c>
      <c r="C186" s="15">
        <v>109</v>
      </c>
      <c r="D186" s="15">
        <v>0</v>
      </c>
      <c r="E186" s="15">
        <v>0</v>
      </c>
      <c r="F186" s="14" t="str">
        <f>VLOOKUP(C186,skill_list!B:C,2)</f>
        <v>ハネ殺し</v>
      </c>
      <c r="G186" s="11"/>
      <c r="H186" s="15">
        <v>35</v>
      </c>
      <c r="I186" s="15">
        <v>50</v>
      </c>
      <c r="J186" s="15">
        <v>120</v>
      </c>
      <c r="K186" s="15">
        <v>1</v>
      </c>
      <c r="L186" s="15">
        <v>7</v>
      </c>
      <c r="M186" s="15">
        <v>0</v>
      </c>
      <c r="N186" s="15">
        <v>1</v>
      </c>
      <c r="O186" s="15">
        <v>999</v>
      </c>
      <c r="P186" s="15"/>
      <c r="Q186" s="15"/>
    </row>
    <row r="187" spans="1:17">
      <c r="A187" s="8"/>
      <c r="B187" s="15">
        <v>1022</v>
      </c>
      <c r="C187" s="15">
        <v>288</v>
      </c>
      <c r="D187" s="15">
        <v>0</v>
      </c>
      <c r="E187" s="15">
        <v>0</v>
      </c>
      <c r="F187" s="14" t="str">
        <f>VLOOKUP(C187,skill_list!B:C,2)</f>
        <v>デディケイトギフト</v>
      </c>
      <c r="G187" s="11"/>
      <c r="H187" s="15">
        <v>75</v>
      </c>
      <c r="I187" s="15">
        <v>90</v>
      </c>
      <c r="J187" s="15">
        <v>200</v>
      </c>
      <c r="K187" s="15">
        <v>10</v>
      </c>
      <c r="L187" s="15">
        <v>3</v>
      </c>
      <c r="M187" s="15">
        <v>0</v>
      </c>
      <c r="N187" s="15">
        <v>1</v>
      </c>
      <c r="O187" s="15">
        <v>0</v>
      </c>
      <c r="P187" s="15"/>
      <c r="Q187" s="15"/>
    </row>
    <row r="188" spans="1:17">
      <c r="A188" s="8"/>
      <c r="B188" s="15">
        <v>1023</v>
      </c>
      <c r="C188" s="15">
        <v>217</v>
      </c>
      <c r="D188" s="15">
        <v>0</v>
      </c>
      <c r="E188" s="15">
        <v>0</v>
      </c>
      <c r="F188" s="14" t="str">
        <f>VLOOKUP(C188,skill_list!B:C,2)</f>
        <v>空</v>
      </c>
      <c r="G188" s="11"/>
      <c r="H188" s="15">
        <v>50</v>
      </c>
      <c r="I188" s="15">
        <v>65</v>
      </c>
      <c r="J188" s="15">
        <v>200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  <c r="Q188" s="15"/>
    </row>
    <row r="189" spans="1:17">
      <c r="A189" s="8"/>
      <c r="B189" s="15">
        <v>1024</v>
      </c>
      <c r="C189" s="15">
        <v>267</v>
      </c>
      <c r="D189" s="15">
        <v>0</v>
      </c>
      <c r="E189" s="15">
        <v>0</v>
      </c>
      <c r="F189" s="14" t="str">
        <f>VLOOKUP(C189,skill_list!B:C,2)</f>
        <v>細雪</v>
      </c>
      <c r="G189" s="11"/>
      <c r="H189" s="15">
        <v>75</v>
      </c>
      <c r="I189" s="15">
        <v>90</v>
      </c>
      <c r="J189" s="15">
        <v>208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  <c r="Q189" s="15"/>
    </row>
    <row r="190" spans="1:17">
      <c r="A190" s="8"/>
      <c r="B190" s="15">
        <v>1025</v>
      </c>
      <c r="C190" s="15">
        <v>45</v>
      </c>
      <c r="D190" s="15">
        <v>0</v>
      </c>
      <c r="E190" s="15">
        <v>0</v>
      </c>
      <c r="F190" s="14" t="str">
        <f>VLOOKUP(C190,skill_list!B:C,2)</f>
        <v>残心撃</v>
      </c>
      <c r="G190" s="11"/>
      <c r="H190" s="15">
        <v>35</v>
      </c>
      <c r="I190" s="15">
        <v>50</v>
      </c>
      <c r="J190" s="15">
        <v>126</v>
      </c>
      <c r="K190" s="15">
        <v>1</v>
      </c>
      <c r="L190" s="15">
        <v>7</v>
      </c>
      <c r="M190" s="15">
        <v>0</v>
      </c>
      <c r="N190" s="15">
        <v>1</v>
      </c>
      <c r="O190" s="15">
        <v>999</v>
      </c>
      <c r="P190" s="15"/>
      <c r="Q190" s="15"/>
    </row>
    <row r="191" spans="1:17">
      <c r="A191" s="8"/>
      <c r="B191" s="15">
        <v>1026</v>
      </c>
      <c r="C191" s="15">
        <v>420</v>
      </c>
      <c r="D191" s="15">
        <v>0</v>
      </c>
      <c r="E191" s="15">
        <v>0</v>
      </c>
      <c r="F191" s="14" t="str">
        <f>VLOOKUP(C191,skill_list!B:C,2)</f>
        <v>デヴォーション</v>
      </c>
      <c r="G191" s="11"/>
      <c r="H191" s="15">
        <v>75</v>
      </c>
      <c r="I191" s="15">
        <v>90</v>
      </c>
      <c r="J191" s="15">
        <v>216</v>
      </c>
      <c r="K191" s="15">
        <v>10</v>
      </c>
      <c r="L191" s="15">
        <v>5</v>
      </c>
      <c r="M191" s="15">
        <v>0</v>
      </c>
      <c r="N191" s="15">
        <v>1</v>
      </c>
      <c r="O191" s="15">
        <v>0</v>
      </c>
      <c r="P191" s="15"/>
      <c r="Q191" s="15"/>
    </row>
    <row r="192" spans="1:17">
      <c r="A192" s="8"/>
      <c r="B192" s="15">
        <v>1027</v>
      </c>
      <c r="C192" s="15">
        <v>425</v>
      </c>
      <c r="D192" s="15">
        <v>0</v>
      </c>
      <c r="E192" s="15">
        <v>0</v>
      </c>
      <c r="F192" s="14" t="str">
        <f>VLOOKUP(C192,skill_list!B:C,2)</f>
        <v>セルフパッション</v>
      </c>
      <c r="G192" s="11"/>
      <c r="H192" s="15">
        <v>75</v>
      </c>
      <c r="I192" s="15">
        <v>90</v>
      </c>
      <c r="J192" s="15">
        <v>224</v>
      </c>
      <c r="K192" s="15">
        <v>10</v>
      </c>
      <c r="L192" s="15">
        <v>7</v>
      </c>
      <c r="M192" s="15">
        <v>0</v>
      </c>
      <c r="N192" s="15">
        <v>1</v>
      </c>
      <c r="O192" s="15">
        <v>0</v>
      </c>
      <c r="P192" s="15"/>
      <c r="Q192" s="15"/>
    </row>
    <row r="193" spans="1:17">
      <c r="A193" s="8"/>
      <c r="B193" s="15">
        <v>1028</v>
      </c>
      <c r="C193" s="15">
        <v>482</v>
      </c>
      <c r="D193" s="15">
        <v>0</v>
      </c>
      <c r="E193" s="15">
        <v>0</v>
      </c>
      <c r="F193" s="14" t="str">
        <f>VLOOKUP(C193,skill_list!B:C,2)</f>
        <v>解けない謎はない</v>
      </c>
      <c r="G193" s="11"/>
      <c r="H193" s="15">
        <v>50</v>
      </c>
      <c r="I193" s="15">
        <v>65</v>
      </c>
      <c r="J193" s="15">
        <v>224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  <c r="Q193" s="15"/>
    </row>
    <row r="194" spans="1:17">
      <c r="A194" s="8"/>
      <c r="B194" s="15">
        <v>1029</v>
      </c>
      <c r="C194" s="15">
        <v>488</v>
      </c>
      <c r="D194" s="15">
        <v>0</v>
      </c>
      <c r="E194" s="15">
        <v>0</v>
      </c>
      <c r="F194" s="14" t="str">
        <f>VLOOKUP(C194,skill_list!B:C,2)</f>
        <v>クリャートヴァ</v>
      </c>
      <c r="G194" s="11"/>
      <c r="H194" s="15">
        <v>50</v>
      </c>
      <c r="I194" s="15">
        <v>65</v>
      </c>
      <c r="J194" s="15">
        <v>232</v>
      </c>
      <c r="K194" s="15">
        <v>10</v>
      </c>
      <c r="L194" s="15">
        <v>3</v>
      </c>
      <c r="M194" s="15">
        <v>0</v>
      </c>
      <c r="N194" s="15">
        <v>1</v>
      </c>
      <c r="O194" s="15">
        <v>0</v>
      </c>
      <c r="P194" s="15"/>
      <c r="Q194" s="15"/>
    </row>
    <row r="195" spans="1:17">
      <c r="A195" s="8"/>
      <c r="B195" s="15">
        <v>1101</v>
      </c>
      <c r="C195" s="15">
        <v>373</v>
      </c>
      <c r="D195" s="15">
        <v>1</v>
      </c>
      <c r="E195" s="15">
        <v>4</v>
      </c>
      <c r="F195" s="14" t="str">
        <f>VLOOKUP(C195,skill_list!B:C,2)</f>
        <v>ホーリーエンハンス</v>
      </c>
      <c r="G195" s="11"/>
      <c r="H195" s="15">
        <v>65</v>
      </c>
      <c r="I195" s="15">
        <v>80</v>
      </c>
      <c r="J195" s="15">
        <v>208</v>
      </c>
      <c r="K195" s="15">
        <v>10</v>
      </c>
      <c r="L195" s="15">
        <v>4</v>
      </c>
      <c r="M195" s="15">
        <v>0</v>
      </c>
      <c r="N195" s="15">
        <v>1</v>
      </c>
      <c r="O195" s="15">
        <v>0</v>
      </c>
      <c r="P195" s="15"/>
      <c r="Q195" s="15"/>
    </row>
    <row r="196" spans="1:17">
      <c r="A196" s="8"/>
      <c r="B196" s="15">
        <v>1102</v>
      </c>
      <c r="C196" s="15">
        <v>371</v>
      </c>
      <c r="D196" s="15">
        <v>1</v>
      </c>
      <c r="E196" s="15">
        <v>5</v>
      </c>
      <c r="F196" s="14" t="str">
        <f>VLOOKUP(C196,skill_list!B:C,2)</f>
        <v>赤面スティグマ</v>
      </c>
      <c r="G196" s="11"/>
      <c r="H196" s="15">
        <v>65</v>
      </c>
      <c r="I196" s="15">
        <v>80</v>
      </c>
      <c r="J196" s="15">
        <v>200</v>
      </c>
      <c r="K196" s="15">
        <v>10</v>
      </c>
      <c r="L196" s="15">
        <v>7</v>
      </c>
      <c r="M196" s="15">
        <v>0</v>
      </c>
      <c r="N196" s="15">
        <v>1</v>
      </c>
      <c r="O196" s="15">
        <v>0</v>
      </c>
      <c r="P196" s="15"/>
      <c r="Q196" s="15"/>
    </row>
    <row r="197" spans="1:17">
      <c r="A197" s="8"/>
      <c r="B197" s="15">
        <v>1103</v>
      </c>
      <c r="C197" s="15">
        <v>332</v>
      </c>
      <c r="D197" s="15">
        <v>1</v>
      </c>
      <c r="E197" s="15">
        <v>2</v>
      </c>
      <c r="F197" s="14" t="str">
        <f>VLOOKUP(C197,skill_list!B:C,2)</f>
        <v>淡雪</v>
      </c>
      <c r="G197" s="11"/>
      <c r="H197" s="15">
        <v>65</v>
      </c>
      <c r="I197" s="15">
        <v>80</v>
      </c>
      <c r="J197" s="15">
        <v>192</v>
      </c>
      <c r="K197" s="15">
        <v>10</v>
      </c>
      <c r="L197" s="15">
        <v>7</v>
      </c>
      <c r="M197" s="15">
        <v>0</v>
      </c>
      <c r="N197" s="15">
        <v>1</v>
      </c>
      <c r="O197" s="15">
        <v>0</v>
      </c>
      <c r="P197" s="15"/>
      <c r="Q197" s="15"/>
    </row>
    <row r="198" spans="1:17">
      <c r="A198" s="8"/>
      <c r="B198" s="15">
        <v>1104</v>
      </c>
      <c r="C198" s="15">
        <v>366</v>
      </c>
      <c r="D198" s="15">
        <v>1</v>
      </c>
      <c r="E198" s="15">
        <v>5</v>
      </c>
      <c r="F198" s="14" t="str">
        <f>VLOOKUP(C198,skill_list!B:C,2)</f>
        <v>被害妄想</v>
      </c>
      <c r="G198" s="11"/>
      <c r="H198" s="15">
        <v>65</v>
      </c>
      <c r="I198" s="15">
        <v>80</v>
      </c>
      <c r="J198" s="15">
        <v>192</v>
      </c>
      <c r="K198" s="15">
        <v>10</v>
      </c>
      <c r="L198" s="15">
        <v>7</v>
      </c>
      <c r="M198" s="15">
        <v>0</v>
      </c>
      <c r="N198" s="15">
        <v>1</v>
      </c>
      <c r="O198" s="15">
        <v>0</v>
      </c>
      <c r="P198" s="15"/>
      <c r="Q198" s="15"/>
    </row>
    <row r="199" spans="1:17">
      <c r="A199" s="8"/>
      <c r="B199" s="15">
        <v>1105</v>
      </c>
      <c r="C199" s="15">
        <v>253</v>
      </c>
      <c r="D199" s="15">
        <v>1</v>
      </c>
      <c r="E199" s="15">
        <v>3</v>
      </c>
      <c r="F199" s="14" t="str">
        <f>VLOOKUP(C199,skill_list!B:C,2)</f>
        <v>ライトニングロア</v>
      </c>
      <c r="G199" s="11"/>
      <c r="H199" s="15">
        <v>40</v>
      </c>
      <c r="I199" s="15">
        <v>55</v>
      </c>
      <c r="J199" s="15">
        <v>129</v>
      </c>
      <c r="K199" s="15">
        <v>1</v>
      </c>
      <c r="L199" s="15">
        <v>7</v>
      </c>
      <c r="M199" s="15">
        <v>0</v>
      </c>
      <c r="N199" s="15">
        <v>1</v>
      </c>
      <c r="O199" s="15">
        <v>0</v>
      </c>
      <c r="P199" s="15"/>
      <c r="Q199" s="15"/>
    </row>
    <row r="200" spans="1:17">
      <c r="A200" s="8"/>
      <c r="B200" s="15">
        <v>1106</v>
      </c>
      <c r="C200" s="15">
        <v>219</v>
      </c>
      <c r="D200" s="15">
        <v>1</v>
      </c>
      <c r="E200" s="15">
        <v>4</v>
      </c>
      <c r="F200" s="14" t="str">
        <f>VLOOKUP(C200,skill_list!B:C,2)</f>
        <v>夢十夜</v>
      </c>
      <c r="G200" s="11"/>
      <c r="H200" s="15">
        <v>40</v>
      </c>
      <c r="I200" s="15">
        <v>55</v>
      </c>
      <c r="J200" s="15">
        <v>132</v>
      </c>
      <c r="K200" s="15">
        <v>1</v>
      </c>
      <c r="L200" s="15">
        <v>7</v>
      </c>
      <c r="M200" s="15">
        <v>0</v>
      </c>
      <c r="N200" s="15">
        <v>1</v>
      </c>
      <c r="O200" s="15">
        <v>0</v>
      </c>
      <c r="P200" s="15"/>
      <c r="Q200" s="15"/>
    </row>
    <row r="201" spans="1:17">
      <c r="A201" s="8"/>
      <c r="B201" s="15">
        <v>1107</v>
      </c>
      <c r="C201" s="15">
        <v>339</v>
      </c>
      <c r="D201" s="15">
        <v>1</v>
      </c>
      <c r="E201" s="15">
        <v>5</v>
      </c>
      <c r="F201" s="14" t="str">
        <f>VLOOKUP(C201,skill_list!B:C,2)</f>
        <v>大切り盛り</v>
      </c>
      <c r="G201" s="11"/>
      <c r="H201" s="15">
        <v>40</v>
      </c>
      <c r="I201" s="15">
        <v>55</v>
      </c>
      <c r="J201" s="15">
        <v>123</v>
      </c>
      <c r="K201" s="15">
        <v>1</v>
      </c>
      <c r="L201" s="15">
        <v>7</v>
      </c>
      <c r="M201" s="15">
        <v>0</v>
      </c>
      <c r="N201" s="15">
        <v>1</v>
      </c>
      <c r="O201" s="15">
        <v>0</v>
      </c>
      <c r="P201" s="15"/>
      <c r="Q201" s="15"/>
    </row>
    <row r="202" spans="1:17">
      <c r="A202" s="8"/>
      <c r="B202" s="15">
        <v>1108</v>
      </c>
      <c r="C202" s="15">
        <v>404</v>
      </c>
      <c r="D202" s="15">
        <v>1</v>
      </c>
      <c r="E202" s="15">
        <v>3</v>
      </c>
      <c r="F202" s="14" t="str">
        <f>VLOOKUP(C202,skill_list!B:C,2)</f>
        <v>とある衝撃</v>
      </c>
      <c r="G202" s="11"/>
      <c r="H202" s="15">
        <v>65</v>
      </c>
      <c r="I202" s="15">
        <v>80</v>
      </c>
      <c r="J202" s="15">
        <v>200</v>
      </c>
      <c r="K202" s="15">
        <v>10</v>
      </c>
      <c r="L202" s="15">
        <v>7</v>
      </c>
      <c r="M202" s="15">
        <v>0</v>
      </c>
      <c r="N202" s="15">
        <v>1</v>
      </c>
      <c r="O202" s="15">
        <v>0</v>
      </c>
      <c r="P202" s="15"/>
      <c r="Q202" s="15"/>
    </row>
    <row r="203" spans="1:17">
      <c r="A203" s="8"/>
      <c r="B203" s="15">
        <v>1109</v>
      </c>
      <c r="C203" s="15">
        <v>412</v>
      </c>
      <c r="D203" s="15">
        <v>1</v>
      </c>
      <c r="E203" s="15">
        <v>2</v>
      </c>
      <c r="F203" s="14" t="str">
        <f>VLOOKUP(C203,skill_list!B:C,2)</f>
        <v>北風のスバル</v>
      </c>
      <c r="G203" s="11"/>
      <c r="H203" s="15">
        <v>65</v>
      </c>
      <c r="I203" s="15">
        <v>80</v>
      </c>
      <c r="J203" s="15">
        <v>192</v>
      </c>
      <c r="K203" s="15">
        <v>10</v>
      </c>
      <c r="L203" s="15">
        <v>7</v>
      </c>
      <c r="M203" s="15">
        <v>0</v>
      </c>
      <c r="N203" s="15">
        <v>1</v>
      </c>
      <c r="O203" s="15">
        <v>0</v>
      </c>
      <c r="P203" s="15"/>
      <c r="Q203" s="15"/>
    </row>
    <row r="204" spans="1:17">
      <c r="A204" s="8"/>
      <c r="B204" s="15">
        <v>1110</v>
      </c>
      <c r="C204" s="15">
        <v>461</v>
      </c>
      <c r="D204" s="15">
        <v>1</v>
      </c>
      <c r="E204" s="15">
        <v>3</v>
      </c>
      <c r="F204" s="14" t="str">
        <f>VLOOKUP(C204,skill_list!B:C,2)</f>
        <v>ねこじゃらし</v>
      </c>
      <c r="G204" s="11"/>
      <c r="H204" s="15">
        <v>65</v>
      </c>
      <c r="I204" s="15">
        <v>80</v>
      </c>
      <c r="J204" s="15">
        <v>200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  <c r="Q204" s="15"/>
    </row>
    <row r="205" spans="1:17">
      <c r="A205" s="8"/>
      <c r="B205" s="15">
        <v>1111</v>
      </c>
      <c r="C205" s="15">
        <v>465</v>
      </c>
      <c r="D205" s="15">
        <v>1</v>
      </c>
      <c r="E205" s="15">
        <v>5</v>
      </c>
      <c r="F205" s="14" t="str">
        <f>VLOOKUP(C205,skill_list!B:C,2)</f>
        <v>ピクシースマイル</v>
      </c>
      <c r="G205" s="11"/>
      <c r="H205" s="15">
        <v>65</v>
      </c>
      <c r="I205" s="15">
        <v>80</v>
      </c>
      <c r="J205" s="15">
        <v>208</v>
      </c>
      <c r="K205" s="15">
        <v>10</v>
      </c>
      <c r="L205" s="15">
        <v>4</v>
      </c>
      <c r="M205" s="15">
        <v>0</v>
      </c>
      <c r="N205" s="15">
        <v>1</v>
      </c>
      <c r="O205" s="15">
        <v>0</v>
      </c>
      <c r="P205" s="15"/>
      <c r="Q205" s="15"/>
    </row>
    <row r="206" spans="1:17">
      <c r="A206" s="8"/>
      <c r="B206" s="15">
        <v>1112</v>
      </c>
      <c r="C206" s="15">
        <v>488</v>
      </c>
      <c r="D206" s="15">
        <v>1</v>
      </c>
      <c r="E206" s="15">
        <v>5</v>
      </c>
      <c r="F206" s="14" t="str">
        <f>VLOOKUP(C206,skill_list!B:C,2)</f>
        <v>クリャートヴァ</v>
      </c>
      <c r="G206" s="11"/>
      <c r="H206" s="15">
        <v>65</v>
      </c>
      <c r="I206" s="15">
        <v>80</v>
      </c>
      <c r="J206" s="15">
        <v>232</v>
      </c>
      <c r="K206" s="15">
        <v>10</v>
      </c>
      <c r="L206" s="15">
        <v>3</v>
      </c>
      <c r="M206" s="15">
        <v>0</v>
      </c>
      <c r="N206" s="15">
        <v>1</v>
      </c>
      <c r="O206" s="15">
        <v>0</v>
      </c>
      <c r="P206" s="15"/>
      <c r="Q206" s="15"/>
    </row>
    <row r="207" spans="1:17">
      <c r="A207" s="8"/>
      <c r="B207" s="15">
        <v>1201</v>
      </c>
      <c r="C207" s="15">
        <v>310</v>
      </c>
      <c r="D207" s="15">
        <v>2</v>
      </c>
      <c r="E207" s="15">
        <v>0</v>
      </c>
      <c r="F207" s="14" t="str">
        <f>VLOOKUP(C207,skill_list!B:C,2)</f>
        <v>インサイト</v>
      </c>
      <c r="G207" s="11"/>
      <c r="H207" s="15">
        <v>35</v>
      </c>
      <c r="I207" s="15">
        <v>50</v>
      </c>
      <c r="J207" s="15">
        <v>200</v>
      </c>
      <c r="K207" s="15">
        <v>10</v>
      </c>
      <c r="L207" s="15">
        <v>7</v>
      </c>
      <c r="M207" s="15">
        <v>0</v>
      </c>
      <c r="N207" s="15">
        <v>1</v>
      </c>
      <c r="O207" s="15">
        <v>0</v>
      </c>
      <c r="P207" s="15"/>
      <c r="Q207" s="15"/>
    </row>
    <row r="208" spans="1:17">
      <c r="A208" s="8"/>
      <c r="B208" s="15">
        <v>1202</v>
      </c>
      <c r="C208" s="15">
        <v>451</v>
      </c>
      <c r="D208" s="15">
        <v>2</v>
      </c>
      <c r="E208" s="15">
        <v>0</v>
      </c>
      <c r="F208" s="14" t="str">
        <f>VLOOKUP(C208,skill_list!B:C,2)</f>
        <v>炯眼の構え</v>
      </c>
      <c r="G208" s="11"/>
      <c r="H208" s="15">
        <v>35</v>
      </c>
      <c r="I208" s="15">
        <v>50</v>
      </c>
      <c r="J208" s="15">
        <v>200</v>
      </c>
      <c r="K208" s="15">
        <v>10</v>
      </c>
      <c r="L208" s="15">
        <v>7</v>
      </c>
      <c r="M208" s="15">
        <v>0</v>
      </c>
      <c r="N208" s="15">
        <v>1</v>
      </c>
      <c r="O208" s="15">
        <v>0</v>
      </c>
      <c r="P208" s="15"/>
      <c r="Q208" s="15"/>
    </row>
    <row r="209" spans="1:17">
      <c r="A209" s="8"/>
      <c r="B209" s="15">
        <v>1300</v>
      </c>
      <c r="C209" s="15">
        <v>9009</v>
      </c>
      <c r="D209" s="15">
        <v>3</v>
      </c>
      <c r="E209" s="15">
        <v>0</v>
      </c>
      <c r="F209" s="14" t="str">
        <f>VLOOKUP(C209,skill_list!B:C,2)</f>
        <v>ソフニング</v>
      </c>
      <c r="G209" s="11"/>
      <c r="H209" s="15">
        <v>30</v>
      </c>
      <c r="I209" s="15">
        <v>45</v>
      </c>
      <c r="J209" s="15">
        <v>200</v>
      </c>
      <c r="K209" s="15">
        <v>1</v>
      </c>
      <c r="L209" s="15">
        <v>1</v>
      </c>
      <c r="M209" s="15">
        <v>0</v>
      </c>
      <c r="N209" s="15">
        <v>1</v>
      </c>
      <c r="O209" s="15">
        <v>0</v>
      </c>
      <c r="P209" s="15"/>
      <c r="Q209" s="15"/>
    </row>
    <row r="210" spans="1:17">
      <c r="A210" s="8"/>
      <c r="B210" s="15">
        <v>1301</v>
      </c>
      <c r="C210" s="15">
        <v>173</v>
      </c>
      <c r="D210" s="15">
        <v>3</v>
      </c>
      <c r="E210" s="15">
        <v>0</v>
      </c>
      <c r="F210" s="14" t="str">
        <f>VLOOKUP(C210,skill_list!B:C,2)</f>
        <v>臥龍演舞斬</v>
      </c>
      <c r="G210" s="11"/>
      <c r="H210" s="15">
        <v>30</v>
      </c>
      <c r="I210" s="15">
        <v>45</v>
      </c>
      <c r="J210" s="15">
        <v>123</v>
      </c>
      <c r="K210" s="15">
        <v>1</v>
      </c>
      <c r="L210" s="15">
        <v>1</v>
      </c>
      <c r="M210" s="15">
        <v>0</v>
      </c>
      <c r="N210" s="15">
        <v>1</v>
      </c>
      <c r="O210" s="15">
        <v>0</v>
      </c>
      <c r="P210" s="15"/>
      <c r="Q210" s="15"/>
    </row>
    <row r="211" spans="1:17">
      <c r="A211" s="8"/>
      <c r="B211" s="15">
        <v>1302</v>
      </c>
      <c r="C211" s="15">
        <v>16</v>
      </c>
      <c r="D211" s="15">
        <v>3</v>
      </c>
      <c r="E211" s="15">
        <v>0</v>
      </c>
      <c r="F211" s="14" t="str">
        <f>VLOOKUP(C211,skill_list!B:C,2)</f>
        <v>ハードブレード</v>
      </c>
      <c r="G211" s="11"/>
      <c r="H211" s="15">
        <v>30</v>
      </c>
      <c r="I211" s="15">
        <v>45</v>
      </c>
      <c r="J211" s="15">
        <v>129</v>
      </c>
      <c r="K211" s="15">
        <v>1</v>
      </c>
      <c r="L211" s="15">
        <v>1</v>
      </c>
      <c r="M211" s="15">
        <v>0</v>
      </c>
      <c r="N211" s="15">
        <v>1</v>
      </c>
      <c r="O211" s="15">
        <v>0</v>
      </c>
      <c r="P211" s="15"/>
      <c r="Q211" s="15"/>
    </row>
    <row r="212" spans="1:17">
      <c r="A212" s="8"/>
      <c r="B212" s="15">
        <v>1303</v>
      </c>
      <c r="C212" s="15">
        <v>70</v>
      </c>
      <c r="D212" s="15">
        <v>3</v>
      </c>
      <c r="E212" s="15">
        <v>0</v>
      </c>
      <c r="F212" s="14" t="str">
        <f>VLOOKUP(C212,skill_list!B:C,2)</f>
        <v>ウィザードショット</v>
      </c>
      <c r="G212" s="11"/>
      <c r="H212" s="15">
        <v>30</v>
      </c>
      <c r="I212" s="15">
        <v>45</v>
      </c>
      <c r="J212" s="15">
        <v>117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  <c r="Q212" s="15"/>
    </row>
    <row r="213" spans="1:17">
      <c r="A213" s="8"/>
      <c r="B213" s="15">
        <v>1304</v>
      </c>
      <c r="C213" s="15">
        <v>467</v>
      </c>
      <c r="D213" s="15">
        <v>3</v>
      </c>
      <c r="E213" s="15">
        <v>0</v>
      </c>
      <c r="F213" s="14" t="str">
        <f>VLOOKUP(C213,skill_list!B:C,2)</f>
        <v>螳螂之斧</v>
      </c>
      <c r="G213" s="11"/>
      <c r="H213" s="15">
        <v>20</v>
      </c>
      <c r="I213" s="15">
        <v>30</v>
      </c>
      <c r="J213" s="15">
        <v>134</v>
      </c>
      <c r="K213" s="15">
        <v>1</v>
      </c>
      <c r="L213" s="15">
        <v>2</v>
      </c>
      <c r="M213" s="15">
        <v>0</v>
      </c>
      <c r="N213" s="15">
        <v>1</v>
      </c>
      <c r="O213" s="15">
        <v>0</v>
      </c>
      <c r="P213" s="15"/>
      <c r="Q213" s="15"/>
    </row>
    <row r="214" spans="1:17">
      <c r="A214" s="8"/>
      <c r="B214" s="15">
        <v>1351</v>
      </c>
      <c r="C214" s="15">
        <v>116</v>
      </c>
      <c r="D214" s="15">
        <v>3</v>
      </c>
      <c r="E214" s="15">
        <v>0</v>
      </c>
      <c r="F214" s="14" t="str">
        <f>VLOOKUP(C214,skill_list!B:C,2)</f>
        <v>レイジングシャウト</v>
      </c>
      <c r="G214" s="11"/>
      <c r="H214" s="15">
        <v>20</v>
      </c>
      <c r="I214" s="15">
        <v>30</v>
      </c>
      <c r="J214" s="15">
        <v>120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  <c r="Q214" s="15"/>
    </row>
    <row r="215" spans="1:17">
      <c r="A215" s="8"/>
      <c r="B215" s="15">
        <v>1352</v>
      </c>
      <c r="C215" s="15">
        <v>126</v>
      </c>
      <c r="D215" s="15">
        <v>3</v>
      </c>
      <c r="E215" s="15">
        <v>0</v>
      </c>
      <c r="F215" s="14" t="str">
        <f>VLOOKUP(C215,skill_list!B:C,2)</f>
        <v>ラブカ・ブレード</v>
      </c>
      <c r="G215" s="11"/>
      <c r="H215" s="15">
        <v>20</v>
      </c>
      <c r="I215" s="15">
        <v>30</v>
      </c>
      <c r="J215" s="15">
        <v>123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  <c r="Q215" s="15"/>
    </row>
    <row r="216" spans="1:17">
      <c r="A216" s="8"/>
      <c r="B216" s="15">
        <v>1401</v>
      </c>
      <c r="C216" s="15">
        <v>204</v>
      </c>
      <c r="D216" s="15">
        <v>4</v>
      </c>
      <c r="E216" s="15">
        <v>3</v>
      </c>
      <c r="F216" s="14" t="str">
        <f>VLOOKUP(C216,skill_list!B:C,2)</f>
        <v>ミストイングレイブ</v>
      </c>
      <c r="G216" s="11"/>
      <c r="H216" s="15">
        <v>45</v>
      </c>
      <c r="I216" s="15">
        <v>60</v>
      </c>
      <c r="J216" s="15">
        <v>126</v>
      </c>
      <c r="K216" s="15">
        <v>1</v>
      </c>
      <c r="L216" s="15">
        <v>1</v>
      </c>
      <c r="M216" s="15">
        <v>0</v>
      </c>
      <c r="N216" s="15">
        <v>1</v>
      </c>
      <c r="O216" s="15">
        <v>0</v>
      </c>
      <c r="P216" s="15"/>
      <c r="Q216" s="15"/>
    </row>
    <row r="217" spans="1:17">
      <c r="A217" s="8"/>
      <c r="B217" s="15">
        <v>1402</v>
      </c>
      <c r="C217" s="15">
        <v>328</v>
      </c>
      <c r="D217" s="15">
        <v>4</v>
      </c>
      <c r="E217" s="15">
        <v>5</v>
      </c>
      <c r="F217" s="14" t="str">
        <f>VLOOKUP(C217,skill_list!B:C,2)</f>
        <v>先に逝くなよ</v>
      </c>
      <c r="G217" s="11"/>
      <c r="H217" s="15">
        <v>45</v>
      </c>
      <c r="I217" s="15">
        <v>60</v>
      </c>
      <c r="J217" s="15">
        <v>123</v>
      </c>
      <c r="K217" s="15">
        <v>1</v>
      </c>
      <c r="L217" s="15">
        <v>1</v>
      </c>
      <c r="M217" s="15">
        <v>0</v>
      </c>
      <c r="N217" s="15">
        <v>1</v>
      </c>
      <c r="O217" s="15">
        <v>0</v>
      </c>
      <c r="P217" s="15"/>
      <c r="Q217" s="15"/>
    </row>
    <row r="218" spans="1:17">
      <c r="A218" s="8"/>
      <c r="B218" s="15">
        <v>1403</v>
      </c>
      <c r="C218" s="15">
        <v>282</v>
      </c>
      <c r="D218" s="15">
        <v>4</v>
      </c>
      <c r="E218" s="15">
        <v>1</v>
      </c>
      <c r="F218" s="14" t="str">
        <f>VLOOKUP(C218,skill_list!B:C,2)</f>
        <v>ヴィクタープラクティス</v>
      </c>
      <c r="G218" s="11"/>
      <c r="H218" s="15">
        <v>45</v>
      </c>
      <c r="I218" s="15">
        <v>60</v>
      </c>
      <c r="J218" s="15">
        <v>123</v>
      </c>
      <c r="K218" s="15">
        <v>1</v>
      </c>
      <c r="L218" s="15">
        <v>1</v>
      </c>
      <c r="M218" s="15">
        <v>0</v>
      </c>
      <c r="N218" s="15">
        <v>1</v>
      </c>
      <c r="O218" s="15">
        <v>0</v>
      </c>
      <c r="P218" s="15"/>
      <c r="Q218" s="15"/>
    </row>
    <row r="219" spans="1:17">
      <c r="A219" s="8"/>
      <c r="B219" s="15">
        <v>1404</v>
      </c>
      <c r="C219" s="15">
        <v>222</v>
      </c>
      <c r="D219" s="15">
        <v>4</v>
      </c>
      <c r="E219" s="15">
        <v>4</v>
      </c>
      <c r="F219" s="14" t="str">
        <f>VLOOKUP(C219,skill_list!B:C,2)</f>
        <v>夜雨</v>
      </c>
      <c r="G219" s="11"/>
      <c r="H219" s="15">
        <v>45</v>
      </c>
      <c r="I219" s="15">
        <v>60</v>
      </c>
      <c r="J219" s="15">
        <v>131</v>
      </c>
      <c r="K219" s="15">
        <v>1</v>
      </c>
      <c r="L219" s="15">
        <v>1</v>
      </c>
      <c r="M219" s="15">
        <v>0</v>
      </c>
      <c r="N219" s="15">
        <v>1</v>
      </c>
      <c r="O219" s="15">
        <v>0</v>
      </c>
      <c r="P219" s="15"/>
      <c r="Q219" s="15"/>
    </row>
    <row r="220" spans="1:17">
      <c r="A220" s="8"/>
      <c r="B220" s="15">
        <v>1405</v>
      </c>
      <c r="C220" s="15">
        <v>222</v>
      </c>
      <c r="D220" s="15">
        <v>4</v>
      </c>
      <c r="E220" s="15">
        <v>5</v>
      </c>
      <c r="F220" s="14" t="str">
        <f>VLOOKUP(C220,skill_list!B:C,2)</f>
        <v>夜雨</v>
      </c>
      <c r="G220" s="11"/>
      <c r="H220" s="15">
        <v>45</v>
      </c>
      <c r="I220" s="15">
        <v>60</v>
      </c>
      <c r="J220" s="15">
        <v>131</v>
      </c>
      <c r="K220" s="15">
        <v>1</v>
      </c>
      <c r="L220" s="15">
        <v>1</v>
      </c>
      <c r="M220" s="15">
        <v>0</v>
      </c>
      <c r="N220" s="15">
        <v>1</v>
      </c>
      <c r="O220" s="15">
        <v>0</v>
      </c>
      <c r="P220" s="15"/>
      <c r="Q220" s="15"/>
    </row>
    <row r="221" spans="1:17" ht="18" customHeight="1">
      <c r="A221" s="8"/>
      <c r="B221" s="15">
        <v>1406</v>
      </c>
      <c r="C221" s="15">
        <v>446</v>
      </c>
      <c r="D221" s="15">
        <v>4</v>
      </c>
      <c r="E221" s="15">
        <v>2</v>
      </c>
      <c r="F221" s="14" t="str">
        <f>VLOOKUP(C221,skill_list!B:C,2)</f>
        <v>コールドクラッシュ</v>
      </c>
      <c r="G221" s="11"/>
      <c r="H221" s="15">
        <v>45</v>
      </c>
      <c r="I221" s="15">
        <v>60</v>
      </c>
      <c r="J221" s="15">
        <v>132</v>
      </c>
      <c r="K221" s="15">
        <v>1</v>
      </c>
      <c r="L221" s="15">
        <v>1</v>
      </c>
      <c r="M221" s="15">
        <v>0</v>
      </c>
      <c r="N221" s="15">
        <v>1</v>
      </c>
      <c r="O221" s="15">
        <v>0</v>
      </c>
      <c r="P221" s="15"/>
      <c r="Q221" s="15"/>
    </row>
    <row r="222" spans="1:17">
      <c r="A222" s="8"/>
      <c r="B222" s="15">
        <v>1451</v>
      </c>
      <c r="C222" s="15">
        <v>241</v>
      </c>
      <c r="D222" s="15">
        <v>4</v>
      </c>
      <c r="E222" s="15">
        <v>1</v>
      </c>
      <c r="F222" s="14" t="str">
        <f>VLOOKUP(C222,skill_list!B:C,2)</f>
        <v>怒裂昂</v>
      </c>
      <c r="G222" s="11"/>
      <c r="H222" s="15">
        <v>30</v>
      </c>
      <c r="I222" s="15">
        <v>45</v>
      </c>
      <c r="J222" s="15">
        <v>129</v>
      </c>
      <c r="K222" s="15">
        <v>1</v>
      </c>
      <c r="L222" s="15">
        <v>2</v>
      </c>
      <c r="M222" s="15">
        <v>0</v>
      </c>
      <c r="N222" s="15">
        <v>1</v>
      </c>
      <c r="O222" s="15">
        <v>0</v>
      </c>
      <c r="P222" s="15"/>
      <c r="Q222" s="15"/>
    </row>
    <row r="223" spans="1:17">
      <c r="A223" s="8"/>
      <c r="B223" s="15">
        <v>1452</v>
      </c>
      <c r="C223" s="15">
        <v>77</v>
      </c>
      <c r="D223" s="15">
        <v>4</v>
      </c>
      <c r="E223" s="15">
        <v>2</v>
      </c>
      <c r="F223" s="14" t="str">
        <f>VLOOKUP(C223,skill_list!B:C,2)</f>
        <v>ビスコッティ</v>
      </c>
      <c r="G223" s="11"/>
      <c r="H223" s="15">
        <v>30</v>
      </c>
      <c r="I223" s="15">
        <v>45</v>
      </c>
      <c r="J223" s="15">
        <v>129</v>
      </c>
      <c r="K223" s="15">
        <v>1</v>
      </c>
      <c r="L223" s="15">
        <v>2</v>
      </c>
      <c r="M223" s="15">
        <v>0</v>
      </c>
      <c r="N223" s="15">
        <v>1</v>
      </c>
      <c r="O223" s="15">
        <v>0</v>
      </c>
      <c r="P223" s="15"/>
      <c r="Q223" s="15"/>
    </row>
    <row r="224" spans="1:17">
      <c r="A224" s="8"/>
      <c r="B224" s="15">
        <v>1453</v>
      </c>
      <c r="C224" s="15">
        <v>410</v>
      </c>
      <c r="D224" s="15">
        <v>4</v>
      </c>
      <c r="E224" s="15">
        <v>3</v>
      </c>
      <c r="F224" s="14" t="str">
        <f>VLOOKUP(C224,skill_list!B:C,2)</f>
        <v>ザヴィーシマスチ</v>
      </c>
      <c r="G224" s="11"/>
      <c r="H224" s="15">
        <v>30</v>
      </c>
      <c r="I224" s="15">
        <v>45</v>
      </c>
      <c r="J224" s="15">
        <v>129</v>
      </c>
      <c r="K224" s="15">
        <v>1</v>
      </c>
      <c r="L224" s="15">
        <v>2</v>
      </c>
      <c r="M224" s="15">
        <v>0</v>
      </c>
      <c r="N224" s="15">
        <v>1</v>
      </c>
      <c r="O224" s="15">
        <v>0</v>
      </c>
      <c r="P224" s="15"/>
      <c r="Q224" s="15"/>
    </row>
    <row r="225" spans="1:17">
      <c r="A225" s="8"/>
      <c r="B225" s="15">
        <v>1454</v>
      </c>
      <c r="C225" s="15">
        <v>476</v>
      </c>
      <c r="D225" s="15">
        <v>4</v>
      </c>
      <c r="E225" s="15">
        <v>5</v>
      </c>
      <c r="F225" s="14" t="str">
        <f>VLOOKUP(C225,skill_list!B:C,2)</f>
        <v>ヌラルジャ</v>
      </c>
      <c r="G225" s="11"/>
      <c r="H225" s="15">
        <v>30</v>
      </c>
      <c r="I225" s="15">
        <v>45</v>
      </c>
      <c r="J225" s="15">
        <v>129</v>
      </c>
      <c r="K225" s="15">
        <v>1</v>
      </c>
      <c r="L225" s="15">
        <v>2</v>
      </c>
      <c r="M225" s="15">
        <v>0</v>
      </c>
      <c r="N225" s="15">
        <v>1</v>
      </c>
      <c r="O225" s="15">
        <v>999</v>
      </c>
      <c r="P225" s="15"/>
      <c r="Q225" s="15"/>
    </row>
    <row r="226" spans="1:17">
      <c r="A226" s="8"/>
      <c r="B226" s="15">
        <v>1455</v>
      </c>
      <c r="C226" s="15">
        <v>249</v>
      </c>
      <c r="D226" s="15">
        <v>4</v>
      </c>
      <c r="E226" s="15">
        <v>1</v>
      </c>
      <c r="F226" s="14" t="str">
        <f>VLOOKUP(C226,skill_list!B:C,2)</f>
        <v>シルキーフレア</v>
      </c>
      <c r="G226" s="11"/>
      <c r="H226" s="15">
        <v>30</v>
      </c>
      <c r="I226" s="15">
        <v>45</v>
      </c>
      <c r="J226" s="15">
        <v>132</v>
      </c>
      <c r="K226" s="15">
        <v>1</v>
      </c>
      <c r="L226" s="15">
        <v>2</v>
      </c>
      <c r="M226" s="15">
        <v>0</v>
      </c>
      <c r="N226" s="15">
        <v>1</v>
      </c>
      <c r="O226" s="15">
        <v>999</v>
      </c>
      <c r="P226" s="15"/>
      <c r="Q226" s="15"/>
    </row>
    <row r="227" spans="1:17">
      <c r="A227" s="8"/>
      <c r="B227" s="15">
        <v>1501</v>
      </c>
      <c r="C227" s="15">
        <v>94</v>
      </c>
      <c r="D227" s="15">
        <v>5</v>
      </c>
      <c r="E227" s="15">
        <v>0</v>
      </c>
      <c r="F227" s="14" t="str">
        <f>VLOOKUP(C227,skill_list!B:C,2)</f>
        <v>呪怨の矢</v>
      </c>
      <c r="G227" s="11"/>
      <c r="H227" s="15">
        <v>35</v>
      </c>
      <c r="I227" s="15">
        <v>50</v>
      </c>
      <c r="J227" s="15">
        <v>120</v>
      </c>
      <c r="K227" s="15">
        <v>1</v>
      </c>
      <c r="L227" s="15">
        <v>1</v>
      </c>
      <c r="M227" s="15">
        <v>0</v>
      </c>
      <c r="N227" s="15">
        <v>1</v>
      </c>
      <c r="O227" s="15">
        <v>0</v>
      </c>
      <c r="P227" s="15"/>
      <c r="Q227" s="15"/>
    </row>
    <row r="228" spans="1:17">
      <c r="A228" s="8"/>
      <c r="B228" s="15">
        <v>1502</v>
      </c>
      <c r="C228" s="15">
        <v>272</v>
      </c>
      <c r="D228" s="15">
        <v>5</v>
      </c>
      <c r="E228" s="15">
        <v>0</v>
      </c>
      <c r="F228" s="14" t="str">
        <f>VLOOKUP(C228,skill_list!B:C,2)</f>
        <v>ディープブロー</v>
      </c>
      <c r="G228" s="11"/>
      <c r="H228" s="15">
        <v>35</v>
      </c>
      <c r="I228" s="15">
        <v>50</v>
      </c>
      <c r="J228" s="15">
        <v>120</v>
      </c>
      <c r="K228" s="15">
        <v>1</v>
      </c>
      <c r="L228" s="15">
        <v>1</v>
      </c>
      <c r="M228" s="15">
        <v>0</v>
      </c>
      <c r="N228" s="15">
        <v>1</v>
      </c>
      <c r="O228" s="15">
        <v>0</v>
      </c>
      <c r="P228" s="15"/>
      <c r="Q228" s="15"/>
    </row>
    <row r="229" spans="1:17">
      <c r="A229" s="8"/>
      <c r="B229" s="15">
        <v>1551</v>
      </c>
      <c r="C229" s="15">
        <v>195</v>
      </c>
      <c r="D229" s="15">
        <v>5</v>
      </c>
      <c r="E229" s="15">
        <v>0</v>
      </c>
      <c r="F229" s="14" t="str">
        <f>VLOOKUP(C229,skill_list!B:C,2)</f>
        <v>ネイキッドイレイザー</v>
      </c>
      <c r="G229" s="11"/>
      <c r="H229" s="15">
        <v>35</v>
      </c>
      <c r="I229" s="15">
        <v>50</v>
      </c>
      <c r="J229" s="15">
        <v>132</v>
      </c>
      <c r="K229" s="15">
        <v>1</v>
      </c>
      <c r="L229" s="15">
        <v>2</v>
      </c>
      <c r="M229" s="15">
        <v>0</v>
      </c>
      <c r="N229" s="15">
        <v>1</v>
      </c>
      <c r="O229" s="15">
        <v>0</v>
      </c>
      <c r="P229" s="15"/>
      <c r="Q229" s="15"/>
    </row>
    <row r="230" spans="1:17">
      <c r="A230" s="8"/>
      <c r="B230" s="15">
        <v>1552</v>
      </c>
      <c r="C230" s="15">
        <v>218</v>
      </c>
      <c r="D230" s="15">
        <v>5</v>
      </c>
      <c r="E230" s="15">
        <v>0</v>
      </c>
      <c r="F230" s="14" t="str">
        <f>VLOOKUP(C230,skill_list!B:C,2)</f>
        <v>薙の矢</v>
      </c>
      <c r="G230" s="11"/>
      <c r="H230" s="15">
        <v>35</v>
      </c>
      <c r="I230" s="15">
        <v>50</v>
      </c>
      <c r="J230" s="15">
        <v>126</v>
      </c>
      <c r="K230" s="15">
        <v>1</v>
      </c>
      <c r="L230" s="15">
        <v>2</v>
      </c>
      <c r="M230" s="15">
        <v>0</v>
      </c>
      <c r="N230" s="15">
        <v>1</v>
      </c>
      <c r="O230" s="15">
        <v>0</v>
      </c>
      <c r="P230" s="15"/>
      <c r="Q230" s="15"/>
    </row>
    <row r="231" spans="1:17">
      <c r="A231" s="8"/>
      <c r="B231" s="15">
        <v>1553</v>
      </c>
      <c r="C231" s="15">
        <v>349</v>
      </c>
      <c r="D231" s="15">
        <v>5</v>
      </c>
      <c r="E231" s="15">
        <v>0</v>
      </c>
      <c r="F231" s="14" t="str">
        <f>VLOOKUP(C231,skill_list!B:C,2)</f>
        <v>大海原</v>
      </c>
      <c r="G231" s="11"/>
      <c r="H231" s="15">
        <v>35</v>
      </c>
      <c r="I231" s="15">
        <v>50</v>
      </c>
      <c r="J231" s="15">
        <v>129</v>
      </c>
      <c r="K231" s="15">
        <v>1</v>
      </c>
      <c r="L231" s="15">
        <v>2</v>
      </c>
      <c r="M231" s="15">
        <v>0</v>
      </c>
      <c r="N231" s="15">
        <v>1</v>
      </c>
      <c r="O231" s="15">
        <v>0</v>
      </c>
      <c r="P231" s="15"/>
      <c r="Q231" s="15"/>
    </row>
    <row r="232" spans="1:17">
      <c r="A232" s="8"/>
      <c r="B232" s="15">
        <v>1600</v>
      </c>
      <c r="C232" s="15">
        <v>9001</v>
      </c>
      <c r="D232" s="15">
        <v>6</v>
      </c>
      <c r="E232" s="15">
        <v>0</v>
      </c>
      <c r="F232" s="14" t="str">
        <f>VLOOKUP(C232,skill_list!B:C,2)</f>
        <v>クリティカルシンキング</v>
      </c>
      <c r="G232" s="11"/>
      <c r="H232" s="15">
        <v>40</v>
      </c>
      <c r="I232" s="15">
        <v>70</v>
      </c>
      <c r="J232" s="15">
        <v>450</v>
      </c>
      <c r="K232" s="15">
        <v>1</v>
      </c>
      <c r="L232" s="15">
        <v>7</v>
      </c>
      <c r="M232" s="15">
        <v>0</v>
      </c>
      <c r="N232" s="15">
        <v>1</v>
      </c>
      <c r="O232" s="15">
        <v>0</v>
      </c>
      <c r="P232" s="15"/>
      <c r="Q232" s="15"/>
    </row>
    <row r="233" spans="1:17">
      <c r="A233" s="8"/>
      <c r="B233" s="15">
        <v>1601</v>
      </c>
      <c r="C233" s="15">
        <v>71</v>
      </c>
      <c r="D233" s="15">
        <v>6</v>
      </c>
      <c r="E233" s="15">
        <v>0</v>
      </c>
      <c r="F233" s="14" t="str">
        <f>VLOOKUP(C233,skill_list!B:C,2)</f>
        <v>ルーンバースト</v>
      </c>
      <c r="G233" s="11"/>
      <c r="H233" s="15">
        <v>35</v>
      </c>
      <c r="I233" s="15">
        <v>45</v>
      </c>
      <c r="J233" s="15">
        <v>132</v>
      </c>
      <c r="K233" s="15">
        <v>1</v>
      </c>
      <c r="L233" s="15">
        <v>7</v>
      </c>
      <c r="M233" s="15">
        <v>0</v>
      </c>
      <c r="N233" s="15">
        <v>1</v>
      </c>
      <c r="O233" s="15">
        <v>999</v>
      </c>
      <c r="P233" s="15"/>
      <c r="Q233" s="15"/>
    </row>
    <row r="234" spans="1:17">
      <c r="A234" s="8"/>
      <c r="B234" s="15">
        <v>1602</v>
      </c>
      <c r="C234" s="15">
        <v>255</v>
      </c>
      <c r="D234" s="15">
        <v>6</v>
      </c>
      <c r="E234" s="15">
        <v>0</v>
      </c>
      <c r="F234" s="14" t="str">
        <f>VLOOKUP(C234,skill_list!B:C,2)</f>
        <v>ホールドアップマインド</v>
      </c>
      <c r="G234" s="11"/>
      <c r="H234" s="15">
        <v>35</v>
      </c>
      <c r="I234" s="15">
        <v>45</v>
      </c>
      <c r="J234" s="15">
        <v>224</v>
      </c>
      <c r="K234" s="15">
        <v>10</v>
      </c>
      <c r="L234" s="15">
        <v>7</v>
      </c>
      <c r="M234" s="15">
        <v>0</v>
      </c>
      <c r="N234" s="15">
        <v>1</v>
      </c>
      <c r="O234" s="15">
        <v>0</v>
      </c>
      <c r="P234" s="15"/>
      <c r="Q234" s="15"/>
    </row>
    <row r="235" spans="1:17">
      <c r="A235" s="8"/>
      <c r="B235" s="15">
        <v>1603</v>
      </c>
      <c r="C235" s="15">
        <v>378</v>
      </c>
      <c r="D235" s="15">
        <v>6</v>
      </c>
      <c r="E235" s="15">
        <v>0</v>
      </c>
      <c r="F235" s="14" t="str">
        <f>VLOOKUP(C235,skill_list!B:C,2)</f>
        <v>冀望</v>
      </c>
      <c r="G235" s="11"/>
      <c r="H235" s="15">
        <v>40</v>
      </c>
      <c r="I235" s="15">
        <v>70</v>
      </c>
      <c r="J235" s="15">
        <v>216</v>
      </c>
      <c r="K235" s="15">
        <v>10</v>
      </c>
      <c r="L235" s="15">
        <v>7</v>
      </c>
      <c r="M235" s="15">
        <v>0</v>
      </c>
      <c r="N235" s="15">
        <v>1</v>
      </c>
      <c r="O235" s="15">
        <v>0</v>
      </c>
      <c r="P235" s="15"/>
      <c r="Q235" s="15"/>
    </row>
    <row r="236" spans="1:17">
      <c r="A236" s="8"/>
      <c r="B236" s="15">
        <v>1604</v>
      </c>
      <c r="C236" s="15">
        <v>462</v>
      </c>
      <c r="D236" s="15">
        <v>6</v>
      </c>
      <c r="E236" s="15">
        <v>0</v>
      </c>
      <c r="F236" s="14" t="str">
        <f>VLOOKUP(C236,skill_list!B:C,2)</f>
        <v>一途なスマイル</v>
      </c>
      <c r="G236" s="11"/>
      <c r="H236" s="15">
        <v>40</v>
      </c>
      <c r="I236" s="15">
        <v>70</v>
      </c>
      <c r="J236" s="15">
        <v>232</v>
      </c>
      <c r="K236" s="15">
        <v>10</v>
      </c>
      <c r="L236" s="15">
        <v>3</v>
      </c>
      <c r="M236" s="15">
        <v>0</v>
      </c>
      <c r="N236" s="15">
        <v>1</v>
      </c>
      <c r="O236" s="15">
        <v>0</v>
      </c>
      <c r="P236" s="15"/>
      <c r="Q236" s="15"/>
    </row>
    <row r="237" spans="1:17">
      <c r="A237" s="8"/>
      <c r="B237" s="15">
        <v>1605</v>
      </c>
      <c r="C237" s="15">
        <v>471</v>
      </c>
      <c r="D237" s="15">
        <v>6</v>
      </c>
      <c r="E237" s="15">
        <v>0</v>
      </c>
      <c r="F237" s="14" t="str">
        <f>VLOOKUP(C237,skill_list!B:C,2)</f>
        <v>おしおき</v>
      </c>
      <c r="G237" s="11"/>
      <c r="H237" s="15">
        <v>40</v>
      </c>
      <c r="I237" s="15">
        <v>70</v>
      </c>
      <c r="J237" s="15">
        <v>200</v>
      </c>
      <c r="K237" s="15">
        <v>10</v>
      </c>
      <c r="L237" s="15">
        <v>7</v>
      </c>
      <c r="M237" s="15">
        <v>0</v>
      </c>
      <c r="N237" s="15">
        <v>1</v>
      </c>
      <c r="O237" s="15">
        <v>0</v>
      </c>
      <c r="P237" s="15"/>
      <c r="Q237" s="15"/>
    </row>
    <row r="238" spans="1:17">
      <c r="A238" s="8"/>
      <c r="B238" s="15">
        <v>1700</v>
      </c>
      <c r="C238" s="15">
        <v>9006</v>
      </c>
      <c r="D238" s="15">
        <v>7</v>
      </c>
      <c r="E238" s="15">
        <v>0</v>
      </c>
      <c r="F238" s="14" t="str">
        <f>VLOOKUP(C238,skill_list!B:C,2)</f>
        <v>コンセントレーション</v>
      </c>
      <c r="G238" s="11"/>
      <c r="H238" s="15">
        <v>10</v>
      </c>
      <c r="I238" s="15">
        <v>20</v>
      </c>
      <c r="J238" s="15">
        <v>450</v>
      </c>
      <c r="K238" s="15">
        <v>1</v>
      </c>
      <c r="L238" s="15">
        <v>7</v>
      </c>
      <c r="M238" s="15">
        <v>0</v>
      </c>
      <c r="N238" s="15">
        <v>1</v>
      </c>
      <c r="O238" s="15">
        <v>0</v>
      </c>
      <c r="P238" s="15"/>
      <c r="Q238" s="15"/>
    </row>
    <row r="239" spans="1:17">
      <c r="A239" s="8"/>
      <c r="B239" s="15">
        <v>1701</v>
      </c>
      <c r="C239" s="15">
        <v>462</v>
      </c>
      <c r="D239" s="15">
        <v>7</v>
      </c>
      <c r="E239" s="15">
        <v>0</v>
      </c>
      <c r="F239" s="14" t="str">
        <f>VLOOKUP(C239,skill_list!B:C,2)</f>
        <v>一途なスマイル</v>
      </c>
      <c r="G239" s="11"/>
      <c r="H239" s="15">
        <v>30</v>
      </c>
      <c r="I239" s="15">
        <v>30</v>
      </c>
      <c r="J239" s="15">
        <v>0</v>
      </c>
      <c r="K239" s="15">
        <v>1</v>
      </c>
      <c r="L239" s="15">
        <v>3</v>
      </c>
      <c r="M239" s="15">
        <v>0</v>
      </c>
      <c r="N239" s="15">
        <v>1</v>
      </c>
      <c r="O239" s="15">
        <v>0</v>
      </c>
      <c r="P239" s="15"/>
      <c r="Q239" s="15"/>
    </row>
    <row r="240" spans="1:17">
      <c r="A240" s="8"/>
      <c r="B240" s="15">
        <v>1702</v>
      </c>
      <c r="C240" s="15">
        <v>482</v>
      </c>
      <c r="D240" s="15">
        <v>7</v>
      </c>
      <c r="E240" s="15">
        <v>0</v>
      </c>
      <c r="F240" s="14" t="str">
        <f>VLOOKUP(C240,skill_list!B:C,2)</f>
        <v>解けない謎はない</v>
      </c>
      <c r="G240" s="11"/>
      <c r="H240" s="15">
        <v>30</v>
      </c>
      <c r="I240" s="15">
        <v>30</v>
      </c>
      <c r="J240" s="15">
        <v>0</v>
      </c>
      <c r="K240" s="15">
        <v>1</v>
      </c>
      <c r="L240" s="15">
        <v>7</v>
      </c>
      <c r="M240" s="15">
        <v>0</v>
      </c>
      <c r="N240" s="15">
        <v>1</v>
      </c>
      <c r="O240" s="15">
        <v>0</v>
      </c>
      <c r="P240" s="15"/>
      <c r="Q240" s="15"/>
    </row>
    <row r="241" spans="1:17">
      <c r="A241" s="8"/>
      <c r="B241" s="15">
        <v>2001</v>
      </c>
      <c r="C241" s="15">
        <v>378</v>
      </c>
      <c r="D241" s="15">
        <v>10</v>
      </c>
      <c r="E241" s="15">
        <v>0</v>
      </c>
      <c r="F241" s="14" t="str">
        <f>VLOOKUP(C241,skill_list!B:C,2)</f>
        <v>冀望</v>
      </c>
      <c r="G241" s="11"/>
      <c r="H241" s="15">
        <v>20</v>
      </c>
      <c r="I241" s="15">
        <v>30</v>
      </c>
      <c r="J241" s="15">
        <v>216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  <c r="Q241" s="15"/>
    </row>
    <row r="242" spans="1:17">
      <c r="A242" s="8"/>
      <c r="B242" s="15">
        <v>2002</v>
      </c>
      <c r="C242" s="15">
        <v>157</v>
      </c>
      <c r="D242" s="15">
        <v>10</v>
      </c>
      <c r="E242" s="15">
        <v>0</v>
      </c>
      <c r="F242" s="14" t="str">
        <f>VLOOKUP(C242,skill_list!B:C,2)</f>
        <v>聖域のカンタータ</v>
      </c>
      <c r="G242" s="11"/>
      <c r="H242" s="15">
        <v>20</v>
      </c>
      <c r="I242" s="15">
        <v>30</v>
      </c>
      <c r="J242" s="15">
        <v>216</v>
      </c>
      <c r="K242" s="15">
        <v>10</v>
      </c>
      <c r="L242" s="15">
        <v>6</v>
      </c>
      <c r="M242" s="15">
        <v>0</v>
      </c>
      <c r="N242" s="15">
        <v>1</v>
      </c>
      <c r="O242" s="15">
        <v>0</v>
      </c>
      <c r="P242" s="15"/>
      <c r="Q242" s="15"/>
    </row>
    <row r="243" spans="1:17">
      <c r="A243" s="8"/>
      <c r="B243" s="15">
        <v>2003</v>
      </c>
      <c r="C243" s="15">
        <v>346</v>
      </c>
      <c r="D243" s="15">
        <v>10</v>
      </c>
      <c r="E243" s="15">
        <v>0</v>
      </c>
      <c r="F243" s="14" t="str">
        <f>VLOOKUP(C243,skill_list!B:C,2)</f>
        <v>メイドの嗜み</v>
      </c>
      <c r="G243" s="11"/>
      <c r="H243" s="15">
        <v>20</v>
      </c>
      <c r="I243" s="15">
        <v>30</v>
      </c>
      <c r="J243" s="15">
        <v>200</v>
      </c>
      <c r="K243" s="15">
        <v>10</v>
      </c>
      <c r="L243" s="15">
        <v>7</v>
      </c>
      <c r="M243" s="15">
        <v>0</v>
      </c>
      <c r="N243" s="15">
        <v>1</v>
      </c>
      <c r="O243" s="15">
        <v>0</v>
      </c>
      <c r="P243" s="15"/>
      <c r="Q243" s="15"/>
    </row>
    <row r="244" spans="1:17">
      <c r="A244" s="8"/>
      <c r="B244" s="15">
        <v>2004</v>
      </c>
      <c r="C244" s="15">
        <v>478</v>
      </c>
      <c r="D244" s="15">
        <v>10</v>
      </c>
      <c r="E244" s="15">
        <v>0</v>
      </c>
      <c r="F244" s="14" t="str">
        <f>VLOOKUP(C244,skill_list!B:C,2)</f>
        <v>春爛漫</v>
      </c>
      <c r="G244" s="11"/>
      <c r="H244" s="15">
        <v>20</v>
      </c>
      <c r="I244" s="15">
        <v>30</v>
      </c>
      <c r="J244" s="15">
        <v>216</v>
      </c>
      <c r="K244" s="15">
        <v>1</v>
      </c>
      <c r="L244" s="15">
        <v>7</v>
      </c>
      <c r="M244" s="15">
        <v>0</v>
      </c>
      <c r="N244" s="15">
        <v>1</v>
      </c>
      <c r="O244" s="15">
        <v>0</v>
      </c>
      <c r="P244" s="15"/>
      <c r="Q244" s="15"/>
    </row>
    <row r="245" spans="1:17">
      <c r="A245" s="8"/>
      <c r="B245" s="15">
        <v>2051</v>
      </c>
      <c r="C245" s="15">
        <v>226</v>
      </c>
      <c r="D245" s="15">
        <v>10</v>
      </c>
      <c r="E245" s="15">
        <v>0</v>
      </c>
      <c r="F245" s="14" t="str">
        <f>VLOOKUP(C245,skill_list!B:C,2)</f>
        <v>ハイセンス・ショット</v>
      </c>
      <c r="G245" s="11"/>
      <c r="H245" s="15">
        <v>20</v>
      </c>
      <c r="I245" s="15">
        <v>30</v>
      </c>
      <c r="J245" s="15">
        <v>123</v>
      </c>
      <c r="K245" s="15">
        <v>1</v>
      </c>
      <c r="L245" s="15">
        <v>7</v>
      </c>
      <c r="M245" s="15">
        <v>0</v>
      </c>
      <c r="N245" s="15">
        <v>1</v>
      </c>
      <c r="O245" s="15">
        <v>0</v>
      </c>
      <c r="P245" s="15"/>
      <c r="Q245" s="15"/>
    </row>
    <row r="246" spans="1:17">
      <c r="A246" s="8"/>
      <c r="B246" s="15">
        <v>2052</v>
      </c>
      <c r="C246" s="15">
        <v>163</v>
      </c>
      <c r="D246" s="15">
        <v>10</v>
      </c>
      <c r="E246" s="15">
        <v>0</v>
      </c>
      <c r="F246" s="14" t="str">
        <f>VLOOKUP(C246,skill_list!B:C,2)</f>
        <v>残心</v>
      </c>
      <c r="G246" s="11"/>
      <c r="H246" s="15">
        <v>20</v>
      </c>
      <c r="I246" s="15">
        <v>30</v>
      </c>
      <c r="J246" s="15">
        <v>123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  <c r="Q246" s="15"/>
    </row>
    <row r="247" spans="1:17">
      <c r="A247" s="8"/>
      <c r="B247" s="15">
        <v>2053</v>
      </c>
      <c r="C247" s="15">
        <v>228</v>
      </c>
      <c r="D247" s="15">
        <v>10</v>
      </c>
      <c r="E247" s="15">
        <v>0</v>
      </c>
      <c r="F247" s="14" t="str">
        <f>VLOOKUP(C247,skill_list!B:C,2)</f>
        <v>喧嘩上等！！</v>
      </c>
      <c r="G247" s="11"/>
      <c r="H247" s="15">
        <v>20</v>
      </c>
      <c r="I247" s="15">
        <v>30</v>
      </c>
      <c r="J247" s="15">
        <v>132</v>
      </c>
      <c r="K247" s="15">
        <v>1</v>
      </c>
      <c r="L247" s="15">
        <v>7</v>
      </c>
      <c r="M247" s="15">
        <v>0</v>
      </c>
      <c r="N247" s="15">
        <v>1</v>
      </c>
      <c r="O247" s="15">
        <v>0</v>
      </c>
      <c r="P247" s="15"/>
      <c r="Q247" s="15"/>
    </row>
    <row r="248" spans="1:17">
      <c r="A248" s="8"/>
      <c r="B248" s="15">
        <v>2201</v>
      </c>
      <c r="C248" s="15">
        <v>321</v>
      </c>
      <c r="D248" s="15">
        <v>12</v>
      </c>
      <c r="E248" s="15">
        <v>0</v>
      </c>
      <c r="F248" s="14" t="str">
        <f>VLOOKUP(C248,skill_list!B:C,2)</f>
        <v>ファーストラヴ</v>
      </c>
      <c r="G248" s="11"/>
      <c r="H248" s="15">
        <v>50</v>
      </c>
      <c r="I248" s="15">
        <v>50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>
        <v>999</v>
      </c>
      <c r="P248" s="15"/>
      <c r="Q248" s="15"/>
    </row>
    <row r="249" spans="1:17">
      <c r="A249" s="8"/>
      <c r="B249" s="15">
        <v>2300</v>
      </c>
      <c r="C249" s="15">
        <v>9003</v>
      </c>
      <c r="D249" s="15">
        <v>13</v>
      </c>
      <c r="E249" s="15">
        <v>0</v>
      </c>
      <c r="F249" s="14" t="str">
        <f>VLOOKUP(C249,skill_list!B:C,2)</f>
        <v>ドライブゲイン</v>
      </c>
      <c r="G249" s="11"/>
      <c r="H249" s="15">
        <v>15</v>
      </c>
      <c r="I249" s="15">
        <v>15</v>
      </c>
      <c r="J249" s="15">
        <v>0</v>
      </c>
      <c r="K249" s="15">
        <v>1</v>
      </c>
      <c r="L249" s="15">
        <v>0</v>
      </c>
      <c r="M249" s="15">
        <v>0</v>
      </c>
      <c r="N249" s="15">
        <v>0</v>
      </c>
      <c r="O249" s="15">
        <v>0</v>
      </c>
      <c r="P249" s="15"/>
      <c r="Q249" s="15"/>
    </row>
    <row r="250" spans="1:17">
      <c r="A250" s="8"/>
      <c r="B250" s="15">
        <v>2301</v>
      </c>
      <c r="C250" s="15">
        <v>123</v>
      </c>
      <c r="D250" s="15">
        <v>13</v>
      </c>
      <c r="E250" s="15">
        <v>0</v>
      </c>
      <c r="F250" s="14" t="str">
        <f>VLOOKUP(C250,skill_list!B:C,2)</f>
        <v>サービス・エース</v>
      </c>
      <c r="G250" s="11"/>
      <c r="H250" s="15">
        <v>10</v>
      </c>
      <c r="I250" s="15">
        <v>15</v>
      </c>
      <c r="J250" s="15">
        <v>117</v>
      </c>
      <c r="K250" s="15">
        <v>1</v>
      </c>
      <c r="L250" s="15">
        <v>0</v>
      </c>
      <c r="M250" s="15">
        <v>0</v>
      </c>
      <c r="N250" s="15">
        <v>0</v>
      </c>
      <c r="O250" s="15">
        <v>0</v>
      </c>
      <c r="P250" s="15"/>
      <c r="Q250" s="15"/>
    </row>
    <row r="251" spans="1:17">
      <c r="A251" s="8"/>
      <c r="B251" s="15">
        <v>2401</v>
      </c>
      <c r="C251" s="15">
        <v>293</v>
      </c>
      <c r="D251" s="15">
        <v>14</v>
      </c>
      <c r="E251" s="15">
        <v>0</v>
      </c>
      <c r="F251" s="14" t="str">
        <f>VLOOKUP(C251,skill_list!B:C,2)</f>
        <v>きらめきのエール</v>
      </c>
      <c r="G251" s="11"/>
      <c r="H251" s="15">
        <v>0</v>
      </c>
      <c r="I251" s="15">
        <v>0</v>
      </c>
      <c r="J251" s="15">
        <v>0</v>
      </c>
      <c r="K251" s="15">
        <v>1</v>
      </c>
      <c r="L251" s="15">
        <v>4</v>
      </c>
      <c r="M251" s="15">
        <v>0</v>
      </c>
      <c r="N251" s="15">
        <v>2</v>
      </c>
      <c r="O251" s="15">
        <v>0</v>
      </c>
      <c r="P251" s="15"/>
      <c r="Q251" s="15"/>
    </row>
    <row r="252" spans="1:17">
      <c r="A252" s="8"/>
      <c r="B252" s="15">
        <v>2501</v>
      </c>
      <c r="C252" s="15">
        <v>275</v>
      </c>
      <c r="D252" s="15">
        <v>15</v>
      </c>
      <c r="E252" s="15">
        <v>0</v>
      </c>
      <c r="F252" s="14" t="str">
        <f>VLOOKUP(C252,skill_list!B:C,2)</f>
        <v>カースサイス</v>
      </c>
      <c r="G252" s="11"/>
      <c r="H252" s="15">
        <v>0</v>
      </c>
      <c r="I252" s="15">
        <v>0</v>
      </c>
      <c r="J252" s="15">
        <v>0</v>
      </c>
      <c r="K252" s="15">
        <v>1</v>
      </c>
      <c r="L252" s="15">
        <v>1</v>
      </c>
      <c r="M252" s="15">
        <v>0</v>
      </c>
      <c r="N252" s="15">
        <v>2</v>
      </c>
      <c r="O252" s="15">
        <v>0</v>
      </c>
      <c r="P252" s="15"/>
      <c r="Q252" s="15"/>
    </row>
    <row r="253" spans="1:17">
      <c r="A253" s="8"/>
      <c r="B253" s="15">
        <v>2502</v>
      </c>
      <c r="C253" s="15">
        <v>380</v>
      </c>
      <c r="D253" s="15">
        <v>15</v>
      </c>
      <c r="E253" s="15">
        <v>0</v>
      </c>
      <c r="F253" s="14" t="str">
        <f>VLOOKUP(C253,skill_list!B:C,2)</f>
        <v>天変の相</v>
      </c>
      <c r="G253" s="11"/>
      <c r="H253" s="15">
        <v>0</v>
      </c>
      <c r="I253" s="15">
        <v>0</v>
      </c>
      <c r="J253" s="15">
        <v>0</v>
      </c>
      <c r="K253" s="15">
        <v>1</v>
      </c>
      <c r="L253" s="15">
        <v>1</v>
      </c>
      <c r="M253" s="15">
        <v>0</v>
      </c>
      <c r="N253" s="15">
        <v>2</v>
      </c>
      <c r="O253" s="15">
        <v>0</v>
      </c>
      <c r="P253" s="15"/>
      <c r="Q253" s="15"/>
    </row>
    <row r="254" spans="1:17">
      <c r="A254" s="8"/>
      <c r="B254" s="15">
        <v>2503</v>
      </c>
      <c r="C254" s="15">
        <v>265</v>
      </c>
      <c r="D254" s="15">
        <v>15</v>
      </c>
      <c r="E254" s="15">
        <v>0</v>
      </c>
      <c r="F254" s="14" t="str">
        <f>VLOOKUP(C254,skill_list!B:C,2)</f>
        <v>神妙</v>
      </c>
      <c r="G254" s="11"/>
      <c r="H254" s="15">
        <v>0</v>
      </c>
      <c r="I254" s="15">
        <v>0</v>
      </c>
      <c r="J254" s="15">
        <v>0</v>
      </c>
      <c r="K254" s="15">
        <v>1</v>
      </c>
      <c r="L254" s="15">
        <v>2</v>
      </c>
      <c r="M254" s="15">
        <v>0</v>
      </c>
      <c r="N254" s="15">
        <v>2</v>
      </c>
      <c r="O254" s="15">
        <v>0</v>
      </c>
      <c r="P254" s="15"/>
      <c r="Q254" s="15"/>
    </row>
    <row r="255" spans="1:17">
      <c r="A255" s="8"/>
      <c r="B255" s="15">
        <v>2504</v>
      </c>
      <c r="C255" s="15">
        <v>417</v>
      </c>
      <c r="D255" s="15">
        <v>15</v>
      </c>
      <c r="E255" s="15">
        <v>0</v>
      </c>
      <c r="F255" s="14" t="str">
        <f>VLOOKUP(C255,skill_list!B:C,2)</f>
        <v>ナイトフォール</v>
      </c>
      <c r="G255" s="11"/>
      <c r="H255" s="15">
        <v>0</v>
      </c>
      <c r="I255" s="15">
        <v>0</v>
      </c>
      <c r="J255" s="15">
        <v>0</v>
      </c>
      <c r="K255" s="15">
        <v>1</v>
      </c>
      <c r="L255" s="15">
        <v>1</v>
      </c>
      <c r="M255" s="15">
        <v>0</v>
      </c>
      <c r="N255" s="15">
        <v>2</v>
      </c>
      <c r="O255" s="15">
        <v>0</v>
      </c>
      <c r="P255" s="15"/>
      <c r="Q255" s="15"/>
    </row>
    <row r="256" spans="1:17">
      <c r="A256" s="8"/>
      <c r="B256" s="15">
        <v>2601</v>
      </c>
      <c r="C256" s="15">
        <v>331</v>
      </c>
      <c r="D256" s="15">
        <v>16</v>
      </c>
      <c r="E256" s="15">
        <v>0</v>
      </c>
      <c r="F256" s="14" t="str">
        <f>VLOOKUP(C256,skill_list!B:C,2)</f>
        <v>イチコロスマイル</v>
      </c>
      <c r="G256" s="11"/>
      <c r="H256" s="15">
        <v>5</v>
      </c>
      <c r="I256" s="15">
        <v>5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0</v>
      </c>
      <c r="P256" s="15"/>
      <c r="Q256" s="15"/>
    </row>
    <row r="257" spans="1:17">
      <c r="A257" s="8"/>
      <c r="B257" s="15">
        <v>2602</v>
      </c>
      <c r="C257" s="15">
        <v>384</v>
      </c>
      <c r="D257" s="15">
        <v>16</v>
      </c>
      <c r="E257" s="15">
        <v>0</v>
      </c>
      <c r="F257" s="14" t="str">
        <f>VLOOKUP(C257,skill_list!B:C,2)</f>
        <v>バックラッシュ</v>
      </c>
      <c r="G257" s="11"/>
      <c r="H257" s="15">
        <v>5</v>
      </c>
      <c r="I257" s="15">
        <v>5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0</v>
      </c>
      <c r="P257" s="15"/>
      <c r="Q257" s="15"/>
    </row>
    <row r="258" spans="1:17">
      <c r="A258" s="8"/>
      <c r="B258" s="15">
        <v>2603</v>
      </c>
      <c r="C258" s="15">
        <v>425</v>
      </c>
      <c r="D258" s="15">
        <v>16</v>
      </c>
      <c r="E258" s="15">
        <v>0</v>
      </c>
      <c r="F258" s="14" t="str">
        <f>VLOOKUP(C258,skill_list!B:C,2)</f>
        <v>セルフパッション</v>
      </c>
      <c r="G258" s="11"/>
      <c r="H258" s="15">
        <v>5</v>
      </c>
      <c r="I258" s="15">
        <v>5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0</v>
      </c>
      <c r="P258" s="15"/>
      <c r="Q258" s="15"/>
    </row>
    <row r="259" spans="1:17">
      <c r="A259" s="8"/>
      <c r="B259" s="15">
        <v>2701</v>
      </c>
      <c r="C259" s="15">
        <v>189</v>
      </c>
      <c r="D259" s="15">
        <v>17</v>
      </c>
      <c r="E259" s="15">
        <v>0</v>
      </c>
      <c r="F259" s="14" t="str">
        <f>VLOOKUP(C259,skill_list!B:C,2)</f>
        <v>心意活性</v>
      </c>
      <c r="G259" s="11"/>
      <c r="H259" s="15">
        <v>2</v>
      </c>
      <c r="I259" s="15">
        <v>3</v>
      </c>
      <c r="J259" s="15">
        <v>129</v>
      </c>
      <c r="K259" s="15">
        <v>1</v>
      </c>
      <c r="L259" s="15">
        <v>7</v>
      </c>
      <c r="M259" s="15">
        <v>0</v>
      </c>
      <c r="N259" s="15">
        <v>1</v>
      </c>
      <c r="O259" s="15">
        <v>0</v>
      </c>
      <c r="P259" s="15"/>
      <c r="Q259" s="15"/>
    </row>
    <row r="260" spans="1:17">
      <c r="A260" s="8"/>
      <c r="B260" s="15">
        <v>2702</v>
      </c>
      <c r="C260" s="15">
        <v>255</v>
      </c>
      <c r="D260" s="15">
        <v>17</v>
      </c>
      <c r="E260" s="15">
        <v>0</v>
      </c>
      <c r="F260" s="14" t="str">
        <f>VLOOKUP(C260,skill_list!B:C,2)</f>
        <v>ホールドアップマインド</v>
      </c>
      <c r="G260" s="11"/>
      <c r="H260" s="15">
        <v>2</v>
      </c>
      <c r="I260" s="15">
        <v>2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0</v>
      </c>
      <c r="P260" s="15"/>
      <c r="Q260" s="15"/>
    </row>
    <row r="261" spans="1:17">
      <c r="A261" s="8"/>
      <c r="B261" s="15">
        <v>2703</v>
      </c>
      <c r="C261" s="15">
        <v>236</v>
      </c>
      <c r="D261" s="15">
        <v>17</v>
      </c>
      <c r="E261" s="15">
        <v>0</v>
      </c>
      <c r="F261" s="14" t="str">
        <f>VLOOKUP(C261,skill_list!B:C,2)</f>
        <v>ブリリアント・グローリー</v>
      </c>
      <c r="G261" s="11"/>
      <c r="H261" s="15">
        <v>2</v>
      </c>
      <c r="I261" s="15">
        <v>3</v>
      </c>
      <c r="J261" s="15">
        <v>208</v>
      </c>
      <c r="K261" s="15">
        <v>1</v>
      </c>
      <c r="L261" s="15">
        <v>7</v>
      </c>
      <c r="M261" s="15">
        <v>0</v>
      </c>
      <c r="N261" s="15">
        <v>1</v>
      </c>
      <c r="O261" s="15">
        <v>0</v>
      </c>
      <c r="P261" s="15"/>
      <c r="Q261" s="15"/>
    </row>
    <row r="262" spans="1:17">
      <c r="A262" s="8"/>
      <c r="B262" s="15">
        <v>3300</v>
      </c>
      <c r="C262" s="15">
        <v>9007</v>
      </c>
      <c r="D262" s="15">
        <v>23</v>
      </c>
      <c r="E262" s="15">
        <v>0</v>
      </c>
      <c r="F262" s="14" t="str">
        <f>VLOOKUP(C262,skill_list!B:C,2)</f>
        <v>ポイントケア</v>
      </c>
      <c r="G262" s="11"/>
      <c r="H262" s="15">
        <v>3</v>
      </c>
      <c r="I262" s="15">
        <v>3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>
        <v>0</v>
      </c>
      <c r="P262" s="15"/>
      <c r="Q262" s="15"/>
    </row>
    <row r="263" spans="1:17">
      <c r="A263" s="8"/>
      <c r="B263" s="15">
        <v>3301</v>
      </c>
      <c r="C263" s="15">
        <v>22</v>
      </c>
      <c r="D263" s="15">
        <v>23</v>
      </c>
      <c r="E263" s="15">
        <v>0</v>
      </c>
      <c r="F263" s="14" t="str">
        <f>VLOOKUP(C263,skill_list!B:C,2)</f>
        <v>ブレスショット</v>
      </c>
      <c r="G263" s="11"/>
      <c r="H263" s="15">
        <v>3</v>
      </c>
      <c r="I263" s="15">
        <v>3</v>
      </c>
      <c r="J263" s="15">
        <v>0</v>
      </c>
      <c r="K263" s="15">
        <v>1</v>
      </c>
      <c r="L263" s="15">
        <v>7</v>
      </c>
      <c r="M263" s="15">
        <v>0</v>
      </c>
      <c r="N263" s="15">
        <v>1</v>
      </c>
      <c r="O263" s="15">
        <v>999</v>
      </c>
      <c r="P263" s="15"/>
      <c r="Q263" s="15"/>
    </row>
    <row r="264" spans="1:17">
      <c r="A264" s="8"/>
      <c r="B264" s="15">
        <v>3302</v>
      </c>
      <c r="C264" s="15">
        <v>33</v>
      </c>
      <c r="D264" s="15">
        <v>23</v>
      </c>
      <c r="E264" s="15">
        <v>0</v>
      </c>
      <c r="F264" s="14" t="str">
        <f>VLOOKUP(C264,skill_list!B:C,2)</f>
        <v>闘気斬</v>
      </c>
      <c r="G264" s="11"/>
      <c r="H264" s="15">
        <v>3</v>
      </c>
      <c r="I264" s="15">
        <v>3</v>
      </c>
      <c r="J264" s="15">
        <v>0</v>
      </c>
      <c r="K264" s="15">
        <v>1</v>
      </c>
      <c r="L264" s="15">
        <v>7</v>
      </c>
      <c r="M264" s="15">
        <v>0</v>
      </c>
      <c r="N264" s="15">
        <v>1</v>
      </c>
      <c r="O264" s="15">
        <v>999</v>
      </c>
      <c r="P264" s="15"/>
      <c r="Q264" s="15"/>
    </row>
    <row r="265" spans="1:17">
      <c r="A265" s="8"/>
      <c r="B265" s="15">
        <v>3303</v>
      </c>
      <c r="C265" s="15">
        <v>113</v>
      </c>
      <c r="D265" s="15">
        <v>23</v>
      </c>
      <c r="E265" s="15">
        <v>0</v>
      </c>
      <c r="F265" s="14" t="str">
        <f>VLOOKUP(C265,skill_list!B:C,2)</f>
        <v>ヴィヴィットシュート</v>
      </c>
      <c r="G265" s="11"/>
      <c r="H265" s="15">
        <v>2</v>
      </c>
      <c r="I265" s="15">
        <v>2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>
        <v>999</v>
      </c>
      <c r="P265" s="15"/>
      <c r="Q265" s="15"/>
    </row>
    <row r="266" spans="1:17">
      <c r="A266" s="8"/>
      <c r="B266" s="15">
        <v>3304</v>
      </c>
      <c r="C266" s="15">
        <v>120</v>
      </c>
      <c r="D266" s="15">
        <v>23</v>
      </c>
      <c r="E266" s="15">
        <v>0</v>
      </c>
      <c r="F266" s="14" t="str">
        <f>VLOOKUP(C266,skill_list!B:C,2)</f>
        <v>リバースショット</v>
      </c>
      <c r="G266" s="11"/>
      <c r="H266" s="15">
        <v>2</v>
      </c>
      <c r="I266" s="15">
        <v>2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>
        <v>999</v>
      </c>
      <c r="P266" s="15"/>
      <c r="Q266" s="15"/>
    </row>
    <row r="267" spans="1:17">
      <c r="A267" s="8"/>
      <c r="B267" s="15">
        <v>3305</v>
      </c>
      <c r="C267" s="15">
        <v>132</v>
      </c>
      <c r="D267" s="15">
        <v>23</v>
      </c>
      <c r="E267" s="15">
        <v>0</v>
      </c>
      <c r="F267" s="14" t="str">
        <f>VLOOKUP(C267,skill_list!B:C,2)</f>
        <v>砕華</v>
      </c>
      <c r="G267" s="11"/>
      <c r="H267" s="15">
        <v>3</v>
      </c>
      <c r="I267" s="15">
        <v>3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>
        <v>999</v>
      </c>
      <c r="P267" s="15"/>
      <c r="Q267" s="15"/>
    </row>
    <row r="268" spans="1:17">
      <c r="A268" s="8"/>
      <c r="B268" s="15">
        <v>3306</v>
      </c>
      <c r="C268" s="15">
        <v>190</v>
      </c>
      <c r="D268" s="15">
        <v>23</v>
      </c>
      <c r="E268" s="15">
        <v>0</v>
      </c>
      <c r="F268" s="14" t="str">
        <f>VLOOKUP(C268,skill_list!B:C,2)</f>
        <v>ゲインカノン</v>
      </c>
      <c r="G268" s="11"/>
      <c r="H268" s="15">
        <v>3</v>
      </c>
      <c r="I268" s="15">
        <v>3</v>
      </c>
      <c r="J268" s="15">
        <v>0</v>
      </c>
      <c r="K268" s="15">
        <v>1</v>
      </c>
      <c r="L268" s="15">
        <v>7</v>
      </c>
      <c r="M268" s="15">
        <v>0</v>
      </c>
      <c r="N268" s="15">
        <v>1</v>
      </c>
      <c r="O268" s="15">
        <v>999</v>
      </c>
      <c r="P268" s="15"/>
      <c r="Q268" s="15"/>
    </row>
    <row r="269" spans="1:17">
      <c r="A269" s="8"/>
      <c r="B269" s="15">
        <v>3307</v>
      </c>
      <c r="C269" s="15">
        <v>212</v>
      </c>
      <c r="D269" s="15">
        <v>23</v>
      </c>
      <c r="E269" s="15">
        <v>0</v>
      </c>
      <c r="F269" s="14" t="str">
        <f>VLOOKUP(C269,skill_list!B:C,2)</f>
        <v>粛正</v>
      </c>
      <c r="G269" s="11"/>
      <c r="H269" s="15">
        <v>3</v>
      </c>
      <c r="I269" s="15">
        <v>3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>
        <v>999</v>
      </c>
      <c r="P269" s="15"/>
      <c r="Q269" s="15"/>
    </row>
    <row r="270" spans="1:17">
      <c r="A270" s="8"/>
      <c r="B270" s="15">
        <v>3308</v>
      </c>
      <c r="C270" s="15">
        <v>239</v>
      </c>
      <c r="D270" s="15">
        <v>23</v>
      </c>
      <c r="E270" s="15">
        <v>0</v>
      </c>
      <c r="F270" s="14" t="str">
        <f>VLOOKUP(C270,skill_list!B:C,2)</f>
        <v>キャンディ・バースト</v>
      </c>
      <c r="G270" s="11"/>
      <c r="H270" s="15">
        <v>3</v>
      </c>
      <c r="I270" s="15">
        <v>3</v>
      </c>
      <c r="J270" s="15">
        <v>0</v>
      </c>
      <c r="K270" s="15">
        <v>1</v>
      </c>
      <c r="L270" s="15">
        <v>7</v>
      </c>
      <c r="M270" s="15">
        <v>0</v>
      </c>
      <c r="N270" s="15">
        <v>1</v>
      </c>
      <c r="O270" s="15">
        <v>999</v>
      </c>
      <c r="P270" s="15"/>
      <c r="Q270" s="15"/>
    </row>
    <row r="271" spans="1:17">
      <c r="A271" s="8"/>
      <c r="B271" s="15">
        <v>3309</v>
      </c>
      <c r="C271" s="15">
        <v>259</v>
      </c>
      <c r="D271" s="15">
        <v>23</v>
      </c>
      <c r="E271" s="15">
        <v>0</v>
      </c>
      <c r="F271" s="14" t="str">
        <f>VLOOKUP(C271,skill_list!B:C,2)</f>
        <v>不純なアリア</v>
      </c>
      <c r="G271" s="11"/>
      <c r="H271" s="15">
        <v>3</v>
      </c>
      <c r="I271" s="15">
        <v>3</v>
      </c>
      <c r="J271" s="15">
        <v>0</v>
      </c>
      <c r="K271" s="15">
        <v>1</v>
      </c>
      <c r="L271" s="15">
        <v>7</v>
      </c>
      <c r="M271" s="15">
        <v>0</v>
      </c>
      <c r="N271" s="15">
        <v>1</v>
      </c>
      <c r="O271" s="15">
        <v>999</v>
      </c>
      <c r="P271" s="15"/>
      <c r="Q271" s="15"/>
    </row>
    <row r="272" spans="1:17">
      <c r="A272" s="8"/>
      <c r="B272" s="15">
        <v>3310</v>
      </c>
      <c r="C272" s="15">
        <v>309</v>
      </c>
      <c r="D272" s="15">
        <v>23</v>
      </c>
      <c r="E272" s="15">
        <v>0</v>
      </c>
      <c r="F272" s="14" t="str">
        <f>VLOOKUP(C272,skill_list!B:C,2)</f>
        <v>フォーチュンスラッシュ</v>
      </c>
      <c r="G272" s="11"/>
      <c r="H272" s="15">
        <v>3</v>
      </c>
      <c r="I272" s="15">
        <v>3</v>
      </c>
      <c r="J272" s="15">
        <v>0</v>
      </c>
      <c r="K272" s="15">
        <v>1</v>
      </c>
      <c r="L272" s="15">
        <v>7</v>
      </c>
      <c r="M272" s="15">
        <v>0</v>
      </c>
      <c r="N272" s="15">
        <v>1</v>
      </c>
      <c r="O272" s="15">
        <v>999</v>
      </c>
      <c r="P272" s="15"/>
      <c r="Q272" s="15"/>
    </row>
    <row r="273" spans="1:18">
      <c r="A273" s="8"/>
      <c r="B273" s="15">
        <v>3311</v>
      </c>
      <c r="C273" s="15">
        <v>324</v>
      </c>
      <c r="D273" s="15">
        <v>23</v>
      </c>
      <c r="E273" s="15">
        <v>0</v>
      </c>
      <c r="F273" s="14" t="str">
        <f>VLOOKUP(C273,skill_list!B:C,2)</f>
        <v>トランスペイン</v>
      </c>
      <c r="G273" s="11"/>
      <c r="H273" s="15">
        <v>3</v>
      </c>
      <c r="I273" s="15">
        <v>3</v>
      </c>
      <c r="J273" s="15">
        <v>0</v>
      </c>
      <c r="K273" s="15">
        <v>1</v>
      </c>
      <c r="L273" s="15">
        <v>7</v>
      </c>
      <c r="M273" s="15">
        <v>0</v>
      </c>
      <c r="N273" s="15">
        <v>1</v>
      </c>
      <c r="O273" s="15">
        <v>999</v>
      </c>
      <c r="P273" s="15"/>
      <c r="Q273" s="15"/>
    </row>
    <row r="274" spans="1:18">
      <c r="A274" s="8"/>
      <c r="B274" s="15">
        <v>3312</v>
      </c>
      <c r="C274" s="15">
        <v>382</v>
      </c>
      <c r="D274" s="15">
        <v>23</v>
      </c>
      <c r="E274" s="15">
        <v>0</v>
      </c>
      <c r="F274" s="14" t="str">
        <f>VLOOKUP(C274,skill_list!B:C,2)</f>
        <v>エキゾーストノート</v>
      </c>
      <c r="G274" s="11"/>
      <c r="H274" s="15">
        <v>3</v>
      </c>
      <c r="I274" s="15">
        <v>3</v>
      </c>
      <c r="J274" s="15">
        <v>0</v>
      </c>
      <c r="K274" s="15">
        <v>1</v>
      </c>
      <c r="L274" s="15">
        <v>7</v>
      </c>
      <c r="M274" s="15">
        <v>0</v>
      </c>
      <c r="N274" s="15">
        <v>1</v>
      </c>
      <c r="O274" s="15">
        <v>999</v>
      </c>
      <c r="P274" s="15"/>
      <c r="Q274" s="15"/>
    </row>
    <row r="275" spans="1:18">
      <c r="A275" s="8"/>
      <c r="B275" s="15">
        <v>3313</v>
      </c>
      <c r="C275" s="15">
        <v>397</v>
      </c>
      <c r="D275" s="15">
        <v>23</v>
      </c>
      <c r="E275" s="15">
        <v>0</v>
      </c>
      <c r="F275" s="14" t="str">
        <f>VLOOKUP(C275,skill_list!B:C,2)</f>
        <v>春雷</v>
      </c>
      <c r="G275" s="11"/>
      <c r="H275" s="15">
        <v>3</v>
      </c>
      <c r="I275" s="15">
        <v>3</v>
      </c>
      <c r="J275" s="15">
        <v>0</v>
      </c>
      <c r="K275" s="15">
        <v>1</v>
      </c>
      <c r="L275" s="15">
        <v>7</v>
      </c>
      <c r="M275" s="15">
        <v>0</v>
      </c>
      <c r="N275" s="15">
        <v>1</v>
      </c>
      <c r="O275" s="15">
        <v>999</v>
      </c>
      <c r="P275" s="15"/>
      <c r="Q275" s="15"/>
      <c r="R275" s="15"/>
    </row>
    <row r="276" spans="1:18">
      <c r="A276" s="8"/>
      <c r="B276" s="15">
        <v>3314</v>
      </c>
      <c r="C276" s="15">
        <v>427</v>
      </c>
      <c r="D276" s="15">
        <v>23</v>
      </c>
      <c r="E276" s="15">
        <v>0</v>
      </c>
      <c r="F276" s="14" t="str">
        <f>VLOOKUP(C276,skill_list!B:C,2)</f>
        <v>ファンタズム</v>
      </c>
      <c r="G276" s="11"/>
      <c r="H276" s="15">
        <v>3</v>
      </c>
      <c r="I276" s="15">
        <v>3</v>
      </c>
      <c r="J276" s="15">
        <v>0</v>
      </c>
      <c r="K276" s="15">
        <v>1</v>
      </c>
      <c r="L276" s="15">
        <v>7</v>
      </c>
      <c r="M276" s="15">
        <v>0</v>
      </c>
      <c r="N276" s="15">
        <v>1</v>
      </c>
      <c r="O276" s="15">
        <v>999</v>
      </c>
      <c r="P276" s="15"/>
      <c r="Q276" s="15"/>
    </row>
    <row r="277" spans="1:18">
      <c r="A277" s="8"/>
      <c r="B277" s="15">
        <v>3315</v>
      </c>
      <c r="C277" s="15">
        <v>480</v>
      </c>
      <c r="D277" s="15">
        <v>23</v>
      </c>
      <c r="E277" s="15">
        <v>0</v>
      </c>
      <c r="F277" s="14" t="str">
        <f>VLOOKUP(C277,skill_list!B:C,2)</f>
        <v>スイーツチャージ！</v>
      </c>
      <c r="G277" s="11"/>
      <c r="H277" s="15">
        <v>2</v>
      </c>
      <c r="I277" s="15">
        <v>2</v>
      </c>
      <c r="J277" s="15">
        <v>0</v>
      </c>
      <c r="K277" s="15">
        <v>1</v>
      </c>
      <c r="L277" s="15">
        <v>7</v>
      </c>
      <c r="M277" s="15">
        <v>0</v>
      </c>
      <c r="N277" s="15">
        <v>1</v>
      </c>
      <c r="O277" s="15">
        <v>999</v>
      </c>
      <c r="P277" s="15"/>
      <c r="Q277" s="15"/>
    </row>
    <row r="278" spans="1:18">
      <c r="A278" s="8"/>
      <c r="B278" s="15">
        <v>3316</v>
      </c>
      <c r="C278" s="15">
        <v>177</v>
      </c>
      <c r="D278" s="15">
        <v>23</v>
      </c>
      <c r="E278" s="15">
        <v>0</v>
      </c>
      <c r="F278" s="14" t="str">
        <f>VLOOKUP(C278,skill_list!B:C,2)</f>
        <v>エリミネイト・ポッシブル</v>
      </c>
      <c r="G278" s="11"/>
      <c r="H278" s="15">
        <v>3</v>
      </c>
      <c r="I278" s="15">
        <v>3</v>
      </c>
      <c r="J278" s="15">
        <v>0</v>
      </c>
      <c r="K278" s="15">
        <v>1</v>
      </c>
      <c r="L278" s="15">
        <v>3</v>
      </c>
      <c r="M278" s="15">
        <v>0</v>
      </c>
      <c r="N278" s="15">
        <v>1</v>
      </c>
      <c r="O278" s="15">
        <v>0</v>
      </c>
      <c r="P278" s="15"/>
      <c r="Q278" s="15"/>
    </row>
    <row r="279" spans="1:18">
      <c r="A279" s="8"/>
      <c r="B279" s="15">
        <v>3317</v>
      </c>
      <c r="C279" s="15">
        <v>207</v>
      </c>
      <c r="D279" s="15">
        <v>23</v>
      </c>
      <c r="E279" s="15">
        <v>1</v>
      </c>
      <c r="F279" s="14" t="str">
        <f>VLOOKUP(C279,skill_list!B:C,2)</f>
        <v>リバイブ・ヴェール</v>
      </c>
      <c r="G279" s="11"/>
      <c r="H279" s="15">
        <v>3</v>
      </c>
      <c r="I279" s="15">
        <v>3</v>
      </c>
      <c r="J279" s="15">
        <v>0</v>
      </c>
      <c r="K279" s="15">
        <v>1</v>
      </c>
      <c r="L279" s="15">
        <v>8</v>
      </c>
      <c r="M279" s="15">
        <v>1</v>
      </c>
      <c r="N279" s="15">
        <v>1</v>
      </c>
      <c r="O279" s="15">
        <v>0</v>
      </c>
      <c r="P279" s="15"/>
      <c r="Q279" s="15"/>
    </row>
    <row r="280" spans="1:18">
      <c r="A280" s="8"/>
      <c r="B280" s="15">
        <v>3401</v>
      </c>
      <c r="C280" s="15">
        <v>137</v>
      </c>
      <c r="D280" s="15">
        <v>24</v>
      </c>
      <c r="E280" s="15">
        <v>0</v>
      </c>
      <c r="F280" s="14" t="str">
        <f>VLOOKUP(C280,skill_list!B:C,2)</f>
        <v>サイクロンブレード</v>
      </c>
      <c r="G280" s="11"/>
      <c r="H280" s="15">
        <v>0</v>
      </c>
      <c r="I280" s="15">
        <v>0</v>
      </c>
      <c r="J280" s="15">
        <v>0</v>
      </c>
      <c r="K280" s="15">
        <v>0</v>
      </c>
      <c r="L280" s="15">
        <v>7</v>
      </c>
      <c r="M280" s="15">
        <v>0</v>
      </c>
      <c r="N280" s="15">
        <v>2</v>
      </c>
      <c r="O280" s="15">
        <v>999</v>
      </c>
      <c r="P280" s="15"/>
      <c r="Q280" s="15"/>
    </row>
    <row r="281" spans="1:18">
      <c r="A281" s="8"/>
      <c r="B281" s="15">
        <v>3402</v>
      </c>
      <c r="C281" s="15">
        <v>211</v>
      </c>
      <c r="D281" s="15">
        <v>24</v>
      </c>
      <c r="E281" s="15">
        <v>0</v>
      </c>
      <c r="F281" s="14" t="str">
        <f>VLOOKUP(C281,skill_list!B:C,2)</f>
        <v>我忘恍惚</v>
      </c>
      <c r="G281" s="11"/>
      <c r="H281" s="15">
        <v>0</v>
      </c>
      <c r="I281" s="15">
        <v>0</v>
      </c>
      <c r="J281" s="15">
        <v>0</v>
      </c>
      <c r="K281" s="15">
        <v>0</v>
      </c>
      <c r="L281" s="15">
        <v>7</v>
      </c>
      <c r="M281" s="15">
        <v>0</v>
      </c>
      <c r="N281" s="15">
        <v>2</v>
      </c>
      <c r="O281" s="15">
        <v>1</v>
      </c>
      <c r="P281" s="15"/>
      <c r="Q281" s="15"/>
    </row>
    <row r="282" spans="1:18">
      <c r="A282" s="8"/>
      <c r="B282" s="15">
        <v>3403</v>
      </c>
      <c r="C282" s="15">
        <v>229</v>
      </c>
      <c r="D282" s="15">
        <v>24</v>
      </c>
      <c r="E282" s="15">
        <v>0</v>
      </c>
      <c r="F282" s="14" t="str">
        <f>VLOOKUP(C282,skill_list!B:C,2)</f>
        <v>フューリーインパルス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2</v>
      </c>
      <c r="O282" s="15">
        <v>999</v>
      </c>
      <c r="P282" s="15"/>
      <c r="Q282" s="15"/>
    </row>
    <row r="283" spans="1:18">
      <c r="A283" s="8"/>
      <c r="B283" s="15">
        <v>3404</v>
      </c>
      <c r="C283" s="15">
        <v>243</v>
      </c>
      <c r="D283" s="15">
        <v>24</v>
      </c>
      <c r="E283" s="15">
        <v>0</v>
      </c>
      <c r="F283" s="14" t="str">
        <f>VLOOKUP(C283,skill_list!B:C,2)</f>
        <v>銀蜂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2</v>
      </c>
      <c r="O283" s="15">
        <v>999</v>
      </c>
      <c r="P283" s="15"/>
      <c r="Q283" s="15"/>
    </row>
    <row r="284" spans="1:18">
      <c r="A284" s="8"/>
      <c r="B284" s="15">
        <v>3405</v>
      </c>
      <c r="C284" s="15">
        <v>322</v>
      </c>
      <c r="D284" s="15">
        <v>24</v>
      </c>
      <c r="E284" s="15">
        <v>0</v>
      </c>
      <c r="F284" s="14" t="str">
        <f>VLOOKUP(C284,skill_list!B:C,2)</f>
        <v>決戦前夜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2</v>
      </c>
      <c r="O284" s="15">
        <v>0</v>
      </c>
      <c r="P284" s="15"/>
      <c r="Q284" s="15"/>
    </row>
    <row r="285" spans="1:18">
      <c r="A285" s="8"/>
      <c r="B285" s="15">
        <v>3406</v>
      </c>
      <c r="C285" s="15">
        <v>473</v>
      </c>
      <c r="D285" s="15">
        <v>24</v>
      </c>
      <c r="E285" s="15">
        <v>0</v>
      </c>
      <c r="F285" s="14" t="str">
        <f>VLOOKUP(C285,skill_list!B:C,2)</f>
        <v>朝霜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2</v>
      </c>
      <c r="O285" s="15">
        <v>999</v>
      </c>
      <c r="P285" s="15"/>
      <c r="Q285" s="15"/>
    </row>
    <row r="286" spans="1:18">
      <c r="A286" s="8"/>
      <c r="B286" s="15">
        <v>3501</v>
      </c>
      <c r="C286" s="15">
        <v>38</v>
      </c>
      <c r="D286" s="15">
        <v>25</v>
      </c>
      <c r="E286" s="15">
        <v>0</v>
      </c>
      <c r="F286" s="14" t="str">
        <f>VLOOKUP(C286,skill_list!B:C,2)</f>
        <v>プロヴォーク</v>
      </c>
      <c r="G286" s="11"/>
      <c r="H286" s="15">
        <v>2</v>
      </c>
      <c r="I286" s="15">
        <v>3</v>
      </c>
      <c r="J286" s="15">
        <v>208</v>
      </c>
      <c r="K286" s="15">
        <v>0</v>
      </c>
      <c r="L286" s="15">
        <v>7</v>
      </c>
      <c r="M286" s="15">
        <v>0</v>
      </c>
      <c r="N286" s="15">
        <v>3</v>
      </c>
      <c r="O286" s="15">
        <v>0</v>
      </c>
      <c r="P286" s="15"/>
      <c r="Q286" s="15"/>
    </row>
    <row r="287" spans="1:18">
      <c r="A287" s="8"/>
      <c r="B287" s="15">
        <v>3502</v>
      </c>
      <c r="C287" s="15">
        <v>65</v>
      </c>
      <c r="D287" s="15">
        <v>25</v>
      </c>
      <c r="E287" s="15">
        <v>0</v>
      </c>
      <c r="F287" s="14" t="str">
        <f>VLOOKUP(C287,skill_list!B:C,2)</f>
        <v>ポラリスの輝き</v>
      </c>
      <c r="G287" s="11"/>
      <c r="H287" s="15">
        <v>2</v>
      </c>
      <c r="I287" s="15">
        <v>3</v>
      </c>
      <c r="J287" s="15">
        <v>129</v>
      </c>
      <c r="K287" s="15">
        <v>0</v>
      </c>
      <c r="L287" s="15">
        <v>7</v>
      </c>
      <c r="M287" s="15">
        <v>0</v>
      </c>
      <c r="N287" s="15">
        <v>3</v>
      </c>
      <c r="O287" s="15">
        <v>999</v>
      </c>
      <c r="P287" s="15"/>
      <c r="Q287" s="15"/>
    </row>
    <row r="288" spans="1:18">
      <c r="A288" s="8"/>
      <c r="B288" s="15">
        <v>3503</v>
      </c>
      <c r="C288" s="15">
        <v>129</v>
      </c>
      <c r="D288" s="15">
        <v>25</v>
      </c>
      <c r="E288" s="15">
        <v>0</v>
      </c>
      <c r="F288" s="14" t="str">
        <f>VLOOKUP(C288,skill_list!B:C,2)</f>
        <v>ライオンハート</v>
      </c>
      <c r="G288" s="11"/>
      <c r="H288" s="15">
        <v>2</v>
      </c>
      <c r="I288" s="15">
        <v>3</v>
      </c>
      <c r="J288" s="15">
        <v>184</v>
      </c>
      <c r="K288" s="15">
        <v>0</v>
      </c>
      <c r="L288" s="15">
        <v>7</v>
      </c>
      <c r="M288" s="15">
        <v>0</v>
      </c>
      <c r="N288" s="15">
        <v>3</v>
      </c>
      <c r="O288" s="15">
        <v>0</v>
      </c>
      <c r="P288" s="15"/>
      <c r="Q288" s="15"/>
    </row>
    <row r="289" spans="1:17">
      <c r="A289" s="8"/>
      <c r="B289" s="15">
        <v>3504</v>
      </c>
      <c r="C289" s="15">
        <v>160</v>
      </c>
      <c r="D289" s="15">
        <v>25</v>
      </c>
      <c r="E289" s="15">
        <v>0</v>
      </c>
      <c r="F289" s="14" t="str">
        <f>VLOOKUP(C289,skill_list!B:C,2)</f>
        <v>ギャザー・バッシュ</v>
      </c>
      <c r="G289" s="11"/>
      <c r="H289" s="15">
        <v>2</v>
      </c>
      <c r="I289" s="15">
        <v>3</v>
      </c>
      <c r="J289" s="15">
        <v>117</v>
      </c>
      <c r="K289" s="15">
        <v>0</v>
      </c>
      <c r="L289" s="15">
        <v>7</v>
      </c>
      <c r="M289" s="15">
        <v>0</v>
      </c>
      <c r="N289" s="15">
        <v>3</v>
      </c>
      <c r="O289" s="15">
        <v>999</v>
      </c>
      <c r="P289" s="15"/>
      <c r="Q289" s="15"/>
    </row>
    <row r="290" spans="1:17">
      <c r="A290" s="8"/>
      <c r="B290" s="15">
        <v>3505</v>
      </c>
      <c r="C290" s="15">
        <v>233</v>
      </c>
      <c r="D290" s="15">
        <v>25</v>
      </c>
      <c r="E290" s="15">
        <v>0</v>
      </c>
      <c r="F290" s="14" t="str">
        <f>VLOOKUP(C290,skill_list!B:C,2)</f>
        <v>プロヴォーク</v>
      </c>
      <c r="G290" s="11"/>
      <c r="H290" s="15">
        <v>2</v>
      </c>
      <c r="I290" s="15">
        <v>3</v>
      </c>
      <c r="J290" s="15">
        <v>208</v>
      </c>
      <c r="K290" s="15">
        <v>0</v>
      </c>
      <c r="L290" s="15">
        <v>7</v>
      </c>
      <c r="M290" s="15">
        <v>0</v>
      </c>
      <c r="N290" s="15">
        <v>3</v>
      </c>
      <c r="O290" s="15">
        <v>0</v>
      </c>
      <c r="P290" s="15"/>
      <c r="Q290" s="15"/>
    </row>
    <row r="291" spans="1:17">
      <c r="A291" s="8"/>
      <c r="B291" s="15">
        <v>3506</v>
      </c>
      <c r="C291" s="15">
        <v>257</v>
      </c>
      <c r="D291" s="15">
        <v>25</v>
      </c>
      <c r="E291" s="15">
        <v>0</v>
      </c>
      <c r="F291" s="14" t="str">
        <f>VLOOKUP(C291,skill_list!B:C,2)</f>
        <v>プリンシプルチャンダス</v>
      </c>
      <c r="G291" s="11"/>
      <c r="H291" s="15">
        <v>2</v>
      </c>
      <c r="I291" s="15">
        <v>3</v>
      </c>
      <c r="J291" s="15">
        <v>131</v>
      </c>
      <c r="K291" s="15">
        <v>0</v>
      </c>
      <c r="L291" s="15">
        <v>7</v>
      </c>
      <c r="M291" s="15">
        <v>0</v>
      </c>
      <c r="N291" s="15">
        <v>3</v>
      </c>
      <c r="O291" s="15">
        <v>999</v>
      </c>
      <c r="P291" s="15"/>
      <c r="Q291" s="15"/>
    </row>
    <row r="292" spans="1:17">
      <c r="A292" s="8"/>
      <c r="B292" s="15">
        <v>3507</v>
      </c>
      <c r="C292" s="15">
        <v>326</v>
      </c>
      <c r="D292" s="15">
        <v>25</v>
      </c>
      <c r="E292" s="15">
        <v>0</v>
      </c>
      <c r="F292" s="14" t="str">
        <f>VLOOKUP(C292,skill_list!B:C,2)</f>
        <v>籠の鳥</v>
      </c>
      <c r="G292" s="11"/>
      <c r="H292" s="15">
        <v>2</v>
      </c>
      <c r="I292" s="15">
        <v>3</v>
      </c>
      <c r="J292" s="15">
        <v>184</v>
      </c>
      <c r="K292" s="15">
        <v>0</v>
      </c>
      <c r="L292" s="15">
        <v>7</v>
      </c>
      <c r="M292" s="15">
        <v>0</v>
      </c>
      <c r="N292" s="15">
        <v>3</v>
      </c>
      <c r="O292" s="15">
        <v>0</v>
      </c>
      <c r="P292" s="15"/>
      <c r="Q292" s="15"/>
    </row>
    <row r="293" spans="1:17">
      <c r="A293" s="8"/>
      <c r="B293" s="15">
        <v>3508</v>
      </c>
      <c r="C293" s="15">
        <v>341</v>
      </c>
      <c r="D293" s="15">
        <v>25</v>
      </c>
      <c r="E293" s="15">
        <v>0</v>
      </c>
      <c r="F293" s="14" t="str">
        <f>VLOOKUP(C293,skill_list!B:C,2)</f>
        <v>ご注文を伺います</v>
      </c>
      <c r="G293" s="11"/>
      <c r="H293" s="15">
        <v>2</v>
      </c>
      <c r="I293" s="15">
        <v>3</v>
      </c>
      <c r="J293" s="15">
        <v>192</v>
      </c>
      <c r="K293" s="15">
        <v>0</v>
      </c>
      <c r="L293" s="15">
        <v>7</v>
      </c>
      <c r="M293" s="15">
        <v>0</v>
      </c>
      <c r="N293" s="15">
        <v>3</v>
      </c>
      <c r="O293" s="15">
        <v>0</v>
      </c>
      <c r="P293" s="15"/>
      <c r="Q293" s="15"/>
    </row>
    <row r="294" spans="1:17">
      <c r="A294" s="8"/>
      <c r="B294" s="15">
        <v>3509</v>
      </c>
      <c r="C294" s="15">
        <v>358</v>
      </c>
      <c r="D294" s="15">
        <v>25</v>
      </c>
      <c r="E294" s="15">
        <v>0</v>
      </c>
      <c r="F294" s="14" t="str">
        <f>VLOOKUP(C294,skill_list!B:C,2)</f>
        <v>決意の夜</v>
      </c>
      <c r="G294" s="11"/>
      <c r="H294" s="15">
        <v>2</v>
      </c>
      <c r="I294" s="15">
        <v>3</v>
      </c>
      <c r="J294" s="15">
        <v>184</v>
      </c>
      <c r="K294" s="15">
        <v>0</v>
      </c>
      <c r="L294" s="15">
        <v>7</v>
      </c>
      <c r="M294" s="15">
        <v>0</v>
      </c>
      <c r="N294" s="15">
        <v>3</v>
      </c>
      <c r="O294" s="15">
        <v>0</v>
      </c>
      <c r="P294" s="15"/>
      <c r="Q294" s="15"/>
    </row>
    <row r="295" spans="1:17">
      <c r="A295" s="8"/>
      <c r="B295" s="15">
        <v>3510</v>
      </c>
      <c r="C295" s="15">
        <v>434</v>
      </c>
      <c r="D295" s="15">
        <v>25</v>
      </c>
      <c r="E295" s="15">
        <v>0</v>
      </c>
      <c r="F295" s="14" t="str">
        <f>VLOOKUP(C295,skill_list!B:C,2)</f>
        <v>シンコペーション</v>
      </c>
      <c r="G295" s="11"/>
      <c r="H295" s="15">
        <v>2</v>
      </c>
      <c r="I295" s="15">
        <v>3</v>
      </c>
      <c r="J295" s="15">
        <v>184</v>
      </c>
      <c r="K295" s="15">
        <v>0</v>
      </c>
      <c r="L295" s="15">
        <v>7</v>
      </c>
      <c r="M295" s="15">
        <v>0</v>
      </c>
      <c r="N295" s="15">
        <v>3</v>
      </c>
      <c r="O295" s="15">
        <v>0</v>
      </c>
      <c r="P295" s="15"/>
      <c r="Q295" s="15"/>
    </row>
    <row r="296" spans="1:17">
      <c r="A296" s="8"/>
      <c r="B296" s="15">
        <v>3511</v>
      </c>
      <c r="C296" s="15">
        <v>461</v>
      </c>
      <c r="D296" s="15">
        <v>25</v>
      </c>
      <c r="E296" s="15">
        <v>0</v>
      </c>
      <c r="F296" s="14" t="str">
        <f>VLOOKUP(C296,skill_list!B:C,2)</f>
        <v>ねこじゃらし</v>
      </c>
      <c r="G296" s="11"/>
      <c r="H296" s="15">
        <v>2</v>
      </c>
      <c r="I296" s="15">
        <v>3</v>
      </c>
      <c r="J296" s="15">
        <v>200</v>
      </c>
      <c r="K296" s="15">
        <v>0</v>
      </c>
      <c r="L296" s="15">
        <v>7</v>
      </c>
      <c r="M296" s="15">
        <v>0</v>
      </c>
      <c r="N296" s="15">
        <v>3</v>
      </c>
      <c r="O296" s="15">
        <v>0</v>
      </c>
      <c r="P296" s="15"/>
      <c r="Q296" s="15"/>
    </row>
    <row r="297" spans="1:17">
      <c r="A297" s="8"/>
      <c r="B297" s="15">
        <v>3601</v>
      </c>
      <c r="C297" s="15">
        <v>88</v>
      </c>
      <c r="D297" s="15">
        <v>26</v>
      </c>
      <c r="E297" s="15">
        <v>0</v>
      </c>
      <c r="F297" s="14" t="str">
        <f>VLOOKUP(C297,skill_list!B:C,2)</f>
        <v>導きの号令</v>
      </c>
      <c r="G297" s="11"/>
      <c r="H297" s="15">
        <v>0</v>
      </c>
      <c r="I297" s="15">
        <v>0</v>
      </c>
      <c r="J297" s="15">
        <v>0</v>
      </c>
      <c r="K297" s="15">
        <v>0</v>
      </c>
      <c r="L297" s="15">
        <v>7</v>
      </c>
      <c r="M297" s="15">
        <v>0</v>
      </c>
      <c r="N297" s="15">
        <v>1</v>
      </c>
      <c r="O297" s="15">
        <v>0</v>
      </c>
      <c r="P297" s="15"/>
      <c r="Q297" s="15"/>
    </row>
    <row r="298" spans="1:17">
      <c r="A298" s="8"/>
      <c r="B298" s="15">
        <v>3602</v>
      </c>
      <c r="C298" s="15">
        <v>217</v>
      </c>
      <c r="D298" s="15">
        <v>26</v>
      </c>
      <c r="E298" s="15">
        <v>0</v>
      </c>
      <c r="F298" s="14" t="str">
        <f>VLOOKUP(C298,skill_list!B:C,2)</f>
        <v>空</v>
      </c>
      <c r="G298" s="11"/>
      <c r="H298" s="15">
        <v>0</v>
      </c>
      <c r="I298" s="15">
        <v>0</v>
      </c>
      <c r="J298" s="15">
        <v>0</v>
      </c>
      <c r="K298" s="15">
        <v>0</v>
      </c>
      <c r="L298" s="15">
        <v>7</v>
      </c>
      <c r="M298" s="15">
        <v>0</v>
      </c>
      <c r="N298" s="15">
        <v>1</v>
      </c>
      <c r="O298" s="15">
        <v>0</v>
      </c>
      <c r="P298" s="15"/>
      <c r="Q298" s="15"/>
    </row>
    <row r="299" spans="1:17">
      <c r="A299" s="8"/>
      <c r="B299" s="15">
        <v>3603</v>
      </c>
      <c r="C299" s="15">
        <v>267</v>
      </c>
      <c r="D299" s="15">
        <v>26</v>
      </c>
      <c r="E299" s="15">
        <v>0</v>
      </c>
      <c r="F299" s="14" t="str">
        <f>VLOOKUP(C299,skill_list!B:C,2)</f>
        <v>細雪</v>
      </c>
      <c r="G299" s="11"/>
      <c r="H299" s="15">
        <v>0</v>
      </c>
      <c r="I299" s="15">
        <v>0</v>
      </c>
      <c r="J299" s="15">
        <v>0</v>
      </c>
      <c r="K299" s="15">
        <v>0</v>
      </c>
      <c r="L299" s="15">
        <v>7</v>
      </c>
      <c r="M299" s="15">
        <v>0</v>
      </c>
      <c r="N299" s="15">
        <v>1</v>
      </c>
      <c r="O299" s="15">
        <v>0</v>
      </c>
      <c r="P299" s="15"/>
      <c r="Q299" s="15"/>
    </row>
    <row r="300" spans="1:17">
      <c r="A300" s="8"/>
      <c r="B300" s="15">
        <v>3604</v>
      </c>
      <c r="C300" s="15">
        <v>346</v>
      </c>
      <c r="D300" s="15">
        <v>26</v>
      </c>
      <c r="E300" s="15">
        <v>0</v>
      </c>
      <c r="F300" s="14" t="str">
        <f>VLOOKUP(C300,skill_list!B:C,2)</f>
        <v>メイドの嗜み</v>
      </c>
      <c r="G300" s="11"/>
      <c r="H300" s="15">
        <v>0</v>
      </c>
      <c r="I300" s="15">
        <v>0</v>
      </c>
      <c r="J300" s="15">
        <v>0</v>
      </c>
      <c r="K300" s="15">
        <v>0</v>
      </c>
      <c r="L300" s="15">
        <v>7</v>
      </c>
      <c r="M300" s="15">
        <v>0</v>
      </c>
      <c r="N300" s="15">
        <v>1</v>
      </c>
      <c r="O300" s="15">
        <v>0</v>
      </c>
      <c r="P300" s="15"/>
      <c r="Q300" s="15"/>
    </row>
    <row r="301" spans="1:17">
      <c r="A301" s="8"/>
      <c r="B301" s="15">
        <v>3605</v>
      </c>
      <c r="C301" s="15">
        <v>371</v>
      </c>
      <c r="D301" s="15">
        <v>26</v>
      </c>
      <c r="E301" s="15">
        <v>0</v>
      </c>
      <c r="F301" s="14" t="str">
        <f>VLOOKUP(C301,skill_list!B:C,2)</f>
        <v>赤面スティグマ</v>
      </c>
      <c r="G301" s="11"/>
      <c r="H301" s="15">
        <v>0</v>
      </c>
      <c r="I301" s="15">
        <v>0</v>
      </c>
      <c r="J301" s="15">
        <v>0</v>
      </c>
      <c r="K301" s="15">
        <v>0</v>
      </c>
      <c r="L301" s="15">
        <v>7</v>
      </c>
      <c r="M301" s="15">
        <v>0</v>
      </c>
      <c r="N301" s="15">
        <v>1</v>
      </c>
      <c r="O301" s="15">
        <v>0</v>
      </c>
      <c r="P301" s="15"/>
      <c r="Q301" s="15"/>
    </row>
    <row r="302" spans="1:17">
      <c r="A302" s="8"/>
      <c r="B302" s="15">
        <v>3606</v>
      </c>
      <c r="C302" s="15">
        <v>380</v>
      </c>
      <c r="D302" s="15">
        <v>26</v>
      </c>
      <c r="E302" s="15">
        <v>0</v>
      </c>
      <c r="F302" s="14" t="str">
        <f>VLOOKUP(C302,skill_list!B:C,2)</f>
        <v>天変の相</v>
      </c>
      <c r="G302" s="11"/>
      <c r="H302" s="15">
        <v>0</v>
      </c>
      <c r="I302" s="15">
        <v>0</v>
      </c>
      <c r="J302" s="15">
        <v>0</v>
      </c>
      <c r="K302" s="15">
        <v>0</v>
      </c>
      <c r="L302" s="15">
        <v>7</v>
      </c>
      <c r="M302" s="15">
        <v>0</v>
      </c>
      <c r="N302" s="15">
        <v>1</v>
      </c>
      <c r="O302" s="15">
        <v>0</v>
      </c>
      <c r="P302" s="15"/>
      <c r="Q302" s="15"/>
    </row>
    <row r="303" spans="1:17">
      <c r="A303" s="8"/>
      <c r="B303" s="15">
        <v>3607</v>
      </c>
      <c r="C303" s="15">
        <v>404</v>
      </c>
      <c r="D303" s="15">
        <v>26</v>
      </c>
      <c r="E303" s="15">
        <v>0</v>
      </c>
      <c r="F303" s="14" t="str">
        <f>VLOOKUP(C303,skill_list!B:C,2)</f>
        <v>とある衝撃</v>
      </c>
      <c r="G303" s="11"/>
      <c r="H303" s="15">
        <v>0</v>
      </c>
      <c r="I303" s="15">
        <v>0</v>
      </c>
      <c r="J303" s="15">
        <v>0</v>
      </c>
      <c r="K303" s="15">
        <v>0</v>
      </c>
      <c r="L303" s="15">
        <v>7</v>
      </c>
      <c r="M303" s="15">
        <v>0</v>
      </c>
      <c r="N303" s="15">
        <v>1</v>
      </c>
      <c r="O303" s="15">
        <v>0</v>
      </c>
      <c r="P303" s="15"/>
      <c r="Q303" s="15"/>
    </row>
    <row r="304" spans="1:17">
      <c r="A304" s="8"/>
      <c r="B304" s="15">
        <v>3608</v>
      </c>
      <c r="C304" s="15">
        <v>471</v>
      </c>
      <c r="D304" s="15">
        <v>26</v>
      </c>
      <c r="E304" s="15">
        <v>0</v>
      </c>
      <c r="F304" s="14" t="str">
        <f>VLOOKUP(C304,skill_list!B:C,2)</f>
        <v>おしおき</v>
      </c>
      <c r="G304" s="11"/>
      <c r="H304" s="15">
        <v>0</v>
      </c>
      <c r="I304" s="15">
        <v>0</v>
      </c>
      <c r="J304" s="15">
        <v>0</v>
      </c>
      <c r="K304" s="15">
        <v>0</v>
      </c>
      <c r="L304" s="15">
        <v>7</v>
      </c>
      <c r="M304" s="15">
        <v>0</v>
      </c>
      <c r="N304" s="15">
        <v>1</v>
      </c>
      <c r="O304" s="15">
        <v>0</v>
      </c>
      <c r="P304" s="15"/>
      <c r="Q304" s="15"/>
    </row>
    <row r="305" spans="1:17">
      <c r="A305" s="8"/>
      <c r="B305" s="15">
        <v>3609</v>
      </c>
      <c r="C305" s="15">
        <v>494</v>
      </c>
      <c r="D305" s="15">
        <v>26</v>
      </c>
      <c r="E305" s="15">
        <v>0</v>
      </c>
      <c r="F305" s="14" t="str">
        <f>VLOOKUP(C305,skill_list!B:C,2)</f>
        <v>夜醒</v>
      </c>
      <c r="G305" s="11"/>
      <c r="H305" s="15">
        <v>0</v>
      </c>
      <c r="I305" s="15">
        <v>0</v>
      </c>
      <c r="J305" s="15">
        <v>0</v>
      </c>
      <c r="K305" s="15">
        <v>0</v>
      </c>
      <c r="L305" s="15">
        <v>4</v>
      </c>
      <c r="M305" s="15">
        <v>0</v>
      </c>
      <c r="N305" s="15">
        <v>1</v>
      </c>
      <c r="O305" s="15">
        <v>0</v>
      </c>
      <c r="P305" s="15"/>
      <c r="Q305" s="15"/>
    </row>
    <row r="306" spans="1:17">
      <c r="A306" s="8"/>
      <c r="B306" s="15">
        <v>3701</v>
      </c>
      <c r="C306" s="15">
        <v>486</v>
      </c>
      <c r="D306" s="15">
        <v>27</v>
      </c>
      <c r="E306" s="15">
        <v>0</v>
      </c>
      <c r="F306" s="14" t="str">
        <f>VLOOKUP(C306,skill_list!B:C,2)</f>
        <v>聖女の守護</v>
      </c>
      <c r="G306" s="11"/>
      <c r="H306" s="15">
        <v>2</v>
      </c>
      <c r="I306" s="15">
        <v>3</v>
      </c>
      <c r="J306" s="15">
        <v>160</v>
      </c>
      <c r="K306" s="15">
        <v>1</v>
      </c>
      <c r="L306" s="15">
        <v>7</v>
      </c>
      <c r="M306" s="15">
        <v>0</v>
      </c>
      <c r="N306" s="15">
        <v>0</v>
      </c>
      <c r="O306" s="15">
        <v>0</v>
      </c>
      <c r="P306" s="15"/>
      <c r="Q306" s="15"/>
    </row>
    <row r="307" spans="1:17">
      <c r="A307" s="8"/>
      <c r="B307" s="15">
        <v>4001</v>
      </c>
      <c r="C307" s="15">
        <v>469</v>
      </c>
      <c r="D307" s="15">
        <v>30</v>
      </c>
      <c r="E307" s="15">
        <v>0</v>
      </c>
      <c r="F307" s="14" t="str">
        <f>VLOOKUP(C307,skill_list!B:C,2)</f>
        <v>ひらり落桜</v>
      </c>
      <c r="G307" s="11"/>
      <c r="H307" s="15">
        <v>0</v>
      </c>
      <c r="I307" s="15">
        <v>0</v>
      </c>
      <c r="J307" s="15">
        <v>0</v>
      </c>
      <c r="K307" s="15">
        <v>1</v>
      </c>
      <c r="L307" s="15">
        <v>7</v>
      </c>
      <c r="M307" s="15">
        <v>0</v>
      </c>
      <c r="N307" s="15">
        <v>0</v>
      </c>
      <c r="O307" s="15">
        <v>0</v>
      </c>
      <c r="P307" s="15"/>
      <c r="Q307" s="15"/>
    </row>
  </sheetData>
  <autoFilter ref="B6:Q307" xr:uid="{401BDCFC-C7C7-426C-A276-7FBF75833C9C}"/>
  <phoneticPr fontId="1"/>
  <dataValidations count="1">
    <dataValidation type="list" allowBlank="1" showInputMessage="1" showErrorMessage="1" sqref="A7:A307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J26" sqref="J2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1666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1667</v>
      </c>
    </row>
    <row r="8" spans="1:6">
      <c r="A8" s="8"/>
      <c r="B8" s="15">
        <v>1</v>
      </c>
      <c r="C8" s="15">
        <v>5</v>
      </c>
      <c r="D8" s="15">
        <v>0</v>
      </c>
      <c r="F8" t="s">
        <v>1668</v>
      </c>
    </row>
    <row r="9" spans="1:6">
      <c r="A9" s="8"/>
      <c r="B9" s="15">
        <v>2</v>
      </c>
      <c r="C9" s="15">
        <v>5</v>
      </c>
      <c r="D9" s="15">
        <v>0</v>
      </c>
      <c r="F9" t="s">
        <v>1669</v>
      </c>
    </row>
    <row r="10" spans="1:6">
      <c r="A10" s="8"/>
      <c r="B10" s="15">
        <v>3</v>
      </c>
      <c r="C10" s="15">
        <v>5</v>
      </c>
      <c r="D10" s="15">
        <v>6</v>
      </c>
      <c r="F10" t="s">
        <v>1670</v>
      </c>
    </row>
    <row r="11" spans="1:6">
      <c r="A11" s="8"/>
      <c r="B11" s="15">
        <v>4</v>
      </c>
      <c r="C11" s="15">
        <v>5</v>
      </c>
      <c r="D11" s="15">
        <v>6</v>
      </c>
      <c r="F11" t="s">
        <v>1671</v>
      </c>
    </row>
    <row r="12" spans="1:6">
      <c r="A12" s="8"/>
      <c r="B12" s="15">
        <v>5</v>
      </c>
      <c r="C12" s="15">
        <v>6</v>
      </c>
      <c r="D12" s="15">
        <v>5</v>
      </c>
      <c r="F12" t="s">
        <v>1672</v>
      </c>
    </row>
    <row r="13" spans="1:6">
      <c r="A13" s="8"/>
      <c r="B13" s="15">
        <v>6</v>
      </c>
      <c r="C13" s="15">
        <v>5</v>
      </c>
      <c r="D13" s="15">
        <v>0</v>
      </c>
      <c r="F13" t="s">
        <v>1673</v>
      </c>
    </row>
    <row r="14" spans="1:6">
      <c r="A14" s="8"/>
      <c r="B14" s="15">
        <v>7</v>
      </c>
      <c r="C14" s="15">
        <v>5</v>
      </c>
      <c r="D14" s="15">
        <v>0</v>
      </c>
      <c r="F14" t="s">
        <v>1674</v>
      </c>
    </row>
    <row r="15" spans="1:6">
      <c r="A15" s="8"/>
      <c r="B15" s="15">
        <v>8</v>
      </c>
      <c r="C15" s="15">
        <v>5</v>
      </c>
      <c r="D15" s="15">
        <v>0</v>
      </c>
      <c r="F15" t="s">
        <v>1675</v>
      </c>
    </row>
    <row r="16" spans="1:6">
      <c r="A16" s="8"/>
      <c r="B16" s="15">
        <v>9</v>
      </c>
      <c r="C16" s="15">
        <v>0</v>
      </c>
      <c r="D16" s="15">
        <v>0</v>
      </c>
      <c r="F16" t="s">
        <v>1676</v>
      </c>
    </row>
    <row r="17" spans="1:6">
      <c r="A17" s="8"/>
      <c r="B17" s="15">
        <v>10</v>
      </c>
      <c r="C17" s="15">
        <v>5</v>
      </c>
      <c r="D17" s="15">
        <v>0</v>
      </c>
      <c r="F17" t="s">
        <v>1677</v>
      </c>
    </row>
    <row r="18" spans="1:6">
      <c r="A18" s="8"/>
      <c r="B18" s="15">
        <v>11</v>
      </c>
      <c r="C18" s="15">
        <v>0</v>
      </c>
      <c r="D18" s="15">
        <v>0</v>
      </c>
      <c r="F18" t="s">
        <v>1678</v>
      </c>
    </row>
    <row r="19" spans="1:6">
      <c r="A19" s="8"/>
      <c r="B19" s="15">
        <v>12</v>
      </c>
      <c r="C19" s="15">
        <v>0</v>
      </c>
      <c r="D19" s="15">
        <v>0</v>
      </c>
      <c r="F19" t="s">
        <v>1679</v>
      </c>
    </row>
    <row r="20" spans="1:6">
      <c r="A20" s="8"/>
      <c r="B20" s="15">
        <v>13</v>
      </c>
      <c r="C20" s="15">
        <v>5</v>
      </c>
      <c r="D20" s="15">
        <v>0</v>
      </c>
      <c r="F20" t="s">
        <v>1790</v>
      </c>
    </row>
    <row r="21" spans="1:6">
      <c r="A21" s="8"/>
      <c r="B21" s="15">
        <v>14</v>
      </c>
      <c r="C21" s="15">
        <v>0</v>
      </c>
      <c r="D21" s="15">
        <v>0</v>
      </c>
      <c r="F21" t="s">
        <v>1680</v>
      </c>
    </row>
    <row r="22" spans="1:6">
      <c r="A22" s="8"/>
      <c r="B22" s="15">
        <v>15</v>
      </c>
      <c r="C22" s="15">
        <v>0</v>
      </c>
      <c r="D22" s="15">
        <v>0</v>
      </c>
      <c r="F22" t="s">
        <v>1681</v>
      </c>
    </row>
    <row r="23" spans="1:6">
      <c r="A23" s="8"/>
      <c r="B23" s="15">
        <v>16</v>
      </c>
      <c r="C23" s="15">
        <v>5</v>
      </c>
      <c r="D23" s="15">
        <v>0</v>
      </c>
      <c r="F23" t="s">
        <v>1682</v>
      </c>
    </row>
    <row r="24" spans="1:6">
      <c r="A24" s="8"/>
      <c r="B24" s="15">
        <v>17</v>
      </c>
      <c r="C24" s="15">
        <v>5</v>
      </c>
      <c r="D24" s="15">
        <v>0</v>
      </c>
      <c r="F24" t="s">
        <v>1683</v>
      </c>
    </row>
    <row r="25" spans="1:6">
      <c r="A25" s="8"/>
      <c r="B25" s="15">
        <v>18</v>
      </c>
      <c r="C25" s="15">
        <v>0</v>
      </c>
      <c r="D25" s="15">
        <v>0</v>
      </c>
      <c r="F25" t="s">
        <v>1684</v>
      </c>
    </row>
    <row r="26" spans="1:6">
      <c r="A26" s="8"/>
      <c r="B26" s="15">
        <v>19</v>
      </c>
      <c r="C26" s="15">
        <v>5</v>
      </c>
      <c r="D26" s="15">
        <v>6</v>
      </c>
      <c r="F26" t="s">
        <v>1685</v>
      </c>
    </row>
    <row r="27" spans="1:6">
      <c r="A27" s="8"/>
      <c r="B27" s="15">
        <v>20</v>
      </c>
      <c r="C27" s="15">
        <v>5</v>
      </c>
      <c r="D27" s="15">
        <v>6</v>
      </c>
      <c r="F27" t="s">
        <v>1686</v>
      </c>
    </row>
    <row r="28" spans="1:6">
      <c r="A28" s="8"/>
      <c r="B28" s="15">
        <v>21</v>
      </c>
      <c r="C28" s="15">
        <v>5</v>
      </c>
      <c r="D28" s="15">
        <v>6</v>
      </c>
      <c r="F28" t="s">
        <v>1687</v>
      </c>
    </row>
    <row r="29" spans="1:6">
      <c r="A29" s="8"/>
      <c r="B29" s="15">
        <v>22</v>
      </c>
      <c r="C29" s="15">
        <v>5</v>
      </c>
      <c r="D29" s="15">
        <v>6</v>
      </c>
      <c r="F29" t="s">
        <v>1688</v>
      </c>
    </row>
    <row r="30" spans="1:6">
      <c r="A30" s="8"/>
      <c r="B30" s="15">
        <v>23</v>
      </c>
      <c r="C30" s="15">
        <v>5</v>
      </c>
      <c r="D30" s="15">
        <v>6</v>
      </c>
      <c r="F30" t="s">
        <v>1791</v>
      </c>
    </row>
    <row r="31" spans="1:6">
      <c r="A31" s="8"/>
      <c r="B31" s="15">
        <v>24</v>
      </c>
      <c r="C31" s="15">
        <v>0</v>
      </c>
      <c r="D31" s="15">
        <v>0</v>
      </c>
      <c r="F31" t="s">
        <v>1808</v>
      </c>
    </row>
    <row r="32" spans="1:6">
      <c r="A32" s="8"/>
      <c r="B32" s="15">
        <v>25</v>
      </c>
      <c r="C32" s="15">
        <v>3</v>
      </c>
      <c r="D32" s="15">
        <v>4</v>
      </c>
      <c r="F32" t="s">
        <v>1824</v>
      </c>
    </row>
    <row r="33" spans="1:6">
      <c r="A33" s="8"/>
      <c r="B33" s="15">
        <v>26</v>
      </c>
      <c r="C33" s="15">
        <v>0</v>
      </c>
      <c r="D33" s="15">
        <v>0</v>
      </c>
      <c r="F33" t="s">
        <v>1825</v>
      </c>
    </row>
    <row r="34" spans="1:6">
      <c r="A34" s="8"/>
      <c r="B34" s="15">
        <v>27</v>
      </c>
      <c r="C34" s="15">
        <v>3</v>
      </c>
      <c r="D34" s="15">
        <v>4</v>
      </c>
      <c r="F34" t="s">
        <v>1873</v>
      </c>
    </row>
    <row r="35" spans="1:6">
      <c r="A35" s="8"/>
      <c r="B35" s="15">
        <v>28</v>
      </c>
      <c r="C35" s="15">
        <v>0</v>
      </c>
      <c r="D35" s="15">
        <v>0</v>
      </c>
      <c r="F35" t="s">
        <v>1874</v>
      </c>
    </row>
    <row r="36" spans="1:6">
      <c r="A36" s="8"/>
      <c r="B36" s="15">
        <v>29</v>
      </c>
      <c r="C36" s="15">
        <v>0</v>
      </c>
      <c r="D36" s="15">
        <v>0</v>
      </c>
      <c r="F36" t="s">
        <v>1875</v>
      </c>
    </row>
    <row r="37" spans="1:6">
      <c r="A37" s="8"/>
      <c r="B37" s="15">
        <v>30</v>
      </c>
      <c r="C37" s="15">
        <v>0</v>
      </c>
      <c r="D37" s="15">
        <v>0</v>
      </c>
      <c r="F37" t="s">
        <v>1876</v>
      </c>
    </row>
    <row r="38" spans="1:6">
      <c r="A38" s="8"/>
      <c r="B38" s="15">
        <v>31</v>
      </c>
      <c r="C38" s="15">
        <v>0</v>
      </c>
      <c r="D38" s="15">
        <v>0</v>
      </c>
      <c r="F38" t="s">
        <v>1877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4"/>
  <sheetViews>
    <sheetView tabSelected="1" zoomScale="85" zoomScaleNormal="85" workbookViewId="0">
      <pane ySplit="6" topLeftCell="A178" activePane="bottomLeft" state="frozen"/>
      <selection pane="bottomLeft" activeCell="I193" sqref="I193"/>
    </sheetView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2041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188</v>
      </c>
      <c r="J6" s="9" t="s">
        <v>188</v>
      </c>
      <c r="K6" s="9" t="s">
        <v>188</v>
      </c>
      <c r="L6" s="9" t="s">
        <v>188</v>
      </c>
      <c r="M6" s="9" t="s">
        <v>188</v>
      </c>
      <c r="N6" s="9" t="s">
        <v>188</v>
      </c>
      <c r="O6" s="9" t="s">
        <v>188</v>
      </c>
      <c r="P6" s="9" t="s">
        <v>188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419</v>
      </c>
      <c r="F7" s="11" t="s">
        <v>1312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  <c r="Q7" t="e">
        <f>VLOOKUP(VALUE(K7),ability!$B:$C,2,FALSE)</f>
        <v>#N/A</v>
      </c>
      <c r="R7" t="e">
        <f>VLOOKUP(VALUE(L7),ability!$B:$C,2,FALSE)</f>
        <v>#N/A</v>
      </c>
      <c r="S7" t="str">
        <f>VLOOKUP(VALUE(M7),ability!$B:$C,2,FALSE)</f>
        <v>堅忍</v>
      </c>
      <c r="T7" t="str">
        <f>VLOOKUP(VALUE(N7),ability!$B:$C,2,FALSE)</f>
        <v>勇猛</v>
      </c>
      <c r="U7" t="e">
        <f>VLOOKUP(VALUE(O7),ability!$B:$C,2,FALSE)</f>
        <v>#N/A</v>
      </c>
      <c r="V7" t="e">
        <f>VLOOKUP(VALUE(P7),ability!$B:$C,2,FALSE)</f>
        <v>#N/A</v>
      </c>
    </row>
    <row r="8" spans="1:22">
      <c r="A8" s="8"/>
      <c r="B8" s="15">
        <v>2</v>
      </c>
      <c r="C8" s="15">
        <v>1</v>
      </c>
      <c r="D8" s="15">
        <v>1</v>
      </c>
      <c r="E8" s="11" t="s">
        <v>420</v>
      </c>
      <c r="F8" s="11" t="s">
        <v>1313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  <c r="Q8" t="e">
        <f>VLOOKUP(VALUE(K8),ability!$B:$C,2,FALSE)</f>
        <v>#N/A</v>
      </c>
      <c r="R8" t="e">
        <f>VLOOKUP(VALUE(L8),ability!$B:$C,2,FALSE)</f>
        <v>#N/A</v>
      </c>
      <c r="S8" t="str">
        <f>VLOOKUP(VALUE(M8),ability!$B:$C,2,FALSE)</f>
        <v>閃光</v>
      </c>
      <c r="T8" t="str">
        <f>VLOOKUP(VALUE(N8),ability!$B:$C,2,FALSE)</f>
        <v>英雄の凱歌</v>
      </c>
      <c r="U8" t="e">
        <f>VLOOKUP(VALUE(O8),ability!$B:$C,2,FALSE)</f>
        <v>#N/A</v>
      </c>
      <c r="V8" t="e">
        <f>VLOOKUP(VALUE(P8),ability!$B:$C,2,FALSE)</f>
        <v>#N/A</v>
      </c>
    </row>
    <row r="9" spans="1:22">
      <c r="A9" s="8"/>
      <c r="B9" s="15">
        <v>3</v>
      </c>
      <c r="C9" s="15">
        <v>2</v>
      </c>
      <c r="D9" s="15">
        <v>1</v>
      </c>
      <c r="E9" s="11" t="s">
        <v>421</v>
      </c>
      <c r="F9" s="11" t="s">
        <v>620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  <c r="Q9" t="e">
        <f>VLOOKUP(VALUE(K9),ability!$B:$C,2,FALSE)</f>
        <v>#N/A</v>
      </c>
      <c r="R9" t="e">
        <f>VLOOKUP(VALUE(L9),ability!$B:$C,2,FALSE)</f>
        <v>#N/A</v>
      </c>
      <c r="S9" t="str">
        <f>VLOOKUP(VALUE(M9),ability!$B:$C,2,FALSE)</f>
        <v>閃光</v>
      </c>
      <c r="T9" t="str">
        <f>VLOOKUP(VALUE(N9),ability!$B:$C,2,FALSE)</f>
        <v>決心</v>
      </c>
      <c r="U9" t="e">
        <f>VLOOKUP(VALUE(O9),ability!$B:$C,2,FALSE)</f>
        <v>#N/A</v>
      </c>
      <c r="V9" t="e">
        <f>VLOOKUP(VALUE(P9),ability!$B:$C,2,FALSE)</f>
        <v>#N/A</v>
      </c>
    </row>
    <row r="10" spans="1:22">
      <c r="A10" s="8"/>
      <c r="B10" s="15">
        <v>4</v>
      </c>
      <c r="C10" s="15">
        <v>3</v>
      </c>
      <c r="D10" s="15">
        <v>1</v>
      </c>
      <c r="E10" s="11" t="s">
        <v>422</v>
      </c>
      <c r="F10" s="11" t="s">
        <v>621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  <c r="Q10" t="e">
        <f>VLOOKUP(VALUE(K10),ability!$B:$C,2,FALSE)</f>
        <v>#N/A</v>
      </c>
      <c r="R10" t="e">
        <f>VLOOKUP(VALUE(L10),ability!$B:$C,2,FALSE)</f>
        <v>#N/A</v>
      </c>
      <c r="S10" t="str">
        <f>VLOOKUP(VALUE(M10),ability!$B:$C,2,FALSE)</f>
        <v>閃光</v>
      </c>
      <c r="T10" t="str">
        <f>VLOOKUP(VALUE(N10),ability!$B:$C,2,FALSE)</f>
        <v>威嚇の叫び</v>
      </c>
      <c r="U10" t="e">
        <f>VLOOKUP(VALUE(O10),ability!$B:$C,2,FALSE)</f>
        <v>#N/A</v>
      </c>
      <c r="V10" t="e">
        <f>VLOOKUP(VALUE(P10),ability!$B:$C,2,FALSE)</f>
        <v>#N/A</v>
      </c>
    </row>
    <row r="11" spans="1:22">
      <c r="A11" s="8"/>
      <c r="B11" s="15">
        <v>5</v>
      </c>
      <c r="C11" s="15">
        <v>4</v>
      </c>
      <c r="D11" s="15">
        <v>1</v>
      </c>
      <c r="E11" s="11" t="s">
        <v>423</v>
      </c>
      <c r="F11" s="11" t="s">
        <v>622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  <c r="Q11" t="e">
        <f>VLOOKUP(VALUE(K11),ability!$B:$C,2,FALSE)</f>
        <v>#N/A</v>
      </c>
      <c r="R11" t="e">
        <f>VLOOKUP(VALUE(L11),ability!$B:$C,2,FALSE)</f>
        <v>#N/A</v>
      </c>
      <c r="S11" t="str">
        <f>VLOOKUP(VALUE(M11),ability!$B:$C,2,FALSE)</f>
        <v>閃光</v>
      </c>
      <c r="T11" t="str">
        <f>VLOOKUP(VALUE(N11),ability!$B:$C,2,FALSE)</f>
        <v>灼熱の陣</v>
      </c>
      <c r="U11" t="e">
        <f>VLOOKUP(VALUE(O11),ability!$B:$C,2,FALSE)</f>
        <v>#N/A</v>
      </c>
      <c r="V11" t="e">
        <f>VLOOKUP(VALUE(P11),ability!$B:$C,2,FALSE)</f>
        <v>#N/A</v>
      </c>
    </row>
    <row r="12" spans="1:22">
      <c r="A12" s="8"/>
      <c r="B12" s="15">
        <v>6</v>
      </c>
      <c r="C12" s="15">
        <v>5</v>
      </c>
      <c r="D12" s="15">
        <v>1</v>
      </c>
      <c r="E12" s="11" t="s">
        <v>424</v>
      </c>
      <c r="F12" s="11" t="s">
        <v>623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  <c r="Q12" t="e">
        <f>VLOOKUP(VALUE(K12),ability!$B:$C,2,FALSE)</f>
        <v>#N/A</v>
      </c>
      <c r="R12" t="e">
        <f>VLOOKUP(VALUE(L12),ability!$B:$C,2,FALSE)</f>
        <v>#N/A</v>
      </c>
      <c r="S12" t="str">
        <f>VLOOKUP(VALUE(M12),ability!$B:$C,2,FALSE)</f>
        <v>閃光</v>
      </c>
      <c r="T12" t="str">
        <f>VLOOKUP(VALUE(N12),ability!$B:$C,2,FALSE)</f>
        <v>狂乱の型</v>
      </c>
      <c r="U12" t="e">
        <f>VLOOKUP(VALUE(O12),ability!$B:$C,2,FALSE)</f>
        <v>#N/A</v>
      </c>
      <c r="V12" t="e">
        <f>VLOOKUP(VALUE(P12),ability!$B:$C,2,FALSE)</f>
        <v>#N/A</v>
      </c>
    </row>
    <row r="13" spans="1:22">
      <c r="A13" s="8"/>
      <c r="B13" s="15">
        <v>7</v>
      </c>
      <c r="C13" s="15">
        <v>6</v>
      </c>
      <c r="D13" s="15">
        <v>1</v>
      </c>
      <c r="E13" s="11" t="s">
        <v>425</v>
      </c>
      <c r="F13" s="11" t="s">
        <v>624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  <c r="Q13" t="e">
        <f>VLOOKUP(VALUE(K13),ability!$B:$C,2,FALSE)</f>
        <v>#N/A</v>
      </c>
      <c r="R13" t="e">
        <f>VLOOKUP(VALUE(L13),ability!$B:$C,2,FALSE)</f>
        <v>#N/A</v>
      </c>
      <c r="S13" t="str">
        <f>VLOOKUP(VALUE(M13),ability!$B:$C,2,FALSE)</f>
        <v>閃光</v>
      </c>
      <c r="T13" t="str">
        <f>VLOOKUP(VALUE(N13),ability!$B:$C,2,FALSE)</f>
        <v>博愛の心</v>
      </c>
      <c r="U13" t="e">
        <f>VLOOKUP(VALUE(O13),ability!$B:$C,2,FALSE)</f>
        <v>#N/A</v>
      </c>
      <c r="V13" t="e">
        <f>VLOOKUP(VALUE(P13),ability!$B:$C,2,FALSE)</f>
        <v>#N/A</v>
      </c>
    </row>
    <row r="14" spans="1:22">
      <c r="A14" s="8"/>
      <c r="B14" s="15">
        <v>8</v>
      </c>
      <c r="C14" s="15">
        <v>10</v>
      </c>
      <c r="D14" s="15">
        <v>1</v>
      </c>
      <c r="E14" s="11" t="s">
        <v>426</v>
      </c>
      <c r="F14" s="11" t="s">
        <v>625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  <c r="Q14" t="e">
        <f>VLOOKUP(VALUE(K14),ability!$B:$C,2,FALSE)</f>
        <v>#N/A</v>
      </c>
      <c r="R14" t="e">
        <f>VLOOKUP(VALUE(L14),ability!$B:$C,2,FALSE)</f>
        <v>#N/A</v>
      </c>
      <c r="S14" t="str">
        <f>VLOOKUP(VALUE(M14),ability!$B:$C,2,FALSE)</f>
        <v>閃光</v>
      </c>
      <c r="T14" t="str">
        <f>VLOOKUP(VALUE(N14),ability!$B:$C,2,FALSE)</f>
        <v>向上心</v>
      </c>
      <c r="U14" t="e">
        <f>VLOOKUP(VALUE(O14),ability!$B:$C,2,FALSE)</f>
        <v>#N/A</v>
      </c>
      <c r="V14" t="e">
        <f>VLOOKUP(VALUE(P14),ability!$B:$C,2,FALSE)</f>
        <v>#N/A</v>
      </c>
    </row>
    <row r="15" spans="1:22">
      <c r="A15" s="8"/>
      <c r="B15" s="15">
        <v>9</v>
      </c>
      <c r="C15" s="15">
        <v>12</v>
      </c>
      <c r="D15" s="15">
        <v>1</v>
      </c>
      <c r="E15" s="11" t="s">
        <v>427</v>
      </c>
      <c r="F15" s="11" t="s">
        <v>626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  <c r="Q15" t="e">
        <f>VLOOKUP(VALUE(K15),ability!$B:$C,2,FALSE)</f>
        <v>#N/A</v>
      </c>
      <c r="R15" t="e">
        <f>VLOOKUP(VALUE(L15),ability!$B:$C,2,FALSE)</f>
        <v>#N/A</v>
      </c>
      <c r="S15" t="str">
        <f>VLOOKUP(VALUE(M15),ability!$B:$C,2,FALSE)</f>
        <v>閃光</v>
      </c>
      <c r="T15" t="str">
        <f>VLOOKUP(VALUE(N15),ability!$B:$C,2,FALSE)</f>
        <v>野生の勘</v>
      </c>
      <c r="U15" t="e">
        <f>VLOOKUP(VALUE(O15),ability!$B:$C,2,FALSE)</f>
        <v>#N/A</v>
      </c>
      <c r="V15" t="e">
        <f>VLOOKUP(VALUE(P15),ability!$B:$C,2,FALSE)</f>
        <v>#N/A</v>
      </c>
    </row>
    <row r="16" spans="1:22">
      <c r="A16" s="8"/>
      <c r="B16" s="15">
        <v>10</v>
      </c>
      <c r="C16" s="15">
        <v>14</v>
      </c>
      <c r="D16" s="15">
        <v>1</v>
      </c>
      <c r="E16" s="11" t="s">
        <v>428</v>
      </c>
      <c r="F16" s="11" t="s">
        <v>627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  <c r="Q16" t="e">
        <f>VLOOKUP(VALUE(K16),ability!$B:$C,2,FALSE)</f>
        <v>#N/A</v>
      </c>
      <c r="R16" t="e">
        <f>VLOOKUP(VALUE(L16),ability!$B:$C,2,FALSE)</f>
        <v>#N/A</v>
      </c>
      <c r="S16" t="str">
        <f>VLOOKUP(VALUE(M16),ability!$B:$C,2,FALSE)</f>
        <v>閃光</v>
      </c>
      <c r="T16" t="str">
        <f>VLOOKUP(VALUE(N16),ability!$B:$C,2,FALSE)</f>
        <v>星空</v>
      </c>
      <c r="U16" t="e">
        <f>VLOOKUP(VALUE(O16),ability!$B:$C,2,FALSE)</f>
        <v>#N/A</v>
      </c>
      <c r="V16" t="e">
        <f>VLOOKUP(VALUE(P16),ability!$B:$C,2,FALSE)</f>
        <v>#N/A</v>
      </c>
    </row>
    <row r="17" spans="1:22">
      <c r="A17" s="8"/>
      <c r="B17" s="15">
        <v>11</v>
      </c>
      <c r="C17" s="15">
        <v>15</v>
      </c>
      <c r="D17" s="15">
        <v>1</v>
      </c>
      <c r="E17" s="11" t="s">
        <v>1314</v>
      </c>
      <c r="F17" s="11" t="s">
        <v>628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  <c r="Q17" t="e">
        <f>VLOOKUP(VALUE(K17),ability!$B:$C,2,FALSE)</f>
        <v>#N/A</v>
      </c>
      <c r="R17" t="e">
        <f>VLOOKUP(VALUE(L17),ability!$B:$C,2,FALSE)</f>
        <v>#N/A</v>
      </c>
      <c r="S17" t="str">
        <f>VLOOKUP(VALUE(M17),ability!$B:$C,2,FALSE)</f>
        <v>閃光</v>
      </c>
      <c r="T17" t="str">
        <f>VLOOKUP(VALUE(N17),ability!$B:$C,2,FALSE)</f>
        <v>決心</v>
      </c>
      <c r="U17" t="e">
        <f>VLOOKUP(VALUE(O17),ability!$B:$C,2,FALSE)</f>
        <v>#N/A</v>
      </c>
      <c r="V17" t="e">
        <f>VLOOKUP(VALUE(P17),ability!$B:$C,2,FALSE)</f>
        <v>#N/A</v>
      </c>
    </row>
    <row r="18" spans="1:22">
      <c r="A18" s="8"/>
      <c r="B18" s="15">
        <v>12</v>
      </c>
      <c r="C18" s="15">
        <v>16</v>
      </c>
      <c r="D18" s="15">
        <v>1</v>
      </c>
      <c r="E18" s="11" t="s">
        <v>1315</v>
      </c>
      <c r="F18" s="11" t="s">
        <v>629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  <c r="Q18" t="e">
        <f>VLOOKUP(VALUE(K18),ability!$B:$C,2,FALSE)</f>
        <v>#N/A</v>
      </c>
      <c r="R18" t="e">
        <f>VLOOKUP(VALUE(L18),ability!$B:$C,2,FALSE)</f>
        <v>#N/A</v>
      </c>
      <c r="S18" t="str">
        <f>VLOOKUP(VALUE(M18),ability!$B:$C,2,FALSE)</f>
        <v>閃光</v>
      </c>
      <c r="T18" t="str">
        <f>VLOOKUP(VALUE(N18),ability!$B:$C,2,FALSE)</f>
        <v>野生の勘</v>
      </c>
      <c r="U18" t="e">
        <f>VLOOKUP(VALUE(O18),ability!$B:$C,2,FALSE)</f>
        <v>#N/A</v>
      </c>
      <c r="V18" t="e">
        <f>VLOOKUP(VALUE(P18),ability!$B:$C,2,FALSE)</f>
        <v>#N/A</v>
      </c>
    </row>
    <row r="19" spans="1:22">
      <c r="A19" s="8"/>
      <c r="B19" s="15">
        <v>13</v>
      </c>
      <c r="C19" s="15">
        <v>46</v>
      </c>
      <c r="D19" s="15">
        <v>1</v>
      </c>
      <c r="E19" s="11" t="s">
        <v>429</v>
      </c>
      <c r="F19" s="11" t="s">
        <v>630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  <c r="Q19" t="e">
        <f>VLOOKUP(VALUE(K19),ability!$B:$C,2,FALSE)</f>
        <v>#N/A</v>
      </c>
      <c r="R19" t="e">
        <f>VLOOKUP(VALUE(L19),ability!$B:$C,2,FALSE)</f>
        <v>#N/A</v>
      </c>
      <c r="S19" t="str">
        <f>VLOOKUP(VALUE(M19),ability!$B:$C,2,FALSE)</f>
        <v>閃光</v>
      </c>
      <c r="T19" t="str">
        <f>VLOOKUP(VALUE(N19),ability!$B:$C,2,FALSE)</f>
        <v>博愛の心</v>
      </c>
      <c r="U19" t="e">
        <f>VLOOKUP(VALUE(O19),ability!$B:$C,2,FALSE)</f>
        <v>#N/A</v>
      </c>
      <c r="V19" t="e">
        <f>VLOOKUP(VALUE(P19),ability!$B:$C,2,FALSE)</f>
        <v>#N/A</v>
      </c>
    </row>
    <row r="20" spans="1:22">
      <c r="A20" s="8"/>
      <c r="B20" s="15">
        <v>14</v>
      </c>
      <c r="C20" s="15">
        <v>18</v>
      </c>
      <c r="D20" s="15">
        <v>1</v>
      </c>
      <c r="E20" s="11" t="s">
        <v>430</v>
      </c>
      <c r="F20" s="11" t="s">
        <v>631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  <c r="Q20" t="e">
        <f>VLOOKUP(VALUE(K20),ability!$B:$C,2,FALSE)</f>
        <v>#N/A</v>
      </c>
      <c r="R20" t="e">
        <f>VLOOKUP(VALUE(L20),ability!$B:$C,2,FALSE)</f>
        <v>#N/A</v>
      </c>
      <c r="S20" t="str">
        <f>VLOOKUP(VALUE(M20),ability!$B:$C,2,FALSE)</f>
        <v>閃光</v>
      </c>
      <c r="T20" t="str">
        <f>VLOOKUP(VALUE(N20),ability!$B:$C,2,FALSE)</f>
        <v>凍れる陣</v>
      </c>
      <c r="U20" t="e">
        <f>VLOOKUP(VALUE(O20),ability!$B:$C,2,FALSE)</f>
        <v>#N/A</v>
      </c>
      <c r="V20" t="e">
        <f>VLOOKUP(VALUE(P20),ability!$B:$C,2,FALSE)</f>
        <v>#N/A</v>
      </c>
    </row>
    <row r="21" spans="1:22">
      <c r="A21" s="8"/>
      <c r="B21" s="15">
        <v>15</v>
      </c>
      <c r="C21" s="15">
        <v>13</v>
      </c>
      <c r="D21" s="15">
        <v>1</v>
      </c>
      <c r="E21" s="11" t="s">
        <v>431</v>
      </c>
      <c r="F21" s="11" t="s">
        <v>632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  <c r="Q21" t="e">
        <f>VLOOKUP(VALUE(K21),ability!$B:$C,2,FALSE)</f>
        <v>#N/A</v>
      </c>
      <c r="R21" t="e">
        <f>VLOOKUP(VALUE(L21),ability!$B:$C,2,FALSE)</f>
        <v>#N/A</v>
      </c>
      <c r="S21" t="str">
        <f>VLOOKUP(VALUE(M21),ability!$B:$C,2,FALSE)</f>
        <v>閃光</v>
      </c>
      <c r="T21" t="str">
        <f>VLOOKUP(VALUE(N21),ability!$B:$C,2,FALSE)</f>
        <v>向上心</v>
      </c>
      <c r="U21" t="e">
        <f>VLOOKUP(VALUE(O21),ability!$B:$C,2,FALSE)</f>
        <v>#N/A</v>
      </c>
      <c r="V21" t="e">
        <f>VLOOKUP(VALUE(P21),ability!$B:$C,2,FALSE)</f>
        <v>#N/A</v>
      </c>
    </row>
    <row r="22" spans="1:22">
      <c r="A22" s="8"/>
      <c r="B22" s="15">
        <v>16</v>
      </c>
      <c r="C22" s="15">
        <v>3</v>
      </c>
      <c r="D22" s="15">
        <v>1</v>
      </c>
      <c r="E22" s="11" t="s">
        <v>1316</v>
      </c>
      <c r="F22" s="11" t="s">
        <v>633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  <c r="Q22" t="e">
        <f>VLOOKUP(VALUE(K22),ability!$B:$C,2,FALSE)</f>
        <v>#N/A</v>
      </c>
      <c r="R22" t="e">
        <f>VLOOKUP(VALUE(L22),ability!$B:$C,2,FALSE)</f>
        <v>#N/A</v>
      </c>
      <c r="S22" t="str">
        <f>VLOOKUP(VALUE(M22),ability!$B:$C,2,FALSE)</f>
        <v>閃光</v>
      </c>
      <c r="T22" t="str">
        <f>VLOOKUP(VALUE(N22),ability!$B:$C,2,FALSE)</f>
        <v>野生の勘</v>
      </c>
      <c r="U22" t="e">
        <f>VLOOKUP(VALUE(O22),ability!$B:$C,2,FALSE)</f>
        <v>#N/A</v>
      </c>
      <c r="V22" t="e">
        <f>VLOOKUP(VALUE(P22),ability!$B:$C,2,FALSE)</f>
        <v>#N/A</v>
      </c>
    </row>
    <row r="23" spans="1:22">
      <c r="A23" s="8"/>
      <c r="B23" s="15">
        <v>17</v>
      </c>
      <c r="C23" s="15">
        <v>44</v>
      </c>
      <c r="D23" s="15">
        <v>1</v>
      </c>
      <c r="E23" s="11" t="s">
        <v>432</v>
      </c>
      <c r="F23" s="11" t="s">
        <v>634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  <c r="Q23" t="e">
        <f>VLOOKUP(VALUE(K23),ability!$B:$C,2,FALSE)</f>
        <v>#N/A</v>
      </c>
      <c r="R23" t="e">
        <f>VLOOKUP(VALUE(L23),ability!$B:$C,2,FALSE)</f>
        <v>#N/A</v>
      </c>
      <c r="S23" t="str">
        <f>VLOOKUP(VALUE(M23),ability!$B:$C,2,FALSE)</f>
        <v>閃光</v>
      </c>
      <c r="T23" t="str">
        <f>VLOOKUP(VALUE(N23),ability!$B:$C,2,FALSE)</f>
        <v>高揚</v>
      </c>
      <c r="U23" t="e">
        <f>VLOOKUP(VALUE(O23),ability!$B:$C,2,FALSE)</f>
        <v>#N/A</v>
      </c>
      <c r="V23" t="e">
        <f>VLOOKUP(VALUE(P23),ability!$B:$C,2,FALSE)</f>
        <v>#N/A</v>
      </c>
    </row>
    <row r="24" spans="1:22">
      <c r="A24" s="8"/>
      <c r="B24" s="15">
        <v>18</v>
      </c>
      <c r="C24" s="15">
        <v>8</v>
      </c>
      <c r="D24" s="15">
        <v>1</v>
      </c>
      <c r="E24" s="11" t="s">
        <v>433</v>
      </c>
      <c r="F24" s="11" t="s">
        <v>635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  <c r="Q24" t="e">
        <f>VLOOKUP(VALUE(K24),ability!$B:$C,2,FALSE)</f>
        <v>#N/A</v>
      </c>
      <c r="R24" t="e">
        <f>VLOOKUP(VALUE(L24),ability!$B:$C,2,FALSE)</f>
        <v>#N/A</v>
      </c>
      <c r="S24" t="str">
        <f>VLOOKUP(VALUE(M24),ability!$B:$C,2,FALSE)</f>
        <v>閃光</v>
      </c>
      <c r="T24" t="str">
        <f>VLOOKUP(VALUE(N24),ability!$B:$C,2,FALSE)</f>
        <v>雷鳴の陣</v>
      </c>
      <c r="U24" t="e">
        <f>VLOOKUP(VALUE(O24),ability!$B:$C,2,FALSE)</f>
        <v>#N/A</v>
      </c>
      <c r="V24" t="e">
        <f>VLOOKUP(VALUE(P24),ability!$B:$C,2,FALSE)</f>
        <v>#N/A</v>
      </c>
    </row>
    <row r="25" spans="1:22">
      <c r="A25" s="8"/>
      <c r="B25" s="15">
        <v>19</v>
      </c>
      <c r="C25" s="15">
        <v>9</v>
      </c>
      <c r="D25" s="15">
        <v>1</v>
      </c>
      <c r="E25" s="11" t="s">
        <v>434</v>
      </c>
      <c r="F25" s="11" t="s">
        <v>636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  <c r="Q25" t="e">
        <f>VLOOKUP(VALUE(K25),ability!$B:$C,2,FALSE)</f>
        <v>#N/A</v>
      </c>
      <c r="R25" t="e">
        <f>VLOOKUP(VALUE(L25),ability!$B:$C,2,FALSE)</f>
        <v>#N/A</v>
      </c>
      <c r="S25" t="str">
        <f>VLOOKUP(VALUE(M25),ability!$B:$C,2,FALSE)</f>
        <v>閃光</v>
      </c>
      <c r="T25" t="str">
        <f>VLOOKUP(VALUE(N25),ability!$B:$C,2,FALSE)</f>
        <v>野生の勘</v>
      </c>
      <c r="U25" t="e">
        <f>VLOOKUP(VALUE(O25),ability!$B:$C,2,FALSE)</f>
        <v>#N/A</v>
      </c>
      <c r="V25" t="e">
        <f>VLOOKUP(VALUE(P25),ability!$B:$C,2,FALSE)</f>
        <v>#N/A</v>
      </c>
    </row>
    <row r="26" spans="1:22">
      <c r="A26" s="8"/>
      <c r="B26" s="15">
        <v>20</v>
      </c>
      <c r="C26" s="15">
        <v>6</v>
      </c>
      <c r="D26" s="15">
        <v>1</v>
      </c>
      <c r="E26" s="11" t="s">
        <v>435</v>
      </c>
      <c r="F26" s="11" t="s">
        <v>637</v>
      </c>
      <c r="G26" s="15">
        <v>4</v>
      </c>
      <c r="H26" s="15">
        <v>1</v>
      </c>
      <c r="I26" s="15"/>
      <c r="J26" s="15">
        <v>2</v>
      </c>
      <c r="K26" s="15">
        <v>401</v>
      </c>
      <c r="L26" s="15"/>
      <c r="M26" s="15">
        <v>1101</v>
      </c>
      <c r="N26" s="15">
        <v>207</v>
      </c>
      <c r="O26" s="15"/>
      <c r="P26" s="15"/>
      <c r="Q26" t="str">
        <f>VLOOKUP(VALUE(K26),ability!$B:$C,2,FALSE)</f>
        <v>火の波動</v>
      </c>
      <c r="R26" t="e">
        <f>VLOOKUP(VALUE(L26),ability!$B:$C,2,FALSE)</f>
        <v>#N/A</v>
      </c>
      <c r="S26" t="str">
        <f>VLOOKUP(VALUE(M26),ability!$B:$C,2,FALSE)</f>
        <v>閃光</v>
      </c>
      <c r="T26" t="str">
        <f>VLOOKUP(VALUE(N26),ability!$B:$C,2,FALSE)</f>
        <v>英雄の凱歌</v>
      </c>
      <c r="U26" t="e">
        <f>VLOOKUP(VALUE(O26),ability!$B:$C,2,FALSE)</f>
        <v>#N/A</v>
      </c>
      <c r="V26" t="e">
        <f>VLOOKUP(VALUE(P26),ability!$B:$C,2,FALSE)</f>
        <v>#N/A</v>
      </c>
    </row>
    <row r="27" spans="1:22">
      <c r="A27" s="8"/>
      <c r="B27" s="15">
        <v>21</v>
      </c>
      <c r="C27" s="15">
        <v>19</v>
      </c>
      <c r="D27" s="15">
        <v>1</v>
      </c>
      <c r="E27" s="11" t="s">
        <v>436</v>
      </c>
      <c r="F27" s="11" t="s">
        <v>638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  <c r="Q27" t="e">
        <f>VLOOKUP(VALUE(K27),ability!$B:$C,2,FALSE)</f>
        <v>#N/A</v>
      </c>
      <c r="R27" t="e">
        <f>VLOOKUP(VALUE(L27),ability!$B:$C,2,FALSE)</f>
        <v>#N/A</v>
      </c>
      <c r="S27" t="str">
        <f>VLOOKUP(VALUE(M27),ability!$B:$C,2,FALSE)</f>
        <v>閃光</v>
      </c>
      <c r="T27" t="str">
        <f>VLOOKUP(VALUE(N27),ability!$B:$C,2,FALSE)</f>
        <v>専心</v>
      </c>
      <c r="U27" t="e">
        <f>VLOOKUP(VALUE(O27),ability!$B:$C,2,FALSE)</f>
        <v>#N/A</v>
      </c>
      <c r="V27" t="e">
        <f>VLOOKUP(VALUE(P27),ability!$B:$C,2,FALSE)</f>
        <v>#N/A</v>
      </c>
    </row>
    <row r="28" spans="1:22">
      <c r="A28" s="8"/>
      <c r="B28" s="15">
        <v>22</v>
      </c>
      <c r="C28" s="15">
        <v>43</v>
      </c>
      <c r="D28" s="15">
        <v>1</v>
      </c>
      <c r="E28" s="11" t="s">
        <v>1317</v>
      </c>
      <c r="F28" s="11" t="s">
        <v>639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  <c r="Q28" t="e">
        <f>VLOOKUP(VALUE(K28),ability!$B:$C,2,FALSE)</f>
        <v>#N/A</v>
      </c>
      <c r="R28" t="e">
        <f>VLOOKUP(VALUE(L28),ability!$B:$C,2,FALSE)</f>
        <v>#N/A</v>
      </c>
      <c r="S28" t="str">
        <f>VLOOKUP(VALUE(M28),ability!$B:$C,2,FALSE)</f>
        <v>閃光</v>
      </c>
      <c r="T28" t="str">
        <f>VLOOKUP(VALUE(N28),ability!$B:$C,2,FALSE)</f>
        <v>英雄の凱歌</v>
      </c>
      <c r="U28" t="e">
        <f>VLOOKUP(VALUE(O28),ability!$B:$C,2,FALSE)</f>
        <v>#N/A</v>
      </c>
      <c r="V28" t="e">
        <f>VLOOKUP(VALUE(P28),ability!$B:$C,2,FALSE)</f>
        <v>#N/A</v>
      </c>
    </row>
    <row r="29" spans="1:22">
      <c r="A29" s="8"/>
      <c r="B29" s="15">
        <v>23</v>
      </c>
      <c r="C29" s="15">
        <v>1</v>
      </c>
      <c r="D29" s="15">
        <v>1</v>
      </c>
      <c r="E29" s="11" t="s">
        <v>437</v>
      </c>
      <c r="F29" s="11" t="s">
        <v>640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  <c r="Q29" t="e">
        <f>VLOOKUP(VALUE(K29),ability!$B:$C,2,FALSE)</f>
        <v>#N/A</v>
      </c>
      <c r="R29" t="e">
        <f>VLOOKUP(VALUE(L29),ability!$B:$C,2,FALSE)</f>
        <v>#N/A</v>
      </c>
      <c r="S29" t="str">
        <f>VLOOKUP(VALUE(M29),ability!$B:$C,2,FALSE)</f>
        <v>閃光</v>
      </c>
      <c r="T29" t="str">
        <f>VLOOKUP(VALUE(N29),ability!$B:$C,2,FALSE)</f>
        <v>星空</v>
      </c>
      <c r="U29" t="e">
        <f>VLOOKUP(VALUE(O29),ability!$B:$C,2,FALSE)</f>
        <v>#N/A</v>
      </c>
      <c r="V29" t="e">
        <f>VLOOKUP(VALUE(P29),ability!$B:$C,2,FALSE)</f>
        <v>#N/A</v>
      </c>
    </row>
    <row r="30" spans="1:22">
      <c r="A30" s="8"/>
      <c r="B30" s="15">
        <v>24</v>
      </c>
      <c r="C30" s="15">
        <v>48</v>
      </c>
      <c r="D30" s="15">
        <v>1</v>
      </c>
      <c r="E30" s="11" t="s">
        <v>1318</v>
      </c>
      <c r="F30" s="11" t="s">
        <v>641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  <c r="Q30" t="e">
        <f>VLOOKUP(VALUE(K30),ability!$B:$C,2,FALSE)</f>
        <v>#N/A</v>
      </c>
      <c r="R30" t="e">
        <f>VLOOKUP(VALUE(L30),ability!$B:$C,2,FALSE)</f>
        <v>#N/A</v>
      </c>
      <c r="S30" t="str">
        <f>VLOOKUP(VALUE(M30),ability!$B:$C,2,FALSE)</f>
        <v>閃光</v>
      </c>
      <c r="T30" t="str">
        <f>VLOOKUP(VALUE(N30),ability!$B:$C,2,FALSE)</f>
        <v>栄光の陣</v>
      </c>
      <c r="U30" t="e">
        <f>VLOOKUP(VALUE(O30),ability!$B:$C,2,FALSE)</f>
        <v>#N/A</v>
      </c>
      <c r="V30" t="e">
        <f>VLOOKUP(VALUE(P30),ability!$B:$C,2,FALSE)</f>
        <v>#N/A</v>
      </c>
    </row>
    <row r="31" spans="1:22">
      <c r="A31" s="8"/>
      <c r="B31" s="15">
        <v>25</v>
      </c>
      <c r="C31" s="15">
        <v>47</v>
      </c>
      <c r="D31" s="15">
        <v>1</v>
      </c>
      <c r="E31" s="11" t="s">
        <v>438</v>
      </c>
      <c r="F31" s="11" t="s">
        <v>642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  <c r="Q31" t="e">
        <f>VLOOKUP(VALUE(K31),ability!$B:$C,2,FALSE)</f>
        <v>#N/A</v>
      </c>
      <c r="R31" t="e">
        <f>VLOOKUP(VALUE(L31),ability!$B:$C,2,FALSE)</f>
        <v>#N/A</v>
      </c>
      <c r="S31" t="str">
        <f>VLOOKUP(VALUE(M31),ability!$B:$C,2,FALSE)</f>
        <v>閃光</v>
      </c>
      <c r="T31" t="str">
        <f>VLOOKUP(VALUE(N31),ability!$B:$C,2,FALSE)</f>
        <v>勇猛</v>
      </c>
      <c r="U31" t="e">
        <f>VLOOKUP(VALUE(O31),ability!$B:$C,2,FALSE)</f>
        <v>#N/A</v>
      </c>
      <c r="V31" t="e">
        <f>VLOOKUP(VALUE(P31),ability!$B:$C,2,FALSE)</f>
        <v>#N/A</v>
      </c>
    </row>
    <row r="32" spans="1:22">
      <c r="A32" s="8"/>
      <c r="B32" s="15">
        <v>26</v>
      </c>
      <c r="C32" s="15">
        <v>31</v>
      </c>
      <c r="D32" s="15">
        <v>1</v>
      </c>
      <c r="E32" s="11" t="s">
        <v>440</v>
      </c>
      <c r="F32" s="11" t="s">
        <v>643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  <c r="Q32" t="e">
        <f>VLOOKUP(VALUE(K32),ability!$B:$C,2,FALSE)</f>
        <v>#N/A</v>
      </c>
      <c r="R32" t="e">
        <f>VLOOKUP(VALUE(L32),ability!$B:$C,2,FALSE)</f>
        <v>#N/A</v>
      </c>
      <c r="S32" t="str">
        <f>VLOOKUP(VALUE(M32),ability!$B:$C,2,FALSE)</f>
        <v>閃光</v>
      </c>
      <c r="T32" t="str">
        <f>VLOOKUP(VALUE(N32),ability!$B:$C,2,FALSE)</f>
        <v>博愛の心</v>
      </c>
      <c r="U32" t="e">
        <f>VLOOKUP(VALUE(O32),ability!$B:$C,2,FALSE)</f>
        <v>#N/A</v>
      </c>
      <c r="V32" t="e">
        <f>VLOOKUP(VALUE(P32),ability!$B:$C,2,FALSE)</f>
        <v>#N/A</v>
      </c>
    </row>
    <row r="33" spans="1:22">
      <c r="A33" s="8"/>
      <c r="B33" s="15">
        <v>27</v>
      </c>
      <c r="C33" s="15">
        <v>32</v>
      </c>
      <c r="D33" s="15">
        <v>1</v>
      </c>
      <c r="E33" s="11" t="s">
        <v>439</v>
      </c>
      <c r="F33" s="11" t="s">
        <v>644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  <c r="Q33" t="e">
        <f>VLOOKUP(VALUE(K33),ability!$B:$C,2,FALSE)</f>
        <v>#N/A</v>
      </c>
      <c r="R33" t="e">
        <f>VLOOKUP(VALUE(L33),ability!$B:$C,2,FALSE)</f>
        <v>#N/A</v>
      </c>
      <c r="S33" t="str">
        <f>VLOOKUP(VALUE(M33),ability!$B:$C,2,FALSE)</f>
        <v>閃光</v>
      </c>
      <c r="T33" t="str">
        <f>VLOOKUP(VALUE(N33),ability!$B:$C,2,FALSE)</f>
        <v>壮烈</v>
      </c>
      <c r="U33" t="e">
        <f>VLOOKUP(VALUE(O33),ability!$B:$C,2,FALSE)</f>
        <v>#N/A</v>
      </c>
      <c r="V33" t="e">
        <f>VLOOKUP(VALUE(P33),ability!$B:$C,2,FALSE)</f>
        <v>#N/A</v>
      </c>
    </row>
    <row r="34" spans="1:22">
      <c r="A34" s="8"/>
      <c r="B34" s="15">
        <v>28</v>
      </c>
      <c r="C34" s="15">
        <v>5</v>
      </c>
      <c r="D34" s="15">
        <v>1</v>
      </c>
      <c r="E34" s="11" t="s">
        <v>441</v>
      </c>
      <c r="F34" s="11" t="s">
        <v>645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  <c r="Q34" t="e">
        <f>VLOOKUP(VALUE(K34),ability!$B:$C,2,FALSE)</f>
        <v>#N/A</v>
      </c>
      <c r="R34" t="e">
        <f>VLOOKUP(VALUE(L34),ability!$B:$C,2,FALSE)</f>
        <v>#N/A</v>
      </c>
      <c r="S34" t="str">
        <f>VLOOKUP(VALUE(M34),ability!$B:$C,2,FALSE)</f>
        <v>閃光</v>
      </c>
      <c r="T34" t="str">
        <f>VLOOKUP(VALUE(N34),ability!$B:$C,2,FALSE)</f>
        <v>技巧</v>
      </c>
      <c r="U34" t="e">
        <f>VLOOKUP(VALUE(O34),ability!$B:$C,2,FALSE)</f>
        <v>#N/A</v>
      </c>
      <c r="V34" t="e">
        <f>VLOOKUP(VALUE(P34),ability!$B:$C,2,FALSE)</f>
        <v>#N/A</v>
      </c>
    </row>
    <row r="35" spans="1:22">
      <c r="A35" s="8"/>
      <c r="B35" s="15">
        <v>29</v>
      </c>
      <c r="C35" s="15">
        <v>11</v>
      </c>
      <c r="D35" s="15">
        <v>1</v>
      </c>
      <c r="E35" s="11" t="s">
        <v>442</v>
      </c>
      <c r="F35" s="11" t="s">
        <v>646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  <c r="Q35" t="e">
        <f>VLOOKUP(VALUE(K35),ability!$B:$C,2,FALSE)</f>
        <v>#N/A</v>
      </c>
      <c r="R35" t="e">
        <f>VLOOKUP(VALUE(L35),ability!$B:$C,2,FALSE)</f>
        <v>#N/A</v>
      </c>
      <c r="S35" t="str">
        <f>VLOOKUP(VALUE(M35),ability!$B:$C,2,FALSE)</f>
        <v>閃光</v>
      </c>
      <c r="T35" t="str">
        <f>VLOOKUP(VALUE(N35),ability!$B:$C,2,FALSE)</f>
        <v>威嚇の叫び</v>
      </c>
      <c r="U35" t="e">
        <f>VLOOKUP(VALUE(O35),ability!$B:$C,2,FALSE)</f>
        <v>#N/A</v>
      </c>
      <c r="V35" t="e">
        <f>VLOOKUP(VALUE(P35),ability!$B:$C,2,FALSE)</f>
        <v>#N/A</v>
      </c>
    </row>
    <row r="36" spans="1:22">
      <c r="A36" s="8"/>
      <c r="B36" s="15">
        <v>30</v>
      </c>
      <c r="C36" s="15">
        <v>17</v>
      </c>
      <c r="D36" s="15">
        <v>1</v>
      </c>
      <c r="E36" s="11" t="s">
        <v>443</v>
      </c>
      <c r="F36" s="11" t="s">
        <v>647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  <c r="Q36" t="e">
        <f>VLOOKUP(VALUE(K36),ability!$B:$C,2,FALSE)</f>
        <v>#N/A</v>
      </c>
      <c r="R36" t="e">
        <f>VLOOKUP(VALUE(L36),ability!$B:$C,2,FALSE)</f>
        <v>#N/A</v>
      </c>
      <c r="S36" t="str">
        <f>VLOOKUP(VALUE(M36),ability!$B:$C,2,FALSE)</f>
        <v>閃光</v>
      </c>
      <c r="T36" t="str">
        <f>VLOOKUP(VALUE(N36),ability!$B:$C,2,FALSE)</f>
        <v>壮烈</v>
      </c>
      <c r="U36" t="e">
        <f>VLOOKUP(VALUE(O36),ability!$B:$C,2,FALSE)</f>
        <v>#N/A</v>
      </c>
      <c r="V36" t="e">
        <f>VLOOKUP(VALUE(P36),ability!$B:$C,2,FALSE)</f>
        <v>#N/A</v>
      </c>
    </row>
    <row r="37" spans="1:22">
      <c r="A37" s="8"/>
      <c r="B37" s="15">
        <v>31</v>
      </c>
      <c r="C37" s="15">
        <v>25</v>
      </c>
      <c r="D37" s="15">
        <v>1</v>
      </c>
      <c r="E37" s="11" t="s">
        <v>444</v>
      </c>
      <c r="F37" s="11" t="s">
        <v>648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  <c r="Q37" t="e">
        <f>VLOOKUP(VALUE(K37),ability!$B:$C,2,FALSE)</f>
        <v>#N/A</v>
      </c>
      <c r="R37" t="e">
        <f>VLOOKUP(VALUE(L37),ability!$B:$C,2,FALSE)</f>
        <v>#N/A</v>
      </c>
      <c r="S37" t="str">
        <f>VLOOKUP(VALUE(M37),ability!$B:$C,2,FALSE)</f>
        <v>閃光</v>
      </c>
      <c r="T37" t="str">
        <f>VLOOKUP(VALUE(N37),ability!$B:$C,2,FALSE)</f>
        <v>賢守</v>
      </c>
      <c r="U37" t="e">
        <f>VLOOKUP(VALUE(O37),ability!$B:$C,2,FALSE)</f>
        <v>#N/A</v>
      </c>
      <c r="V37" t="e">
        <f>VLOOKUP(VALUE(P37),ability!$B:$C,2,FALSE)</f>
        <v>#N/A</v>
      </c>
    </row>
    <row r="38" spans="1:22">
      <c r="A38" s="8"/>
      <c r="B38" s="15">
        <v>32</v>
      </c>
      <c r="C38" s="15">
        <v>29</v>
      </c>
      <c r="D38" s="15">
        <v>1</v>
      </c>
      <c r="E38" s="11" t="s">
        <v>445</v>
      </c>
      <c r="F38" s="11" t="s">
        <v>649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  <c r="Q38" t="e">
        <f>VLOOKUP(VALUE(K38),ability!$B:$C,2,FALSE)</f>
        <v>#N/A</v>
      </c>
      <c r="R38" t="e">
        <f>VLOOKUP(VALUE(L38),ability!$B:$C,2,FALSE)</f>
        <v>#N/A</v>
      </c>
      <c r="S38" t="str">
        <f>VLOOKUP(VALUE(M38),ability!$B:$C,2,FALSE)</f>
        <v>閃光</v>
      </c>
      <c r="T38" t="str">
        <f>VLOOKUP(VALUE(N38),ability!$B:$C,2,FALSE)</f>
        <v>弱化</v>
      </c>
      <c r="U38" t="e">
        <f>VLOOKUP(VALUE(O38),ability!$B:$C,2,FALSE)</f>
        <v>#N/A</v>
      </c>
      <c r="V38" t="e">
        <f>VLOOKUP(VALUE(P38),ability!$B:$C,2,FALSE)</f>
        <v>#N/A</v>
      </c>
    </row>
    <row r="39" spans="1:22">
      <c r="A39" s="8"/>
      <c r="B39" s="15">
        <v>33</v>
      </c>
      <c r="C39" s="15">
        <v>2</v>
      </c>
      <c r="D39" s="15">
        <v>1</v>
      </c>
      <c r="E39" s="11" t="s">
        <v>447</v>
      </c>
      <c r="F39" s="11" t="s">
        <v>650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  <c r="Q39" t="e">
        <f>VLOOKUP(VALUE(K39),ability!$B:$C,2,FALSE)</f>
        <v>#N/A</v>
      </c>
      <c r="R39" t="e">
        <f>VLOOKUP(VALUE(L39),ability!$B:$C,2,FALSE)</f>
        <v>#N/A</v>
      </c>
      <c r="S39" t="str">
        <f>VLOOKUP(VALUE(M39),ability!$B:$C,2,FALSE)</f>
        <v>閃光</v>
      </c>
      <c r="T39" t="str">
        <f>VLOOKUP(VALUE(N39),ability!$B:$C,2,FALSE)</f>
        <v>火の強威</v>
      </c>
      <c r="U39" t="e">
        <f>VLOOKUP(VALUE(O39),ability!$B:$C,2,FALSE)</f>
        <v>#N/A</v>
      </c>
      <c r="V39" t="e">
        <f>VLOOKUP(VALUE(P39),ability!$B:$C,2,FALSE)</f>
        <v>#N/A</v>
      </c>
    </row>
    <row r="40" spans="1:22">
      <c r="A40" s="8"/>
      <c r="B40" s="15">
        <v>34</v>
      </c>
      <c r="C40" s="15">
        <v>7</v>
      </c>
      <c r="D40" s="15">
        <v>1</v>
      </c>
      <c r="E40" s="11" t="s">
        <v>446</v>
      </c>
      <c r="F40" s="11" t="s">
        <v>651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  <c r="Q40" t="e">
        <f>VLOOKUP(VALUE(K40),ability!$B:$C,2,FALSE)</f>
        <v>#N/A</v>
      </c>
      <c r="R40" t="e">
        <f>VLOOKUP(VALUE(L40),ability!$B:$C,2,FALSE)</f>
        <v>#N/A</v>
      </c>
      <c r="S40" t="str">
        <f>VLOOKUP(VALUE(M40),ability!$B:$C,2,FALSE)</f>
        <v>閃光</v>
      </c>
      <c r="T40" t="str">
        <f>VLOOKUP(VALUE(N40),ability!$B:$C,2,FALSE)</f>
        <v>くじけぬ心</v>
      </c>
      <c r="U40" t="e">
        <f>VLOOKUP(VALUE(O40),ability!$B:$C,2,FALSE)</f>
        <v>#N/A</v>
      </c>
      <c r="V40" t="e">
        <f>VLOOKUP(VALUE(P40),ability!$B:$C,2,FALSE)</f>
        <v>#N/A</v>
      </c>
    </row>
    <row r="41" spans="1:22">
      <c r="A41" s="8"/>
      <c r="B41" s="15">
        <v>35</v>
      </c>
      <c r="C41" s="15">
        <v>4</v>
      </c>
      <c r="D41" s="15">
        <v>1</v>
      </c>
      <c r="E41" s="11" t="s">
        <v>448</v>
      </c>
      <c r="F41" s="11" t="s">
        <v>652</v>
      </c>
      <c r="G41" s="15">
        <v>5</v>
      </c>
      <c r="H41" s="15">
        <v>1</v>
      </c>
      <c r="I41" s="15"/>
      <c r="J41" s="15">
        <v>3</v>
      </c>
      <c r="K41" s="15">
        <v>401</v>
      </c>
      <c r="L41" s="15"/>
      <c r="M41" s="15">
        <v>1101</v>
      </c>
      <c r="N41" s="15">
        <v>207</v>
      </c>
      <c r="O41" s="15"/>
      <c r="P41" s="15"/>
      <c r="Q41" t="str">
        <f>VLOOKUP(VALUE(K41),ability!$B:$C,2,FALSE)</f>
        <v>火の波動</v>
      </c>
      <c r="R41" t="e">
        <f>VLOOKUP(VALUE(L41),ability!$B:$C,2,FALSE)</f>
        <v>#N/A</v>
      </c>
      <c r="S41" t="str">
        <f>VLOOKUP(VALUE(M41),ability!$B:$C,2,FALSE)</f>
        <v>閃光</v>
      </c>
      <c r="T41" t="str">
        <f>VLOOKUP(VALUE(N41),ability!$B:$C,2,FALSE)</f>
        <v>英雄の凱歌</v>
      </c>
      <c r="U41" t="e">
        <f>VLOOKUP(VALUE(O41),ability!$B:$C,2,FALSE)</f>
        <v>#N/A</v>
      </c>
      <c r="V41" t="e">
        <f>VLOOKUP(VALUE(P41),ability!$B:$C,2,FALSE)</f>
        <v>#N/A</v>
      </c>
    </row>
    <row r="42" spans="1:22">
      <c r="A42" s="8"/>
      <c r="B42" s="15">
        <v>36</v>
      </c>
      <c r="C42" s="15">
        <v>9</v>
      </c>
      <c r="D42" s="15">
        <v>1</v>
      </c>
      <c r="E42" s="11" t="s">
        <v>449</v>
      </c>
      <c r="F42" s="11" t="s">
        <v>653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  <c r="Q42" t="e">
        <f>VLOOKUP(VALUE(K42),ability!$B:$C,2,FALSE)</f>
        <v>#N/A</v>
      </c>
      <c r="R42" t="e">
        <f>VLOOKUP(VALUE(L42),ability!$B:$C,2,FALSE)</f>
        <v>#N/A</v>
      </c>
      <c r="S42" t="str">
        <f>VLOOKUP(VALUE(M42),ability!$B:$C,2,FALSE)</f>
        <v>閃光</v>
      </c>
      <c r="T42" t="str">
        <f>VLOOKUP(VALUE(N42),ability!$B:$C,2,FALSE)</f>
        <v>決心</v>
      </c>
      <c r="U42" t="e">
        <f>VLOOKUP(VALUE(O42),ability!$B:$C,2,FALSE)</f>
        <v>#N/A</v>
      </c>
      <c r="V42" t="e">
        <f>VLOOKUP(VALUE(P42),ability!$B:$C,2,FALSE)</f>
        <v>#N/A</v>
      </c>
    </row>
    <row r="43" spans="1:22">
      <c r="A43" s="8"/>
      <c r="B43" s="15">
        <v>37</v>
      </c>
      <c r="C43" s="15">
        <v>37</v>
      </c>
      <c r="D43" s="15">
        <v>1</v>
      </c>
      <c r="E43" s="11" t="s">
        <v>450</v>
      </c>
      <c r="F43" s="11" t="s">
        <v>654</v>
      </c>
      <c r="G43" s="15">
        <v>1</v>
      </c>
      <c r="H43" s="15">
        <v>3</v>
      </c>
      <c r="I43" s="15"/>
      <c r="J43" s="15">
        <v>1</v>
      </c>
      <c r="K43" s="15">
        <v>403</v>
      </c>
      <c r="L43" s="15"/>
      <c r="M43" s="15">
        <v>1101</v>
      </c>
      <c r="N43" s="15">
        <v>207</v>
      </c>
      <c r="O43" s="15"/>
      <c r="P43" s="15"/>
      <c r="Q43" t="str">
        <f>VLOOKUP(VALUE(K43),ability!$B:$C,2,FALSE)</f>
        <v>雷の波動</v>
      </c>
      <c r="R43" t="e">
        <f>VLOOKUP(VALUE(L43),ability!$B:$C,2,FALSE)</f>
        <v>#N/A</v>
      </c>
      <c r="S43" t="str">
        <f>VLOOKUP(VALUE(M43),ability!$B:$C,2,FALSE)</f>
        <v>閃光</v>
      </c>
      <c r="T43" t="str">
        <f>VLOOKUP(VALUE(N43),ability!$B:$C,2,FALSE)</f>
        <v>英雄の凱歌</v>
      </c>
      <c r="U43" t="e">
        <f>VLOOKUP(VALUE(O43),ability!$B:$C,2,FALSE)</f>
        <v>#N/A</v>
      </c>
      <c r="V43" t="e">
        <f>VLOOKUP(VALUE(P43),ability!$B:$C,2,FALSE)</f>
        <v>#N/A</v>
      </c>
    </row>
    <row r="44" spans="1:22">
      <c r="A44" s="8"/>
      <c r="B44" s="15">
        <v>38</v>
      </c>
      <c r="C44" s="15">
        <v>39</v>
      </c>
      <c r="D44" s="15">
        <v>1</v>
      </c>
      <c r="E44" s="11" t="s">
        <v>451</v>
      </c>
      <c r="F44" s="11" t="s">
        <v>655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  <c r="Q44" t="e">
        <f>VLOOKUP(VALUE(K44),ability!$B:$C,2,FALSE)</f>
        <v>#N/A</v>
      </c>
      <c r="R44" t="e">
        <f>VLOOKUP(VALUE(L44),ability!$B:$C,2,FALSE)</f>
        <v>#N/A</v>
      </c>
      <c r="S44" t="str">
        <f>VLOOKUP(VALUE(M44),ability!$B:$C,2,FALSE)</f>
        <v>閃光</v>
      </c>
      <c r="T44" t="str">
        <f>VLOOKUP(VALUE(N44),ability!$B:$C,2,FALSE)</f>
        <v>壮烈</v>
      </c>
      <c r="U44" t="e">
        <f>VLOOKUP(VALUE(O44),ability!$B:$C,2,FALSE)</f>
        <v>#N/A</v>
      </c>
      <c r="V44" t="e">
        <f>VLOOKUP(VALUE(P44),ability!$B:$C,2,FALSE)</f>
        <v>#N/A</v>
      </c>
    </row>
    <row r="45" spans="1:22">
      <c r="A45" s="8"/>
      <c r="B45" s="15">
        <v>39</v>
      </c>
      <c r="C45" s="15">
        <v>33</v>
      </c>
      <c r="D45" s="15">
        <v>1</v>
      </c>
      <c r="E45" s="11" t="s">
        <v>452</v>
      </c>
      <c r="F45" s="11" t="s">
        <v>656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  <c r="Q45" t="e">
        <f>VLOOKUP(VALUE(K45),ability!$B:$C,2,FALSE)</f>
        <v>#N/A</v>
      </c>
      <c r="R45" t="e">
        <f>VLOOKUP(VALUE(L45),ability!$B:$C,2,FALSE)</f>
        <v>#N/A</v>
      </c>
      <c r="S45" t="str">
        <f>VLOOKUP(VALUE(M45),ability!$B:$C,2,FALSE)</f>
        <v>閃光</v>
      </c>
      <c r="T45" t="str">
        <f>VLOOKUP(VALUE(N45),ability!$B:$C,2,FALSE)</f>
        <v>向上心</v>
      </c>
      <c r="U45" t="e">
        <f>VLOOKUP(VALUE(O45),ability!$B:$C,2,FALSE)</f>
        <v>#N/A</v>
      </c>
      <c r="V45" t="e">
        <f>VLOOKUP(VALUE(P45),ability!$B:$C,2,FALSE)</f>
        <v>#N/A</v>
      </c>
    </row>
    <row r="46" spans="1:22">
      <c r="A46" s="8"/>
      <c r="B46" s="15">
        <v>40</v>
      </c>
      <c r="C46" s="15">
        <v>34</v>
      </c>
      <c r="D46" s="15">
        <v>1</v>
      </c>
      <c r="E46" s="11" t="s">
        <v>453</v>
      </c>
      <c r="F46" s="11" t="s">
        <v>657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  <c r="Q46" t="e">
        <f>VLOOKUP(VALUE(K46),ability!$B:$C,2,FALSE)</f>
        <v>#N/A</v>
      </c>
      <c r="R46" t="e">
        <f>VLOOKUP(VALUE(L46),ability!$B:$C,2,FALSE)</f>
        <v>#N/A</v>
      </c>
      <c r="S46" t="str">
        <f>VLOOKUP(VALUE(M46),ability!$B:$C,2,FALSE)</f>
        <v>閃光</v>
      </c>
      <c r="T46" t="str">
        <f>VLOOKUP(VALUE(N46),ability!$B:$C,2,FALSE)</f>
        <v>怒涛</v>
      </c>
      <c r="U46" t="e">
        <f>VLOOKUP(VALUE(O46),ability!$B:$C,2,FALSE)</f>
        <v>#N/A</v>
      </c>
      <c r="V46" t="e">
        <f>VLOOKUP(VALUE(P46),ability!$B:$C,2,FALSE)</f>
        <v>#N/A</v>
      </c>
    </row>
    <row r="47" spans="1:22">
      <c r="A47" s="8"/>
      <c r="B47" s="15">
        <v>41</v>
      </c>
      <c r="C47" s="15">
        <v>43</v>
      </c>
      <c r="D47" s="15">
        <v>1</v>
      </c>
      <c r="E47" s="11" t="s">
        <v>455</v>
      </c>
      <c r="F47" s="11" t="s">
        <v>658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  <c r="Q47" t="e">
        <f>VLOOKUP(VALUE(K47),ability!$B:$C,2,FALSE)</f>
        <v>#N/A</v>
      </c>
      <c r="R47" t="e">
        <f>VLOOKUP(VALUE(L47),ability!$B:$C,2,FALSE)</f>
        <v>#N/A</v>
      </c>
      <c r="S47" t="str">
        <f>VLOOKUP(VALUE(M47),ability!$B:$C,2,FALSE)</f>
        <v>閃光</v>
      </c>
      <c r="T47" t="str">
        <f>VLOOKUP(VALUE(N47),ability!$B:$C,2,FALSE)</f>
        <v>雷の強威</v>
      </c>
      <c r="U47" t="e">
        <f>VLOOKUP(VALUE(O47),ability!$B:$C,2,FALSE)</f>
        <v>#N/A</v>
      </c>
      <c r="V47" t="e">
        <f>VLOOKUP(VALUE(P47),ability!$B:$C,2,FALSE)</f>
        <v>#N/A</v>
      </c>
    </row>
    <row r="48" spans="1:22">
      <c r="A48" s="8"/>
      <c r="B48" s="15">
        <v>42</v>
      </c>
      <c r="C48" s="15">
        <v>45</v>
      </c>
      <c r="D48" s="15">
        <v>1</v>
      </c>
      <c r="E48" s="11" t="s">
        <v>454</v>
      </c>
      <c r="F48" s="11" t="s">
        <v>659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  <c r="Q48" t="e">
        <f>VLOOKUP(VALUE(K48),ability!$B:$C,2,FALSE)</f>
        <v>#N/A</v>
      </c>
      <c r="R48" t="e">
        <f>VLOOKUP(VALUE(L48),ability!$B:$C,2,FALSE)</f>
        <v>#N/A</v>
      </c>
      <c r="S48" t="str">
        <f>VLOOKUP(VALUE(M48),ability!$B:$C,2,FALSE)</f>
        <v>閃光</v>
      </c>
      <c r="T48" t="str">
        <f>VLOOKUP(VALUE(N48),ability!$B:$C,2,FALSE)</f>
        <v>厄災</v>
      </c>
      <c r="U48" t="e">
        <f>VLOOKUP(VALUE(O48),ability!$B:$C,2,FALSE)</f>
        <v>#N/A</v>
      </c>
      <c r="V48" t="e">
        <f>VLOOKUP(VALUE(P48),ability!$B:$C,2,FALSE)</f>
        <v>#N/A</v>
      </c>
    </row>
    <row r="49" spans="1:22">
      <c r="A49" s="8"/>
      <c r="B49" s="15">
        <v>43</v>
      </c>
      <c r="C49" s="15">
        <v>20</v>
      </c>
      <c r="D49" s="15">
        <v>1</v>
      </c>
      <c r="E49" s="11" t="s">
        <v>456</v>
      </c>
      <c r="F49" s="11" t="s">
        <v>660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  <c r="Q49" t="e">
        <f>VLOOKUP(VALUE(K49),ability!$B:$C,2,FALSE)</f>
        <v>#N/A</v>
      </c>
      <c r="R49" t="e">
        <f>VLOOKUP(VALUE(L49),ability!$B:$C,2,FALSE)</f>
        <v>#N/A</v>
      </c>
      <c r="S49" t="str">
        <f>VLOOKUP(VALUE(M49),ability!$B:$C,2,FALSE)</f>
        <v>閃光</v>
      </c>
      <c r="T49" t="str">
        <f>VLOOKUP(VALUE(N49),ability!$B:$C,2,FALSE)</f>
        <v>闇夜の陣</v>
      </c>
      <c r="U49" t="e">
        <f>VLOOKUP(VALUE(O49),ability!$B:$C,2,FALSE)</f>
        <v>#N/A</v>
      </c>
      <c r="V49" t="e">
        <f>VLOOKUP(VALUE(P49),ability!$B:$C,2,FALSE)</f>
        <v>#N/A</v>
      </c>
    </row>
    <row r="50" spans="1:22">
      <c r="A50" s="8"/>
      <c r="B50" s="15">
        <v>44</v>
      </c>
      <c r="C50" s="15">
        <v>22</v>
      </c>
      <c r="D50" s="15">
        <v>1</v>
      </c>
      <c r="E50" s="11" t="s">
        <v>457</v>
      </c>
      <c r="F50" s="11" t="s">
        <v>661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  <c r="Q50" t="e">
        <f>VLOOKUP(VALUE(K50),ability!$B:$C,2,FALSE)</f>
        <v>#N/A</v>
      </c>
      <c r="R50" t="e">
        <f>VLOOKUP(VALUE(L50),ability!$B:$C,2,FALSE)</f>
        <v>#N/A</v>
      </c>
      <c r="S50" t="str">
        <f>VLOOKUP(VALUE(M50),ability!$B:$C,2,FALSE)</f>
        <v>閃光</v>
      </c>
      <c r="T50" t="str">
        <f>VLOOKUP(VALUE(N50),ability!$B:$C,2,FALSE)</f>
        <v>慈愛の心</v>
      </c>
      <c r="U50" t="e">
        <f>VLOOKUP(VALUE(O50),ability!$B:$C,2,FALSE)</f>
        <v>#N/A</v>
      </c>
      <c r="V50" t="e">
        <f>VLOOKUP(VALUE(P50),ability!$B:$C,2,FALSE)</f>
        <v>#N/A</v>
      </c>
    </row>
    <row r="51" spans="1:22">
      <c r="A51" s="8"/>
      <c r="B51" s="15">
        <v>45</v>
      </c>
      <c r="C51" s="15">
        <v>10</v>
      </c>
      <c r="D51" s="15">
        <v>1</v>
      </c>
      <c r="E51" s="11" t="s">
        <v>459</v>
      </c>
      <c r="F51" s="11" t="s">
        <v>662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  <c r="Q51" t="e">
        <f>VLOOKUP(VALUE(K51),ability!$B:$C,2,FALSE)</f>
        <v>#N/A</v>
      </c>
      <c r="R51" t="e">
        <f>VLOOKUP(VALUE(L51),ability!$B:$C,2,FALSE)</f>
        <v>#N/A</v>
      </c>
      <c r="S51" t="str">
        <f>VLOOKUP(VALUE(M51),ability!$B:$C,2,FALSE)</f>
        <v>閃光</v>
      </c>
      <c r="T51" t="str">
        <f>VLOOKUP(VALUE(N51),ability!$B:$C,2,FALSE)</f>
        <v>気転</v>
      </c>
      <c r="U51" t="e">
        <f>VLOOKUP(VALUE(O51),ability!$B:$C,2,FALSE)</f>
        <v>#N/A</v>
      </c>
      <c r="V51" t="e">
        <f>VLOOKUP(VALUE(P51),ability!$B:$C,2,FALSE)</f>
        <v>#N/A</v>
      </c>
    </row>
    <row r="52" spans="1:22">
      <c r="A52" s="8"/>
      <c r="B52" s="15">
        <v>46</v>
      </c>
      <c r="C52" s="15">
        <v>11</v>
      </c>
      <c r="D52" s="15">
        <v>1</v>
      </c>
      <c r="E52" s="11" t="s">
        <v>458</v>
      </c>
      <c r="F52" s="11" t="s">
        <v>663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  <c r="Q52" t="e">
        <f>VLOOKUP(VALUE(K52),ability!$B:$C,2,FALSE)</f>
        <v>#N/A</v>
      </c>
      <c r="R52" t="e">
        <f>VLOOKUP(VALUE(L52),ability!$B:$C,2,FALSE)</f>
        <v>#N/A</v>
      </c>
      <c r="S52" t="str">
        <f>VLOOKUP(VALUE(M52),ability!$B:$C,2,FALSE)</f>
        <v>閃光</v>
      </c>
      <c r="T52" t="str">
        <f>VLOOKUP(VALUE(N52),ability!$B:$C,2,FALSE)</f>
        <v>氷の強威</v>
      </c>
      <c r="U52" t="e">
        <f>VLOOKUP(VALUE(O52),ability!$B:$C,2,FALSE)</f>
        <v>#N/A</v>
      </c>
      <c r="V52" t="e">
        <f>VLOOKUP(VALUE(P52),ability!$B:$C,2,FALSE)</f>
        <v>#N/A</v>
      </c>
    </row>
    <row r="53" spans="1:22">
      <c r="A53" s="8"/>
      <c r="B53" s="15">
        <v>47</v>
      </c>
      <c r="C53" s="15">
        <v>26</v>
      </c>
      <c r="D53" s="15">
        <v>1</v>
      </c>
      <c r="E53" s="11" t="s">
        <v>460</v>
      </c>
      <c r="F53" s="11" t="s">
        <v>664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  <c r="Q53" t="e">
        <f>VLOOKUP(VALUE(K53),ability!$B:$C,2,FALSE)</f>
        <v>#N/A</v>
      </c>
      <c r="R53" t="e">
        <f>VLOOKUP(VALUE(L53),ability!$B:$C,2,FALSE)</f>
        <v>#N/A</v>
      </c>
      <c r="S53" t="str">
        <f>VLOOKUP(VALUE(M53),ability!$B:$C,2,FALSE)</f>
        <v>閃光</v>
      </c>
      <c r="T53" t="str">
        <f>VLOOKUP(VALUE(N53),ability!$B:$C,2,FALSE)</f>
        <v>鮮烈</v>
      </c>
      <c r="U53" t="e">
        <f>VLOOKUP(VALUE(O53),ability!$B:$C,2,FALSE)</f>
        <v>#N/A</v>
      </c>
      <c r="V53" t="e">
        <f>VLOOKUP(VALUE(P53),ability!$B:$C,2,FALSE)</f>
        <v>#N/A</v>
      </c>
    </row>
    <row r="54" spans="1:22">
      <c r="A54" s="8"/>
      <c r="B54" s="15">
        <v>48</v>
      </c>
      <c r="C54" s="15">
        <v>27</v>
      </c>
      <c r="D54" s="15">
        <v>1</v>
      </c>
      <c r="E54" s="11" t="s">
        <v>461</v>
      </c>
      <c r="F54" s="11" t="s">
        <v>665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  <c r="Q54" t="e">
        <f>VLOOKUP(VALUE(K54),ability!$B:$C,2,FALSE)</f>
        <v>#N/A</v>
      </c>
      <c r="R54" t="e">
        <f>VLOOKUP(VALUE(L54),ability!$B:$C,2,FALSE)</f>
        <v>#N/A</v>
      </c>
      <c r="S54" t="str">
        <f>VLOOKUP(VALUE(M54),ability!$B:$C,2,FALSE)</f>
        <v>閃光</v>
      </c>
      <c r="T54" t="str">
        <f>VLOOKUP(VALUE(N54),ability!$B:$C,2,FALSE)</f>
        <v>火の強威</v>
      </c>
      <c r="U54" t="e">
        <f>VLOOKUP(VALUE(O54),ability!$B:$C,2,FALSE)</f>
        <v>#N/A</v>
      </c>
      <c r="V54" t="e">
        <f>VLOOKUP(VALUE(P54),ability!$B:$C,2,FALSE)</f>
        <v>#N/A</v>
      </c>
    </row>
    <row r="55" spans="1:22">
      <c r="A55" s="8"/>
      <c r="B55" s="15">
        <v>49</v>
      </c>
      <c r="C55" s="15">
        <v>35</v>
      </c>
      <c r="D55" s="15">
        <v>1</v>
      </c>
      <c r="E55" s="11" t="s">
        <v>462</v>
      </c>
      <c r="F55" s="11" t="s">
        <v>666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  <c r="Q55" t="e">
        <f>VLOOKUP(VALUE(K55),ability!$B:$C,2,FALSE)</f>
        <v>#N/A</v>
      </c>
      <c r="R55" t="e">
        <f>VLOOKUP(VALUE(L55),ability!$B:$C,2,FALSE)</f>
        <v>#N/A</v>
      </c>
      <c r="S55" t="str">
        <f>VLOOKUP(VALUE(M55),ability!$B:$C,2,FALSE)</f>
        <v>閃光</v>
      </c>
      <c r="T55" t="str">
        <f>VLOOKUP(VALUE(N55),ability!$B:$C,2,FALSE)</f>
        <v>闇の強威</v>
      </c>
      <c r="U55" t="e">
        <f>VLOOKUP(VALUE(O55),ability!$B:$C,2,FALSE)</f>
        <v>#N/A</v>
      </c>
      <c r="V55" t="e">
        <f>VLOOKUP(VALUE(P55),ability!$B:$C,2,FALSE)</f>
        <v>#N/A</v>
      </c>
    </row>
    <row r="56" spans="1:22">
      <c r="A56" s="8"/>
      <c r="B56" s="15">
        <v>50</v>
      </c>
      <c r="C56" s="15">
        <v>36</v>
      </c>
      <c r="D56" s="15">
        <v>1</v>
      </c>
      <c r="E56" s="11" t="s">
        <v>463</v>
      </c>
      <c r="F56" s="11" t="s">
        <v>667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  <c r="Q56" t="e">
        <f>VLOOKUP(VALUE(K56),ability!$B:$C,2,FALSE)</f>
        <v>#N/A</v>
      </c>
      <c r="R56" t="e">
        <f>VLOOKUP(VALUE(L56),ability!$B:$C,2,FALSE)</f>
        <v>#N/A</v>
      </c>
      <c r="S56" t="str">
        <f>VLOOKUP(VALUE(M56),ability!$B:$C,2,FALSE)</f>
        <v>閃光</v>
      </c>
      <c r="T56" t="str">
        <f>VLOOKUP(VALUE(N56),ability!$B:$C,2,FALSE)</f>
        <v>狂乱の型</v>
      </c>
      <c r="U56" t="e">
        <f>VLOOKUP(VALUE(O56),ability!$B:$C,2,FALSE)</f>
        <v>#N/A</v>
      </c>
      <c r="V56" t="e">
        <f>VLOOKUP(VALUE(P56),ability!$B:$C,2,FALSE)</f>
        <v>#N/A</v>
      </c>
    </row>
    <row r="57" spans="1:22">
      <c r="A57" s="8"/>
      <c r="B57" s="15">
        <v>51</v>
      </c>
      <c r="C57" s="15">
        <v>13</v>
      </c>
      <c r="D57" s="15">
        <v>1</v>
      </c>
      <c r="E57" s="11" t="s">
        <v>464</v>
      </c>
      <c r="F57" s="11" t="s">
        <v>668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  <c r="Q57" t="e">
        <f>VLOOKUP(VALUE(K57),ability!$B:$C,2,FALSE)</f>
        <v>#N/A</v>
      </c>
      <c r="R57" t="e">
        <f>VLOOKUP(VALUE(L57),ability!$B:$C,2,FALSE)</f>
        <v>#N/A</v>
      </c>
      <c r="S57" t="str">
        <f>VLOOKUP(VALUE(M57),ability!$B:$C,2,FALSE)</f>
        <v>閃光</v>
      </c>
      <c r="T57" t="str">
        <f>VLOOKUP(VALUE(N57),ability!$B:$C,2,FALSE)</f>
        <v>英雄の凱歌</v>
      </c>
      <c r="U57" t="e">
        <f>VLOOKUP(VALUE(O57),ability!$B:$C,2,FALSE)</f>
        <v>#N/A</v>
      </c>
      <c r="V57" t="e">
        <f>VLOOKUP(VALUE(P57),ability!$B:$C,2,FALSE)</f>
        <v>#N/A</v>
      </c>
    </row>
    <row r="58" spans="1:22">
      <c r="A58" s="8"/>
      <c r="B58" s="15">
        <v>52</v>
      </c>
      <c r="C58" s="15">
        <v>16</v>
      </c>
      <c r="D58" s="15">
        <v>1</v>
      </c>
      <c r="E58" s="11" t="s">
        <v>465</v>
      </c>
      <c r="F58" s="11" t="s">
        <v>669</v>
      </c>
      <c r="G58" s="15">
        <v>2</v>
      </c>
      <c r="H58" s="15">
        <v>4</v>
      </c>
      <c r="I58" s="15"/>
      <c r="J58" s="15">
        <v>1</v>
      </c>
      <c r="K58" s="15">
        <v>404</v>
      </c>
      <c r="L58" s="15"/>
      <c r="M58" s="15">
        <v>1101</v>
      </c>
      <c r="N58" s="15">
        <v>204</v>
      </c>
      <c r="O58" s="15"/>
      <c r="P58" s="15"/>
      <c r="Q58" t="str">
        <f>VLOOKUP(VALUE(K58),ability!$B:$C,2,FALSE)</f>
        <v>光の波動</v>
      </c>
      <c r="R58" t="e">
        <f>VLOOKUP(VALUE(L58),ability!$B:$C,2,FALSE)</f>
        <v>#N/A</v>
      </c>
      <c r="S58" t="str">
        <f>VLOOKUP(VALUE(M58),ability!$B:$C,2,FALSE)</f>
        <v>閃光</v>
      </c>
      <c r="T58" t="str">
        <f>VLOOKUP(VALUE(N58),ability!$B:$C,2,FALSE)</f>
        <v>光の強威</v>
      </c>
      <c r="U58" t="e">
        <f>VLOOKUP(VALUE(O58),ability!$B:$C,2,FALSE)</f>
        <v>#N/A</v>
      </c>
      <c r="V58" t="e">
        <f>VLOOKUP(VALUE(P58),ability!$B:$C,2,FALSE)</f>
        <v>#N/A</v>
      </c>
    </row>
    <row r="59" spans="1:22">
      <c r="A59" s="8"/>
      <c r="B59" s="15">
        <v>53</v>
      </c>
      <c r="C59" s="15">
        <v>6</v>
      </c>
      <c r="D59" s="15">
        <v>1</v>
      </c>
      <c r="E59" s="11" t="s">
        <v>466</v>
      </c>
      <c r="F59" s="11" t="s">
        <v>670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  <c r="Q59" t="e">
        <f>VLOOKUP(VALUE(K59),ability!$B:$C,2,FALSE)</f>
        <v>#N/A</v>
      </c>
      <c r="R59" t="e">
        <f>VLOOKUP(VALUE(L59),ability!$B:$C,2,FALSE)</f>
        <v>#N/A</v>
      </c>
      <c r="S59" t="str">
        <f>VLOOKUP(VALUE(M59),ability!$B:$C,2,FALSE)</f>
        <v>閃光</v>
      </c>
      <c r="T59" t="str">
        <f>VLOOKUP(VALUE(N59),ability!$B:$C,2,FALSE)</f>
        <v>雷の采配</v>
      </c>
      <c r="U59" t="e">
        <f>VLOOKUP(VALUE(O59),ability!$B:$C,2,FALSE)</f>
        <v>#N/A</v>
      </c>
      <c r="V59" t="e">
        <f>VLOOKUP(VALUE(P59),ability!$B:$C,2,FALSE)</f>
        <v>#N/A</v>
      </c>
    </row>
    <row r="60" spans="1:22">
      <c r="A60" s="8"/>
      <c r="B60" s="15">
        <v>54</v>
      </c>
      <c r="C60" s="15">
        <v>14</v>
      </c>
      <c r="D60" s="15">
        <v>1</v>
      </c>
      <c r="E60" s="11" t="s">
        <v>467</v>
      </c>
      <c r="F60" s="11" t="s">
        <v>671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  <c r="Q60" t="e">
        <f>VLOOKUP(VALUE(K60),ability!$B:$C,2,FALSE)</f>
        <v>#N/A</v>
      </c>
      <c r="R60" t="e">
        <f>VLOOKUP(VALUE(L60),ability!$B:$C,2,FALSE)</f>
        <v>#N/A</v>
      </c>
      <c r="S60" t="str">
        <f>VLOOKUP(VALUE(M60),ability!$B:$C,2,FALSE)</f>
        <v>閃光</v>
      </c>
      <c r="T60" t="str">
        <f>VLOOKUP(VALUE(N60),ability!$B:$C,2,FALSE)</f>
        <v>向上心</v>
      </c>
      <c r="U60" t="e">
        <f>VLOOKUP(VALUE(O60),ability!$B:$C,2,FALSE)</f>
        <v>#N/A</v>
      </c>
      <c r="V60" t="e">
        <f>VLOOKUP(VALUE(P60),ability!$B:$C,2,FALSE)</f>
        <v>#N/A</v>
      </c>
    </row>
    <row r="61" spans="1:22">
      <c r="A61" s="8"/>
      <c r="B61" s="15">
        <v>55</v>
      </c>
      <c r="C61" s="15">
        <v>38</v>
      </c>
      <c r="D61" s="15">
        <v>1</v>
      </c>
      <c r="E61" s="11" t="s">
        <v>468</v>
      </c>
      <c r="F61" s="11" t="s">
        <v>672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  <c r="Q61" t="e">
        <f>VLOOKUP(VALUE(K61),ability!$B:$C,2,FALSE)</f>
        <v>#N/A</v>
      </c>
      <c r="R61" t="e">
        <f>VLOOKUP(VALUE(L61),ability!$B:$C,2,FALSE)</f>
        <v>#N/A</v>
      </c>
      <c r="S61" t="str">
        <f>VLOOKUP(VALUE(M61),ability!$B:$C,2,FALSE)</f>
        <v>閃光</v>
      </c>
      <c r="T61" t="str">
        <f>VLOOKUP(VALUE(N61),ability!$B:$C,2,FALSE)</f>
        <v>気転</v>
      </c>
      <c r="U61" t="e">
        <f>VLOOKUP(VALUE(O61),ability!$B:$C,2,FALSE)</f>
        <v>#N/A</v>
      </c>
      <c r="V61" t="e">
        <f>VLOOKUP(VALUE(P61),ability!$B:$C,2,FALSE)</f>
        <v>#N/A</v>
      </c>
    </row>
    <row r="62" spans="1:22">
      <c r="A62" s="8"/>
      <c r="B62" s="15">
        <v>56</v>
      </c>
      <c r="C62" s="15">
        <v>41</v>
      </c>
      <c r="D62" s="15">
        <v>1</v>
      </c>
      <c r="E62" s="11" t="s">
        <v>469</v>
      </c>
      <c r="F62" s="11" t="s">
        <v>673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  <c r="Q62" t="e">
        <f>VLOOKUP(VALUE(K62),ability!$B:$C,2,FALSE)</f>
        <v>#N/A</v>
      </c>
      <c r="R62" t="e">
        <f>VLOOKUP(VALUE(L62),ability!$B:$C,2,FALSE)</f>
        <v>#N/A</v>
      </c>
      <c r="S62" t="str">
        <f>VLOOKUP(VALUE(M62),ability!$B:$C,2,FALSE)</f>
        <v>閃光</v>
      </c>
      <c r="T62" t="str">
        <f>VLOOKUP(VALUE(N62),ability!$B:$C,2,FALSE)</f>
        <v>洗練</v>
      </c>
      <c r="U62" t="e">
        <f>VLOOKUP(VALUE(O62),ability!$B:$C,2,FALSE)</f>
        <v>#N/A</v>
      </c>
      <c r="V62" t="e">
        <f>VLOOKUP(VALUE(P62),ability!$B:$C,2,FALSE)</f>
        <v>#N/A</v>
      </c>
    </row>
    <row r="63" spans="1:22">
      <c r="A63" s="8"/>
      <c r="B63" s="15">
        <v>57</v>
      </c>
      <c r="C63" s="15">
        <v>1</v>
      </c>
      <c r="D63" s="15">
        <v>1</v>
      </c>
      <c r="E63" s="11" t="s">
        <v>470</v>
      </c>
      <c r="F63" s="11" t="s">
        <v>674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  <c r="Q63" t="str">
        <f>VLOOKUP(VALUE(K63),ability!$B:$C,2,FALSE)</f>
        <v>雷の波動</v>
      </c>
      <c r="R63" t="e">
        <f>VLOOKUP(VALUE(L63),ability!$B:$C,2,FALSE)</f>
        <v>#N/A</v>
      </c>
      <c r="S63" t="str">
        <f>VLOOKUP(VALUE(M63),ability!$B:$C,2,FALSE)</f>
        <v>閃光</v>
      </c>
      <c r="T63" t="str">
        <f>VLOOKUP(VALUE(N63),ability!$B:$C,2,FALSE)</f>
        <v>雷の強威</v>
      </c>
      <c r="U63" t="e">
        <f>VLOOKUP(VALUE(O63),ability!$B:$C,2,FALSE)</f>
        <v>#N/A</v>
      </c>
      <c r="V63" t="e">
        <f>VLOOKUP(VALUE(P63),ability!$B:$C,2,FALSE)</f>
        <v>#N/A</v>
      </c>
    </row>
    <row r="64" spans="1:22">
      <c r="A64" s="8"/>
      <c r="B64" s="15">
        <v>58</v>
      </c>
      <c r="C64" s="15">
        <v>2</v>
      </c>
      <c r="D64" s="15">
        <v>1</v>
      </c>
      <c r="E64" s="11" t="s">
        <v>471</v>
      </c>
      <c r="F64" s="11" t="s">
        <v>675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  <c r="Q64" t="str">
        <f>VLOOKUP(VALUE(K64),ability!$B:$C,2,FALSE)</f>
        <v>雷の波動</v>
      </c>
      <c r="R64" t="e">
        <f>VLOOKUP(VALUE(L64),ability!$B:$C,2,FALSE)</f>
        <v>#N/A</v>
      </c>
      <c r="S64" t="str">
        <f>VLOOKUP(VALUE(M64),ability!$B:$C,2,FALSE)</f>
        <v>閃光</v>
      </c>
      <c r="T64" t="str">
        <f>VLOOKUP(VALUE(N64),ability!$B:$C,2,FALSE)</f>
        <v>決心</v>
      </c>
      <c r="U64" t="e">
        <f>VLOOKUP(VALUE(O64),ability!$B:$C,2,FALSE)</f>
        <v>#N/A</v>
      </c>
      <c r="V64" t="e">
        <f>VLOOKUP(VALUE(P64),ability!$B:$C,2,FALSE)</f>
        <v>#N/A</v>
      </c>
    </row>
    <row r="65" spans="1:22">
      <c r="A65" s="8"/>
      <c r="B65" s="15">
        <v>59</v>
      </c>
      <c r="C65" s="15">
        <v>101</v>
      </c>
      <c r="D65" s="15">
        <v>1</v>
      </c>
      <c r="E65" s="11" t="s">
        <v>473</v>
      </c>
      <c r="F65" s="11" t="s">
        <v>676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  <c r="Q65" t="str">
        <f>VLOOKUP(VALUE(K65),ability!$B:$C,2,FALSE)</f>
        <v>光の波動</v>
      </c>
      <c r="R65" t="e">
        <f>VLOOKUP(VALUE(L65),ability!$B:$C,2,FALSE)</f>
        <v>#N/A</v>
      </c>
      <c r="S65" t="str">
        <f>VLOOKUP(VALUE(M65),ability!$B:$C,2,FALSE)</f>
        <v>閃光</v>
      </c>
      <c r="T65" t="str">
        <f>VLOOKUP(VALUE(N65),ability!$B:$C,2,FALSE)</f>
        <v>光の強威</v>
      </c>
      <c r="U65" t="e">
        <f>VLOOKUP(VALUE(O65),ability!$B:$C,2,FALSE)</f>
        <v>#N/A</v>
      </c>
      <c r="V65" t="e">
        <f>VLOOKUP(VALUE(P65),ability!$B:$C,2,FALSE)</f>
        <v>#N/A</v>
      </c>
    </row>
    <row r="66" spans="1:22">
      <c r="A66" s="8"/>
      <c r="B66" s="15">
        <v>60</v>
      </c>
      <c r="C66" s="15">
        <v>102</v>
      </c>
      <c r="D66" s="15">
        <v>1</v>
      </c>
      <c r="E66" s="11" t="s">
        <v>472</v>
      </c>
      <c r="F66" s="11" t="s">
        <v>1319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  <c r="Q66" t="str">
        <f>VLOOKUP(VALUE(K66),ability!$B:$C,2,FALSE)</f>
        <v>火の波動</v>
      </c>
      <c r="R66" t="e">
        <f>VLOOKUP(VALUE(L66),ability!$B:$C,2,FALSE)</f>
        <v>#N/A</v>
      </c>
      <c r="S66" t="str">
        <f>VLOOKUP(VALUE(M66),ability!$B:$C,2,FALSE)</f>
        <v>閃光</v>
      </c>
      <c r="T66" t="str">
        <f>VLOOKUP(VALUE(N66),ability!$B:$C,2,FALSE)</f>
        <v>火の強威</v>
      </c>
      <c r="U66" t="e">
        <f>VLOOKUP(VALUE(O66),ability!$B:$C,2,FALSE)</f>
        <v>#N/A</v>
      </c>
      <c r="V66" t="e">
        <f>VLOOKUP(VALUE(P66),ability!$B:$C,2,FALSE)</f>
        <v>#N/A</v>
      </c>
    </row>
    <row r="67" spans="1:22">
      <c r="A67" s="8"/>
      <c r="B67" s="15">
        <v>62</v>
      </c>
      <c r="C67" s="15">
        <v>28</v>
      </c>
      <c r="D67" s="15">
        <v>1</v>
      </c>
      <c r="E67" s="11" t="s">
        <v>475</v>
      </c>
      <c r="F67" s="11" t="s">
        <v>677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  <c r="Q67" t="e">
        <f>VLOOKUP(VALUE(K67),ability!$B:$C,2,FALSE)</f>
        <v>#N/A</v>
      </c>
      <c r="R67" t="e">
        <f>VLOOKUP(VALUE(L67),ability!$B:$C,2,FALSE)</f>
        <v>#N/A</v>
      </c>
      <c r="S67" t="str">
        <f>VLOOKUP(VALUE(M67),ability!$B:$C,2,FALSE)</f>
        <v>閃光</v>
      </c>
      <c r="T67" t="str">
        <f>VLOOKUP(VALUE(N67),ability!$B:$C,2,FALSE)</f>
        <v>気転</v>
      </c>
      <c r="U67" t="e">
        <f>VLOOKUP(VALUE(O67),ability!$B:$C,2,FALSE)</f>
        <v>#N/A</v>
      </c>
      <c r="V67" t="e">
        <f>VLOOKUP(VALUE(P67),ability!$B:$C,2,FALSE)</f>
        <v>#N/A</v>
      </c>
    </row>
    <row r="68" spans="1:22">
      <c r="A68" s="8"/>
      <c r="B68" s="15">
        <v>63</v>
      </c>
      <c r="C68" s="15">
        <v>30</v>
      </c>
      <c r="D68" s="15">
        <v>1</v>
      </c>
      <c r="E68" s="11" t="s">
        <v>474</v>
      </c>
      <c r="F68" s="11" t="s">
        <v>678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  <c r="Q68" t="e">
        <f>VLOOKUP(VALUE(K68),ability!$B:$C,2,FALSE)</f>
        <v>#N/A</v>
      </c>
      <c r="R68" t="e">
        <f>VLOOKUP(VALUE(L68),ability!$B:$C,2,FALSE)</f>
        <v>#N/A</v>
      </c>
      <c r="S68" t="str">
        <f>VLOOKUP(VALUE(M68),ability!$B:$C,2,FALSE)</f>
        <v>閃光</v>
      </c>
      <c r="T68" t="str">
        <f>VLOOKUP(VALUE(N68),ability!$B:$C,2,FALSE)</f>
        <v>慈愛の心</v>
      </c>
      <c r="U68" t="e">
        <f>VLOOKUP(VALUE(O68),ability!$B:$C,2,FALSE)</f>
        <v>#N/A</v>
      </c>
      <c r="V68" t="e">
        <f>VLOOKUP(VALUE(P68),ability!$B:$C,2,FALSE)</f>
        <v>#N/A</v>
      </c>
    </row>
    <row r="69" spans="1:22">
      <c r="A69" s="8"/>
      <c r="B69" s="15">
        <v>64</v>
      </c>
      <c r="C69" s="15">
        <v>46</v>
      </c>
      <c r="D69" s="15">
        <v>1</v>
      </c>
      <c r="E69" s="11" t="s">
        <v>476</v>
      </c>
      <c r="F69" s="11" t="s">
        <v>679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  <c r="Q69" t="e">
        <f>VLOOKUP(VALUE(K69),ability!$B:$C,2,FALSE)</f>
        <v>#N/A</v>
      </c>
      <c r="R69" t="e">
        <f>VLOOKUP(VALUE(L69),ability!$B:$C,2,FALSE)</f>
        <v>#N/A</v>
      </c>
      <c r="S69" t="str">
        <f>VLOOKUP(VALUE(M69),ability!$B:$C,2,FALSE)</f>
        <v>閃光</v>
      </c>
      <c r="T69" t="str">
        <f>VLOOKUP(VALUE(N69),ability!$B:$C,2,FALSE)</f>
        <v>鋭気</v>
      </c>
      <c r="U69" t="e">
        <f>VLOOKUP(VALUE(O69),ability!$B:$C,2,FALSE)</f>
        <v>#N/A</v>
      </c>
      <c r="V69" t="e">
        <f>VLOOKUP(VALUE(P69),ability!$B:$C,2,FALSE)</f>
        <v>#N/A</v>
      </c>
    </row>
    <row r="70" spans="1:22">
      <c r="A70" s="8"/>
      <c r="B70" s="15">
        <v>65</v>
      </c>
      <c r="C70" s="15">
        <v>21</v>
      </c>
      <c r="D70" s="15">
        <v>1</v>
      </c>
      <c r="E70" s="11" t="s">
        <v>477</v>
      </c>
      <c r="F70" s="11" t="s">
        <v>680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  <c r="Q70" t="e">
        <f>VLOOKUP(VALUE(K70),ability!$B:$C,2,FALSE)</f>
        <v>#N/A</v>
      </c>
      <c r="R70" t="e">
        <f>VLOOKUP(VALUE(L70),ability!$B:$C,2,FALSE)</f>
        <v>#N/A</v>
      </c>
      <c r="S70" t="str">
        <f>VLOOKUP(VALUE(M70),ability!$B:$C,2,FALSE)</f>
        <v>閃光</v>
      </c>
      <c r="T70" t="str">
        <f>VLOOKUP(VALUE(N70),ability!$B:$C,2,FALSE)</f>
        <v>弱化</v>
      </c>
      <c r="U70" t="e">
        <f>VLOOKUP(VALUE(O70),ability!$B:$C,2,FALSE)</f>
        <v>#N/A</v>
      </c>
      <c r="V70" t="e">
        <f>VLOOKUP(VALUE(P70),ability!$B:$C,2,FALSE)</f>
        <v>#N/A</v>
      </c>
    </row>
    <row r="71" spans="1:22">
      <c r="A71" s="8"/>
      <c r="B71" s="15">
        <v>66</v>
      </c>
      <c r="C71" s="15">
        <v>17</v>
      </c>
      <c r="D71" s="15">
        <v>1</v>
      </c>
      <c r="E71" s="11" t="s">
        <v>478</v>
      </c>
      <c r="F71" s="11" t="s">
        <v>681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  <c r="Q71" t="e">
        <f>VLOOKUP(VALUE(K71),ability!$B:$C,2,FALSE)</f>
        <v>#N/A</v>
      </c>
      <c r="R71" t="e">
        <f>VLOOKUP(VALUE(L71),ability!$B:$C,2,FALSE)</f>
        <v>#N/A</v>
      </c>
      <c r="S71" t="str">
        <f>VLOOKUP(VALUE(M71),ability!$B:$C,2,FALSE)</f>
        <v>閃光</v>
      </c>
      <c r="T71" t="str">
        <f>VLOOKUP(VALUE(N71),ability!$B:$C,2,FALSE)</f>
        <v>鮮烈</v>
      </c>
      <c r="U71" t="e">
        <f>VLOOKUP(VALUE(O71),ability!$B:$C,2,FALSE)</f>
        <v>#N/A</v>
      </c>
      <c r="V71" t="e">
        <f>VLOOKUP(VALUE(P71),ability!$B:$C,2,FALSE)</f>
        <v>#N/A</v>
      </c>
    </row>
    <row r="72" spans="1:22">
      <c r="A72" s="8"/>
      <c r="B72" s="15">
        <v>67</v>
      </c>
      <c r="C72" s="15">
        <v>18</v>
      </c>
      <c r="D72" s="15">
        <v>1</v>
      </c>
      <c r="E72" s="11" t="s">
        <v>479</v>
      </c>
      <c r="F72" s="11" t="s">
        <v>682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  <c r="Q72" t="e">
        <f>VLOOKUP(VALUE(K72),ability!$B:$C,2,FALSE)</f>
        <v>#N/A</v>
      </c>
      <c r="R72" t="e">
        <f>VLOOKUP(VALUE(L72),ability!$B:$C,2,FALSE)</f>
        <v>#N/A</v>
      </c>
      <c r="S72" t="str">
        <f>VLOOKUP(VALUE(M72),ability!$B:$C,2,FALSE)</f>
        <v>閃光</v>
      </c>
      <c r="T72" t="str">
        <f>VLOOKUP(VALUE(N72),ability!$B:$C,2,FALSE)</f>
        <v>気転</v>
      </c>
      <c r="U72" t="e">
        <f>VLOOKUP(VALUE(O72),ability!$B:$C,2,FALSE)</f>
        <v>#N/A</v>
      </c>
      <c r="V72" t="e">
        <f>VLOOKUP(VALUE(P72),ability!$B:$C,2,FALSE)</f>
        <v>#N/A</v>
      </c>
    </row>
    <row r="73" spans="1:22">
      <c r="A73" s="8"/>
      <c r="B73" s="15">
        <v>68</v>
      </c>
      <c r="C73" s="15">
        <v>3</v>
      </c>
      <c r="D73" s="15">
        <v>1</v>
      </c>
      <c r="E73" s="11" t="s">
        <v>480</v>
      </c>
      <c r="F73" s="11" t="s">
        <v>683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  <c r="Q73" t="str">
        <f>VLOOKUP(VALUE(K73),ability!$B:$C,2,FALSE)</f>
        <v>火の波動</v>
      </c>
      <c r="R73" t="e">
        <f>VLOOKUP(VALUE(L73),ability!$B:$C,2,FALSE)</f>
        <v>#N/A</v>
      </c>
      <c r="S73" t="str">
        <f>VLOOKUP(VALUE(M73),ability!$B:$C,2,FALSE)</f>
        <v>閃光</v>
      </c>
      <c r="T73" t="str">
        <f>VLOOKUP(VALUE(N73),ability!$B:$C,2,FALSE)</f>
        <v>弱化</v>
      </c>
      <c r="U73" t="e">
        <f>VLOOKUP(VALUE(O73),ability!$B:$C,2,FALSE)</f>
        <v>#N/A</v>
      </c>
      <c r="V73" t="e">
        <f>VLOOKUP(VALUE(P73),ability!$B:$C,2,FALSE)</f>
        <v>#N/A</v>
      </c>
    </row>
    <row r="74" spans="1:22">
      <c r="A74" s="8"/>
      <c r="B74" s="15">
        <v>69</v>
      </c>
      <c r="C74" s="15">
        <v>48</v>
      </c>
      <c r="D74" s="15">
        <v>1</v>
      </c>
      <c r="E74" s="11" t="s">
        <v>481</v>
      </c>
      <c r="F74" s="11" t="s">
        <v>684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  <c r="Q74" t="e">
        <f>VLOOKUP(VALUE(K74),ability!$B:$C,2,FALSE)</f>
        <v>#N/A</v>
      </c>
      <c r="R74" t="e">
        <f>VLOOKUP(VALUE(L74),ability!$B:$C,2,FALSE)</f>
        <v>#N/A</v>
      </c>
      <c r="S74" t="str">
        <f>VLOOKUP(VALUE(M74),ability!$B:$C,2,FALSE)</f>
        <v>閃光</v>
      </c>
      <c r="T74" t="str">
        <f>VLOOKUP(VALUE(N74),ability!$B:$C,2,FALSE)</f>
        <v>闇の強威</v>
      </c>
      <c r="U74" t="e">
        <f>VLOOKUP(VALUE(O74),ability!$B:$C,2,FALSE)</f>
        <v>#N/A</v>
      </c>
      <c r="V74" t="e">
        <f>VLOOKUP(VALUE(P74),ability!$B:$C,2,FALSE)</f>
        <v>#N/A</v>
      </c>
    </row>
    <row r="75" spans="1:22">
      <c r="A75" s="8"/>
      <c r="B75" s="15">
        <v>70</v>
      </c>
      <c r="C75" s="15">
        <v>7</v>
      </c>
      <c r="D75" s="15">
        <v>1</v>
      </c>
      <c r="E75" s="11" t="s">
        <v>1321</v>
      </c>
      <c r="F75" s="11" t="s">
        <v>685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  <c r="Q75" t="str">
        <f>VLOOKUP(VALUE(K75),ability!$B:$C,2,FALSE)</f>
        <v>雷の波動</v>
      </c>
      <c r="R75" t="e">
        <f>VLOOKUP(VALUE(L75),ability!$B:$C,2,FALSE)</f>
        <v>#N/A</v>
      </c>
      <c r="S75" t="str">
        <f>VLOOKUP(VALUE(M75),ability!$B:$C,2,FALSE)</f>
        <v>閃光</v>
      </c>
      <c r="T75" t="str">
        <f>VLOOKUP(VALUE(N75),ability!$B:$C,2,FALSE)</f>
        <v>高揚</v>
      </c>
      <c r="U75" t="e">
        <f>VLOOKUP(VALUE(O75),ability!$B:$C,2,FALSE)</f>
        <v>#N/A</v>
      </c>
      <c r="V75" t="e">
        <f>VLOOKUP(VALUE(P75),ability!$B:$C,2,FALSE)</f>
        <v>#N/A</v>
      </c>
    </row>
    <row r="76" spans="1:22">
      <c r="A76" s="8"/>
      <c r="B76" s="15">
        <v>71</v>
      </c>
      <c r="C76" s="15">
        <v>12</v>
      </c>
      <c r="D76" s="15">
        <v>1</v>
      </c>
      <c r="E76" s="11" t="s">
        <v>482</v>
      </c>
      <c r="F76" s="11" t="s">
        <v>686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  <c r="Q76" t="e">
        <f>VLOOKUP(VALUE(K76),ability!$B:$C,2,FALSE)</f>
        <v>#N/A</v>
      </c>
      <c r="R76" t="e">
        <f>VLOOKUP(VALUE(L76),ability!$B:$C,2,FALSE)</f>
        <v>#N/A</v>
      </c>
      <c r="S76" t="str">
        <f>VLOOKUP(VALUE(M76),ability!$B:$C,2,FALSE)</f>
        <v>閃光</v>
      </c>
      <c r="T76" t="str">
        <f>VLOOKUP(VALUE(N76),ability!$B:$C,2,FALSE)</f>
        <v>雷の強威</v>
      </c>
      <c r="U76" t="e">
        <f>VLOOKUP(VALUE(O76),ability!$B:$C,2,FALSE)</f>
        <v>#N/A</v>
      </c>
      <c r="V76" t="e">
        <f>VLOOKUP(VALUE(P76),ability!$B:$C,2,FALSE)</f>
        <v>#N/A</v>
      </c>
    </row>
    <row r="77" spans="1:22">
      <c r="A77" s="8"/>
      <c r="B77" s="15">
        <v>72</v>
      </c>
      <c r="C77" s="15">
        <v>47</v>
      </c>
      <c r="D77" s="15">
        <v>1</v>
      </c>
      <c r="E77" s="11" t="s">
        <v>483</v>
      </c>
      <c r="F77" s="11" t="s">
        <v>687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  <c r="Q77" t="e">
        <f>VLOOKUP(VALUE(K77),ability!$B:$C,2,FALSE)</f>
        <v>#N/A</v>
      </c>
      <c r="R77" t="e">
        <f>VLOOKUP(VALUE(L77),ability!$B:$C,2,FALSE)</f>
        <v>#N/A</v>
      </c>
      <c r="S77" t="str">
        <f>VLOOKUP(VALUE(M77),ability!$B:$C,2,FALSE)</f>
        <v>閃光</v>
      </c>
      <c r="T77" t="str">
        <f>VLOOKUP(VALUE(N77),ability!$B:$C,2,FALSE)</f>
        <v>闇の強威</v>
      </c>
      <c r="U77" t="e">
        <f>VLOOKUP(VALUE(O77),ability!$B:$C,2,FALSE)</f>
        <v>#N/A</v>
      </c>
      <c r="V77" t="e">
        <f>VLOOKUP(VALUE(P77),ability!$B:$C,2,FALSE)</f>
        <v>#N/A</v>
      </c>
    </row>
    <row r="78" spans="1:22">
      <c r="A78" s="8"/>
      <c r="B78" s="15">
        <v>73</v>
      </c>
      <c r="C78" s="15">
        <v>24</v>
      </c>
      <c r="D78" s="15">
        <v>1</v>
      </c>
      <c r="E78" s="11" t="s">
        <v>484</v>
      </c>
      <c r="F78" s="11" t="s">
        <v>688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  <c r="Q78" t="e">
        <f>VLOOKUP(VALUE(K78),ability!$B:$C,2,FALSE)</f>
        <v>#N/A</v>
      </c>
      <c r="R78" t="e">
        <f>VLOOKUP(VALUE(L78),ability!$B:$C,2,FALSE)</f>
        <v>#N/A</v>
      </c>
      <c r="S78" t="str">
        <f>VLOOKUP(VALUE(M78),ability!$B:$C,2,FALSE)</f>
        <v>閃光</v>
      </c>
      <c r="T78" t="str">
        <f>VLOOKUP(VALUE(N78),ability!$B:$C,2,FALSE)</f>
        <v>弱化</v>
      </c>
      <c r="U78" t="e">
        <f>VLOOKUP(VALUE(O78),ability!$B:$C,2,FALSE)</f>
        <v>#N/A</v>
      </c>
      <c r="V78" t="e">
        <f>VLOOKUP(VALUE(P78),ability!$B:$C,2,FALSE)</f>
        <v>#N/A</v>
      </c>
    </row>
    <row r="79" spans="1:22">
      <c r="A79" s="8"/>
      <c r="B79" s="15">
        <v>74</v>
      </c>
      <c r="C79" s="15">
        <v>40</v>
      </c>
      <c r="D79" s="15">
        <v>1</v>
      </c>
      <c r="E79" s="11" t="s">
        <v>486</v>
      </c>
      <c r="F79" s="11" t="s">
        <v>689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  <c r="Q79" t="e">
        <f>VLOOKUP(VALUE(K79),ability!$B:$C,2,FALSE)</f>
        <v>#N/A</v>
      </c>
      <c r="R79" t="e">
        <f>VLOOKUP(VALUE(L79),ability!$B:$C,2,FALSE)</f>
        <v>#N/A</v>
      </c>
      <c r="S79" t="str">
        <f>VLOOKUP(VALUE(M79),ability!$B:$C,2,FALSE)</f>
        <v>閃光</v>
      </c>
      <c r="T79" t="str">
        <f>VLOOKUP(VALUE(N79),ability!$B:$C,2,FALSE)</f>
        <v>慈愛の心</v>
      </c>
      <c r="U79" t="e">
        <f>VLOOKUP(VALUE(O79),ability!$B:$C,2,FALSE)</f>
        <v>#N/A</v>
      </c>
      <c r="V79" t="e">
        <f>VLOOKUP(VALUE(P79),ability!$B:$C,2,FALSE)</f>
        <v>#N/A</v>
      </c>
    </row>
    <row r="80" spans="1:22">
      <c r="A80" s="8"/>
      <c r="B80" s="15">
        <v>75</v>
      </c>
      <c r="C80" s="15">
        <v>42</v>
      </c>
      <c r="D80" s="15">
        <v>1</v>
      </c>
      <c r="E80" s="11" t="s">
        <v>485</v>
      </c>
      <c r="F80" s="11" t="s">
        <v>690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  <c r="Q80" t="e">
        <f>VLOOKUP(VALUE(K80),ability!$B:$C,2,FALSE)</f>
        <v>#N/A</v>
      </c>
      <c r="R80" t="e">
        <f>VLOOKUP(VALUE(L80),ability!$B:$C,2,FALSE)</f>
        <v>#N/A</v>
      </c>
      <c r="S80" t="str">
        <f>VLOOKUP(VALUE(M80),ability!$B:$C,2,FALSE)</f>
        <v>閃光</v>
      </c>
      <c r="T80" t="str">
        <f>VLOOKUP(VALUE(N80),ability!$B:$C,2,FALSE)</f>
        <v>侵食</v>
      </c>
      <c r="U80" t="e">
        <f>VLOOKUP(VALUE(O80),ability!$B:$C,2,FALSE)</f>
        <v>#N/A</v>
      </c>
      <c r="V80" t="e">
        <f>VLOOKUP(VALUE(P80),ability!$B:$C,2,FALSE)</f>
        <v>#N/A</v>
      </c>
    </row>
    <row r="81" spans="1:22">
      <c r="A81" s="8"/>
      <c r="B81" s="15">
        <v>76</v>
      </c>
      <c r="C81" s="15">
        <v>18</v>
      </c>
      <c r="D81" s="15">
        <v>1</v>
      </c>
      <c r="E81" s="11" t="s">
        <v>487</v>
      </c>
      <c r="F81" s="11" t="s">
        <v>691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  <c r="Q81" t="str">
        <f>VLOOKUP(VALUE(K81),ability!$B:$C,2,FALSE)</f>
        <v>氷の波動</v>
      </c>
      <c r="R81" t="e">
        <f>VLOOKUP(VALUE(L81),ability!$B:$C,2,FALSE)</f>
        <v>#N/A</v>
      </c>
      <c r="S81" t="str">
        <f>VLOOKUP(VALUE(M81),ability!$B:$C,2,FALSE)</f>
        <v>閃光</v>
      </c>
      <c r="T81" t="str">
        <f>VLOOKUP(VALUE(N81),ability!$B:$C,2,FALSE)</f>
        <v>氷の強威</v>
      </c>
      <c r="U81" t="e">
        <f>VLOOKUP(VALUE(O81),ability!$B:$C,2,FALSE)</f>
        <v>#N/A</v>
      </c>
      <c r="V81" t="e">
        <f>VLOOKUP(VALUE(P81),ability!$B:$C,2,FALSE)</f>
        <v>#N/A</v>
      </c>
    </row>
    <row r="82" spans="1:22">
      <c r="A82" s="8"/>
      <c r="B82" s="15">
        <v>77</v>
      </c>
      <c r="C82" s="15">
        <v>25</v>
      </c>
      <c r="D82" s="15">
        <v>1</v>
      </c>
      <c r="E82" s="11" t="s">
        <v>488</v>
      </c>
      <c r="F82" s="11" t="s">
        <v>692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  <c r="Q82" t="str">
        <f>VLOOKUP(VALUE(K82),ability!$B:$C,2,FALSE)</f>
        <v>火の波動</v>
      </c>
      <c r="R82" t="e">
        <f>VLOOKUP(VALUE(L82),ability!$B:$C,2,FALSE)</f>
        <v>#N/A</v>
      </c>
      <c r="S82" t="str">
        <f>VLOOKUP(VALUE(M82),ability!$B:$C,2,FALSE)</f>
        <v>閃光</v>
      </c>
      <c r="T82" t="str">
        <f>VLOOKUP(VALUE(N82),ability!$B:$C,2,FALSE)</f>
        <v>鋭気</v>
      </c>
      <c r="U82" t="e">
        <f>VLOOKUP(VALUE(O82),ability!$B:$C,2,FALSE)</f>
        <v>#N/A</v>
      </c>
      <c r="V82" t="e">
        <f>VLOOKUP(VALUE(P82),ability!$B:$C,2,FALSE)</f>
        <v>#N/A</v>
      </c>
    </row>
    <row r="83" spans="1:22">
      <c r="A83" s="8"/>
      <c r="B83" s="15">
        <v>78</v>
      </c>
      <c r="C83" s="15">
        <v>15</v>
      </c>
      <c r="D83" s="15">
        <v>1</v>
      </c>
      <c r="E83" s="11" t="s">
        <v>490</v>
      </c>
      <c r="F83" s="11" t="s">
        <v>693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  <c r="Q83" t="e">
        <f>VLOOKUP(VALUE(K83),ability!$B:$C,2,FALSE)</f>
        <v>#N/A</v>
      </c>
      <c r="R83" t="e">
        <f>VLOOKUP(VALUE(L83),ability!$B:$C,2,FALSE)</f>
        <v>#N/A</v>
      </c>
      <c r="S83" t="str">
        <f>VLOOKUP(VALUE(M83),ability!$B:$C,2,FALSE)</f>
        <v>閃光</v>
      </c>
      <c r="T83" t="str">
        <f>VLOOKUP(VALUE(N83),ability!$B:$C,2,FALSE)</f>
        <v>侵食</v>
      </c>
      <c r="U83" t="e">
        <f>VLOOKUP(VALUE(O83),ability!$B:$C,2,FALSE)</f>
        <v>#N/A</v>
      </c>
      <c r="V83" t="e">
        <f>VLOOKUP(VALUE(P83),ability!$B:$C,2,FALSE)</f>
        <v>#N/A</v>
      </c>
    </row>
    <row r="84" spans="1:22">
      <c r="A84" s="8"/>
      <c r="B84" s="15">
        <v>79</v>
      </c>
      <c r="C84" s="15">
        <v>22</v>
      </c>
      <c r="D84" s="15">
        <v>1</v>
      </c>
      <c r="E84" s="11" t="s">
        <v>489</v>
      </c>
      <c r="F84" s="11" t="s">
        <v>694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  <c r="Q84" t="e">
        <f>VLOOKUP(VALUE(K84),ability!$B:$C,2,FALSE)</f>
        <v>#N/A</v>
      </c>
      <c r="R84" t="e">
        <f>VLOOKUP(VALUE(L84),ability!$B:$C,2,FALSE)</f>
        <v>#N/A</v>
      </c>
      <c r="S84" t="str">
        <f>VLOOKUP(VALUE(M84),ability!$B:$C,2,FALSE)</f>
        <v>閃光</v>
      </c>
      <c r="T84" t="str">
        <f>VLOOKUP(VALUE(N84),ability!$B:$C,2,FALSE)</f>
        <v>慈愛の心</v>
      </c>
      <c r="U84" t="e">
        <f>VLOOKUP(VALUE(O84),ability!$B:$C,2,FALSE)</f>
        <v>#N/A</v>
      </c>
      <c r="V84" t="e">
        <f>VLOOKUP(VALUE(P84),ability!$B:$C,2,FALSE)</f>
        <v>#N/A</v>
      </c>
    </row>
    <row r="85" spans="1:22">
      <c r="A85" s="8"/>
      <c r="B85" s="15">
        <v>80</v>
      </c>
      <c r="C85" s="15">
        <v>23</v>
      </c>
      <c r="D85" s="15">
        <v>1</v>
      </c>
      <c r="E85" s="11" t="s">
        <v>491</v>
      </c>
      <c r="F85" s="11" t="s">
        <v>695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  <c r="Q85" t="e">
        <f>VLOOKUP(VALUE(K85),ability!$B:$C,2,FALSE)</f>
        <v>#N/A</v>
      </c>
      <c r="R85" t="e">
        <f>VLOOKUP(VALUE(L85),ability!$B:$C,2,FALSE)</f>
        <v>#N/A</v>
      </c>
      <c r="S85" t="str">
        <f>VLOOKUP(VALUE(M85),ability!$B:$C,2,FALSE)</f>
        <v>閃光</v>
      </c>
      <c r="T85" t="str">
        <f>VLOOKUP(VALUE(N85),ability!$B:$C,2,FALSE)</f>
        <v>決心</v>
      </c>
      <c r="U85" t="e">
        <f>VLOOKUP(VALUE(O85),ability!$B:$C,2,FALSE)</f>
        <v>#N/A</v>
      </c>
      <c r="V85" t="e">
        <f>VLOOKUP(VALUE(P85),ability!$B:$C,2,FALSE)</f>
        <v>#N/A</v>
      </c>
    </row>
    <row r="86" spans="1:22">
      <c r="A86" s="8"/>
      <c r="B86" s="15">
        <v>81</v>
      </c>
      <c r="C86" s="15">
        <v>6</v>
      </c>
      <c r="D86" s="15">
        <v>1</v>
      </c>
      <c r="E86" s="11" t="s">
        <v>492</v>
      </c>
      <c r="F86" s="11" t="s">
        <v>696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  <c r="Q86" t="str">
        <f>VLOOKUP(VALUE(K86),ability!$B:$C,2,FALSE)</f>
        <v>光の波動</v>
      </c>
      <c r="R86" t="e">
        <f>VLOOKUP(VALUE(L86),ability!$B:$C,2,FALSE)</f>
        <v>#N/A</v>
      </c>
      <c r="S86" t="str">
        <f>VLOOKUP(VALUE(M86),ability!$B:$C,2,FALSE)</f>
        <v>閃光</v>
      </c>
      <c r="T86" t="str">
        <f>VLOOKUP(VALUE(N86),ability!$B:$C,2,FALSE)</f>
        <v>恵風</v>
      </c>
      <c r="U86" t="e">
        <f>VLOOKUP(VALUE(O86),ability!$B:$C,2,FALSE)</f>
        <v>#N/A</v>
      </c>
      <c r="V86" t="e">
        <f>VLOOKUP(VALUE(P86),ability!$B:$C,2,FALSE)</f>
        <v>#N/A</v>
      </c>
    </row>
    <row r="87" spans="1:22">
      <c r="A87" s="8"/>
      <c r="B87" s="15">
        <v>82</v>
      </c>
      <c r="C87" s="15">
        <v>43</v>
      </c>
      <c r="D87" s="15">
        <v>1</v>
      </c>
      <c r="E87" s="11" t="s">
        <v>493</v>
      </c>
      <c r="F87" s="11" t="s">
        <v>697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  <c r="Q87" t="str">
        <f>VLOOKUP(VALUE(K87),ability!$B:$C,2,FALSE)</f>
        <v>闇の波動</v>
      </c>
      <c r="R87" t="e">
        <f>VLOOKUP(VALUE(L87),ability!$B:$C,2,FALSE)</f>
        <v>#N/A</v>
      </c>
      <c r="S87" t="str">
        <f>VLOOKUP(VALUE(M87),ability!$B:$C,2,FALSE)</f>
        <v>閃光</v>
      </c>
      <c r="T87" t="str">
        <f>VLOOKUP(VALUE(N87),ability!$B:$C,2,FALSE)</f>
        <v>闇の強威</v>
      </c>
      <c r="U87" t="e">
        <f>VLOOKUP(VALUE(O87),ability!$B:$C,2,FALSE)</f>
        <v>#N/A</v>
      </c>
      <c r="V87" t="e">
        <f>VLOOKUP(VALUE(P87),ability!$B:$C,2,FALSE)</f>
        <v>#N/A</v>
      </c>
    </row>
    <row r="88" spans="1:22">
      <c r="A88" s="8"/>
      <c r="B88" s="15">
        <v>83</v>
      </c>
      <c r="C88" s="15">
        <v>4</v>
      </c>
      <c r="D88" s="15">
        <v>1</v>
      </c>
      <c r="E88" s="11" t="s">
        <v>494</v>
      </c>
      <c r="F88" s="11" t="s">
        <v>698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  <c r="Q88" t="str">
        <f>VLOOKUP(VALUE(K88),ability!$B:$C,2,FALSE)</f>
        <v>光の波動</v>
      </c>
      <c r="R88" t="e">
        <f>VLOOKUP(VALUE(L88),ability!$B:$C,2,FALSE)</f>
        <v>#N/A</v>
      </c>
      <c r="S88" t="str">
        <f>VLOOKUP(VALUE(M88),ability!$B:$C,2,FALSE)</f>
        <v>閃光</v>
      </c>
      <c r="T88" t="str">
        <f>VLOOKUP(VALUE(N88),ability!$B:$C,2,FALSE)</f>
        <v>気転</v>
      </c>
      <c r="U88" t="e">
        <f>VLOOKUP(VALUE(O88),ability!$B:$C,2,FALSE)</f>
        <v>#N/A</v>
      </c>
      <c r="V88" t="e">
        <f>VLOOKUP(VALUE(P88),ability!$B:$C,2,FALSE)</f>
        <v>#N/A</v>
      </c>
    </row>
    <row r="89" spans="1:22">
      <c r="A89" s="8"/>
      <c r="B89" s="15">
        <v>84</v>
      </c>
      <c r="C89" s="15">
        <v>5</v>
      </c>
      <c r="D89" s="15">
        <v>1</v>
      </c>
      <c r="E89" s="11" t="s">
        <v>495</v>
      </c>
      <c r="F89" s="11" t="s">
        <v>699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  <c r="Q89" t="str">
        <f>VLOOKUP(VALUE(K89),ability!$B:$C,2,FALSE)</f>
        <v>光の波動</v>
      </c>
      <c r="R89" t="e">
        <f>VLOOKUP(VALUE(L89),ability!$B:$C,2,FALSE)</f>
        <v>#N/A</v>
      </c>
      <c r="S89" t="str">
        <f>VLOOKUP(VALUE(M89),ability!$B:$C,2,FALSE)</f>
        <v>閃光</v>
      </c>
      <c r="T89" t="str">
        <f>VLOOKUP(VALUE(N89),ability!$B:$C,2,FALSE)</f>
        <v>光の強威</v>
      </c>
      <c r="U89" t="e">
        <f>VLOOKUP(VALUE(O89),ability!$B:$C,2,FALSE)</f>
        <v>#N/A</v>
      </c>
      <c r="V89" t="e">
        <f>VLOOKUP(VALUE(P89),ability!$B:$C,2,FALSE)</f>
        <v>#N/A</v>
      </c>
    </row>
    <row r="90" spans="1:22">
      <c r="A90" s="8"/>
      <c r="B90" s="15">
        <v>85</v>
      </c>
      <c r="C90" s="15">
        <v>35</v>
      </c>
      <c r="D90" s="15">
        <v>1</v>
      </c>
      <c r="E90" s="11" t="s">
        <v>496</v>
      </c>
      <c r="F90" s="11" t="s">
        <v>700</v>
      </c>
      <c r="G90" s="15">
        <v>1</v>
      </c>
      <c r="H90" s="15">
        <v>0</v>
      </c>
      <c r="I90" s="15"/>
      <c r="J90" s="15">
        <v>1</v>
      </c>
      <c r="K90" s="15">
        <v>1007</v>
      </c>
      <c r="L90" s="15"/>
      <c r="M90" s="15">
        <v>1101</v>
      </c>
      <c r="N90" s="15">
        <v>208</v>
      </c>
      <c r="O90" s="15"/>
      <c r="P90" s="15"/>
      <c r="Q90" t="str">
        <f>VLOOKUP(VALUE(K90),ability!$B:$C,2,FALSE)</f>
        <v>機敏</v>
      </c>
      <c r="R90" t="e">
        <f>VLOOKUP(VALUE(L90),ability!$B:$C,2,FALSE)</f>
        <v>#N/A</v>
      </c>
      <c r="S90" t="str">
        <f>VLOOKUP(VALUE(M90),ability!$B:$C,2,FALSE)</f>
        <v>閃光</v>
      </c>
      <c r="T90" t="str">
        <f>VLOOKUP(VALUE(N90),ability!$B:$C,2,FALSE)</f>
        <v>怒涛</v>
      </c>
      <c r="U90" t="e">
        <f>VLOOKUP(VALUE(O90),ability!$B:$C,2,FALSE)</f>
        <v>#N/A</v>
      </c>
      <c r="V90" t="e">
        <f>VLOOKUP(VALUE(P90),ability!$B:$C,2,FALSE)</f>
        <v>#N/A</v>
      </c>
    </row>
    <row r="91" spans="1:22">
      <c r="A91" s="8"/>
      <c r="B91" s="15">
        <v>86</v>
      </c>
      <c r="C91" s="15">
        <v>45</v>
      </c>
      <c r="D91" s="15">
        <v>1</v>
      </c>
      <c r="E91" s="11" t="s">
        <v>498</v>
      </c>
      <c r="F91" s="11" t="s">
        <v>701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  <c r="Q91" t="e">
        <f>VLOOKUP(VALUE(K91),ability!$B:$C,2,FALSE)</f>
        <v>#N/A</v>
      </c>
      <c r="R91" t="e">
        <f>VLOOKUP(VALUE(L91),ability!$B:$C,2,FALSE)</f>
        <v>#N/A</v>
      </c>
      <c r="S91" t="str">
        <f>VLOOKUP(VALUE(M91),ability!$B:$C,2,FALSE)</f>
        <v>閃光</v>
      </c>
      <c r="T91" t="str">
        <f>VLOOKUP(VALUE(N91),ability!$B:$C,2,FALSE)</f>
        <v>侵食</v>
      </c>
      <c r="U91" t="e">
        <f>VLOOKUP(VALUE(O91),ability!$B:$C,2,FALSE)</f>
        <v>#N/A</v>
      </c>
      <c r="V91" t="e">
        <f>VLOOKUP(VALUE(P91),ability!$B:$C,2,FALSE)</f>
        <v>#N/A</v>
      </c>
    </row>
    <row r="92" spans="1:22">
      <c r="A92" s="8"/>
      <c r="B92" s="15">
        <v>87</v>
      </c>
      <c r="C92" s="15">
        <v>31</v>
      </c>
      <c r="D92" s="15">
        <v>1</v>
      </c>
      <c r="E92" s="11" t="s">
        <v>497</v>
      </c>
      <c r="F92" s="11" t="s">
        <v>702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  <c r="Q92" t="e">
        <f>VLOOKUP(VALUE(K92),ability!$B:$C,2,FALSE)</f>
        <v>#N/A</v>
      </c>
      <c r="R92" t="e">
        <f>VLOOKUP(VALUE(L92),ability!$B:$C,2,FALSE)</f>
        <v>#N/A</v>
      </c>
      <c r="S92" t="str">
        <f>VLOOKUP(VALUE(M92),ability!$B:$C,2,FALSE)</f>
        <v>閃光</v>
      </c>
      <c r="T92" t="str">
        <f>VLOOKUP(VALUE(N92),ability!$B:$C,2,FALSE)</f>
        <v>恵風</v>
      </c>
      <c r="U92" t="e">
        <f>VLOOKUP(VALUE(O92),ability!$B:$C,2,FALSE)</f>
        <v>#N/A</v>
      </c>
      <c r="V92" t="e">
        <f>VLOOKUP(VALUE(P92),ability!$B:$C,2,FALSE)</f>
        <v>#N/A</v>
      </c>
    </row>
    <row r="93" spans="1:22">
      <c r="A93" s="8"/>
      <c r="B93" s="15">
        <v>88</v>
      </c>
      <c r="C93" s="15">
        <v>2</v>
      </c>
      <c r="D93" s="15">
        <v>1</v>
      </c>
      <c r="E93" s="11" t="s">
        <v>499</v>
      </c>
      <c r="F93" s="11" t="s">
        <v>703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  <c r="Q93" t="e">
        <f>VLOOKUP(VALUE(K93),ability!$B:$C,2,FALSE)</f>
        <v>#N/A</v>
      </c>
      <c r="R93" t="e">
        <f>VLOOKUP(VALUE(L93),ability!$B:$C,2,FALSE)</f>
        <v>#N/A</v>
      </c>
      <c r="S93" t="str">
        <f>VLOOKUP(VALUE(M93),ability!$B:$C,2,FALSE)</f>
        <v>閃光</v>
      </c>
      <c r="T93" t="str">
        <f>VLOOKUP(VALUE(N93),ability!$B:$C,2,FALSE)</f>
        <v>強烈</v>
      </c>
      <c r="U93" t="e">
        <f>VLOOKUP(VALUE(O93),ability!$B:$C,2,FALSE)</f>
        <v>#N/A</v>
      </c>
      <c r="V93" t="e">
        <f>VLOOKUP(VALUE(P93),ability!$B:$C,2,FALSE)</f>
        <v>#N/A</v>
      </c>
    </row>
    <row r="94" spans="1:22">
      <c r="A94" s="8"/>
      <c r="B94" s="15">
        <v>89</v>
      </c>
      <c r="C94" s="15">
        <v>26</v>
      </c>
      <c r="D94" s="15">
        <v>1</v>
      </c>
      <c r="E94" s="11" t="s">
        <v>501</v>
      </c>
      <c r="F94" s="11" t="s">
        <v>704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  <c r="Q94" t="e">
        <f>VLOOKUP(VALUE(K94),ability!$B:$C,2,FALSE)</f>
        <v>#N/A</v>
      </c>
      <c r="R94" t="e">
        <f>VLOOKUP(VALUE(L94),ability!$B:$C,2,FALSE)</f>
        <v>#N/A</v>
      </c>
      <c r="S94" t="str">
        <f>VLOOKUP(VALUE(M94),ability!$B:$C,2,FALSE)</f>
        <v>閃光</v>
      </c>
      <c r="T94" t="str">
        <f>VLOOKUP(VALUE(N94),ability!$B:$C,2,FALSE)</f>
        <v>光の采配</v>
      </c>
      <c r="U94" t="e">
        <f>VLOOKUP(VALUE(O94),ability!$B:$C,2,FALSE)</f>
        <v>#N/A</v>
      </c>
      <c r="V94" t="e">
        <f>VLOOKUP(VALUE(P94),ability!$B:$C,2,FALSE)</f>
        <v>#N/A</v>
      </c>
    </row>
    <row r="95" spans="1:22">
      <c r="A95" s="8"/>
      <c r="B95" s="15">
        <v>90</v>
      </c>
      <c r="C95" s="15">
        <v>29</v>
      </c>
      <c r="D95" s="15">
        <v>1</v>
      </c>
      <c r="E95" s="11" t="s">
        <v>500</v>
      </c>
      <c r="F95" s="11" t="s">
        <v>705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  <c r="Q95" t="e">
        <f>VLOOKUP(VALUE(K95),ability!$B:$C,2,FALSE)</f>
        <v>#N/A</v>
      </c>
      <c r="R95" t="e">
        <f>VLOOKUP(VALUE(L95),ability!$B:$C,2,FALSE)</f>
        <v>#N/A</v>
      </c>
      <c r="S95" t="str">
        <f>VLOOKUP(VALUE(M95),ability!$B:$C,2,FALSE)</f>
        <v>閃光</v>
      </c>
      <c r="T95" t="str">
        <f>VLOOKUP(VALUE(N95),ability!$B:$C,2,FALSE)</f>
        <v>侵食</v>
      </c>
      <c r="U95" t="e">
        <f>VLOOKUP(VALUE(O95),ability!$B:$C,2,FALSE)</f>
        <v>#N/A</v>
      </c>
      <c r="V95" t="e">
        <f>VLOOKUP(VALUE(P95),ability!$B:$C,2,FALSE)</f>
        <v>#N/A</v>
      </c>
    </row>
    <row r="96" spans="1:22">
      <c r="A96" s="8"/>
      <c r="B96" s="15">
        <v>91</v>
      </c>
      <c r="C96" s="15">
        <v>17</v>
      </c>
      <c r="D96" s="15">
        <v>1</v>
      </c>
      <c r="E96" s="11" t="s">
        <v>502</v>
      </c>
      <c r="F96" s="11" t="s">
        <v>706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  <c r="Q96" t="str">
        <f>VLOOKUP(VALUE(K96),ability!$B:$C,2,FALSE)</f>
        <v>闇の波動</v>
      </c>
      <c r="R96" t="e">
        <f>VLOOKUP(VALUE(L96),ability!$B:$C,2,FALSE)</f>
        <v>#N/A</v>
      </c>
      <c r="S96" t="str">
        <f>VLOOKUP(VALUE(M96),ability!$B:$C,2,FALSE)</f>
        <v>閃光</v>
      </c>
      <c r="T96" t="str">
        <f>VLOOKUP(VALUE(N96),ability!$B:$C,2,FALSE)</f>
        <v>闇の強威</v>
      </c>
      <c r="U96" t="e">
        <f>VLOOKUP(VALUE(O96),ability!$B:$C,2,FALSE)</f>
        <v>#N/A</v>
      </c>
      <c r="V96" t="e">
        <f>VLOOKUP(VALUE(P96),ability!$B:$C,2,FALSE)</f>
        <v>#N/A</v>
      </c>
    </row>
    <row r="97" spans="1:22">
      <c r="A97" s="8"/>
      <c r="B97" s="15">
        <v>92</v>
      </c>
      <c r="C97" s="15">
        <v>38</v>
      </c>
      <c r="D97" s="15">
        <v>1</v>
      </c>
      <c r="E97" s="11" t="s">
        <v>503</v>
      </c>
      <c r="F97" s="11" t="s">
        <v>707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  <c r="Q97" t="e">
        <f>VLOOKUP(VALUE(K97),ability!$B:$C,2,FALSE)</f>
        <v>#N/A</v>
      </c>
      <c r="R97" t="e">
        <f>VLOOKUP(VALUE(L97),ability!$B:$C,2,FALSE)</f>
        <v>#N/A</v>
      </c>
      <c r="S97" t="str">
        <f>VLOOKUP(VALUE(M97),ability!$B:$C,2,FALSE)</f>
        <v>閃光</v>
      </c>
      <c r="T97" t="str">
        <f>VLOOKUP(VALUE(N97),ability!$B:$C,2,FALSE)</f>
        <v>雷の采配</v>
      </c>
      <c r="U97" t="e">
        <f>VLOOKUP(VALUE(O97),ability!$B:$C,2,FALSE)</f>
        <v>#N/A</v>
      </c>
      <c r="V97" t="e">
        <f>VLOOKUP(VALUE(P97),ability!$B:$C,2,FALSE)</f>
        <v>#N/A</v>
      </c>
    </row>
    <row r="98" spans="1:22">
      <c r="A98" s="8"/>
      <c r="B98" s="15">
        <v>93</v>
      </c>
      <c r="C98" s="15">
        <v>44</v>
      </c>
      <c r="D98" s="15">
        <v>1</v>
      </c>
      <c r="E98" s="11" t="s">
        <v>535</v>
      </c>
      <c r="F98" s="11" t="s">
        <v>708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  <c r="Q98" t="str">
        <f>VLOOKUP(VALUE(K98),ability!$B:$C,2,FALSE)</f>
        <v>戦勲</v>
      </c>
      <c r="R98" t="e">
        <f>VLOOKUP(VALUE(L98),ability!$B:$C,2,FALSE)</f>
        <v>#N/A</v>
      </c>
      <c r="S98" t="str">
        <f>VLOOKUP(VALUE(M98),ability!$B:$C,2,FALSE)</f>
        <v>閃光</v>
      </c>
      <c r="T98" t="str">
        <f>VLOOKUP(VALUE(N98),ability!$B:$C,2,FALSE)</f>
        <v>光の強威</v>
      </c>
      <c r="U98" t="e">
        <f>VLOOKUP(VALUE(O98),ability!$B:$C,2,FALSE)</f>
        <v>#N/A</v>
      </c>
      <c r="V98" t="e">
        <f>VLOOKUP(VALUE(P98),ability!$B:$C,2,FALSE)</f>
        <v>#N/A</v>
      </c>
    </row>
    <row r="99" spans="1:22">
      <c r="A99" s="8"/>
      <c r="B99" s="15">
        <v>94</v>
      </c>
      <c r="C99" s="15">
        <v>47</v>
      </c>
      <c r="D99" s="15">
        <v>1</v>
      </c>
      <c r="E99" s="11" t="s">
        <v>534</v>
      </c>
      <c r="F99" s="11" t="s">
        <v>709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  <c r="Q99" t="e">
        <f>VLOOKUP(VALUE(K99),ability!$B:$C,2,FALSE)</f>
        <v>#N/A</v>
      </c>
      <c r="R99" t="e">
        <f>VLOOKUP(VALUE(L99),ability!$B:$C,2,FALSE)</f>
        <v>#N/A</v>
      </c>
      <c r="S99" t="str">
        <f>VLOOKUP(VALUE(M99),ability!$B:$C,2,FALSE)</f>
        <v>閃光</v>
      </c>
      <c r="T99" t="str">
        <f>VLOOKUP(VALUE(N99),ability!$B:$C,2,FALSE)</f>
        <v>俊敏</v>
      </c>
      <c r="U99" t="e">
        <f>VLOOKUP(VALUE(O99),ability!$B:$C,2,FALSE)</f>
        <v>#N/A</v>
      </c>
      <c r="V99" t="e">
        <f>VLOOKUP(VALUE(P99),ability!$B:$C,2,FALSE)</f>
        <v>#N/A</v>
      </c>
    </row>
    <row r="100" spans="1:22">
      <c r="A100" s="8"/>
      <c r="B100" s="15">
        <v>95</v>
      </c>
      <c r="C100" s="15">
        <v>41</v>
      </c>
      <c r="D100" s="15">
        <v>1</v>
      </c>
      <c r="E100" s="11" t="s">
        <v>573</v>
      </c>
      <c r="F100" s="11" t="s">
        <v>710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  <c r="Q100" t="str">
        <f>VLOOKUP(VALUE(K100),ability!$B:$C,2,FALSE)</f>
        <v>戦士の祝福</v>
      </c>
      <c r="R100" t="e">
        <f>VLOOKUP(VALUE(L100),ability!$B:$C,2,FALSE)</f>
        <v>#N/A</v>
      </c>
      <c r="S100" t="str">
        <f>VLOOKUP(VALUE(M100),ability!$B:$C,2,FALSE)</f>
        <v>閃光</v>
      </c>
      <c r="T100" t="str">
        <f>VLOOKUP(VALUE(N100),ability!$B:$C,2,FALSE)</f>
        <v>雷の強威</v>
      </c>
      <c r="U100" t="e">
        <f>VLOOKUP(VALUE(O100),ability!$B:$C,2,FALSE)</f>
        <v>#N/A</v>
      </c>
      <c r="V100" t="e">
        <f>VLOOKUP(VALUE(P100),ability!$B:$C,2,FALSE)</f>
        <v>#N/A</v>
      </c>
    </row>
    <row r="101" spans="1:22">
      <c r="A101" s="8"/>
      <c r="B101" s="15">
        <v>96</v>
      </c>
      <c r="C101" s="15">
        <v>42</v>
      </c>
      <c r="D101" s="15">
        <v>1</v>
      </c>
      <c r="E101" s="11" t="s">
        <v>574</v>
      </c>
      <c r="F101" s="11" t="s">
        <v>711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  <c r="Q101" t="str">
        <f>VLOOKUP(VALUE(K101),ability!$B:$C,2,FALSE)</f>
        <v>雷の波動</v>
      </c>
      <c r="R101" t="e">
        <f>VLOOKUP(VALUE(L101),ability!$B:$C,2,FALSE)</f>
        <v>#N/A</v>
      </c>
      <c r="S101" t="str">
        <f>VLOOKUP(VALUE(M101),ability!$B:$C,2,FALSE)</f>
        <v>閃光</v>
      </c>
      <c r="T101" t="str">
        <f>VLOOKUP(VALUE(N101),ability!$B:$C,2,FALSE)</f>
        <v>雷の制圧</v>
      </c>
      <c r="U101" t="e">
        <f>VLOOKUP(VALUE(O101),ability!$B:$C,2,FALSE)</f>
        <v>#N/A</v>
      </c>
      <c r="V101" t="e">
        <f>VLOOKUP(VALUE(P101),ability!$B:$C,2,FALSE)</f>
        <v>#N/A</v>
      </c>
    </row>
    <row r="102" spans="1:22">
      <c r="A102" s="8"/>
      <c r="B102" s="15">
        <v>97</v>
      </c>
      <c r="C102" s="15">
        <v>19</v>
      </c>
      <c r="D102" s="15">
        <v>1</v>
      </c>
      <c r="E102" s="11" t="s">
        <v>1322</v>
      </c>
      <c r="F102" s="11" t="s">
        <v>712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  <c r="Q102" t="str">
        <f>VLOOKUP(VALUE(K102),ability!$B:$C,2,FALSE)</f>
        <v>氷の波動</v>
      </c>
      <c r="R102" t="e">
        <f>VLOOKUP(VALUE(L102),ability!$B:$C,2,FALSE)</f>
        <v>#N/A</v>
      </c>
      <c r="S102" t="str">
        <f>VLOOKUP(VALUE(M102),ability!$B:$C,2,FALSE)</f>
        <v>閃光</v>
      </c>
      <c r="T102" t="str">
        <f>VLOOKUP(VALUE(N102),ability!$B:$C,2,FALSE)</f>
        <v>氷の強威</v>
      </c>
      <c r="U102" t="e">
        <f>VLOOKUP(VALUE(O102),ability!$B:$C,2,FALSE)</f>
        <v>#N/A</v>
      </c>
      <c r="V102" t="e">
        <f>VLOOKUP(VALUE(P102),ability!$B:$C,2,FALSE)</f>
        <v>#N/A</v>
      </c>
    </row>
    <row r="103" spans="1:22">
      <c r="A103" s="8"/>
      <c r="B103" s="15">
        <v>98</v>
      </c>
      <c r="C103" s="15">
        <v>23</v>
      </c>
      <c r="D103" s="15">
        <v>1</v>
      </c>
      <c r="E103" s="11" t="s">
        <v>1323</v>
      </c>
      <c r="F103" s="11" t="s">
        <v>713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  <c r="Q103" t="str">
        <f>VLOOKUP(VALUE(K103),ability!$B:$C,2,FALSE)</f>
        <v>氷の波動</v>
      </c>
      <c r="R103" t="e">
        <f>VLOOKUP(VALUE(L103),ability!$B:$C,2,FALSE)</f>
        <v>#N/A</v>
      </c>
      <c r="S103" t="str">
        <f>VLOOKUP(VALUE(M103),ability!$B:$C,2,FALSE)</f>
        <v>閃光</v>
      </c>
      <c r="T103" t="str">
        <f>VLOOKUP(VALUE(N103),ability!$B:$C,2,FALSE)</f>
        <v>氷の強威</v>
      </c>
      <c r="U103" t="e">
        <f>VLOOKUP(VALUE(O103),ability!$B:$C,2,FALSE)</f>
        <v>#N/A</v>
      </c>
      <c r="V103" t="e">
        <f>VLOOKUP(VALUE(P103),ability!$B:$C,2,FALSE)</f>
        <v>#N/A</v>
      </c>
    </row>
    <row r="104" spans="1:22">
      <c r="A104" s="8"/>
      <c r="B104" s="15">
        <v>99</v>
      </c>
      <c r="C104" s="15">
        <v>3</v>
      </c>
      <c r="D104" s="15">
        <v>1</v>
      </c>
      <c r="E104" s="11" t="s">
        <v>603</v>
      </c>
      <c r="F104" s="11" t="s">
        <v>714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  <c r="Q104" t="str">
        <f>VLOOKUP(VALUE(K104),ability!$B:$C,2,FALSE)</f>
        <v>闇の波動</v>
      </c>
      <c r="R104" t="e">
        <f>VLOOKUP(VALUE(L104),ability!$B:$C,2,FALSE)</f>
        <v>#N/A</v>
      </c>
      <c r="S104" t="str">
        <f>VLOOKUP(VALUE(M104),ability!$B:$C,2,FALSE)</f>
        <v>閃光</v>
      </c>
      <c r="T104" t="str">
        <f>VLOOKUP(VALUE(N104),ability!$B:$C,2,FALSE)</f>
        <v>サイキックハイ</v>
      </c>
      <c r="U104" t="e">
        <f>VLOOKUP(VALUE(O104),ability!$B:$C,2,FALSE)</f>
        <v>#N/A</v>
      </c>
      <c r="V104" t="e">
        <f>VLOOKUP(VALUE(P104),ability!$B:$C,2,FALSE)</f>
        <v>#N/A</v>
      </c>
    </row>
    <row r="105" spans="1:22">
      <c r="A105" s="8"/>
      <c r="B105" s="15">
        <v>100</v>
      </c>
      <c r="C105" s="15">
        <v>6</v>
      </c>
      <c r="D105" s="15">
        <v>1</v>
      </c>
      <c r="E105" s="11" t="s">
        <v>602</v>
      </c>
      <c r="F105" s="11" t="s">
        <v>715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  <c r="Q105" t="str">
        <f>VLOOKUP(VALUE(K105),ability!$B:$C,2,FALSE)</f>
        <v>万物の波動</v>
      </c>
      <c r="R105" t="e">
        <f>VLOOKUP(VALUE(L105),ability!$B:$C,2,FALSE)</f>
        <v>#N/A</v>
      </c>
      <c r="S105" t="str">
        <f>VLOOKUP(VALUE(M105),ability!$B:$C,2,FALSE)</f>
        <v>閃光</v>
      </c>
      <c r="T105" t="str">
        <f>VLOOKUP(VALUE(N105),ability!$B:$C,2,FALSE)</f>
        <v>俊敏</v>
      </c>
      <c r="U105" t="e">
        <f>VLOOKUP(VALUE(O105),ability!$B:$C,2,FALSE)</f>
        <v>#N/A</v>
      </c>
      <c r="V105" t="e">
        <f>VLOOKUP(VALUE(P105),ability!$B:$C,2,FALSE)</f>
        <v>#N/A</v>
      </c>
    </row>
    <row r="106" spans="1:22">
      <c r="A106" s="8"/>
      <c r="B106" s="15">
        <v>101</v>
      </c>
      <c r="C106" s="15">
        <v>7</v>
      </c>
      <c r="D106" s="15">
        <v>1</v>
      </c>
      <c r="E106" s="11" t="s">
        <v>1324</v>
      </c>
      <c r="F106" s="11" t="s">
        <v>753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/>
      <c r="M106" s="15">
        <v>1101</v>
      </c>
      <c r="N106" s="15">
        <v>1103</v>
      </c>
      <c r="O106" s="15"/>
      <c r="P106" s="15"/>
      <c r="Q106" t="str">
        <f>VLOOKUP(VALUE(K106),ability!$B:$C,2,FALSE)</f>
        <v>火炎の護り</v>
      </c>
      <c r="R106" t="e">
        <f>VLOOKUP(VALUE(L106),ability!$B:$C,2,FALSE)</f>
        <v>#N/A</v>
      </c>
      <c r="S106" t="str">
        <f>VLOOKUP(VALUE(M106),ability!$B:$C,2,FALSE)</f>
        <v>閃光</v>
      </c>
      <c r="T106" t="str">
        <f>VLOOKUP(VALUE(N106),ability!$B:$C,2,FALSE)</f>
        <v>向上心</v>
      </c>
      <c r="U106" t="e">
        <f>VLOOKUP(VALUE(O106),ability!$B:$C,2,FALSE)</f>
        <v>#N/A</v>
      </c>
      <c r="V106" t="e">
        <f>VLOOKUP(VALUE(P106),ability!$B:$C,2,FALSE)</f>
        <v>#N/A</v>
      </c>
    </row>
    <row r="107" spans="1:22">
      <c r="A107" s="8"/>
      <c r="B107" s="15">
        <v>102</v>
      </c>
      <c r="C107" s="15">
        <v>8</v>
      </c>
      <c r="D107" s="15">
        <v>1</v>
      </c>
      <c r="E107" s="11" t="s">
        <v>1325</v>
      </c>
      <c r="F107" s="11" t="s">
        <v>754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  <c r="Q107" t="str">
        <f>VLOOKUP(VALUE(K107),ability!$B:$C,2,FALSE)</f>
        <v>火炎の極意</v>
      </c>
      <c r="R107" t="e">
        <f>VLOOKUP(VALUE(L107),ability!$B:$C,2,FALSE)</f>
        <v>#N/A</v>
      </c>
      <c r="S107" t="str">
        <f>VLOOKUP(VALUE(M107),ability!$B:$C,2,FALSE)</f>
        <v>閃光</v>
      </c>
      <c r="T107" t="str">
        <f>VLOOKUP(VALUE(N107),ability!$B:$C,2,FALSE)</f>
        <v>火の強威</v>
      </c>
      <c r="U107" t="e">
        <f>VLOOKUP(VALUE(O107),ability!$B:$C,2,FALSE)</f>
        <v>#N/A</v>
      </c>
      <c r="V107" t="e">
        <f>VLOOKUP(VALUE(P107),ability!$B:$C,2,FALSE)</f>
        <v>#N/A</v>
      </c>
    </row>
    <row r="108" spans="1:22">
      <c r="A108" s="8"/>
      <c r="B108" s="15">
        <v>103</v>
      </c>
      <c r="C108" s="15">
        <v>28</v>
      </c>
      <c r="D108" s="15">
        <v>1</v>
      </c>
      <c r="E108" s="11" t="s">
        <v>1326</v>
      </c>
      <c r="F108" s="11" t="s">
        <v>756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  <c r="Q108" t="e">
        <f>VLOOKUP(VALUE(K108),ability!$B:$C,2,FALSE)</f>
        <v>#N/A</v>
      </c>
      <c r="R108" t="e">
        <f>VLOOKUP(VALUE(L108),ability!$B:$C,2,FALSE)</f>
        <v>#N/A</v>
      </c>
      <c r="S108" t="str">
        <f>VLOOKUP(VALUE(M108),ability!$B:$C,2,FALSE)</f>
        <v>後閃</v>
      </c>
      <c r="T108" t="str">
        <f>VLOOKUP(VALUE(N108),ability!$B:$C,2,FALSE)</f>
        <v>光の応援</v>
      </c>
      <c r="U108" t="e">
        <f>VLOOKUP(VALUE(O108),ability!$B:$C,2,FALSE)</f>
        <v>#N/A</v>
      </c>
      <c r="V108" t="e">
        <f>VLOOKUP(VALUE(P108),ability!$B:$C,2,FALSE)</f>
        <v>#N/A</v>
      </c>
    </row>
    <row r="109" spans="1:22">
      <c r="A109" s="8"/>
      <c r="B109" s="15">
        <v>104</v>
      </c>
      <c r="C109" s="15">
        <v>30</v>
      </c>
      <c r="D109" s="15">
        <v>1</v>
      </c>
      <c r="E109" s="11" t="s">
        <v>1327</v>
      </c>
      <c r="F109" s="11" t="s">
        <v>757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  <c r="Q109" t="e">
        <f>VLOOKUP(VALUE(K109),ability!$B:$C,2,FALSE)</f>
        <v>#N/A</v>
      </c>
      <c r="R109" t="e">
        <f>VLOOKUP(VALUE(L109),ability!$B:$C,2,FALSE)</f>
        <v>#N/A</v>
      </c>
      <c r="S109" t="str">
        <f>VLOOKUP(VALUE(M109),ability!$B:$C,2,FALSE)</f>
        <v>後閃</v>
      </c>
      <c r="T109" t="str">
        <f>VLOOKUP(VALUE(N109),ability!$B:$C,2,FALSE)</f>
        <v>後方救護</v>
      </c>
      <c r="U109" t="e">
        <f>VLOOKUP(VALUE(O109),ability!$B:$C,2,FALSE)</f>
        <v>#N/A</v>
      </c>
      <c r="V109" t="e">
        <f>VLOOKUP(VALUE(P109),ability!$B:$C,2,FALSE)</f>
        <v>#N/A</v>
      </c>
    </row>
    <row r="110" spans="1:22">
      <c r="A110" s="8"/>
      <c r="B110" s="15">
        <v>105</v>
      </c>
      <c r="C110" s="15">
        <v>101</v>
      </c>
      <c r="D110" s="15">
        <v>1</v>
      </c>
      <c r="E110" s="11" t="s">
        <v>1328</v>
      </c>
      <c r="F110" s="11" t="s">
        <v>830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  <c r="Q110" t="str">
        <f>VLOOKUP(VALUE(K110),ability!$B:$C,2,FALSE)</f>
        <v>氷の波動</v>
      </c>
      <c r="R110" t="e">
        <f>VLOOKUP(VALUE(L110),ability!$B:$C,2,FALSE)</f>
        <v>#N/A</v>
      </c>
      <c r="S110" t="str">
        <f>VLOOKUP(VALUE(M110),ability!$B:$C,2,FALSE)</f>
        <v>閃光</v>
      </c>
      <c r="T110" t="str">
        <f>VLOOKUP(VALUE(N110),ability!$B:$C,2,FALSE)</f>
        <v>羽休め</v>
      </c>
      <c r="U110" t="e">
        <f>VLOOKUP(VALUE(O110),ability!$B:$C,2,FALSE)</f>
        <v>#N/A</v>
      </c>
      <c r="V110" t="e">
        <f>VLOOKUP(VALUE(P110),ability!$B:$C,2,FALSE)</f>
        <v>#N/A</v>
      </c>
    </row>
    <row r="111" spans="1:22">
      <c r="A111" s="8"/>
      <c r="B111" s="15">
        <v>106</v>
      </c>
      <c r="C111" s="15">
        <v>102</v>
      </c>
      <c r="D111" s="15">
        <v>1</v>
      </c>
      <c r="E111" s="11" t="s">
        <v>1329</v>
      </c>
      <c r="F111" s="11" t="s">
        <v>831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  <c r="Q111" t="str">
        <f>VLOOKUP(VALUE(K111),ability!$B:$C,2,FALSE)</f>
        <v>激動</v>
      </c>
      <c r="R111" t="e">
        <f>VLOOKUP(VALUE(L111),ability!$B:$C,2,FALSE)</f>
        <v>#N/A</v>
      </c>
      <c r="S111" t="str">
        <f>VLOOKUP(VALUE(M111),ability!$B:$C,2,FALSE)</f>
        <v>閃光</v>
      </c>
      <c r="T111" t="str">
        <f>VLOOKUP(VALUE(N111),ability!$B:$C,2,FALSE)</f>
        <v>氷の強威</v>
      </c>
      <c r="U111" t="e">
        <f>VLOOKUP(VALUE(O111),ability!$B:$C,2,FALSE)</f>
        <v>#N/A</v>
      </c>
      <c r="V111" t="e">
        <f>VLOOKUP(VALUE(P111),ability!$B:$C,2,FALSE)</f>
        <v>#N/A</v>
      </c>
    </row>
    <row r="112" spans="1:22">
      <c r="A112" s="8"/>
      <c r="B112" s="15">
        <v>107</v>
      </c>
      <c r="C112" s="15">
        <v>103</v>
      </c>
      <c r="D112" s="15">
        <v>1</v>
      </c>
      <c r="E112" s="11" t="s">
        <v>813</v>
      </c>
      <c r="F112" s="11" t="s">
        <v>1320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  <c r="Q112" t="str">
        <f>VLOOKUP(VALUE(K112),ability!$B:$C,2,FALSE)</f>
        <v>根性</v>
      </c>
      <c r="R112" t="e">
        <f>VLOOKUP(VALUE(L112),ability!$B:$C,2,FALSE)</f>
        <v>#N/A</v>
      </c>
      <c r="S112" t="str">
        <f>VLOOKUP(VALUE(M112),ability!$B:$C,2,FALSE)</f>
        <v>閃光</v>
      </c>
      <c r="T112" t="str">
        <f>VLOOKUP(VALUE(N112),ability!$B:$C,2,FALSE)</f>
        <v>防御態勢</v>
      </c>
      <c r="U112" t="e">
        <f>VLOOKUP(VALUE(O112),ability!$B:$C,2,FALSE)</f>
        <v>#N/A</v>
      </c>
      <c r="V112" t="e">
        <f>VLOOKUP(VALUE(P112),ability!$B:$C,2,FALSE)</f>
        <v>#N/A</v>
      </c>
    </row>
    <row r="113" spans="1:22">
      <c r="A113" s="8"/>
      <c r="B113" s="15">
        <v>108</v>
      </c>
      <c r="C113" s="15">
        <v>2</v>
      </c>
      <c r="D113" s="15">
        <v>1</v>
      </c>
      <c r="E113" s="11" t="s">
        <v>840</v>
      </c>
      <c r="F113" s="11" t="s">
        <v>838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  <c r="Q113" t="str">
        <f>VLOOKUP(VALUE(K113),ability!$B:$C,2,FALSE)</f>
        <v>浄化の喝采</v>
      </c>
      <c r="R113" t="e">
        <f>VLOOKUP(VALUE(L113),ability!$B:$C,2,FALSE)</f>
        <v>#N/A</v>
      </c>
      <c r="S113" t="str">
        <f>VLOOKUP(VALUE(M113),ability!$B:$C,2,FALSE)</f>
        <v>閃光</v>
      </c>
      <c r="T113" t="str">
        <f>VLOOKUP(VALUE(N113),ability!$B:$C,2,FALSE)</f>
        <v>破砕の喝采</v>
      </c>
      <c r="U113" t="e">
        <f>VLOOKUP(VALUE(O113),ability!$B:$C,2,FALSE)</f>
        <v>#N/A</v>
      </c>
      <c r="V113" t="e">
        <f>VLOOKUP(VALUE(P113),ability!$B:$C,2,FALSE)</f>
        <v>#N/A</v>
      </c>
    </row>
    <row r="114" spans="1:22">
      <c r="A114" s="8"/>
      <c r="B114" s="15">
        <v>109</v>
      </c>
      <c r="C114" s="15">
        <v>13</v>
      </c>
      <c r="D114" s="15">
        <v>1</v>
      </c>
      <c r="E114" s="11" t="s">
        <v>839</v>
      </c>
      <c r="F114" s="11" t="s">
        <v>837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  <c r="Q114" t="str">
        <f>VLOOKUP(VALUE(K114),ability!$B:$C,2,FALSE)</f>
        <v>五月雨</v>
      </c>
      <c r="R114" t="e">
        <f>VLOOKUP(VALUE(L114),ability!$B:$C,2,FALSE)</f>
        <v>#N/A</v>
      </c>
      <c r="S114" t="str">
        <f>VLOOKUP(VALUE(M114),ability!$B:$C,2,FALSE)</f>
        <v>閃光</v>
      </c>
      <c r="T114" t="str">
        <f>VLOOKUP(VALUE(N114),ability!$B:$C,2,FALSE)</f>
        <v>俊敏</v>
      </c>
      <c r="U114" t="e">
        <f>VLOOKUP(VALUE(O114),ability!$B:$C,2,FALSE)</f>
        <v>#N/A</v>
      </c>
      <c r="V114" t="e">
        <f>VLOOKUP(VALUE(P114),ability!$B:$C,2,FALSE)</f>
        <v>#N/A</v>
      </c>
    </row>
    <row r="115" spans="1:22">
      <c r="A115" s="8"/>
      <c r="B115" s="15">
        <v>110</v>
      </c>
      <c r="C115" s="15">
        <v>1</v>
      </c>
      <c r="D115" s="15">
        <v>1</v>
      </c>
      <c r="E115" s="11" t="s">
        <v>1330</v>
      </c>
      <c r="F115" s="11" t="s">
        <v>851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/>
      <c r="M115" s="15">
        <v>1101</v>
      </c>
      <c r="N115" s="15">
        <v>200</v>
      </c>
      <c r="O115" s="15"/>
      <c r="P115" s="15"/>
      <c r="Q115" t="str">
        <f>VLOOKUP(VALUE(K115),ability!$B:$C,2,FALSE)</f>
        <v>心眼の境地</v>
      </c>
      <c r="R115" t="e">
        <f>VLOOKUP(VALUE(L115),ability!$B:$C,2,FALSE)</f>
        <v>#N/A</v>
      </c>
      <c r="S115" t="str">
        <f>VLOOKUP(VALUE(M115),ability!$B:$C,2,FALSE)</f>
        <v>閃光</v>
      </c>
      <c r="T115" t="str">
        <f>VLOOKUP(VALUE(N115),ability!$B:$C,2,FALSE)</f>
        <v>万物の強威</v>
      </c>
      <c r="U115" t="e">
        <f>VLOOKUP(VALUE(O115),ability!$B:$C,2,FALSE)</f>
        <v>#N/A</v>
      </c>
      <c r="V115" t="e">
        <f>VLOOKUP(VALUE(P115),ability!$B:$C,2,FALSE)</f>
        <v>#N/A</v>
      </c>
    </row>
    <row r="116" spans="1:22">
      <c r="A116" s="8"/>
      <c r="B116" s="15">
        <v>111</v>
      </c>
      <c r="C116" s="15">
        <v>15</v>
      </c>
      <c r="D116" s="15">
        <v>1</v>
      </c>
      <c r="E116" s="11" t="s">
        <v>861</v>
      </c>
      <c r="F116" s="11" t="s">
        <v>871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  <c r="Q116" t="e">
        <f>VLOOKUP(VALUE(K116),ability!$B:$C,2,FALSE)</f>
        <v>#N/A</v>
      </c>
      <c r="R116" t="e">
        <f>VLOOKUP(VALUE(L116),ability!$B:$C,2,FALSE)</f>
        <v>#N/A</v>
      </c>
      <c r="S116" t="str">
        <f>VLOOKUP(VALUE(M116),ability!$B:$C,2,FALSE)</f>
        <v>閃光</v>
      </c>
      <c r="T116" t="str">
        <f>VLOOKUP(VALUE(N116),ability!$B:$C,2,FALSE)</f>
        <v>クイックリキャスト</v>
      </c>
      <c r="U116" t="e">
        <f>VLOOKUP(VALUE(O116),ability!$B:$C,2,FALSE)</f>
        <v>#N/A</v>
      </c>
      <c r="V116" t="e">
        <f>VLOOKUP(VALUE(P116),ability!$B:$C,2,FALSE)</f>
        <v>#N/A</v>
      </c>
    </row>
    <row r="117" spans="1:22">
      <c r="A117" s="8"/>
      <c r="B117" s="15">
        <v>112</v>
      </c>
      <c r="C117" s="15">
        <v>16</v>
      </c>
      <c r="D117" s="15">
        <v>1</v>
      </c>
      <c r="E117" s="11" t="s">
        <v>860</v>
      </c>
      <c r="F117" s="11" t="s">
        <v>872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  <c r="Q117" t="e">
        <f>VLOOKUP(VALUE(K117),ability!$B:$C,2,FALSE)</f>
        <v>#N/A</v>
      </c>
      <c r="R117" t="e">
        <f>VLOOKUP(VALUE(L117),ability!$B:$C,2,FALSE)</f>
        <v>#N/A</v>
      </c>
      <c r="S117" t="str">
        <f>VLOOKUP(VALUE(M117),ability!$B:$C,2,FALSE)</f>
        <v>閃光</v>
      </c>
      <c r="T117" t="str">
        <f>VLOOKUP(VALUE(N117),ability!$B:$C,2,FALSE)</f>
        <v>俊敏</v>
      </c>
      <c r="U117" t="e">
        <f>VLOOKUP(VALUE(O117),ability!$B:$C,2,FALSE)</f>
        <v>#N/A</v>
      </c>
      <c r="V117" t="e">
        <f>VLOOKUP(VALUE(P117),ability!$B:$C,2,FALSE)</f>
        <v>#N/A</v>
      </c>
    </row>
    <row r="118" spans="1:22">
      <c r="A118" s="8"/>
      <c r="B118" s="15">
        <v>113</v>
      </c>
      <c r="C118" s="15">
        <v>11</v>
      </c>
      <c r="D118" s="15">
        <v>1</v>
      </c>
      <c r="E118" s="11" t="s">
        <v>878</v>
      </c>
      <c r="F118" s="11" t="s">
        <v>1331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  <c r="Q118" t="str">
        <f>VLOOKUP(VALUE(K118),ability!$B:$C,2,FALSE)</f>
        <v>みなぎる士気</v>
      </c>
      <c r="R118" t="e">
        <f>VLOOKUP(VALUE(L118),ability!$B:$C,2,FALSE)</f>
        <v>#N/A</v>
      </c>
      <c r="S118" t="str">
        <f>VLOOKUP(VALUE(M118),ability!$B:$C,2,FALSE)</f>
        <v>閃光</v>
      </c>
      <c r="T118" t="str">
        <f>VLOOKUP(VALUE(N118),ability!$B:$C,2,FALSE)</f>
        <v>向上心</v>
      </c>
      <c r="U118" t="e">
        <f>VLOOKUP(VALUE(O118),ability!$B:$C,2,FALSE)</f>
        <v>#N/A</v>
      </c>
      <c r="V118" t="e">
        <f>VLOOKUP(VALUE(P118),ability!$B:$C,2,FALSE)</f>
        <v>#N/A</v>
      </c>
    </row>
    <row r="119" spans="1:22">
      <c r="A119" s="8"/>
      <c r="B119" s="15">
        <v>114</v>
      </c>
      <c r="C119" s="15">
        <v>4</v>
      </c>
      <c r="D119" s="15">
        <v>1</v>
      </c>
      <c r="E119" s="11" t="s">
        <v>1166</v>
      </c>
      <c r="F119" s="11" t="s">
        <v>1164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  <c r="Q119" t="str">
        <f>VLOOKUP(VALUE(K119),ability!$B:$C,2,FALSE)</f>
        <v>闇の波動</v>
      </c>
      <c r="R119" t="e">
        <f>VLOOKUP(VALUE(L119),ability!$B:$C,2,FALSE)</f>
        <v>#N/A</v>
      </c>
      <c r="S119" t="str">
        <f>VLOOKUP(VALUE(M119),ability!$B:$C,2,FALSE)</f>
        <v>閃光</v>
      </c>
      <c r="T119" t="str">
        <f>VLOOKUP(VALUE(N119),ability!$B:$C,2,FALSE)</f>
        <v>気転</v>
      </c>
      <c r="U119" t="e">
        <f>VLOOKUP(VALUE(O119),ability!$B:$C,2,FALSE)</f>
        <v>#N/A</v>
      </c>
      <c r="V119" t="e">
        <f>VLOOKUP(VALUE(P119),ability!$B:$C,2,FALSE)</f>
        <v>#N/A</v>
      </c>
    </row>
    <row r="120" spans="1:22">
      <c r="A120" s="8"/>
      <c r="B120" s="15">
        <v>115</v>
      </c>
      <c r="C120" s="15">
        <v>38</v>
      </c>
      <c r="D120" s="15">
        <v>1</v>
      </c>
      <c r="E120" s="11" t="s">
        <v>1165</v>
      </c>
      <c r="F120" s="11" t="s">
        <v>1332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  <c r="Q120" t="str">
        <f>VLOOKUP(VALUE(K120),ability!$B:$C,2,FALSE)</f>
        <v>増幅</v>
      </c>
      <c r="R120" t="e">
        <f>VLOOKUP(VALUE(L120),ability!$B:$C,2,FALSE)</f>
        <v>#N/A</v>
      </c>
      <c r="S120" t="str">
        <f>VLOOKUP(VALUE(M120),ability!$B:$C,2,FALSE)</f>
        <v>閃光</v>
      </c>
      <c r="T120" t="str">
        <f>VLOOKUP(VALUE(N120),ability!$B:$C,2,FALSE)</f>
        <v>侵食</v>
      </c>
      <c r="U120" t="e">
        <f>VLOOKUP(VALUE(O120),ability!$B:$C,2,FALSE)</f>
        <v>#N/A</v>
      </c>
      <c r="V120" t="e">
        <f>VLOOKUP(VALUE(P120),ability!$B:$C,2,FALSE)</f>
        <v>#N/A</v>
      </c>
    </row>
    <row r="121" spans="1:22">
      <c r="A121" s="8"/>
      <c r="B121" s="15">
        <v>116</v>
      </c>
      <c r="C121" s="15">
        <v>45</v>
      </c>
      <c r="D121" s="15">
        <v>1</v>
      </c>
      <c r="E121" s="11" t="s">
        <v>1549</v>
      </c>
      <c r="F121" s="11" t="s">
        <v>1625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  <c r="Q121" t="str">
        <f>VLOOKUP(VALUE(K121),ability!$B:$C,2,FALSE)</f>
        <v>減退</v>
      </c>
      <c r="R121" t="e">
        <f>VLOOKUP(VALUE(L121),ability!$B:$C,2,FALSE)</f>
        <v>#N/A</v>
      </c>
      <c r="S121" t="str">
        <f>VLOOKUP(VALUE(M121),ability!$B:$C,2,FALSE)</f>
        <v>閃光</v>
      </c>
      <c r="T121" t="str">
        <f>VLOOKUP(VALUE(N121),ability!$B:$C,2,FALSE)</f>
        <v>徒桜の一矢</v>
      </c>
      <c r="U121" t="e">
        <f>VLOOKUP(VALUE(O121),ability!$B:$C,2,FALSE)</f>
        <v>#N/A</v>
      </c>
      <c r="V121" t="e">
        <f>VLOOKUP(VALUE(P121),ability!$B:$C,2,FALSE)</f>
        <v>#N/A</v>
      </c>
    </row>
    <row r="122" spans="1:22">
      <c r="A122" s="8"/>
      <c r="B122" s="15">
        <v>117</v>
      </c>
      <c r="C122" s="15">
        <v>46</v>
      </c>
      <c r="D122" s="15">
        <v>1</v>
      </c>
      <c r="E122" s="11" t="s">
        <v>1621</v>
      </c>
      <c r="F122" s="11" t="s">
        <v>1624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  <c r="Q122" t="str">
        <f>VLOOKUP(VALUE(K122),ability!$B:$C,2,FALSE)</f>
        <v>ゾルダート</v>
      </c>
      <c r="R122" t="e">
        <f>VLOOKUP(VALUE(L122),ability!$B:$C,2,FALSE)</f>
        <v>#N/A</v>
      </c>
      <c r="S122" t="str">
        <f>VLOOKUP(VALUE(M122),ability!$B:$C,2,FALSE)</f>
        <v>閃光</v>
      </c>
      <c r="T122" t="str">
        <f>VLOOKUP(VALUE(N122),ability!$B:$C,2,FALSE)</f>
        <v>エクシード</v>
      </c>
      <c r="U122" t="e">
        <f>VLOOKUP(VALUE(O122),ability!$B:$C,2,FALSE)</f>
        <v>#N/A</v>
      </c>
      <c r="V122" t="e">
        <f>VLOOKUP(VALUE(P122),ability!$B:$C,2,FALSE)</f>
        <v>#N/A</v>
      </c>
    </row>
    <row r="123" spans="1:22">
      <c r="A123" s="8"/>
      <c r="B123" s="15">
        <v>118</v>
      </c>
      <c r="C123" s="15">
        <v>24</v>
      </c>
      <c r="D123" s="15">
        <v>1</v>
      </c>
      <c r="E123" s="11" t="s">
        <v>1972</v>
      </c>
      <c r="F123" s="11" t="s">
        <v>1772</v>
      </c>
      <c r="G123" s="15">
        <v>6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  <c r="Q123" t="str">
        <f>VLOOKUP(VALUE(K123),ability!$B:$C,2,FALSE)</f>
        <v>キレアジ</v>
      </c>
      <c r="R123" t="e">
        <f>VLOOKUP(VALUE(L123),ability!$B:$C,2,FALSE)</f>
        <v>#N/A</v>
      </c>
      <c r="S123" t="str">
        <f>VLOOKUP(VALUE(M123),ability!$B:$C,2,FALSE)</f>
        <v>閃光</v>
      </c>
      <c r="T123" t="str">
        <f>VLOOKUP(VALUE(N123),ability!$B:$C,2,FALSE)</f>
        <v>モロイウオ</v>
      </c>
      <c r="U123" t="e">
        <f>VLOOKUP(VALUE(O123),ability!$B:$C,2,FALSE)</f>
        <v>#N/A</v>
      </c>
      <c r="V123" t="e">
        <f>VLOOKUP(VALUE(P123),ability!$B:$C,2,FALSE)</f>
        <v>#N/A</v>
      </c>
    </row>
    <row r="124" spans="1:22">
      <c r="A124" s="8"/>
      <c r="B124" s="15">
        <v>119</v>
      </c>
      <c r="C124" s="15">
        <v>32</v>
      </c>
      <c r="D124" s="15">
        <v>1</v>
      </c>
      <c r="E124" s="11" t="s">
        <v>1973</v>
      </c>
      <c r="F124" s="11" t="s">
        <v>1773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  <c r="Q124" t="str">
        <f>VLOOKUP(VALUE(K124),ability!$B:$C,2,FALSE)</f>
        <v>充填</v>
      </c>
      <c r="R124" t="e">
        <f>VLOOKUP(VALUE(L124),ability!$B:$C,2,FALSE)</f>
        <v>#N/A</v>
      </c>
      <c r="S124" t="str">
        <f>VLOOKUP(VALUE(M124),ability!$B:$C,2,FALSE)</f>
        <v>旺盛</v>
      </c>
      <c r="T124" t="str">
        <f>VLOOKUP(VALUE(N124),ability!$B:$C,2,FALSE)</f>
        <v>鮮烈</v>
      </c>
      <c r="U124" t="e">
        <f>VLOOKUP(VALUE(O124),ability!$B:$C,2,FALSE)</f>
        <v>#N/A</v>
      </c>
      <c r="V124" t="e">
        <f>VLOOKUP(VALUE(P124),ability!$B:$C,2,FALSE)</f>
        <v>#N/A</v>
      </c>
    </row>
    <row r="125" spans="1:22">
      <c r="A125" s="8"/>
      <c r="B125" s="15">
        <v>120</v>
      </c>
      <c r="C125" s="15">
        <v>39</v>
      </c>
      <c r="D125" s="15">
        <v>1</v>
      </c>
      <c r="E125" s="11" t="s">
        <v>1816</v>
      </c>
      <c r="F125" s="11" t="s">
        <v>1818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  <c r="Q125" t="str">
        <f>VLOOKUP(VALUE(K125),ability!$B:$C,2,FALSE)</f>
        <v>怪盗乱麻</v>
      </c>
      <c r="R125" t="e">
        <f>VLOOKUP(VALUE(L125),ability!$B:$C,2,FALSE)</f>
        <v>#N/A</v>
      </c>
      <c r="S125" t="str">
        <f>VLOOKUP(VALUE(M125),ability!$B:$C,2,FALSE)</f>
        <v>閃光</v>
      </c>
      <c r="T125" t="str">
        <f>VLOOKUP(VALUE(N125),ability!$B:$C,2,FALSE)</f>
        <v>怒涛</v>
      </c>
      <c r="U125" t="e">
        <f>VLOOKUP(VALUE(O125),ability!$B:$C,2,FALSE)</f>
        <v>#N/A</v>
      </c>
      <c r="V125" t="e">
        <f>VLOOKUP(VALUE(P125),ability!$B:$C,2,FALSE)</f>
        <v>#N/A</v>
      </c>
    </row>
    <row r="126" spans="1:22">
      <c r="A126" s="8"/>
      <c r="B126" s="15">
        <v>121</v>
      </c>
      <c r="C126" s="15">
        <v>40</v>
      </c>
      <c r="D126" s="15">
        <v>1</v>
      </c>
      <c r="E126" s="11" t="s">
        <v>1817</v>
      </c>
      <c r="F126" s="11" t="s">
        <v>1819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  <c r="Q126" t="str">
        <f>VLOOKUP(VALUE(K126),ability!$B:$C,2,FALSE)</f>
        <v>マナサの加護</v>
      </c>
      <c r="R126" t="e">
        <f>VLOOKUP(VALUE(L126),ability!$B:$C,2,FALSE)</f>
        <v>#N/A</v>
      </c>
      <c r="S126" t="str">
        <f>VLOOKUP(VALUE(M126),ability!$B:$C,2,FALSE)</f>
        <v>閃光</v>
      </c>
      <c r="T126" t="str">
        <f>VLOOKUP(VALUE(N126),ability!$B:$C,2,FALSE)</f>
        <v>恵風</v>
      </c>
      <c r="U126" t="e">
        <f>VLOOKUP(VALUE(O126),ability!$B:$C,2,FALSE)</f>
        <v>#N/A</v>
      </c>
      <c r="V126" t="e">
        <f>VLOOKUP(VALUE(P126),ability!$B:$C,2,FALSE)</f>
        <v>#N/A</v>
      </c>
    </row>
    <row r="127" spans="1:22">
      <c r="A127" s="8"/>
      <c r="B127" s="15">
        <v>122</v>
      </c>
      <c r="C127" s="15">
        <v>14</v>
      </c>
      <c r="D127" s="15">
        <v>1</v>
      </c>
      <c r="E127" s="11" t="s">
        <v>1838</v>
      </c>
      <c r="F127" s="11" t="s">
        <v>1836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  <c r="Q127" t="str">
        <f>VLOOKUP(VALUE(K127),ability!$B:$C,2,FALSE)</f>
        <v>薫風</v>
      </c>
      <c r="R127" t="e">
        <f>VLOOKUP(VALUE(L127),ability!$B:$C,2,FALSE)</f>
        <v>#N/A</v>
      </c>
      <c r="S127" t="str">
        <f>VLOOKUP(VALUE(M127),ability!$B:$C,2,FALSE)</f>
        <v>閃光</v>
      </c>
      <c r="T127" t="str">
        <f>VLOOKUP(VALUE(N127),ability!$B:$C,2,FALSE)</f>
        <v>挺身</v>
      </c>
      <c r="U127" t="e">
        <f>VLOOKUP(VALUE(O127),ability!$B:$C,2,FALSE)</f>
        <v>#N/A</v>
      </c>
      <c r="V127" t="e">
        <f>VLOOKUP(VALUE(P127),ability!$B:$C,2,FALSE)</f>
        <v>#N/A</v>
      </c>
    </row>
    <row r="128" spans="1:22">
      <c r="A128" s="8"/>
      <c r="B128" s="15">
        <v>123</v>
      </c>
      <c r="C128" s="15">
        <v>42</v>
      </c>
      <c r="D128" s="15">
        <v>1</v>
      </c>
      <c r="E128" s="11" t="s">
        <v>1837</v>
      </c>
      <c r="F128" s="11" t="s">
        <v>1835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  <c r="Q128" t="str">
        <f>VLOOKUP(VALUE(K128),ability!$B:$C,2,FALSE)</f>
        <v>エンゲージリンク</v>
      </c>
      <c r="R128" t="e">
        <f>VLOOKUP(VALUE(L128),ability!$B:$C,2,FALSE)</f>
        <v>#N/A</v>
      </c>
      <c r="S128" t="str">
        <f>VLOOKUP(VALUE(M128),ability!$B:$C,2,FALSE)</f>
        <v>閃光</v>
      </c>
      <c r="T128" t="str">
        <f>VLOOKUP(VALUE(N128),ability!$B:$C,2,FALSE)</f>
        <v>イノセント・ヴェール</v>
      </c>
      <c r="U128" t="e">
        <f>VLOOKUP(VALUE(O128),ability!$B:$C,2,FALSE)</f>
        <v>#N/A</v>
      </c>
      <c r="V128" t="e">
        <f>VLOOKUP(VALUE(P128),ability!$B:$C,2,FALSE)</f>
        <v>#N/A</v>
      </c>
    </row>
    <row r="129" spans="1:22">
      <c r="A129" s="8"/>
      <c r="B129" s="15">
        <v>124</v>
      </c>
      <c r="C129" s="15">
        <v>43</v>
      </c>
      <c r="D129" s="15">
        <v>1</v>
      </c>
      <c r="E129" s="11" t="s">
        <v>2033</v>
      </c>
      <c r="F129" s="11" t="s">
        <v>2032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  <c r="Q129" t="str">
        <f>VLOOKUP(VALUE(K129),ability!$B:$C,2,FALSE)</f>
        <v>氷の波動</v>
      </c>
      <c r="R129" t="str">
        <f>VLOOKUP(VALUE(L129),ability!$B:$C,2,FALSE)</f>
        <v>機敏</v>
      </c>
      <c r="S129" t="str">
        <f>VLOOKUP(VALUE(M129),ability!$B:$C,2,FALSE)</f>
        <v>閃光</v>
      </c>
      <c r="T129" t="str">
        <f>VLOOKUP(VALUE(N129),ability!$B:$C,2,FALSE)</f>
        <v>優美なる剣舞</v>
      </c>
      <c r="U129" t="e">
        <f>VLOOKUP(VALUE(O129),ability!$B:$C,2,FALSE)</f>
        <v>#N/A</v>
      </c>
      <c r="V129" t="e">
        <f>VLOOKUP(VALUE(P129),ability!$B:$C,2,FALSE)</f>
        <v>#N/A</v>
      </c>
    </row>
    <row r="130" spans="1:22">
      <c r="A130" s="8"/>
      <c r="B130" s="15">
        <v>125</v>
      </c>
      <c r="C130" s="15">
        <v>17</v>
      </c>
      <c r="D130" s="15">
        <v>1</v>
      </c>
      <c r="E130" s="11" t="s">
        <v>2042</v>
      </c>
      <c r="F130" s="11" t="s">
        <v>2071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  <c r="Q130" t="str">
        <f>VLOOKUP(VALUE(K130),ability!$B:$C,2,FALSE)</f>
        <v>忍法・影分身！</v>
      </c>
      <c r="R130" t="e">
        <f>VLOOKUP(VALUE(L130),ability!$B:$C,2,FALSE)</f>
        <v>#N/A</v>
      </c>
      <c r="S130" t="str">
        <f>VLOOKUP(VALUE(M130),ability!$B:$C,2,FALSE)</f>
        <v>閃光</v>
      </c>
      <c r="T130" t="str">
        <f>VLOOKUP(VALUE(N130),ability!$B:$C,2,FALSE)</f>
        <v>鮮烈</v>
      </c>
      <c r="U130" t="e">
        <f>VLOOKUP(VALUE(O130),ability!$B:$C,2,FALSE)</f>
        <v>#N/A</v>
      </c>
      <c r="V130" t="e">
        <f>VLOOKUP(VALUE(P130),ability!$B:$C,2,FALSE)</f>
        <v>#N/A</v>
      </c>
    </row>
    <row r="131" spans="1:22">
      <c r="A131" s="8"/>
      <c r="B131" s="15">
        <v>126</v>
      </c>
      <c r="C131" s="15">
        <v>18</v>
      </c>
      <c r="D131" s="15">
        <v>1</v>
      </c>
      <c r="E131" s="11" t="s">
        <v>2048</v>
      </c>
      <c r="F131" s="11" t="s">
        <v>2072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  <c r="Q131" t="str">
        <f>VLOOKUP(VALUE(K131),ability!$B:$C,2,FALSE)</f>
        <v>ショップ店員の嗜み</v>
      </c>
      <c r="R131" t="e">
        <f>VLOOKUP(VALUE(L131),ability!$B:$C,2,FALSE)</f>
        <v>#N/A</v>
      </c>
      <c r="S131" t="str">
        <f>VLOOKUP(VALUE(M131),ability!$B:$C,2,FALSE)</f>
        <v>閃光</v>
      </c>
      <c r="T131" t="str">
        <f>VLOOKUP(VALUE(N131),ability!$B:$C,2,FALSE)</f>
        <v>俊敏</v>
      </c>
      <c r="U131" t="e">
        <f>VLOOKUP(VALUE(O131),ability!$B:$C,2,FALSE)</f>
        <v>#N/A</v>
      </c>
      <c r="V131" t="e">
        <f>VLOOKUP(VALUE(P131),ability!$B:$C,2,FALSE)</f>
        <v>#N/A</v>
      </c>
    </row>
    <row r="132" spans="1:22">
      <c r="A132" s="8"/>
      <c r="B132" s="15">
        <v>127</v>
      </c>
      <c r="C132" s="15">
        <v>3</v>
      </c>
      <c r="D132" s="15">
        <v>1</v>
      </c>
      <c r="E132" s="11" t="s">
        <v>2073</v>
      </c>
      <c r="F132" s="11" t="s">
        <v>2140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  <c r="Q132" t="str">
        <f>VLOOKUP(VALUE(K132),ability!$B:$C,2,FALSE)</f>
        <v>雷の波動</v>
      </c>
      <c r="R132" t="e">
        <f>VLOOKUP(VALUE(L132),ability!$B:$C,2,FALSE)</f>
        <v>#N/A</v>
      </c>
      <c r="S132" t="str">
        <f>VLOOKUP(VALUE(M132),ability!$B:$C,2,FALSE)</f>
        <v>閃光</v>
      </c>
      <c r="T132" t="str">
        <f>VLOOKUP(VALUE(N132),ability!$B:$C,2,FALSE)</f>
        <v>侵食</v>
      </c>
      <c r="U132" t="e">
        <f>VLOOKUP(VALUE(O132),ability!$B:$C,2,FALSE)</f>
        <v>#N/A</v>
      </c>
      <c r="V132" t="e">
        <f>VLOOKUP(VALUE(P132),ability!$B:$C,2,FALSE)</f>
        <v>#N/A</v>
      </c>
    </row>
    <row r="133" spans="1:22">
      <c r="A133" s="8"/>
      <c r="B133" s="15">
        <v>128</v>
      </c>
      <c r="C133" s="15">
        <v>5</v>
      </c>
      <c r="D133" s="15">
        <v>1</v>
      </c>
      <c r="E133" s="11" t="s">
        <v>2068</v>
      </c>
      <c r="F133" s="11" t="s">
        <v>2141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  <c r="Q133" t="str">
        <f>VLOOKUP(VALUE(K133),ability!$B:$C,2,FALSE)</f>
        <v>闇の波動</v>
      </c>
      <c r="R133" t="e">
        <f>VLOOKUP(VALUE(L133),ability!$B:$C,2,FALSE)</f>
        <v>#N/A</v>
      </c>
      <c r="S133" t="str">
        <f>VLOOKUP(VALUE(M133),ability!$B:$C,2,FALSE)</f>
        <v>閃光</v>
      </c>
      <c r="T133" t="str">
        <f>VLOOKUP(VALUE(N133),ability!$B:$C,2,FALSE)</f>
        <v>闇の強威</v>
      </c>
      <c r="U133" t="e">
        <f>VLOOKUP(VALUE(O133),ability!$B:$C,2,FALSE)</f>
        <v>#N/A</v>
      </c>
      <c r="V133" t="e">
        <f>VLOOKUP(VALUE(P133),ability!$B:$C,2,FALSE)</f>
        <v>#N/A</v>
      </c>
    </row>
    <row r="134" spans="1:22">
      <c r="A134" s="8"/>
      <c r="B134" s="15">
        <v>5001</v>
      </c>
      <c r="C134" s="15">
        <v>1</v>
      </c>
      <c r="D134" s="15">
        <v>2</v>
      </c>
      <c r="E134" s="11" t="s">
        <v>995</v>
      </c>
      <c r="F134" s="11" t="s">
        <v>1066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/>
      <c r="N134" s="15">
        <v>1502</v>
      </c>
      <c r="O134" s="15"/>
      <c r="P134" s="15"/>
      <c r="Q134" t="e">
        <f>VLOOKUP(VALUE(K134),ability!$B:$C,2,FALSE)</f>
        <v>#N/A</v>
      </c>
      <c r="R134" t="e">
        <f>VLOOKUP(VALUE(L134),ability!$B:$C,2,FALSE)</f>
        <v>#N/A</v>
      </c>
      <c r="S134" t="e">
        <f>VLOOKUP(VALUE(M134),ability!$B:$C,2,FALSE)</f>
        <v>#N/A</v>
      </c>
      <c r="T134" t="str">
        <f>VLOOKUP(VALUE(N134),ability!$B:$C,2,FALSE)</f>
        <v>堅忍</v>
      </c>
      <c r="U134" t="e">
        <f>VLOOKUP(VALUE(O134),ability!$B:$C,2,FALSE)</f>
        <v>#N/A</v>
      </c>
      <c r="V134" t="e">
        <f>VLOOKUP(VALUE(P134),ability!$B:$C,2,FALSE)</f>
        <v>#N/A</v>
      </c>
    </row>
    <row r="135" spans="1:22">
      <c r="A135" s="8"/>
      <c r="B135" s="15">
        <v>5002</v>
      </c>
      <c r="C135" s="15">
        <v>3</v>
      </c>
      <c r="D135" s="15">
        <v>2</v>
      </c>
      <c r="E135" s="11" t="s">
        <v>996</v>
      </c>
      <c r="F135" s="11" t="s">
        <v>1069</v>
      </c>
      <c r="G135" s="15">
        <v>6</v>
      </c>
      <c r="H135" s="15">
        <v>0</v>
      </c>
      <c r="I135" s="15"/>
      <c r="J135" s="15">
        <v>4</v>
      </c>
      <c r="K135" s="15"/>
      <c r="L135" s="15"/>
      <c r="M135" s="15"/>
      <c r="N135" s="15">
        <v>212</v>
      </c>
      <c r="O135" s="15"/>
      <c r="P135" s="15"/>
      <c r="Q135" t="e">
        <f>VLOOKUP(VALUE(K135),ability!$B:$C,2,FALSE)</f>
        <v>#N/A</v>
      </c>
      <c r="R135" t="e">
        <f>VLOOKUP(VALUE(L135),ability!$B:$C,2,FALSE)</f>
        <v>#N/A</v>
      </c>
      <c r="S135" t="e">
        <f>VLOOKUP(VALUE(M135),ability!$B:$C,2,FALSE)</f>
        <v>#N/A</v>
      </c>
      <c r="T135" t="str">
        <f>VLOOKUP(VALUE(N135),ability!$B:$C,2,FALSE)</f>
        <v>勇猛</v>
      </c>
      <c r="U135" t="e">
        <f>VLOOKUP(VALUE(O135),ability!$B:$C,2,FALSE)</f>
        <v>#N/A</v>
      </c>
      <c r="V135" t="e">
        <f>VLOOKUP(VALUE(P135),ability!$B:$C,2,FALSE)</f>
        <v>#N/A</v>
      </c>
    </row>
    <row r="136" spans="1:22">
      <c r="A136" s="8"/>
      <c r="B136" s="15">
        <v>5003</v>
      </c>
      <c r="C136" s="15">
        <v>6</v>
      </c>
      <c r="D136" s="15">
        <v>2</v>
      </c>
      <c r="E136" s="11" t="s">
        <v>997</v>
      </c>
      <c r="F136" s="11" t="s">
        <v>1073</v>
      </c>
      <c r="G136" s="15">
        <v>4</v>
      </c>
      <c r="H136" s="15">
        <v>0</v>
      </c>
      <c r="I136" s="15"/>
      <c r="J136" s="15">
        <v>2</v>
      </c>
      <c r="K136" s="15"/>
      <c r="L136" s="15"/>
      <c r="M136" s="15"/>
      <c r="N136" s="15">
        <v>1109</v>
      </c>
      <c r="O136" s="15"/>
      <c r="P136" s="15"/>
      <c r="Q136" t="e">
        <f>VLOOKUP(VALUE(K136),ability!$B:$C,2,FALSE)</f>
        <v>#N/A</v>
      </c>
      <c r="R136" t="e">
        <f>VLOOKUP(VALUE(L136),ability!$B:$C,2,FALSE)</f>
        <v>#N/A</v>
      </c>
      <c r="S136" t="e">
        <f>VLOOKUP(VALUE(M136),ability!$B:$C,2,FALSE)</f>
        <v>#N/A</v>
      </c>
      <c r="T136" t="str">
        <f>VLOOKUP(VALUE(N136),ability!$B:$C,2,FALSE)</f>
        <v>吉報</v>
      </c>
      <c r="U136" t="e">
        <f>VLOOKUP(VALUE(O136),ability!$B:$C,2,FALSE)</f>
        <v>#N/A</v>
      </c>
      <c r="V136" t="e">
        <f>VLOOKUP(VALUE(P136),ability!$B:$C,2,FALSE)</f>
        <v>#N/A</v>
      </c>
    </row>
    <row r="137" spans="1:22">
      <c r="A137" s="8"/>
      <c r="B137" s="15">
        <v>5004</v>
      </c>
      <c r="C137" s="15">
        <v>7</v>
      </c>
      <c r="D137" s="15">
        <v>2</v>
      </c>
      <c r="E137" s="11" t="s">
        <v>998</v>
      </c>
      <c r="F137" s="11" t="s">
        <v>1075</v>
      </c>
      <c r="G137" s="15">
        <v>7</v>
      </c>
      <c r="H137" s="15">
        <v>0</v>
      </c>
      <c r="I137" s="15"/>
      <c r="J137" s="15">
        <v>6</v>
      </c>
      <c r="K137" s="15"/>
      <c r="L137" s="15"/>
      <c r="M137" s="15"/>
      <c r="N137" s="15">
        <v>1502</v>
      </c>
      <c r="O137" s="15"/>
      <c r="P137" s="15"/>
      <c r="Q137" t="e">
        <f>VLOOKUP(VALUE(K137),ability!$B:$C,2,FALSE)</f>
        <v>#N/A</v>
      </c>
      <c r="R137" t="e">
        <f>VLOOKUP(VALUE(L137),ability!$B:$C,2,FALSE)</f>
        <v>#N/A</v>
      </c>
      <c r="S137" t="e">
        <f>VLOOKUP(VALUE(M137),ability!$B:$C,2,FALSE)</f>
        <v>#N/A</v>
      </c>
      <c r="T137" t="str">
        <f>VLOOKUP(VALUE(N137),ability!$B:$C,2,FALSE)</f>
        <v>堅忍</v>
      </c>
      <c r="U137" t="e">
        <f>VLOOKUP(VALUE(O137),ability!$B:$C,2,FALSE)</f>
        <v>#N/A</v>
      </c>
      <c r="V137" t="e">
        <f>VLOOKUP(VALUE(P137),ability!$B:$C,2,FALSE)</f>
        <v>#N/A</v>
      </c>
    </row>
    <row r="138" spans="1:22">
      <c r="A138" s="8"/>
      <c r="B138" s="15">
        <v>5005</v>
      </c>
      <c r="C138" s="15">
        <v>9</v>
      </c>
      <c r="D138" s="15">
        <v>2</v>
      </c>
      <c r="E138" s="11" t="s">
        <v>999</v>
      </c>
      <c r="F138" s="11" t="s">
        <v>1077</v>
      </c>
      <c r="G138" s="15">
        <v>2</v>
      </c>
      <c r="H138" s="15">
        <v>0</v>
      </c>
      <c r="I138" s="15"/>
      <c r="J138" s="15">
        <v>1</v>
      </c>
      <c r="K138" s="15"/>
      <c r="L138" s="15"/>
      <c r="M138" s="15"/>
      <c r="N138" s="15">
        <v>220</v>
      </c>
      <c r="O138" s="15"/>
      <c r="P138" s="15"/>
      <c r="Q138" t="e">
        <f>VLOOKUP(VALUE(K138),ability!$B:$C,2,FALSE)</f>
        <v>#N/A</v>
      </c>
      <c r="R138" t="e">
        <f>VLOOKUP(VALUE(L138),ability!$B:$C,2,FALSE)</f>
        <v>#N/A</v>
      </c>
      <c r="S138" t="e">
        <f>VLOOKUP(VALUE(M138),ability!$B:$C,2,FALSE)</f>
        <v>#N/A</v>
      </c>
      <c r="T138" t="str">
        <f>VLOOKUP(VALUE(N138),ability!$B:$C,2,FALSE)</f>
        <v>決心</v>
      </c>
      <c r="U138" t="e">
        <f>VLOOKUP(VALUE(O138),ability!$B:$C,2,FALSE)</f>
        <v>#N/A</v>
      </c>
      <c r="V138" t="e">
        <f>VLOOKUP(VALUE(P138),ability!$B:$C,2,FALSE)</f>
        <v>#N/A</v>
      </c>
    </row>
    <row r="139" spans="1:22">
      <c r="A139" s="8"/>
      <c r="B139" s="15">
        <v>5006</v>
      </c>
      <c r="C139" s="15">
        <v>13</v>
      </c>
      <c r="D139" s="15">
        <v>2</v>
      </c>
      <c r="E139" s="11" t="s">
        <v>1000</v>
      </c>
      <c r="F139" s="11" t="s">
        <v>1082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/>
      <c r="N139" s="15">
        <v>1114</v>
      </c>
      <c r="O139" s="15"/>
      <c r="P139" s="15"/>
      <c r="Q139" t="e">
        <f>VLOOKUP(VALUE(K139),ability!$B:$C,2,FALSE)</f>
        <v>#N/A</v>
      </c>
      <c r="R139" t="e">
        <f>VLOOKUP(VALUE(L139),ability!$B:$C,2,FALSE)</f>
        <v>#N/A</v>
      </c>
      <c r="S139" t="e">
        <f>VLOOKUP(VALUE(M139),ability!$B:$C,2,FALSE)</f>
        <v>#N/A</v>
      </c>
      <c r="T139" t="str">
        <f>VLOOKUP(VALUE(N139),ability!$B:$C,2,FALSE)</f>
        <v>福運</v>
      </c>
      <c r="U139" t="e">
        <f>VLOOKUP(VALUE(O139),ability!$B:$C,2,FALSE)</f>
        <v>#N/A</v>
      </c>
      <c r="V139" t="e">
        <f>VLOOKUP(VALUE(P139),ability!$B:$C,2,FALSE)</f>
        <v>#N/A</v>
      </c>
    </row>
    <row r="140" spans="1:22">
      <c r="A140" s="8"/>
      <c r="B140" s="15">
        <v>5007</v>
      </c>
      <c r="C140" s="15">
        <v>16</v>
      </c>
      <c r="D140" s="15">
        <v>2</v>
      </c>
      <c r="E140" s="11" t="s">
        <v>1001</v>
      </c>
      <c r="F140" s="11" t="s">
        <v>1087</v>
      </c>
      <c r="G140" s="15">
        <v>2</v>
      </c>
      <c r="H140" s="15">
        <v>0</v>
      </c>
      <c r="I140" s="15"/>
      <c r="J140" s="15">
        <v>1</v>
      </c>
      <c r="K140" s="15"/>
      <c r="L140" s="15"/>
      <c r="M140" s="15"/>
      <c r="N140" s="15">
        <v>1114</v>
      </c>
      <c r="O140" s="15"/>
      <c r="P140" s="15"/>
      <c r="Q140" t="e">
        <f>VLOOKUP(VALUE(K140),ability!$B:$C,2,FALSE)</f>
        <v>#N/A</v>
      </c>
      <c r="R140" t="e">
        <f>VLOOKUP(VALUE(L140),ability!$B:$C,2,FALSE)</f>
        <v>#N/A</v>
      </c>
      <c r="S140" t="e">
        <f>VLOOKUP(VALUE(M140),ability!$B:$C,2,FALSE)</f>
        <v>#N/A</v>
      </c>
      <c r="T140" t="str">
        <f>VLOOKUP(VALUE(N140),ability!$B:$C,2,FALSE)</f>
        <v>福運</v>
      </c>
      <c r="U140" t="e">
        <f>VLOOKUP(VALUE(O140),ability!$B:$C,2,FALSE)</f>
        <v>#N/A</v>
      </c>
      <c r="V140" t="e">
        <f>VLOOKUP(VALUE(P140),ability!$B:$C,2,FALSE)</f>
        <v>#N/A</v>
      </c>
    </row>
    <row r="141" spans="1:22">
      <c r="A141" s="8"/>
      <c r="B141" s="15">
        <v>5008</v>
      </c>
      <c r="C141" s="15">
        <v>43</v>
      </c>
      <c r="D141" s="15">
        <v>2</v>
      </c>
      <c r="E141" s="11" t="s">
        <v>1002</v>
      </c>
      <c r="F141" s="11" t="s">
        <v>1090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/>
      <c r="N141" s="15">
        <v>220</v>
      </c>
      <c r="O141" s="15"/>
      <c r="P141" s="15"/>
      <c r="Q141" t="e">
        <f>VLOOKUP(VALUE(K141),ability!$B:$C,2,FALSE)</f>
        <v>#N/A</v>
      </c>
      <c r="R141" t="e">
        <f>VLOOKUP(VALUE(L141),ability!$B:$C,2,FALSE)</f>
        <v>#N/A</v>
      </c>
      <c r="S141" t="e">
        <f>VLOOKUP(VALUE(M141),ability!$B:$C,2,FALSE)</f>
        <v>#N/A</v>
      </c>
      <c r="T141" t="str">
        <f>VLOOKUP(VALUE(N141),ability!$B:$C,2,FALSE)</f>
        <v>決心</v>
      </c>
      <c r="U141" t="e">
        <f>VLOOKUP(VALUE(O141),ability!$B:$C,2,FALSE)</f>
        <v>#N/A</v>
      </c>
      <c r="V141" t="e">
        <f>VLOOKUP(VALUE(P141),ability!$B:$C,2,FALSE)</f>
        <v>#N/A</v>
      </c>
    </row>
    <row r="142" spans="1:22">
      <c r="A142" s="8"/>
      <c r="B142" s="15">
        <v>5009</v>
      </c>
      <c r="C142" s="15">
        <v>48</v>
      </c>
      <c r="D142" s="15">
        <v>2</v>
      </c>
      <c r="E142" s="11" t="s">
        <v>1003</v>
      </c>
      <c r="F142" s="11" t="s">
        <v>1097</v>
      </c>
      <c r="G142" s="15">
        <v>3</v>
      </c>
      <c r="H142" s="15">
        <v>0</v>
      </c>
      <c r="I142" s="15"/>
      <c r="J142" s="15">
        <v>1</v>
      </c>
      <c r="K142" s="15"/>
      <c r="L142" s="15"/>
      <c r="M142" s="15"/>
      <c r="N142" s="15">
        <v>212</v>
      </c>
      <c r="O142" s="15"/>
      <c r="P142" s="15"/>
      <c r="Q142" t="e">
        <f>VLOOKUP(VALUE(K142),ability!$B:$C,2,FALSE)</f>
        <v>#N/A</v>
      </c>
      <c r="R142" t="e">
        <f>VLOOKUP(VALUE(L142),ability!$B:$C,2,FALSE)</f>
        <v>#N/A</v>
      </c>
      <c r="S142" t="e">
        <f>VLOOKUP(VALUE(M142),ability!$B:$C,2,FALSE)</f>
        <v>#N/A</v>
      </c>
      <c r="T142" t="str">
        <f>VLOOKUP(VALUE(N142),ability!$B:$C,2,FALSE)</f>
        <v>勇猛</v>
      </c>
      <c r="U142" t="e">
        <f>VLOOKUP(VALUE(O142),ability!$B:$C,2,FALSE)</f>
        <v>#N/A</v>
      </c>
      <c r="V142" t="e">
        <f>VLOOKUP(VALUE(P142),ability!$B:$C,2,FALSE)</f>
        <v>#N/A</v>
      </c>
    </row>
    <row r="143" spans="1:22">
      <c r="A143" s="8"/>
      <c r="B143" s="15">
        <v>5010</v>
      </c>
      <c r="C143" s="15">
        <v>20</v>
      </c>
      <c r="D143" s="15">
        <v>2</v>
      </c>
      <c r="E143" s="11" t="s">
        <v>1004</v>
      </c>
      <c r="F143" s="11" t="s">
        <v>1100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/>
      <c r="N143" s="15">
        <v>1114</v>
      </c>
      <c r="O143" s="15"/>
      <c r="P143" s="15"/>
      <c r="Q143" t="e">
        <f>VLOOKUP(VALUE(K143),ability!$B:$C,2,FALSE)</f>
        <v>#N/A</v>
      </c>
      <c r="R143" t="e">
        <f>VLOOKUP(VALUE(L143),ability!$B:$C,2,FALSE)</f>
        <v>#N/A</v>
      </c>
      <c r="S143" t="e">
        <f>VLOOKUP(VALUE(M143),ability!$B:$C,2,FALSE)</f>
        <v>#N/A</v>
      </c>
      <c r="T143" t="str">
        <f>VLOOKUP(VALUE(N143),ability!$B:$C,2,FALSE)</f>
        <v>福運</v>
      </c>
      <c r="U143" t="e">
        <f>VLOOKUP(VALUE(O143),ability!$B:$C,2,FALSE)</f>
        <v>#N/A</v>
      </c>
      <c r="V143" t="e">
        <f>VLOOKUP(VALUE(P143),ability!$B:$C,2,FALSE)</f>
        <v>#N/A</v>
      </c>
    </row>
    <row r="144" spans="1:22">
      <c r="A144" s="8"/>
      <c r="B144" s="15">
        <v>5011</v>
      </c>
      <c r="C144" s="15">
        <v>22</v>
      </c>
      <c r="D144" s="15">
        <v>2</v>
      </c>
      <c r="E144" s="11" t="s">
        <v>1005</v>
      </c>
      <c r="F144" s="11" t="s">
        <v>1103</v>
      </c>
      <c r="G144" s="15">
        <v>4</v>
      </c>
      <c r="H144" s="15">
        <v>0</v>
      </c>
      <c r="I144" s="15"/>
      <c r="J144" s="15">
        <v>2</v>
      </c>
      <c r="K144" s="15"/>
      <c r="L144" s="15"/>
      <c r="M144" s="15"/>
      <c r="N144" s="15">
        <v>1115</v>
      </c>
      <c r="O144" s="15"/>
      <c r="P144" s="15"/>
      <c r="Q144" t="e">
        <f>VLOOKUP(VALUE(K144),ability!$B:$C,2,FALSE)</f>
        <v>#N/A</v>
      </c>
      <c r="R144" t="e">
        <f>VLOOKUP(VALUE(L144),ability!$B:$C,2,FALSE)</f>
        <v>#N/A</v>
      </c>
      <c r="S144" t="e">
        <f>VLOOKUP(VALUE(M144),ability!$B:$C,2,FALSE)</f>
        <v>#N/A</v>
      </c>
      <c r="T144" t="str">
        <f>VLOOKUP(VALUE(N144),ability!$B:$C,2,FALSE)</f>
        <v>友愛</v>
      </c>
      <c r="U144" t="e">
        <f>VLOOKUP(VALUE(O144),ability!$B:$C,2,FALSE)</f>
        <v>#N/A</v>
      </c>
      <c r="V144" t="e">
        <f>VLOOKUP(VALUE(P144),ability!$B:$C,2,FALSE)</f>
        <v>#N/A</v>
      </c>
    </row>
    <row r="145" spans="1:22">
      <c r="A145" s="8"/>
      <c r="B145" s="15">
        <v>5012</v>
      </c>
      <c r="C145" s="15">
        <v>26</v>
      </c>
      <c r="D145" s="15">
        <v>2</v>
      </c>
      <c r="E145" s="11" t="s">
        <v>1006</v>
      </c>
      <c r="F145" s="11" t="s">
        <v>1109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/>
      <c r="N145" s="15">
        <v>1109</v>
      </c>
      <c r="O145" s="15"/>
      <c r="P145" s="15"/>
      <c r="Q145" t="e">
        <f>VLOOKUP(VALUE(K145),ability!$B:$C,2,FALSE)</f>
        <v>#N/A</v>
      </c>
      <c r="R145" t="e">
        <f>VLOOKUP(VALUE(L145),ability!$B:$C,2,FALSE)</f>
        <v>#N/A</v>
      </c>
      <c r="S145" t="e">
        <f>VLOOKUP(VALUE(M145),ability!$B:$C,2,FALSE)</f>
        <v>#N/A</v>
      </c>
      <c r="T145" t="str">
        <f>VLOOKUP(VALUE(N145),ability!$B:$C,2,FALSE)</f>
        <v>吉報</v>
      </c>
      <c r="U145" t="e">
        <f>VLOOKUP(VALUE(O145),ability!$B:$C,2,FALSE)</f>
        <v>#N/A</v>
      </c>
      <c r="V145" t="e">
        <f>VLOOKUP(VALUE(P145),ability!$B:$C,2,FALSE)</f>
        <v>#N/A</v>
      </c>
    </row>
    <row r="146" spans="1:22">
      <c r="A146" s="8"/>
      <c r="B146" s="15">
        <v>5013</v>
      </c>
      <c r="C146" s="15">
        <v>27</v>
      </c>
      <c r="D146" s="15">
        <v>2</v>
      </c>
      <c r="E146" s="11" t="s">
        <v>1007</v>
      </c>
      <c r="F146" s="11" t="s">
        <v>1111</v>
      </c>
      <c r="G146" s="15">
        <v>1</v>
      </c>
      <c r="H146" s="15">
        <v>0</v>
      </c>
      <c r="I146" s="15"/>
      <c r="J146" s="15">
        <v>1</v>
      </c>
      <c r="K146" s="15"/>
      <c r="L146" s="15"/>
      <c r="M146" s="15"/>
      <c r="N146" s="15">
        <v>212</v>
      </c>
      <c r="O146" s="15"/>
      <c r="P146" s="15"/>
      <c r="Q146" t="e">
        <f>VLOOKUP(VALUE(K146),ability!$B:$C,2,FALSE)</f>
        <v>#N/A</v>
      </c>
      <c r="R146" t="e">
        <f>VLOOKUP(VALUE(L146),ability!$B:$C,2,FALSE)</f>
        <v>#N/A</v>
      </c>
      <c r="S146" t="e">
        <f>VLOOKUP(VALUE(M146),ability!$B:$C,2,FALSE)</f>
        <v>#N/A</v>
      </c>
      <c r="T146" t="str">
        <f>VLOOKUP(VALUE(N146),ability!$B:$C,2,FALSE)</f>
        <v>勇猛</v>
      </c>
      <c r="U146" t="e">
        <f>VLOOKUP(VALUE(O146),ability!$B:$C,2,FALSE)</f>
        <v>#N/A</v>
      </c>
      <c r="V146" t="e">
        <f>VLOOKUP(VALUE(P146),ability!$B:$C,2,FALSE)</f>
        <v>#N/A</v>
      </c>
    </row>
    <row r="147" spans="1:22">
      <c r="A147" s="8"/>
      <c r="B147" s="15">
        <v>5014</v>
      </c>
      <c r="C147" s="15">
        <v>31</v>
      </c>
      <c r="D147" s="15">
        <v>2</v>
      </c>
      <c r="E147" s="11" t="s">
        <v>1008</v>
      </c>
      <c r="F147" s="11" t="s">
        <v>1116</v>
      </c>
      <c r="G147" s="15">
        <v>4</v>
      </c>
      <c r="H147" s="15">
        <v>0</v>
      </c>
      <c r="I147" s="15"/>
      <c r="J147" s="15">
        <v>2</v>
      </c>
      <c r="K147" s="15"/>
      <c r="L147" s="15"/>
      <c r="M147" s="15"/>
      <c r="N147" s="15">
        <v>1115</v>
      </c>
      <c r="O147" s="15"/>
      <c r="P147" s="15"/>
      <c r="Q147" t="e">
        <f>VLOOKUP(VALUE(K147),ability!$B:$C,2,FALSE)</f>
        <v>#N/A</v>
      </c>
      <c r="R147" t="e">
        <f>VLOOKUP(VALUE(L147),ability!$B:$C,2,FALSE)</f>
        <v>#N/A</v>
      </c>
      <c r="S147" t="e">
        <f>VLOOKUP(VALUE(M147),ability!$B:$C,2,FALSE)</f>
        <v>#N/A</v>
      </c>
      <c r="T147" t="str">
        <f>VLOOKUP(VALUE(N147),ability!$B:$C,2,FALSE)</f>
        <v>友愛</v>
      </c>
      <c r="U147" t="e">
        <f>VLOOKUP(VALUE(O147),ability!$B:$C,2,FALSE)</f>
        <v>#N/A</v>
      </c>
      <c r="V147" t="e">
        <f>VLOOKUP(VALUE(P147),ability!$B:$C,2,FALSE)</f>
        <v>#N/A</v>
      </c>
    </row>
    <row r="148" spans="1:22">
      <c r="A148" s="8"/>
      <c r="B148" s="15">
        <v>5015</v>
      </c>
      <c r="C148" s="15">
        <v>33</v>
      </c>
      <c r="D148" s="15">
        <v>2</v>
      </c>
      <c r="E148" s="11" t="s">
        <v>1009</v>
      </c>
      <c r="F148" s="11" t="s">
        <v>1119</v>
      </c>
      <c r="G148" s="15">
        <v>5</v>
      </c>
      <c r="H148" s="15">
        <v>0</v>
      </c>
      <c r="I148" s="15"/>
      <c r="J148" s="15">
        <v>3</v>
      </c>
      <c r="K148" s="15"/>
      <c r="L148" s="15"/>
      <c r="M148" s="15"/>
      <c r="N148" s="15">
        <v>1116</v>
      </c>
      <c r="O148" s="15"/>
      <c r="P148" s="15"/>
      <c r="Q148" t="e">
        <f>VLOOKUP(VALUE(K148),ability!$B:$C,2,FALSE)</f>
        <v>#N/A</v>
      </c>
      <c r="R148" t="e">
        <f>VLOOKUP(VALUE(L148),ability!$B:$C,2,FALSE)</f>
        <v>#N/A</v>
      </c>
      <c r="S148" t="e">
        <f>VLOOKUP(VALUE(M148),ability!$B:$C,2,FALSE)</f>
        <v>#N/A</v>
      </c>
      <c r="T148" t="str">
        <f>VLOOKUP(VALUE(N148),ability!$B:$C,2,FALSE)</f>
        <v>先駆</v>
      </c>
      <c r="U148" t="e">
        <f>VLOOKUP(VALUE(O148),ability!$B:$C,2,FALSE)</f>
        <v>#N/A</v>
      </c>
      <c r="V148" t="e">
        <f>VLOOKUP(VALUE(P148),ability!$B:$C,2,FALSE)</f>
        <v>#N/A</v>
      </c>
    </row>
    <row r="149" spans="1:22">
      <c r="A149" s="8"/>
      <c r="B149" s="15">
        <v>5016</v>
      </c>
      <c r="C149" s="15">
        <v>38</v>
      </c>
      <c r="D149" s="15">
        <v>2</v>
      </c>
      <c r="E149" s="11" t="s">
        <v>1010</v>
      </c>
      <c r="F149" s="11" t="s">
        <v>1124</v>
      </c>
      <c r="G149" s="15">
        <v>5</v>
      </c>
      <c r="H149" s="15">
        <v>0</v>
      </c>
      <c r="I149" s="15"/>
      <c r="J149" s="15">
        <v>3</v>
      </c>
      <c r="K149" s="15"/>
      <c r="L149" s="15"/>
      <c r="M149" s="15"/>
      <c r="N149" s="15">
        <v>1116</v>
      </c>
      <c r="O149" s="15"/>
      <c r="P149" s="15"/>
      <c r="Q149" t="e">
        <f>VLOOKUP(VALUE(K149),ability!$B:$C,2,FALSE)</f>
        <v>#N/A</v>
      </c>
      <c r="R149" t="e">
        <f>VLOOKUP(VALUE(L149),ability!$B:$C,2,FALSE)</f>
        <v>#N/A</v>
      </c>
      <c r="S149" t="e">
        <f>VLOOKUP(VALUE(M149),ability!$B:$C,2,FALSE)</f>
        <v>#N/A</v>
      </c>
      <c r="T149" t="str">
        <f>VLOOKUP(VALUE(N149),ability!$B:$C,2,FALSE)</f>
        <v>先駆</v>
      </c>
      <c r="U149" t="e">
        <f>VLOOKUP(VALUE(O149),ability!$B:$C,2,FALSE)</f>
        <v>#N/A</v>
      </c>
      <c r="V149" t="e">
        <f>VLOOKUP(VALUE(P149),ability!$B:$C,2,FALSE)</f>
        <v>#N/A</v>
      </c>
    </row>
    <row r="150" spans="1:22">
      <c r="A150" s="8"/>
      <c r="B150" s="15">
        <v>5017</v>
      </c>
      <c r="C150" s="15">
        <v>39</v>
      </c>
      <c r="D150" s="15">
        <v>2</v>
      </c>
      <c r="E150" s="11" t="s">
        <v>1011</v>
      </c>
      <c r="F150" s="11" t="s">
        <v>1125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/>
      <c r="N150" s="15">
        <v>10</v>
      </c>
      <c r="O150" s="15"/>
      <c r="P150" s="15"/>
      <c r="Q150" t="e">
        <f>VLOOKUP(VALUE(K150),ability!$B:$C,2,FALSE)</f>
        <v>#N/A</v>
      </c>
      <c r="R150" t="e">
        <f>VLOOKUP(VALUE(L150),ability!$B:$C,2,FALSE)</f>
        <v>#N/A</v>
      </c>
      <c r="S150" t="e">
        <f>VLOOKUP(VALUE(M150),ability!$B:$C,2,FALSE)</f>
        <v>#N/A</v>
      </c>
      <c r="T150" t="str">
        <f>VLOOKUP(VALUE(N150),ability!$B:$C,2,FALSE)</f>
        <v>烈風</v>
      </c>
      <c r="U150" t="e">
        <f>VLOOKUP(VALUE(O150),ability!$B:$C,2,FALSE)</f>
        <v>#N/A</v>
      </c>
      <c r="V150" t="e">
        <f>VLOOKUP(VALUE(P150),ability!$B:$C,2,FALSE)</f>
        <v>#N/A</v>
      </c>
    </row>
    <row r="151" spans="1:22">
      <c r="A151" s="8"/>
      <c r="B151" s="15">
        <v>5018</v>
      </c>
      <c r="C151" s="15">
        <v>4</v>
      </c>
      <c r="D151" s="15">
        <v>2</v>
      </c>
      <c r="E151" s="11" t="s">
        <v>1012</v>
      </c>
      <c r="F151" s="11" t="s">
        <v>1070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1114</v>
      </c>
      <c r="O151" s="15"/>
      <c r="P151" s="15"/>
      <c r="Q151" t="e">
        <f>VLOOKUP(VALUE(K151),ability!$B:$C,2,FALSE)</f>
        <v>#N/A</v>
      </c>
      <c r="R151" t="e">
        <f>VLOOKUP(VALUE(L151),ability!$B:$C,2,FALSE)</f>
        <v>#N/A</v>
      </c>
      <c r="S151" t="e">
        <f>VLOOKUP(VALUE(M151),ability!$B:$C,2,FALSE)</f>
        <v>#N/A</v>
      </c>
      <c r="T151" t="str">
        <f>VLOOKUP(VALUE(N151),ability!$B:$C,2,FALSE)</f>
        <v>福運</v>
      </c>
      <c r="U151" t="e">
        <f>VLOOKUP(VALUE(O151),ability!$B:$C,2,FALSE)</f>
        <v>#N/A</v>
      </c>
      <c r="V151" t="e">
        <f>VLOOKUP(VALUE(P151),ability!$B:$C,2,FALSE)</f>
        <v>#N/A</v>
      </c>
    </row>
    <row r="152" spans="1:22">
      <c r="A152" s="8"/>
      <c r="B152" s="15">
        <v>5019</v>
      </c>
      <c r="C152" s="15">
        <v>17</v>
      </c>
      <c r="D152" s="15">
        <v>2</v>
      </c>
      <c r="E152" s="11" t="s">
        <v>1013</v>
      </c>
      <c r="F152" s="11" t="s">
        <v>1088</v>
      </c>
      <c r="G152" s="15">
        <v>3</v>
      </c>
      <c r="H152" s="15">
        <v>0</v>
      </c>
      <c r="I152" s="15"/>
      <c r="J152" s="15">
        <v>1</v>
      </c>
      <c r="K152" s="15"/>
      <c r="L152" s="15"/>
      <c r="M152" s="15"/>
      <c r="N152" s="15">
        <v>212</v>
      </c>
      <c r="O152" s="15"/>
      <c r="P152" s="15">
        <v>242</v>
      </c>
      <c r="Q152" t="e">
        <f>VLOOKUP(VALUE(K152),ability!$B:$C,2,FALSE)</f>
        <v>#N/A</v>
      </c>
      <c r="R152" t="e">
        <f>VLOOKUP(VALUE(L152),ability!$B:$C,2,FALSE)</f>
        <v>#N/A</v>
      </c>
      <c r="S152" t="e">
        <f>VLOOKUP(VALUE(M152),ability!$B:$C,2,FALSE)</f>
        <v>#N/A</v>
      </c>
      <c r="T152" t="str">
        <f>VLOOKUP(VALUE(N152),ability!$B:$C,2,FALSE)</f>
        <v>勇猛</v>
      </c>
      <c r="U152" t="e">
        <f>VLOOKUP(VALUE(O152),ability!$B:$C,2,FALSE)</f>
        <v>#N/A</v>
      </c>
      <c r="V152" t="str">
        <f>VLOOKUP(VALUE(P152),ability!$B:$C,2,FALSE)</f>
        <v>氷の意志</v>
      </c>
    </row>
    <row r="153" spans="1:22">
      <c r="A153" s="8"/>
      <c r="B153" s="15">
        <v>5020</v>
      </c>
      <c r="C153" s="15">
        <v>47</v>
      </c>
      <c r="D153" s="15">
        <v>2</v>
      </c>
      <c r="E153" s="11" t="s">
        <v>1014</v>
      </c>
      <c r="F153" s="11" t="s">
        <v>1096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/>
      <c r="N153" s="15">
        <v>301</v>
      </c>
      <c r="O153" s="15"/>
      <c r="P153" s="15"/>
      <c r="Q153" t="e">
        <f>VLOOKUP(VALUE(K153),ability!$B:$C,2,FALSE)</f>
        <v>#N/A</v>
      </c>
      <c r="R153" t="e">
        <f>VLOOKUP(VALUE(L153),ability!$B:$C,2,FALSE)</f>
        <v>#N/A</v>
      </c>
      <c r="S153" t="e">
        <f>VLOOKUP(VALUE(M153),ability!$B:$C,2,FALSE)</f>
        <v>#N/A</v>
      </c>
      <c r="T153" t="str">
        <f>VLOOKUP(VALUE(N153),ability!$B:$C,2,FALSE)</f>
        <v>専心</v>
      </c>
      <c r="U153" t="e">
        <f>VLOOKUP(VALUE(O153),ability!$B:$C,2,FALSE)</f>
        <v>#N/A</v>
      </c>
      <c r="V153" t="e">
        <f>VLOOKUP(VALUE(P153),ability!$B:$C,2,FALSE)</f>
        <v>#N/A</v>
      </c>
    </row>
    <row r="154" spans="1:22">
      <c r="A154" s="8"/>
      <c r="B154" s="15">
        <v>5021</v>
      </c>
      <c r="C154" s="15">
        <v>42</v>
      </c>
      <c r="D154" s="15">
        <v>2</v>
      </c>
      <c r="E154" s="11" t="s">
        <v>1015</v>
      </c>
      <c r="F154" s="11" t="s">
        <v>1129</v>
      </c>
      <c r="G154" s="15">
        <v>6</v>
      </c>
      <c r="H154" s="15">
        <v>0</v>
      </c>
      <c r="I154" s="15"/>
      <c r="J154" s="15">
        <v>1</v>
      </c>
      <c r="K154" s="15"/>
      <c r="L154" s="15"/>
      <c r="M154" s="15"/>
      <c r="N154" s="15">
        <v>1109</v>
      </c>
      <c r="O154" s="15"/>
      <c r="P154" s="15"/>
      <c r="Q154" t="e">
        <f>VLOOKUP(VALUE(K154),ability!$B:$C,2,FALSE)</f>
        <v>#N/A</v>
      </c>
      <c r="R154" t="e">
        <f>VLOOKUP(VALUE(L154),ability!$B:$C,2,FALSE)</f>
        <v>#N/A</v>
      </c>
      <c r="S154" t="e">
        <f>VLOOKUP(VALUE(M154),ability!$B:$C,2,FALSE)</f>
        <v>#N/A</v>
      </c>
      <c r="T154" t="str">
        <f>VLOOKUP(VALUE(N154),ability!$B:$C,2,FALSE)</f>
        <v>吉報</v>
      </c>
      <c r="U154" t="e">
        <f>VLOOKUP(VALUE(O154),ability!$B:$C,2,FALSE)</f>
        <v>#N/A</v>
      </c>
      <c r="V154" t="e">
        <f>VLOOKUP(VALUE(P154),ability!$B:$C,2,FALSE)</f>
        <v>#N/A</v>
      </c>
    </row>
    <row r="155" spans="1:22">
      <c r="A155" s="8"/>
      <c r="B155" s="15">
        <v>5022</v>
      </c>
      <c r="C155" s="15">
        <v>11</v>
      </c>
      <c r="D155" s="15">
        <v>2</v>
      </c>
      <c r="E155" s="11" t="s">
        <v>1016</v>
      </c>
      <c r="F155" s="11" t="s">
        <v>1080</v>
      </c>
      <c r="G155" s="15">
        <v>6</v>
      </c>
      <c r="H155" s="15">
        <v>0</v>
      </c>
      <c r="I155" s="15"/>
      <c r="J155" s="15">
        <v>4</v>
      </c>
      <c r="K155" s="15"/>
      <c r="L155" s="15"/>
      <c r="M155" s="15"/>
      <c r="N155" s="15">
        <v>1502</v>
      </c>
      <c r="O155" s="15"/>
      <c r="P155" s="15">
        <v>243</v>
      </c>
      <c r="Q155" t="e">
        <f>VLOOKUP(VALUE(K155),ability!$B:$C,2,FALSE)</f>
        <v>#N/A</v>
      </c>
      <c r="R155" t="e">
        <f>VLOOKUP(VALUE(L155),ability!$B:$C,2,FALSE)</f>
        <v>#N/A</v>
      </c>
      <c r="S155" t="e">
        <f>VLOOKUP(VALUE(M155),ability!$B:$C,2,FALSE)</f>
        <v>#N/A</v>
      </c>
      <c r="T155" t="str">
        <f>VLOOKUP(VALUE(N155),ability!$B:$C,2,FALSE)</f>
        <v>堅忍</v>
      </c>
      <c r="U155" t="e">
        <f>VLOOKUP(VALUE(O155),ability!$B:$C,2,FALSE)</f>
        <v>#N/A</v>
      </c>
      <c r="V155" t="str">
        <f>VLOOKUP(VALUE(P155),ability!$B:$C,2,FALSE)</f>
        <v>雷の意志</v>
      </c>
    </row>
    <row r="156" spans="1:22">
      <c r="A156" s="8"/>
      <c r="B156" s="15">
        <v>5023</v>
      </c>
      <c r="C156" s="15">
        <v>5</v>
      </c>
      <c r="D156" s="15">
        <v>2</v>
      </c>
      <c r="E156" s="11" t="s">
        <v>1017</v>
      </c>
      <c r="F156" s="11" t="s">
        <v>1071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/>
      <c r="N156" s="15">
        <v>212</v>
      </c>
      <c r="O156" s="15"/>
      <c r="P156" s="15"/>
      <c r="Q156" t="e">
        <f>VLOOKUP(VALUE(K156),ability!$B:$C,2,FALSE)</f>
        <v>#N/A</v>
      </c>
      <c r="R156" t="e">
        <f>VLOOKUP(VALUE(L156),ability!$B:$C,2,FALSE)</f>
        <v>#N/A</v>
      </c>
      <c r="S156" t="e">
        <f>VLOOKUP(VALUE(M156),ability!$B:$C,2,FALSE)</f>
        <v>#N/A</v>
      </c>
      <c r="T156" t="str">
        <f>VLOOKUP(VALUE(N156),ability!$B:$C,2,FALSE)</f>
        <v>勇猛</v>
      </c>
      <c r="U156" t="e">
        <f>VLOOKUP(VALUE(O156),ability!$B:$C,2,FALSE)</f>
        <v>#N/A</v>
      </c>
      <c r="V156" t="e">
        <f>VLOOKUP(VALUE(P156),ability!$B:$C,2,FALSE)</f>
        <v>#N/A</v>
      </c>
    </row>
    <row r="157" spans="1:22">
      <c r="A157" s="8"/>
      <c r="B157" s="15">
        <v>5024</v>
      </c>
      <c r="C157" s="15">
        <v>23</v>
      </c>
      <c r="D157" s="15">
        <v>2</v>
      </c>
      <c r="E157" s="11" t="s">
        <v>1018</v>
      </c>
      <c r="F157" s="11" t="s">
        <v>1105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/>
      <c r="N157" s="15">
        <v>9</v>
      </c>
      <c r="O157" s="15"/>
      <c r="P157" s="15">
        <v>245</v>
      </c>
      <c r="Q157" t="e">
        <f>VLOOKUP(VALUE(K157),ability!$B:$C,2,FALSE)</f>
        <v>#N/A</v>
      </c>
      <c r="R157" t="e">
        <f>VLOOKUP(VALUE(L157),ability!$B:$C,2,FALSE)</f>
        <v>#N/A</v>
      </c>
      <c r="S157" t="e">
        <f>VLOOKUP(VALUE(M157),ability!$B:$C,2,FALSE)</f>
        <v>#N/A</v>
      </c>
      <c r="T157" t="str">
        <f>VLOOKUP(VALUE(N157),ability!$B:$C,2,FALSE)</f>
        <v>疾風</v>
      </c>
      <c r="U157" t="e">
        <f>VLOOKUP(VALUE(O157),ability!$B:$C,2,FALSE)</f>
        <v>#N/A</v>
      </c>
      <c r="V157" t="str">
        <f>VLOOKUP(VALUE(P157),ability!$B:$C,2,FALSE)</f>
        <v>闇の意志</v>
      </c>
    </row>
    <row r="158" spans="1:22">
      <c r="A158" s="8"/>
      <c r="B158" s="15">
        <v>5025</v>
      </c>
      <c r="C158" s="15">
        <v>30</v>
      </c>
      <c r="D158" s="15">
        <v>2</v>
      </c>
      <c r="E158" s="11" t="s">
        <v>1019</v>
      </c>
      <c r="F158" s="11" t="s">
        <v>1114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/>
      <c r="N158" s="15">
        <v>1115</v>
      </c>
      <c r="O158" s="15"/>
      <c r="P158" s="15"/>
      <c r="Q158" t="e">
        <f>VLOOKUP(VALUE(K158),ability!$B:$C,2,FALSE)</f>
        <v>#N/A</v>
      </c>
      <c r="R158" t="e">
        <f>VLOOKUP(VALUE(L158),ability!$B:$C,2,FALSE)</f>
        <v>#N/A</v>
      </c>
      <c r="S158" t="e">
        <f>VLOOKUP(VALUE(M158),ability!$B:$C,2,FALSE)</f>
        <v>#N/A</v>
      </c>
      <c r="T158" t="str">
        <f>VLOOKUP(VALUE(N158),ability!$B:$C,2,FALSE)</f>
        <v>友愛</v>
      </c>
      <c r="U158" t="e">
        <f>VLOOKUP(VALUE(O158),ability!$B:$C,2,FALSE)</f>
        <v>#N/A</v>
      </c>
      <c r="V158" t="e">
        <f>VLOOKUP(VALUE(P158),ability!$B:$C,2,FALSE)</f>
        <v>#N/A</v>
      </c>
    </row>
    <row r="159" spans="1:22">
      <c r="A159" s="8"/>
      <c r="B159" s="15">
        <v>5026</v>
      </c>
      <c r="C159" s="15">
        <v>35</v>
      </c>
      <c r="D159" s="15">
        <v>2</v>
      </c>
      <c r="E159" s="11" t="s">
        <v>1020</v>
      </c>
      <c r="F159" s="11" t="s">
        <v>1121</v>
      </c>
      <c r="G159" s="15">
        <v>1</v>
      </c>
      <c r="H159" s="15">
        <v>0</v>
      </c>
      <c r="I159" s="15"/>
      <c r="J159" s="15">
        <v>1</v>
      </c>
      <c r="K159" s="15"/>
      <c r="L159" s="15"/>
      <c r="M159" s="15"/>
      <c r="N159" s="15">
        <v>220</v>
      </c>
      <c r="O159" s="15"/>
      <c r="P159" s="15"/>
      <c r="Q159" t="e">
        <f>VLOOKUP(VALUE(K159),ability!$B:$C,2,FALSE)</f>
        <v>#N/A</v>
      </c>
      <c r="R159" t="e">
        <f>VLOOKUP(VALUE(L159),ability!$B:$C,2,FALSE)</f>
        <v>#N/A</v>
      </c>
      <c r="S159" t="e">
        <f>VLOOKUP(VALUE(M159),ability!$B:$C,2,FALSE)</f>
        <v>#N/A</v>
      </c>
      <c r="T159" t="str">
        <f>VLOOKUP(VALUE(N159),ability!$B:$C,2,FALSE)</f>
        <v>決心</v>
      </c>
      <c r="U159" t="e">
        <f>VLOOKUP(VALUE(O159),ability!$B:$C,2,FALSE)</f>
        <v>#N/A</v>
      </c>
      <c r="V159" t="e">
        <f>VLOOKUP(VALUE(P159),ability!$B:$C,2,FALSE)</f>
        <v>#N/A</v>
      </c>
    </row>
    <row r="160" spans="1:22">
      <c r="A160" s="8"/>
      <c r="B160" s="15">
        <v>5027</v>
      </c>
      <c r="C160" s="15">
        <v>44</v>
      </c>
      <c r="D160" s="15">
        <v>2</v>
      </c>
      <c r="E160" s="11" t="s">
        <v>1021</v>
      </c>
      <c r="F160" s="11" t="s">
        <v>1092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/>
      <c r="N160" s="15">
        <v>1508</v>
      </c>
      <c r="O160" s="15"/>
      <c r="P160" s="15">
        <v>244</v>
      </c>
      <c r="Q160" t="e">
        <f>VLOOKUP(VALUE(K160),ability!$B:$C,2,FALSE)</f>
        <v>#N/A</v>
      </c>
      <c r="R160" t="e">
        <f>VLOOKUP(VALUE(L160),ability!$B:$C,2,FALSE)</f>
        <v>#N/A</v>
      </c>
      <c r="S160" t="e">
        <f>VLOOKUP(VALUE(M160),ability!$B:$C,2,FALSE)</f>
        <v>#N/A</v>
      </c>
      <c r="T160" t="str">
        <f>VLOOKUP(VALUE(N160),ability!$B:$C,2,FALSE)</f>
        <v>鉄壁</v>
      </c>
      <c r="U160" t="e">
        <f>VLOOKUP(VALUE(O160),ability!$B:$C,2,FALSE)</f>
        <v>#N/A</v>
      </c>
      <c r="V160" t="str">
        <f>VLOOKUP(VALUE(P160),ability!$B:$C,2,FALSE)</f>
        <v>光の意志</v>
      </c>
    </row>
    <row r="161" spans="1:22">
      <c r="A161" s="8"/>
      <c r="B161" s="15">
        <v>5028</v>
      </c>
      <c r="C161" s="15">
        <v>45</v>
      </c>
      <c r="D161" s="15">
        <v>2</v>
      </c>
      <c r="E161" s="11" t="s">
        <v>1022</v>
      </c>
      <c r="F161" s="11" t="s">
        <v>1093</v>
      </c>
      <c r="G161" s="15">
        <v>6</v>
      </c>
      <c r="H161" s="15">
        <v>0</v>
      </c>
      <c r="I161" s="15"/>
      <c r="J161" s="15">
        <v>4</v>
      </c>
      <c r="K161" s="15"/>
      <c r="L161" s="15"/>
      <c r="M161" s="15"/>
      <c r="N161" s="15">
        <v>1507</v>
      </c>
      <c r="O161" s="15"/>
      <c r="P161" s="15"/>
      <c r="Q161" t="e">
        <f>VLOOKUP(VALUE(K161),ability!$B:$C,2,FALSE)</f>
        <v>#N/A</v>
      </c>
      <c r="R161" t="e">
        <f>VLOOKUP(VALUE(L161),ability!$B:$C,2,FALSE)</f>
        <v>#N/A</v>
      </c>
      <c r="S161" t="e">
        <f>VLOOKUP(VALUE(M161),ability!$B:$C,2,FALSE)</f>
        <v>#N/A</v>
      </c>
      <c r="T161" t="str">
        <f>VLOOKUP(VALUE(N161),ability!$B:$C,2,FALSE)</f>
        <v>忍耐</v>
      </c>
      <c r="U161" t="e">
        <f>VLOOKUP(VALUE(O161),ability!$B:$C,2,FALSE)</f>
        <v>#N/A</v>
      </c>
      <c r="V161" t="e">
        <f>VLOOKUP(VALUE(P161),ability!$B:$C,2,FALSE)</f>
        <v>#N/A</v>
      </c>
    </row>
    <row r="162" spans="1:22">
      <c r="A162" s="8"/>
      <c r="B162" s="15">
        <v>5029</v>
      </c>
      <c r="C162" s="15">
        <v>2</v>
      </c>
      <c r="D162" s="15">
        <v>2</v>
      </c>
      <c r="E162" s="11" t="s">
        <v>1023</v>
      </c>
      <c r="F162" s="11" t="s">
        <v>1068</v>
      </c>
      <c r="G162" s="15">
        <v>2</v>
      </c>
      <c r="H162" s="15">
        <v>0</v>
      </c>
      <c r="I162" s="15"/>
      <c r="J162" s="15">
        <v>1</v>
      </c>
      <c r="K162" s="15"/>
      <c r="L162" s="15"/>
      <c r="M162" s="15"/>
      <c r="N162" s="15">
        <v>9</v>
      </c>
      <c r="O162" s="15"/>
      <c r="P162" s="15"/>
      <c r="Q162" t="e">
        <f>VLOOKUP(VALUE(K162),ability!$B:$C,2,FALSE)</f>
        <v>#N/A</v>
      </c>
      <c r="R162" t="e">
        <f>VLOOKUP(VALUE(L162),ability!$B:$C,2,FALSE)</f>
        <v>#N/A</v>
      </c>
      <c r="S162" t="e">
        <f>VLOOKUP(VALUE(M162),ability!$B:$C,2,FALSE)</f>
        <v>#N/A</v>
      </c>
      <c r="T162" t="str">
        <f>VLOOKUP(VALUE(N162),ability!$B:$C,2,FALSE)</f>
        <v>疾風</v>
      </c>
      <c r="U162" t="e">
        <f>VLOOKUP(VALUE(O162),ability!$B:$C,2,FALSE)</f>
        <v>#N/A</v>
      </c>
      <c r="V162" t="e">
        <f>VLOOKUP(VALUE(P162),ability!$B:$C,2,FALSE)</f>
        <v>#N/A</v>
      </c>
    </row>
    <row r="163" spans="1:22">
      <c r="A163" s="8"/>
      <c r="B163" s="15">
        <v>5030</v>
      </c>
      <c r="C163" s="15">
        <v>36</v>
      </c>
      <c r="D163" s="15">
        <v>2</v>
      </c>
      <c r="E163" s="11" t="s">
        <v>1024</v>
      </c>
      <c r="F163" s="11" t="s">
        <v>1122</v>
      </c>
      <c r="G163" s="15">
        <v>3</v>
      </c>
      <c r="H163" s="15">
        <v>0</v>
      </c>
      <c r="I163" s="15"/>
      <c r="J163" s="15">
        <v>1</v>
      </c>
      <c r="K163" s="15"/>
      <c r="L163" s="15"/>
      <c r="M163" s="15"/>
      <c r="N163" s="15">
        <v>1113</v>
      </c>
      <c r="O163" s="15"/>
      <c r="P163" s="15">
        <v>248</v>
      </c>
      <c r="Q163" t="e">
        <f>VLOOKUP(VALUE(K163),ability!$B:$C,2,FALSE)</f>
        <v>#N/A</v>
      </c>
      <c r="R163" t="e">
        <f>VLOOKUP(VALUE(L163),ability!$B:$C,2,FALSE)</f>
        <v>#N/A</v>
      </c>
      <c r="S163" t="e">
        <f>VLOOKUP(VALUE(M163),ability!$B:$C,2,FALSE)</f>
        <v>#N/A</v>
      </c>
      <c r="T163" t="str">
        <f>VLOOKUP(VALUE(N163),ability!$B:$C,2,FALSE)</f>
        <v>気合</v>
      </c>
      <c r="U163" t="e">
        <f>VLOOKUP(VALUE(O163),ability!$B:$C,2,FALSE)</f>
        <v>#N/A</v>
      </c>
      <c r="V163" t="str">
        <f>VLOOKUP(VALUE(P163),ability!$B:$C,2,FALSE)</f>
        <v>打の意志</v>
      </c>
    </row>
    <row r="164" spans="1:22">
      <c r="A164" s="8"/>
      <c r="B164" s="15">
        <v>5031</v>
      </c>
      <c r="C164" s="15">
        <v>14</v>
      </c>
      <c r="D164" s="15">
        <v>2</v>
      </c>
      <c r="E164" s="11" t="s">
        <v>1025</v>
      </c>
      <c r="F164" s="11" t="s">
        <v>1084</v>
      </c>
      <c r="G164" s="15">
        <v>7</v>
      </c>
      <c r="H164" s="15">
        <v>0</v>
      </c>
      <c r="I164" s="15"/>
      <c r="J164" s="15">
        <v>6</v>
      </c>
      <c r="K164" s="15"/>
      <c r="L164" s="15"/>
      <c r="M164" s="15"/>
      <c r="N164" s="15">
        <v>1507</v>
      </c>
      <c r="O164" s="15"/>
      <c r="P164" s="15"/>
      <c r="Q164" t="e">
        <f>VLOOKUP(VALUE(K164),ability!$B:$C,2,FALSE)</f>
        <v>#N/A</v>
      </c>
      <c r="R164" t="e">
        <f>VLOOKUP(VALUE(L164),ability!$B:$C,2,FALSE)</f>
        <v>#N/A</v>
      </c>
      <c r="S164" t="e">
        <f>VLOOKUP(VALUE(M164),ability!$B:$C,2,FALSE)</f>
        <v>#N/A</v>
      </c>
      <c r="T164" t="str">
        <f>VLOOKUP(VALUE(N164),ability!$B:$C,2,FALSE)</f>
        <v>忍耐</v>
      </c>
      <c r="U164" t="e">
        <f>VLOOKUP(VALUE(O164),ability!$B:$C,2,FALSE)</f>
        <v>#N/A</v>
      </c>
      <c r="V164" t="e">
        <f>VLOOKUP(VALUE(P164),ability!$B:$C,2,FALSE)</f>
        <v>#N/A</v>
      </c>
    </row>
    <row r="165" spans="1:22">
      <c r="A165" s="8"/>
      <c r="B165" s="15">
        <v>5032</v>
      </c>
      <c r="C165" s="15">
        <v>46</v>
      </c>
      <c r="D165" s="15">
        <v>2</v>
      </c>
      <c r="E165" s="11" t="s">
        <v>1026</v>
      </c>
      <c r="F165" s="11" t="s">
        <v>1094</v>
      </c>
      <c r="G165" s="15">
        <v>4</v>
      </c>
      <c r="H165" s="15">
        <v>0</v>
      </c>
      <c r="I165" s="15"/>
      <c r="J165" s="15">
        <v>2</v>
      </c>
      <c r="K165" s="15"/>
      <c r="L165" s="15"/>
      <c r="M165" s="15"/>
      <c r="N165" s="15">
        <v>1502</v>
      </c>
      <c r="O165" s="15"/>
      <c r="P165" s="15"/>
      <c r="Q165" t="e">
        <f>VLOOKUP(VALUE(K165),ability!$B:$C,2,FALSE)</f>
        <v>#N/A</v>
      </c>
      <c r="R165" t="e">
        <f>VLOOKUP(VALUE(L165),ability!$B:$C,2,FALSE)</f>
        <v>#N/A</v>
      </c>
      <c r="S165" t="e">
        <f>VLOOKUP(VALUE(M165),ability!$B:$C,2,FALSE)</f>
        <v>#N/A</v>
      </c>
      <c r="T165" t="str">
        <f>VLOOKUP(VALUE(N165),ability!$B:$C,2,FALSE)</f>
        <v>堅忍</v>
      </c>
      <c r="U165" t="e">
        <f>VLOOKUP(VALUE(O165),ability!$B:$C,2,FALSE)</f>
        <v>#N/A</v>
      </c>
      <c r="V165" t="e">
        <f>VLOOKUP(VALUE(P165),ability!$B:$C,2,FALSE)</f>
        <v>#N/A</v>
      </c>
    </row>
    <row r="166" spans="1:22">
      <c r="A166" s="8"/>
      <c r="B166" s="15">
        <v>5033</v>
      </c>
      <c r="C166" s="15">
        <v>28</v>
      </c>
      <c r="D166" s="15">
        <v>2</v>
      </c>
      <c r="E166" s="11" t="s">
        <v>1027</v>
      </c>
      <c r="F166" s="11" t="s">
        <v>1112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/>
      <c r="N166" s="15">
        <v>1112</v>
      </c>
      <c r="O166" s="15"/>
      <c r="P166" s="15">
        <v>241</v>
      </c>
      <c r="Q166" t="e">
        <f>VLOOKUP(VALUE(K166),ability!$B:$C,2,FALSE)</f>
        <v>#N/A</v>
      </c>
      <c r="R166" t="e">
        <f>VLOOKUP(VALUE(L166),ability!$B:$C,2,FALSE)</f>
        <v>#N/A</v>
      </c>
      <c r="S166" t="e">
        <f>VLOOKUP(VALUE(M166),ability!$B:$C,2,FALSE)</f>
        <v>#N/A</v>
      </c>
      <c r="T166" t="str">
        <f>VLOOKUP(VALUE(N166),ability!$B:$C,2,FALSE)</f>
        <v>好機</v>
      </c>
      <c r="U166" t="e">
        <f>VLOOKUP(VALUE(O166),ability!$B:$C,2,FALSE)</f>
        <v>#N/A</v>
      </c>
      <c r="V166" t="str">
        <f>VLOOKUP(VALUE(P166),ability!$B:$C,2,FALSE)</f>
        <v>火の意志</v>
      </c>
    </row>
    <row r="167" spans="1:22">
      <c r="A167" s="8"/>
      <c r="B167" s="15">
        <v>5034</v>
      </c>
      <c r="C167" s="15">
        <v>19</v>
      </c>
      <c r="D167" s="15">
        <v>2</v>
      </c>
      <c r="E167" s="11" t="s">
        <v>1028</v>
      </c>
      <c r="F167" s="11" t="s">
        <v>1099</v>
      </c>
      <c r="G167" s="15">
        <v>1</v>
      </c>
      <c r="H167" s="15">
        <v>0</v>
      </c>
      <c r="I167" s="15"/>
      <c r="J167" s="15">
        <v>1</v>
      </c>
      <c r="K167" s="15"/>
      <c r="L167" s="15"/>
      <c r="M167" s="15"/>
      <c r="N167" s="15">
        <v>1109</v>
      </c>
      <c r="O167" s="15"/>
      <c r="P167" s="15"/>
      <c r="Q167" t="e">
        <f>VLOOKUP(VALUE(K167),ability!$B:$C,2,FALSE)</f>
        <v>#N/A</v>
      </c>
      <c r="R167" t="e">
        <f>VLOOKUP(VALUE(L167),ability!$B:$C,2,FALSE)</f>
        <v>#N/A</v>
      </c>
      <c r="S167" t="e">
        <f>VLOOKUP(VALUE(M167),ability!$B:$C,2,FALSE)</f>
        <v>#N/A</v>
      </c>
      <c r="T167" t="str">
        <f>VLOOKUP(VALUE(N167),ability!$B:$C,2,FALSE)</f>
        <v>吉報</v>
      </c>
      <c r="U167" t="e">
        <f>VLOOKUP(VALUE(O167),ability!$B:$C,2,FALSE)</f>
        <v>#N/A</v>
      </c>
      <c r="V167" t="e">
        <f>VLOOKUP(VALUE(P167),ability!$B:$C,2,FALSE)</f>
        <v>#N/A</v>
      </c>
    </row>
    <row r="168" spans="1:22">
      <c r="A168" s="8"/>
      <c r="B168" s="15">
        <v>5035</v>
      </c>
      <c r="C168" s="15">
        <v>6</v>
      </c>
      <c r="D168" s="15">
        <v>2</v>
      </c>
      <c r="E168" s="11" t="s">
        <v>1029</v>
      </c>
      <c r="F168" s="11" t="s">
        <v>1074</v>
      </c>
      <c r="G168" s="15">
        <v>4</v>
      </c>
      <c r="H168" s="15">
        <v>0</v>
      </c>
      <c r="I168" s="15"/>
      <c r="J168" s="15">
        <v>2</v>
      </c>
      <c r="K168" s="15"/>
      <c r="L168" s="15"/>
      <c r="M168" s="15"/>
      <c r="N168" s="15">
        <v>1115</v>
      </c>
      <c r="O168" s="15"/>
      <c r="P168" s="15"/>
      <c r="Q168" t="e">
        <f>VLOOKUP(VALUE(K168),ability!$B:$C,2,FALSE)</f>
        <v>#N/A</v>
      </c>
      <c r="R168" t="e">
        <f>VLOOKUP(VALUE(L168),ability!$B:$C,2,FALSE)</f>
        <v>#N/A</v>
      </c>
      <c r="S168" t="e">
        <f>VLOOKUP(VALUE(M168),ability!$B:$C,2,FALSE)</f>
        <v>#N/A</v>
      </c>
      <c r="T168" t="str">
        <f>VLOOKUP(VALUE(N168),ability!$B:$C,2,FALSE)</f>
        <v>友愛</v>
      </c>
      <c r="U168" t="e">
        <f>VLOOKUP(VALUE(O168),ability!$B:$C,2,FALSE)</f>
        <v>#N/A</v>
      </c>
      <c r="V168" t="e">
        <f>VLOOKUP(VALUE(P168),ability!$B:$C,2,FALSE)</f>
        <v>#N/A</v>
      </c>
    </row>
    <row r="169" spans="1:22">
      <c r="A169" s="8"/>
      <c r="B169" s="15">
        <v>5036</v>
      </c>
      <c r="C169" s="15">
        <v>1</v>
      </c>
      <c r="D169" s="15">
        <v>2</v>
      </c>
      <c r="E169" s="11" t="s">
        <v>1030</v>
      </c>
      <c r="F169" s="11" t="s">
        <v>1067</v>
      </c>
      <c r="G169" s="15">
        <v>1</v>
      </c>
      <c r="H169" s="15">
        <v>1</v>
      </c>
      <c r="I169" s="15"/>
      <c r="J169" s="15">
        <v>1</v>
      </c>
      <c r="K169" s="15"/>
      <c r="L169" s="15"/>
      <c r="M169" s="15"/>
      <c r="N169" s="15">
        <v>1109</v>
      </c>
      <c r="O169" s="15"/>
      <c r="P169" s="15">
        <v>240</v>
      </c>
      <c r="Q169" t="e">
        <f>VLOOKUP(VALUE(K169),ability!$B:$C,2,FALSE)</f>
        <v>#N/A</v>
      </c>
      <c r="R169" t="e">
        <f>VLOOKUP(VALUE(L169),ability!$B:$C,2,FALSE)</f>
        <v>#N/A</v>
      </c>
      <c r="S169" t="e">
        <f>VLOOKUP(VALUE(M169),ability!$B:$C,2,FALSE)</f>
        <v>#N/A</v>
      </c>
      <c r="T169" t="str">
        <f>VLOOKUP(VALUE(N169),ability!$B:$C,2,FALSE)</f>
        <v>吉報</v>
      </c>
      <c r="U169" t="e">
        <f>VLOOKUP(VALUE(O169),ability!$B:$C,2,FALSE)</f>
        <v>#N/A</v>
      </c>
      <c r="V169" t="str">
        <f>VLOOKUP(VALUE(P169),ability!$B:$C,2,FALSE)</f>
        <v>危険な火遊び</v>
      </c>
    </row>
    <row r="170" spans="1:22">
      <c r="A170" s="8"/>
      <c r="B170" s="15">
        <v>5037</v>
      </c>
      <c r="C170" s="15">
        <v>40</v>
      </c>
      <c r="D170" s="15">
        <v>2</v>
      </c>
      <c r="E170" s="11" t="s">
        <v>1031</v>
      </c>
      <c r="F170" s="11" t="s">
        <v>1126</v>
      </c>
      <c r="G170" s="15">
        <v>6</v>
      </c>
      <c r="H170" s="15">
        <v>0</v>
      </c>
      <c r="I170" s="15"/>
      <c r="J170" s="15">
        <v>6</v>
      </c>
      <c r="K170" s="15"/>
      <c r="L170" s="15"/>
      <c r="M170" s="15"/>
      <c r="N170" s="15">
        <v>1502</v>
      </c>
      <c r="O170" s="15"/>
      <c r="P170" s="15">
        <v>253</v>
      </c>
      <c r="Q170" t="e">
        <f>VLOOKUP(VALUE(K170),ability!$B:$C,2,FALSE)</f>
        <v>#N/A</v>
      </c>
      <c r="R170" t="e">
        <f>VLOOKUP(VALUE(L170),ability!$B:$C,2,FALSE)</f>
        <v>#N/A</v>
      </c>
      <c r="S170" t="e">
        <f>VLOOKUP(VALUE(M170),ability!$B:$C,2,FALSE)</f>
        <v>#N/A</v>
      </c>
      <c r="T170" t="str">
        <f>VLOOKUP(VALUE(N170),ability!$B:$C,2,FALSE)</f>
        <v>堅忍</v>
      </c>
      <c r="U170" t="e">
        <f>VLOOKUP(VALUE(O170),ability!$B:$C,2,FALSE)</f>
        <v>#N/A</v>
      </c>
      <c r="V170" t="str">
        <f>VLOOKUP(VALUE(P170),ability!$B:$C,2,FALSE)</f>
        <v>雷の威圧</v>
      </c>
    </row>
    <row r="171" spans="1:22">
      <c r="A171" s="8"/>
      <c r="B171" s="15">
        <v>5038</v>
      </c>
      <c r="C171" s="15">
        <v>10</v>
      </c>
      <c r="D171" s="15">
        <v>2</v>
      </c>
      <c r="E171" s="11" t="s">
        <v>1032</v>
      </c>
      <c r="F171" s="11" t="s">
        <v>1078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/>
      <c r="N171" s="15">
        <v>1113</v>
      </c>
      <c r="O171" s="15"/>
      <c r="P171" s="15"/>
      <c r="Q171" t="e">
        <f>VLOOKUP(VALUE(K171),ability!$B:$C,2,FALSE)</f>
        <v>#N/A</v>
      </c>
      <c r="R171" t="e">
        <f>VLOOKUP(VALUE(L171),ability!$B:$C,2,FALSE)</f>
        <v>#N/A</v>
      </c>
      <c r="S171" t="e">
        <f>VLOOKUP(VALUE(M171),ability!$B:$C,2,FALSE)</f>
        <v>#N/A</v>
      </c>
      <c r="T171" t="str">
        <f>VLOOKUP(VALUE(N171),ability!$B:$C,2,FALSE)</f>
        <v>気合</v>
      </c>
      <c r="U171" t="e">
        <f>VLOOKUP(VALUE(O171),ability!$B:$C,2,FALSE)</f>
        <v>#N/A</v>
      </c>
      <c r="V171" t="e">
        <f>VLOOKUP(VALUE(P171),ability!$B:$C,2,FALSE)</f>
        <v>#N/A</v>
      </c>
    </row>
    <row r="172" spans="1:22">
      <c r="A172" s="8"/>
      <c r="B172" s="15">
        <v>5039</v>
      </c>
      <c r="C172" s="15">
        <v>48</v>
      </c>
      <c r="D172" s="15">
        <v>2</v>
      </c>
      <c r="E172" s="11" t="s">
        <v>1033</v>
      </c>
      <c r="F172" s="11" t="s">
        <v>1098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/>
      <c r="N172" s="15">
        <v>10</v>
      </c>
      <c r="O172" s="15"/>
      <c r="P172" s="15">
        <v>246</v>
      </c>
      <c r="Q172" t="e">
        <f>VLOOKUP(VALUE(K172),ability!$B:$C,2,FALSE)</f>
        <v>#N/A</v>
      </c>
      <c r="R172" t="e">
        <f>VLOOKUP(VALUE(L172),ability!$B:$C,2,FALSE)</f>
        <v>#N/A</v>
      </c>
      <c r="S172" t="e">
        <f>VLOOKUP(VALUE(M172),ability!$B:$C,2,FALSE)</f>
        <v>#N/A</v>
      </c>
      <c r="T172" t="str">
        <f>VLOOKUP(VALUE(N172),ability!$B:$C,2,FALSE)</f>
        <v>烈風</v>
      </c>
      <c r="U172" t="e">
        <f>VLOOKUP(VALUE(O172),ability!$B:$C,2,FALSE)</f>
        <v>#N/A</v>
      </c>
      <c r="V172" t="str">
        <f>VLOOKUP(VALUE(P172),ability!$B:$C,2,FALSE)</f>
        <v>斬の意志</v>
      </c>
    </row>
    <row r="173" spans="1:22">
      <c r="A173" s="8"/>
      <c r="B173" s="15">
        <v>5040</v>
      </c>
      <c r="C173" s="15">
        <v>24</v>
      </c>
      <c r="D173" s="15">
        <v>2</v>
      </c>
      <c r="E173" s="11" t="s">
        <v>1034</v>
      </c>
      <c r="F173" s="11" t="s">
        <v>1106</v>
      </c>
      <c r="G173" s="15">
        <v>6</v>
      </c>
      <c r="H173" s="15">
        <v>0</v>
      </c>
      <c r="I173" s="15"/>
      <c r="J173" s="15">
        <v>4</v>
      </c>
      <c r="K173" s="15"/>
      <c r="L173" s="15"/>
      <c r="M173" s="15"/>
      <c r="N173" s="15">
        <v>1109</v>
      </c>
      <c r="O173" s="15"/>
      <c r="P173" s="15"/>
      <c r="Q173" t="e">
        <f>VLOOKUP(VALUE(K173),ability!$B:$C,2,FALSE)</f>
        <v>#N/A</v>
      </c>
      <c r="R173" t="e">
        <f>VLOOKUP(VALUE(L173),ability!$B:$C,2,FALSE)</f>
        <v>#N/A</v>
      </c>
      <c r="S173" t="e">
        <f>VLOOKUP(VALUE(M173),ability!$B:$C,2,FALSE)</f>
        <v>#N/A</v>
      </c>
      <c r="T173" t="str">
        <f>VLOOKUP(VALUE(N173),ability!$B:$C,2,FALSE)</f>
        <v>吉報</v>
      </c>
      <c r="U173" t="e">
        <f>VLOOKUP(VALUE(O173),ability!$B:$C,2,FALSE)</f>
        <v>#N/A</v>
      </c>
      <c r="V173" t="e">
        <f>VLOOKUP(VALUE(P173),ability!$B:$C,2,FALSE)</f>
        <v>#N/A</v>
      </c>
    </row>
    <row r="174" spans="1:22">
      <c r="A174" s="8"/>
      <c r="B174" s="15">
        <v>5041</v>
      </c>
      <c r="C174" s="15">
        <v>12</v>
      </c>
      <c r="D174" s="15">
        <v>2</v>
      </c>
      <c r="E174" s="11" t="s">
        <v>1035</v>
      </c>
      <c r="F174" s="11" t="s">
        <v>1081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/>
      <c r="N174" s="15">
        <v>301</v>
      </c>
      <c r="O174" s="15"/>
      <c r="P174" s="15">
        <v>252</v>
      </c>
      <c r="Q174" t="e">
        <f>VLOOKUP(VALUE(K174),ability!$B:$C,2,FALSE)</f>
        <v>#N/A</v>
      </c>
      <c r="R174" t="e">
        <f>VLOOKUP(VALUE(L174),ability!$B:$C,2,FALSE)</f>
        <v>#N/A</v>
      </c>
      <c r="S174" t="e">
        <f>VLOOKUP(VALUE(M174),ability!$B:$C,2,FALSE)</f>
        <v>#N/A</v>
      </c>
      <c r="T174" t="str">
        <f>VLOOKUP(VALUE(N174),ability!$B:$C,2,FALSE)</f>
        <v>専心</v>
      </c>
      <c r="U174" t="e">
        <f>VLOOKUP(VALUE(O174),ability!$B:$C,2,FALSE)</f>
        <v>#N/A</v>
      </c>
      <c r="V174" t="str">
        <f>VLOOKUP(VALUE(P174),ability!$B:$C,2,FALSE)</f>
        <v>氷の威圧</v>
      </c>
    </row>
    <row r="175" spans="1:22">
      <c r="A175" s="8"/>
      <c r="B175" s="15">
        <v>5042</v>
      </c>
      <c r="C175" s="15">
        <v>29</v>
      </c>
      <c r="D175" s="15">
        <v>2</v>
      </c>
      <c r="E175" s="11" t="s">
        <v>1036</v>
      </c>
      <c r="F175" s="11" t="s">
        <v>1113</v>
      </c>
      <c r="G175" s="15">
        <v>6</v>
      </c>
      <c r="H175" s="15">
        <v>0</v>
      </c>
      <c r="I175" s="15"/>
      <c r="J175" s="15">
        <v>4</v>
      </c>
      <c r="K175" s="15"/>
      <c r="L175" s="15"/>
      <c r="M175" s="15"/>
      <c r="N175" s="15">
        <v>212</v>
      </c>
      <c r="O175" s="15"/>
      <c r="P175" s="15"/>
      <c r="Q175" t="e">
        <f>VLOOKUP(VALUE(K175),ability!$B:$C,2,FALSE)</f>
        <v>#N/A</v>
      </c>
      <c r="R175" t="e">
        <f>VLOOKUP(VALUE(L175),ability!$B:$C,2,FALSE)</f>
        <v>#N/A</v>
      </c>
      <c r="S175" t="e">
        <f>VLOOKUP(VALUE(M175),ability!$B:$C,2,FALSE)</f>
        <v>#N/A</v>
      </c>
      <c r="T175" t="str">
        <f>VLOOKUP(VALUE(N175),ability!$B:$C,2,FALSE)</f>
        <v>勇猛</v>
      </c>
      <c r="U175" t="e">
        <f>VLOOKUP(VALUE(O175),ability!$B:$C,2,FALSE)</f>
        <v>#N/A</v>
      </c>
      <c r="V175" t="e">
        <f>VLOOKUP(VALUE(P175),ability!$B:$C,2,FALSE)</f>
        <v>#N/A</v>
      </c>
    </row>
    <row r="176" spans="1:22">
      <c r="A176" s="8"/>
      <c r="B176" s="15">
        <v>5043</v>
      </c>
      <c r="C176" s="15">
        <v>32</v>
      </c>
      <c r="D176" s="15">
        <v>2</v>
      </c>
      <c r="E176" s="11" t="s">
        <v>1037</v>
      </c>
      <c r="F176" s="11" t="s">
        <v>1117</v>
      </c>
      <c r="G176" s="15">
        <v>2</v>
      </c>
      <c r="H176" s="15">
        <v>5</v>
      </c>
      <c r="I176" s="15"/>
      <c r="J176" s="15">
        <v>1</v>
      </c>
      <c r="K176" s="15"/>
      <c r="L176" s="15"/>
      <c r="M176" s="15"/>
      <c r="N176" s="15">
        <v>9</v>
      </c>
      <c r="O176" s="15"/>
      <c r="P176" s="15">
        <v>255</v>
      </c>
      <c r="Q176" t="e">
        <f>VLOOKUP(VALUE(K176),ability!$B:$C,2,FALSE)</f>
        <v>#N/A</v>
      </c>
      <c r="R176" t="e">
        <f>VLOOKUP(VALUE(L176),ability!$B:$C,2,FALSE)</f>
        <v>#N/A</v>
      </c>
      <c r="S176" t="e">
        <f>VLOOKUP(VALUE(M176),ability!$B:$C,2,FALSE)</f>
        <v>#N/A</v>
      </c>
      <c r="T176" t="str">
        <f>VLOOKUP(VALUE(N176),ability!$B:$C,2,FALSE)</f>
        <v>疾風</v>
      </c>
      <c r="U176" t="e">
        <f>VLOOKUP(VALUE(O176),ability!$B:$C,2,FALSE)</f>
        <v>#N/A</v>
      </c>
      <c r="V176" t="str">
        <f>VLOOKUP(VALUE(P176),ability!$B:$C,2,FALSE)</f>
        <v>闇の威圧</v>
      </c>
    </row>
    <row r="177" spans="1:22">
      <c r="A177" s="8"/>
      <c r="B177" s="15">
        <v>5044</v>
      </c>
      <c r="C177" s="15">
        <v>15</v>
      </c>
      <c r="D177" s="15">
        <v>2</v>
      </c>
      <c r="E177" s="11" t="s">
        <v>1038</v>
      </c>
      <c r="F177" s="11" t="s">
        <v>1086</v>
      </c>
      <c r="G177" s="15">
        <v>6</v>
      </c>
      <c r="H177" s="15">
        <v>0</v>
      </c>
      <c r="I177" s="15"/>
      <c r="J177" s="15">
        <v>4</v>
      </c>
      <c r="K177" s="15"/>
      <c r="L177" s="15"/>
      <c r="M177" s="15"/>
      <c r="N177" s="15">
        <v>212</v>
      </c>
      <c r="O177" s="15"/>
      <c r="P177" s="15"/>
      <c r="Q177" t="e">
        <f>VLOOKUP(VALUE(K177),ability!$B:$C,2,FALSE)</f>
        <v>#N/A</v>
      </c>
      <c r="R177" t="e">
        <f>VLOOKUP(VALUE(L177),ability!$B:$C,2,FALSE)</f>
        <v>#N/A</v>
      </c>
      <c r="S177" t="e">
        <f>VLOOKUP(VALUE(M177),ability!$B:$C,2,FALSE)</f>
        <v>#N/A</v>
      </c>
      <c r="T177" t="str">
        <f>VLOOKUP(VALUE(N177),ability!$B:$C,2,FALSE)</f>
        <v>勇猛</v>
      </c>
      <c r="U177" t="e">
        <f>VLOOKUP(VALUE(O177),ability!$B:$C,2,FALSE)</f>
        <v>#N/A</v>
      </c>
      <c r="V177" t="e">
        <f>VLOOKUP(VALUE(P177),ability!$B:$C,2,FALSE)</f>
        <v>#N/A</v>
      </c>
    </row>
    <row r="178" spans="1:22">
      <c r="A178" s="8"/>
      <c r="B178" s="15">
        <v>5045</v>
      </c>
      <c r="C178" s="15">
        <v>18</v>
      </c>
      <c r="D178" s="15">
        <v>2</v>
      </c>
      <c r="E178" s="11" t="s">
        <v>1039</v>
      </c>
      <c r="F178" s="11" t="s">
        <v>1089</v>
      </c>
      <c r="G178" s="15">
        <v>5</v>
      </c>
      <c r="H178" s="15">
        <v>0</v>
      </c>
      <c r="I178" s="15"/>
      <c r="J178" s="15">
        <v>3</v>
      </c>
      <c r="K178" s="15"/>
      <c r="L178" s="15"/>
      <c r="M178" s="15"/>
      <c r="N178" s="15">
        <v>1109</v>
      </c>
      <c r="O178" s="15"/>
      <c r="P178" s="15">
        <v>247</v>
      </c>
      <c r="Q178" t="e">
        <f>VLOOKUP(VALUE(K178),ability!$B:$C,2,FALSE)</f>
        <v>#N/A</v>
      </c>
      <c r="R178" t="e">
        <f>VLOOKUP(VALUE(L178),ability!$B:$C,2,FALSE)</f>
        <v>#N/A</v>
      </c>
      <c r="S178" t="e">
        <f>VLOOKUP(VALUE(M178),ability!$B:$C,2,FALSE)</f>
        <v>#N/A</v>
      </c>
      <c r="T178" t="str">
        <f>VLOOKUP(VALUE(N178),ability!$B:$C,2,FALSE)</f>
        <v>吉報</v>
      </c>
      <c r="U178" t="e">
        <f>VLOOKUP(VALUE(O178),ability!$B:$C,2,FALSE)</f>
        <v>#N/A</v>
      </c>
      <c r="V178" t="str">
        <f>VLOOKUP(VALUE(P178),ability!$B:$C,2,FALSE)</f>
        <v>突の意志</v>
      </c>
    </row>
    <row r="179" spans="1:22">
      <c r="A179" s="8"/>
      <c r="B179" s="15">
        <v>5046</v>
      </c>
      <c r="C179" s="15">
        <v>37</v>
      </c>
      <c r="D179" s="15">
        <v>2</v>
      </c>
      <c r="E179" s="11" t="s">
        <v>1040</v>
      </c>
      <c r="F179" s="11" t="s">
        <v>1123</v>
      </c>
      <c r="G179" s="15">
        <v>1</v>
      </c>
      <c r="H179" s="15">
        <v>0</v>
      </c>
      <c r="I179" s="15"/>
      <c r="J179" s="15">
        <v>1</v>
      </c>
      <c r="K179" s="15"/>
      <c r="L179" s="15"/>
      <c r="M179" s="15"/>
      <c r="N179" s="15">
        <v>10</v>
      </c>
      <c r="O179" s="15"/>
      <c r="P179" s="15"/>
      <c r="Q179" t="e">
        <f>VLOOKUP(VALUE(K179),ability!$B:$C,2,FALSE)</f>
        <v>#N/A</v>
      </c>
      <c r="R179" t="e">
        <f>VLOOKUP(VALUE(L179),ability!$B:$C,2,FALSE)</f>
        <v>#N/A</v>
      </c>
      <c r="S179" t="e">
        <f>VLOOKUP(VALUE(M179),ability!$B:$C,2,FALSE)</f>
        <v>#N/A</v>
      </c>
      <c r="T179" t="str">
        <f>VLOOKUP(VALUE(N179),ability!$B:$C,2,FALSE)</f>
        <v>烈風</v>
      </c>
      <c r="U179" t="e">
        <f>VLOOKUP(VALUE(O179),ability!$B:$C,2,FALSE)</f>
        <v>#N/A</v>
      </c>
      <c r="V179" t="e">
        <f>VLOOKUP(VALUE(P179),ability!$B:$C,2,FALSE)</f>
        <v>#N/A</v>
      </c>
    </row>
    <row r="180" spans="1:22">
      <c r="A180" s="8"/>
      <c r="B180" s="15">
        <v>5047</v>
      </c>
      <c r="C180" s="15">
        <v>103</v>
      </c>
      <c r="D180" s="15">
        <v>2</v>
      </c>
      <c r="E180" s="11" t="s">
        <v>1041</v>
      </c>
      <c r="F180" s="11" t="s">
        <v>1130</v>
      </c>
      <c r="G180" s="15">
        <v>7</v>
      </c>
      <c r="H180" s="15">
        <v>0</v>
      </c>
      <c r="I180" s="15"/>
      <c r="J180" s="15">
        <v>2</v>
      </c>
      <c r="K180" s="15"/>
      <c r="L180" s="15"/>
      <c r="M180" s="15"/>
      <c r="N180" s="15">
        <v>1114</v>
      </c>
      <c r="O180" s="15"/>
      <c r="P180" s="15">
        <v>213</v>
      </c>
      <c r="Q180" t="e">
        <f>VLOOKUP(VALUE(K180),ability!$B:$C,2,FALSE)</f>
        <v>#N/A</v>
      </c>
      <c r="R180" t="e">
        <f>VLOOKUP(VALUE(L180),ability!$B:$C,2,FALSE)</f>
        <v>#N/A</v>
      </c>
      <c r="S180" t="e">
        <f>VLOOKUP(VALUE(M180),ability!$B:$C,2,FALSE)</f>
        <v>#N/A</v>
      </c>
      <c r="T180" t="str">
        <f>VLOOKUP(VALUE(N180),ability!$B:$C,2,FALSE)</f>
        <v>福運</v>
      </c>
      <c r="U180" t="e">
        <f>VLOOKUP(VALUE(O180),ability!$B:$C,2,FALSE)</f>
        <v>#N/A</v>
      </c>
      <c r="V180" t="str">
        <f>VLOOKUP(VALUE(P180),ability!$B:$C,2,FALSE)</f>
        <v>陽動作戦</v>
      </c>
    </row>
    <row r="181" spans="1:22">
      <c r="A181" s="8"/>
      <c r="B181" s="15">
        <v>5048</v>
      </c>
      <c r="C181" s="15">
        <v>26</v>
      </c>
      <c r="D181" s="15">
        <v>2</v>
      </c>
      <c r="E181" s="11" t="s">
        <v>1042</v>
      </c>
      <c r="F181" s="11" t="s">
        <v>1110</v>
      </c>
      <c r="G181" s="15">
        <v>3</v>
      </c>
      <c r="H181" s="15">
        <v>0</v>
      </c>
      <c r="I181" s="15"/>
      <c r="J181" s="15">
        <v>1</v>
      </c>
      <c r="K181" s="15"/>
      <c r="L181" s="15"/>
      <c r="M181" s="15"/>
      <c r="N181" s="15">
        <v>10</v>
      </c>
      <c r="O181" s="15"/>
      <c r="P181" s="15">
        <v>251</v>
      </c>
      <c r="Q181" t="e">
        <f>VLOOKUP(VALUE(K181),ability!$B:$C,2,FALSE)</f>
        <v>#N/A</v>
      </c>
      <c r="R181" t="e">
        <f>VLOOKUP(VALUE(L181),ability!$B:$C,2,FALSE)</f>
        <v>#N/A</v>
      </c>
      <c r="S181" t="e">
        <f>VLOOKUP(VALUE(M181),ability!$B:$C,2,FALSE)</f>
        <v>#N/A</v>
      </c>
      <c r="T181" t="str">
        <f>VLOOKUP(VALUE(N181),ability!$B:$C,2,FALSE)</f>
        <v>烈風</v>
      </c>
      <c r="U181" t="e">
        <f>VLOOKUP(VALUE(O181),ability!$B:$C,2,FALSE)</f>
        <v>#N/A</v>
      </c>
      <c r="V181" t="str">
        <f>VLOOKUP(VALUE(P181),ability!$B:$C,2,FALSE)</f>
        <v>火の威圧</v>
      </c>
    </row>
    <row r="182" spans="1:22">
      <c r="A182" s="8"/>
      <c r="B182" s="15">
        <v>5049</v>
      </c>
      <c r="C182" s="15">
        <v>25</v>
      </c>
      <c r="D182" s="15">
        <v>2</v>
      </c>
      <c r="E182" s="11" t="s">
        <v>1043</v>
      </c>
      <c r="F182" s="11" t="s">
        <v>1108</v>
      </c>
      <c r="G182" s="15">
        <v>7</v>
      </c>
      <c r="H182" s="15">
        <v>1</v>
      </c>
      <c r="I182" s="15"/>
      <c r="J182" s="15">
        <v>6</v>
      </c>
      <c r="K182" s="15"/>
      <c r="L182" s="15"/>
      <c r="M182" s="15"/>
      <c r="N182" s="15">
        <v>1502</v>
      </c>
      <c r="O182" s="15"/>
      <c r="P182" s="15"/>
      <c r="Q182" t="e">
        <f>VLOOKUP(VALUE(K182),ability!$B:$C,2,FALSE)</f>
        <v>#N/A</v>
      </c>
      <c r="R182" t="e">
        <f>VLOOKUP(VALUE(L182),ability!$B:$C,2,FALSE)</f>
        <v>#N/A</v>
      </c>
      <c r="S182" t="e">
        <f>VLOOKUP(VALUE(M182),ability!$B:$C,2,FALSE)</f>
        <v>#N/A</v>
      </c>
      <c r="T182" t="str">
        <f>VLOOKUP(VALUE(N182),ability!$B:$C,2,FALSE)</f>
        <v>堅忍</v>
      </c>
      <c r="U182" t="e">
        <f>VLOOKUP(VALUE(O182),ability!$B:$C,2,FALSE)</f>
        <v>#N/A</v>
      </c>
      <c r="V182" t="e">
        <f>VLOOKUP(VALUE(P182),ability!$B:$C,2,FALSE)</f>
        <v>#N/A</v>
      </c>
    </row>
    <row r="183" spans="1:22">
      <c r="A183" s="8"/>
      <c r="B183" s="15">
        <v>5050</v>
      </c>
      <c r="C183" s="15">
        <v>13</v>
      </c>
      <c r="D183" s="15">
        <v>2</v>
      </c>
      <c r="E183" s="11" t="s">
        <v>1044</v>
      </c>
      <c r="F183" s="11" t="s">
        <v>1083</v>
      </c>
      <c r="G183" s="15">
        <v>1</v>
      </c>
      <c r="H183" s="15">
        <v>0</v>
      </c>
      <c r="I183" s="15"/>
      <c r="J183" s="15">
        <v>1</v>
      </c>
      <c r="K183" s="15"/>
      <c r="L183" s="15"/>
      <c r="M183" s="15"/>
      <c r="N183" s="15">
        <v>212</v>
      </c>
      <c r="O183" s="15"/>
      <c r="P183" s="15">
        <v>256</v>
      </c>
      <c r="Q183" t="e">
        <f>VLOOKUP(VALUE(K183),ability!$B:$C,2,FALSE)</f>
        <v>#N/A</v>
      </c>
      <c r="R183" t="e">
        <f>VLOOKUP(VALUE(L183),ability!$B:$C,2,FALSE)</f>
        <v>#N/A</v>
      </c>
      <c r="S183" t="e">
        <f>VLOOKUP(VALUE(M183),ability!$B:$C,2,FALSE)</f>
        <v>#N/A</v>
      </c>
      <c r="T183" t="str">
        <f>VLOOKUP(VALUE(N183),ability!$B:$C,2,FALSE)</f>
        <v>勇猛</v>
      </c>
      <c r="U183" t="e">
        <f>VLOOKUP(VALUE(O183),ability!$B:$C,2,FALSE)</f>
        <v>#N/A</v>
      </c>
      <c r="V183" t="str">
        <f>VLOOKUP(VALUE(P183),ability!$B:$C,2,FALSE)</f>
        <v>斬の威圧</v>
      </c>
    </row>
    <row r="184" spans="1:22">
      <c r="A184" s="8"/>
      <c r="B184" s="15">
        <v>5051</v>
      </c>
      <c r="C184" s="15">
        <v>43</v>
      </c>
      <c r="D184" s="15">
        <v>2</v>
      </c>
      <c r="E184" s="11" t="s">
        <v>1045</v>
      </c>
      <c r="F184" s="11" t="s">
        <v>1091</v>
      </c>
      <c r="G184" s="15">
        <v>1</v>
      </c>
      <c r="H184" s="15">
        <v>4</v>
      </c>
      <c r="I184" s="15"/>
      <c r="J184" s="15">
        <v>1</v>
      </c>
      <c r="K184" s="15"/>
      <c r="L184" s="15"/>
      <c r="M184" s="15"/>
      <c r="N184" s="15">
        <v>10</v>
      </c>
      <c r="O184" s="15"/>
      <c r="P184" s="15"/>
      <c r="Q184" t="e">
        <f>VLOOKUP(VALUE(K184),ability!$B:$C,2,FALSE)</f>
        <v>#N/A</v>
      </c>
      <c r="R184" t="e">
        <f>VLOOKUP(VALUE(L184),ability!$B:$C,2,FALSE)</f>
        <v>#N/A</v>
      </c>
      <c r="S184" t="e">
        <f>VLOOKUP(VALUE(M184),ability!$B:$C,2,FALSE)</f>
        <v>#N/A</v>
      </c>
      <c r="T184" t="str">
        <f>VLOOKUP(VALUE(N184),ability!$B:$C,2,FALSE)</f>
        <v>烈風</v>
      </c>
      <c r="U184" t="e">
        <f>VLOOKUP(VALUE(O184),ability!$B:$C,2,FALSE)</f>
        <v>#N/A</v>
      </c>
      <c r="V184" t="e">
        <f>VLOOKUP(VALUE(P184),ability!$B:$C,2,FALSE)</f>
        <v>#N/A</v>
      </c>
    </row>
    <row r="185" spans="1:22">
      <c r="A185" s="8"/>
      <c r="B185" s="15">
        <v>5052</v>
      </c>
      <c r="C185" s="15">
        <v>8</v>
      </c>
      <c r="D185" s="15">
        <v>2</v>
      </c>
      <c r="E185" s="11" t="s">
        <v>1046</v>
      </c>
      <c r="F185" s="11" t="s">
        <v>1076</v>
      </c>
      <c r="G185" s="15">
        <v>1</v>
      </c>
      <c r="H185" s="15">
        <v>3</v>
      </c>
      <c r="I185" s="15"/>
      <c r="J185" s="15">
        <v>1</v>
      </c>
      <c r="K185" s="15"/>
      <c r="L185" s="15"/>
      <c r="M185" s="15"/>
      <c r="N185" s="15">
        <v>220</v>
      </c>
      <c r="O185" s="15"/>
      <c r="P185" s="15">
        <v>257</v>
      </c>
      <c r="Q185" t="e">
        <f>VLOOKUP(VALUE(K185),ability!$B:$C,2,FALSE)</f>
        <v>#N/A</v>
      </c>
      <c r="R185" t="e">
        <f>VLOOKUP(VALUE(L185),ability!$B:$C,2,FALSE)</f>
        <v>#N/A</v>
      </c>
      <c r="S185" t="e">
        <f>VLOOKUP(VALUE(M185),ability!$B:$C,2,FALSE)</f>
        <v>#N/A</v>
      </c>
      <c r="T185" t="str">
        <f>VLOOKUP(VALUE(N185),ability!$B:$C,2,FALSE)</f>
        <v>決心</v>
      </c>
      <c r="U185" t="e">
        <f>VLOOKUP(VALUE(O185),ability!$B:$C,2,FALSE)</f>
        <v>#N/A</v>
      </c>
      <c r="V185" t="str">
        <f>VLOOKUP(VALUE(P185),ability!$B:$C,2,FALSE)</f>
        <v>突の威圧</v>
      </c>
    </row>
    <row r="186" spans="1:22">
      <c r="A186" s="8"/>
      <c r="B186" s="15">
        <v>5053</v>
      </c>
      <c r="C186" s="15">
        <v>22</v>
      </c>
      <c r="D186" s="15">
        <v>2</v>
      </c>
      <c r="E186" s="11" t="s">
        <v>1047</v>
      </c>
      <c r="F186" s="11" t="s">
        <v>1104</v>
      </c>
      <c r="G186" s="15">
        <v>4</v>
      </c>
      <c r="H186" s="15">
        <v>0</v>
      </c>
      <c r="I186" s="15"/>
      <c r="J186" s="15">
        <v>2</v>
      </c>
      <c r="K186" s="15"/>
      <c r="L186" s="15"/>
      <c r="M186" s="15"/>
      <c r="N186" s="15">
        <v>1109</v>
      </c>
      <c r="O186" s="15"/>
      <c r="P186" s="15"/>
      <c r="Q186" t="e">
        <f>VLOOKUP(VALUE(K186),ability!$B:$C,2,FALSE)</f>
        <v>#N/A</v>
      </c>
      <c r="R186" t="e">
        <f>VLOOKUP(VALUE(L186),ability!$B:$C,2,FALSE)</f>
        <v>#N/A</v>
      </c>
      <c r="S186" t="e">
        <f>VLOOKUP(VALUE(M186),ability!$B:$C,2,FALSE)</f>
        <v>#N/A</v>
      </c>
      <c r="T186" t="str">
        <f>VLOOKUP(VALUE(N186),ability!$B:$C,2,FALSE)</f>
        <v>吉報</v>
      </c>
      <c r="U186" t="e">
        <f>VLOOKUP(VALUE(O186),ability!$B:$C,2,FALSE)</f>
        <v>#N/A</v>
      </c>
      <c r="V186" t="e">
        <f>VLOOKUP(VALUE(P186),ability!$B:$C,2,FALSE)</f>
        <v>#N/A</v>
      </c>
    </row>
    <row r="187" spans="1:22">
      <c r="A187" s="8"/>
      <c r="B187" s="15">
        <v>5054</v>
      </c>
      <c r="C187" s="15">
        <v>41</v>
      </c>
      <c r="D187" s="15">
        <v>2</v>
      </c>
      <c r="E187" s="11" t="s">
        <v>1048</v>
      </c>
      <c r="F187" s="11" t="s">
        <v>1128</v>
      </c>
      <c r="G187" s="15">
        <v>4</v>
      </c>
      <c r="H187" s="15">
        <v>0</v>
      </c>
      <c r="I187" s="15"/>
      <c r="J187" s="15">
        <v>2</v>
      </c>
      <c r="K187" s="15"/>
      <c r="L187" s="15"/>
      <c r="M187" s="15"/>
      <c r="N187" s="15">
        <v>1115</v>
      </c>
      <c r="O187" s="15"/>
      <c r="P187" s="15">
        <v>258</v>
      </c>
      <c r="Q187" t="e">
        <f>VLOOKUP(VALUE(K187),ability!$B:$C,2,FALSE)</f>
        <v>#N/A</v>
      </c>
      <c r="R187" t="e">
        <f>VLOOKUP(VALUE(L187),ability!$B:$C,2,FALSE)</f>
        <v>#N/A</v>
      </c>
      <c r="S187" t="e">
        <f>VLOOKUP(VALUE(M187),ability!$B:$C,2,FALSE)</f>
        <v>#N/A</v>
      </c>
      <c r="T187" t="str">
        <f>VLOOKUP(VALUE(N187),ability!$B:$C,2,FALSE)</f>
        <v>友愛</v>
      </c>
      <c r="U187" t="e">
        <f>VLOOKUP(VALUE(O187),ability!$B:$C,2,FALSE)</f>
        <v>#N/A</v>
      </c>
      <c r="V187" t="str">
        <f>VLOOKUP(VALUE(P187),ability!$B:$C,2,FALSE)</f>
        <v>打の威圧</v>
      </c>
    </row>
    <row r="188" spans="1:22">
      <c r="A188" s="8"/>
      <c r="B188" s="15">
        <v>5055</v>
      </c>
      <c r="C188" s="15">
        <v>21</v>
      </c>
      <c r="D188" s="15">
        <v>2</v>
      </c>
      <c r="E188" s="11" t="s">
        <v>1049</v>
      </c>
      <c r="F188" s="11" t="s">
        <v>1102</v>
      </c>
      <c r="G188" s="15">
        <v>6</v>
      </c>
      <c r="H188" s="15">
        <v>0</v>
      </c>
      <c r="I188" s="15"/>
      <c r="J188" s="15">
        <v>4</v>
      </c>
      <c r="K188" s="15"/>
      <c r="L188" s="15"/>
      <c r="M188" s="15"/>
      <c r="N188" s="15">
        <v>9</v>
      </c>
      <c r="O188" s="15"/>
      <c r="P188" s="15">
        <v>266</v>
      </c>
      <c r="Q188" t="e">
        <f>VLOOKUP(VALUE(K188),ability!$B:$C,2,FALSE)</f>
        <v>#N/A</v>
      </c>
      <c r="R188" t="e">
        <f>VLOOKUP(VALUE(L188),ability!$B:$C,2,FALSE)</f>
        <v>#N/A</v>
      </c>
      <c r="S188" t="e">
        <f>VLOOKUP(VALUE(M188),ability!$B:$C,2,FALSE)</f>
        <v>#N/A</v>
      </c>
      <c r="T188" t="str">
        <f>VLOOKUP(VALUE(N188),ability!$B:$C,2,FALSE)</f>
        <v>疾風</v>
      </c>
      <c r="U188" t="e">
        <f>VLOOKUP(VALUE(O188),ability!$B:$C,2,FALSE)</f>
        <v>#N/A</v>
      </c>
      <c r="V188" t="str">
        <f>VLOOKUP(VALUE(P188),ability!$B:$C,2,FALSE)</f>
        <v>斬の躍動</v>
      </c>
    </row>
    <row r="189" spans="1:22">
      <c r="A189" s="8"/>
      <c r="B189" s="15">
        <v>5056</v>
      </c>
      <c r="C189" s="15">
        <v>20</v>
      </c>
      <c r="D189" s="15">
        <v>2</v>
      </c>
      <c r="E189" s="11" t="s">
        <v>1050</v>
      </c>
      <c r="F189" s="11" t="s">
        <v>1101</v>
      </c>
      <c r="G189" s="15">
        <v>5</v>
      </c>
      <c r="H189" s="15">
        <v>5</v>
      </c>
      <c r="I189" s="15"/>
      <c r="J189" s="15">
        <v>3</v>
      </c>
      <c r="K189" s="15"/>
      <c r="L189" s="15"/>
      <c r="M189" s="15"/>
      <c r="N189" s="15">
        <v>1109</v>
      </c>
      <c r="O189" s="15"/>
      <c r="P189" s="15"/>
      <c r="Q189" t="e">
        <f>VLOOKUP(VALUE(K189),ability!$B:$C,2,FALSE)</f>
        <v>#N/A</v>
      </c>
      <c r="R189" t="e">
        <f>VLOOKUP(VALUE(L189),ability!$B:$C,2,FALSE)</f>
        <v>#N/A</v>
      </c>
      <c r="S189" t="e">
        <f>VLOOKUP(VALUE(M189),ability!$B:$C,2,FALSE)</f>
        <v>#N/A</v>
      </c>
      <c r="T189" t="str">
        <f>VLOOKUP(VALUE(N189),ability!$B:$C,2,FALSE)</f>
        <v>吉報</v>
      </c>
      <c r="U189" t="e">
        <f>VLOOKUP(VALUE(O189),ability!$B:$C,2,FALSE)</f>
        <v>#N/A</v>
      </c>
      <c r="V189" t="e">
        <f>VLOOKUP(VALUE(P189),ability!$B:$C,2,FALSE)</f>
        <v>#N/A</v>
      </c>
    </row>
    <row r="190" spans="1:22">
      <c r="A190" s="8"/>
      <c r="B190" s="15">
        <v>5057</v>
      </c>
      <c r="C190" s="15">
        <v>2</v>
      </c>
      <c r="D190" s="15">
        <v>2</v>
      </c>
      <c r="E190" s="11" t="s">
        <v>1051</v>
      </c>
      <c r="F190" s="11" t="s">
        <v>1333</v>
      </c>
      <c r="G190" s="15">
        <v>2</v>
      </c>
      <c r="H190" s="15">
        <v>1</v>
      </c>
      <c r="I190" s="15"/>
      <c r="J190" s="15">
        <v>1</v>
      </c>
      <c r="K190" s="15"/>
      <c r="L190" s="15"/>
      <c r="M190" s="15"/>
      <c r="N190" s="15">
        <v>10</v>
      </c>
      <c r="O190" s="15"/>
      <c r="P190" s="15">
        <v>267</v>
      </c>
      <c r="Q190" t="e">
        <f>VLOOKUP(VALUE(K190),ability!$B:$C,2,FALSE)</f>
        <v>#N/A</v>
      </c>
      <c r="R190" t="e">
        <f>VLOOKUP(VALUE(L190),ability!$B:$C,2,FALSE)</f>
        <v>#N/A</v>
      </c>
      <c r="S190" t="e">
        <f>VLOOKUP(VALUE(M190),ability!$B:$C,2,FALSE)</f>
        <v>#N/A</v>
      </c>
      <c r="T190" t="str">
        <f>VLOOKUP(VALUE(N190),ability!$B:$C,2,FALSE)</f>
        <v>烈風</v>
      </c>
      <c r="U190" t="e">
        <f>VLOOKUP(VALUE(O190),ability!$B:$C,2,FALSE)</f>
        <v>#N/A</v>
      </c>
      <c r="V190" t="str">
        <f>VLOOKUP(VALUE(P190),ability!$B:$C,2,FALSE)</f>
        <v>突の躍動</v>
      </c>
    </row>
    <row r="191" spans="1:22">
      <c r="A191" s="8"/>
      <c r="B191" s="15">
        <v>5058</v>
      </c>
      <c r="C191" s="15">
        <v>32</v>
      </c>
      <c r="D191" s="15">
        <v>2</v>
      </c>
      <c r="E191" s="11" t="s">
        <v>1052</v>
      </c>
      <c r="F191" s="11" t="s">
        <v>1118</v>
      </c>
      <c r="G191" s="15">
        <v>2</v>
      </c>
      <c r="H191" s="15">
        <v>0</v>
      </c>
      <c r="I191" s="15"/>
      <c r="J191" s="15">
        <v>1</v>
      </c>
      <c r="K191" s="15"/>
      <c r="L191" s="15"/>
      <c r="M191" s="15"/>
      <c r="N191" s="15">
        <v>10</v>
      </c>
      <c r="O191" s="15"/>
      <c r="P191" s="15"/>
      <c r="Q191" t="e">
        <f>VLOOKUP(VALUE(K191),ability!$B:$C,2,FALSE)</f>
        <v>#N/A</v>
      </c>
      <c r="R191" t="e">
        <f>VLOOKUP(VALUE(L191),ability!$B:$C,2,FALSE)</f>
        <v>#N/A</v>
      </c>
      <c r="S191" t="e">
        <f>VLOOKUP(VALUE(M191),ability!$B:$C,2,FALSE)</f>
        <v>#N/A</v>
      </c>
      <c r="T191" t="str">
        <f>VLOOKUP(VALUE(N191),ability!$B:$C,2,FALSE)</f>
        <v>烈風</v>
      </c>
      <c r="U191" t="e">
        <f>VLOOKUP(VALUE(O191),ability!$B:$C,2,FALSE)</f>
        <v>#N/A</v>
      </c>
      <c r="V191" t="e">
        <f>VLOOKUP(VALUE(P191),ability!$B:$C,2,FALSE)</f>
        <v>#N/A</v>
      </c>
    </row>
    <row r="192" spans="1:22">
      <c r="A192" s="8"/>
      <c r="B192" s="15">
        <v>5059</v>
      </c>
      <c r="C192" s="15">
        <v>34</v>
      </c>
      <c r="D192" s="15">
        <v>2</v>
      </c>
      <c r="E192" s="11" t="s">
        <v>1053</v>
      </c>
      <c r="F192" s="11" t="s">
        <v>1120</v>
      </c>
      <c r="G192" s="15">
        <v>7</v>
      </c>
      <c r="H192" s="15">
        <v>0</v>
      </c>
      <c r="I192" s="15"/>
      <c r="J192" s="15">
        <v>6</v>
      </c>
      <c r="K192" s="15"/>
      <c r="L192" s="15"/>
      <c r="M192" s="15"/>
      <c r="N192" s="15">
        <v>1502</v>
      </c>
      <c r="O192" s="15"/>
      <c r="P192" s="15">
        <v>268</v>
      </c>
      <c r="Q192" t="e">
        <f>VLOOKUP(VALUE(K192),ability!$B:$C,2,FALSE)</f>
        <v>#N/A</v>
      </c>
      <c r="R192" t="e">
        <f>VLOOKUP(VALUE(L192),ability!$B:$C,2,FALSE)</f>
        <v>#N/A</v>
      </c>
      <c r="S192" t="e">
        <f>VLOOKUP(VALUE(M192),ability!$B:$C,2,FALSE)</f>
        <v>#N/A</v>
      </c>
      <c r="T192" t="str">
        <f>VLOOKUP(VALUE(N192),ability!$B:$C,2,FALSE)</f>
        <v>堅忍</v>
      </c>
      <c r="U192" t="e">
        <f>VLOOKUP(VALUE(O192),ability!$B:$C,2,FALSE)</f>
        <v>#N/A</v>
      </c>
      <c r="V192" t="str">
        <f>VLOOKUP(VALUE(P192),ability!$B:$C,2,FALSE)</f>
        <v>打の躍動</v>
      </c>
    </row>
    <row r="193" spans="1:22">
      <c r="A193" s="8"/>
      <c r="B193" s="15">
        <v>5060</v>
      </c>
      <c r="C193" s="15">
        <v>5</v>
      </c>
      <c r="D193" s="15">
        <v>2</v>
      </c>
      <c r="E193" s="11" t="s">
        <v>1054</v>
      </c>
      <c r="F193" s="11" t="s">
        <v>1072</v>
      </c>
      <c r="G193" s="15">
        <v>3</v>
      </c>
      <c r="H193" s="15">
        <v>1</v>
      </c>
      <c r="I193" s="15"/>
      <c r="J193" s="15">
        <v>1</v>
      </c>
      <c r="K193" s="15"/>
      <c r="L193" s="15"/>
      <c r="M193" s="15"/>
      <c r="N193" s="15">
        <v>239</v>
      </c>
      <c r="O193" s="15"/>
      <c r="P193" s="15"/>
      <c r="Q193" t="e">
        <f>VLOOKUP(VALUE(K193),ability!$B:$C,2,FALSE)</f>
        <v>#N/A</v>
      </c>
      <c r="R193" t="e">
        <f>VLOOKUP(VALUE(L193),ability!$B:$C,2,FALSE)</f>
        <v>#N/A</v>
      </c>
      <c r="S193" t="e">
        <f>VLOOKUP(VALUE(M193),ability!$B:$C,2,FALSE)</f>
        <v>#N/A</v>
      </c>
      <c r="T193" t="str">
        <f>VLOOKUP(VALUE(N193),ability!$B:$C,2,FALSE)</f>
        <v>決意</v>
      </c>
      <c r="U193" t="e">
        <f>VLOOKUP(VALUE(O193),ability!$B:$C,2,FALSE)</f>
        <v>#N/A</v>
      </c>
      <c r="V193" t="e">
        <f>VLOOKUP(VALUE(P193),ability!$B:$C,2,FALSE)</f>
        <v>#N/A</v>
      </c>
    </row>
    <row r="194" spans="1:22">
      <c r="A194" s="8"/>
      <c r="B194" s="15">
        <v>5061</v>
      </c>
      <c r="C194" s="15">
        <v>30</v>
      </c>
      <c r="D194" s="15">
        <v>2</v>
      </c>
      <c r="E194" s="11" t="s">
        <v>1055</v>
      </c>
      <c r="F194" s="11" t="s">
        <v>1115</v>
      </c>
      <c r="G194" s="15">
        <v>4</v>
      </c>
      <c r="H194" s="15">
        <v>1</v>
      </c>
      <c r="I194" s="15"/>
      <c r="J194" s="15">
        <v>2</v>
      </c>
      <c r="K194" s="15"/>
      <c r="L194" s="15"/>
      <c r="M194" s="15"/>
      <c r="N194" s="15">
        <v>1115</v>
      </c>
      <c r="O194" s="15"/>
      <c r="P194" s="15">
        <v>261</v>
      </c>
      <c r="Q194" t="e">
        <f>VLOOKUP(VALUE(K194),ability!$B:$C,2,FALSE)</f>
        <v>#N/A</v>
      </c>
      <c r="R194" t="e">
        <f>VLOOKUP(VALUE(L194),ability!$B:$C,2,FALSE)</f>
        <v>#N/A</v>
      </c>
      <c r="S194" t="e">
        <f>VLOOKUP(VALUE(M194),ability!$B:$C,2,FALSE)</f>
        <v>#N/A</v>
      </c>
      <c r="T194" t="str">
        <f>VLOOKUP(VALUE(N194),ability!$B:$C,2,FALSE)</f>
        <v>友愛</v>
      </c>
      <c r="U194" t="e">
        <f>VLOOKUP(VALUE(O194),ability!$B:$C,2,FALSE)</f>
        <v>#N/A</v>
      </c>
      <c r="V194" t="str">
        <f>VLOOKUP(VALUE(P194),ability!$B:$C,2,FALSE)</f>
        <v>火の躍動</v>
      </c>
    </row>
    <row r="195" spans="1:22">
      <c r="A195" s="8"/>
      <c r="B195" s="15">
        <v>5062</v>
      </c>
      <c r="C195" s="15">
        <v>40</v>
      </c>
      <c r="D195" s="15">
        <v>2</v>
      </c>
      <c r="E195" s="11" t="s">
        <v>1056</v>
      </c>
      <c r="F195" s="11" t="s">
        <v>1127</v>
      </c>
      <c r="G195" s="15">
        <v>7</v>
      </c>
      <c r="H195" s="15">
        <v>0</v>
      </c>
      <c r="I195" s="15"/>
      <c r="J195" s="15">
        <v>6</v>
      </c>
      <c r="K195" s="15"/>
      <c r="L195" s="15"/>
      <c r="M195" s="15"/>
      <c r="N195" s="15">
        <v>1502</v>
      </c>
      <c r="O195" s="15"/>
      <c r="P195" s="15"/>
      <c r="Q195" t="e">
        <f>VLOOKUP(VALUE(K195),ability!$B:$C,2,FALSE)</f>
        <v>#N/A</v>
      </c>
      <c r="R195" t="e">
        <f>VLOOKUP(VALUE(L195),ability!$B:$C,2,FALSE)</f>
        <v>#N/A</v>
      </c>
      <c r="S195" t="e">
        <f>VLOOKUP(VALUE(M195),ability!$B:$C,2,FALSE)</f>
        <v>#N/A</v>
      </c>
      <c r="T195" t="str">
        <f>VLOOKUP(VALUE(N195),ability!$B:$C,2,FALSE)</f>
        <v>堅忍</v>
      </c>
      <c r="U195" t="e">
        <f>VLOOKUP(VALUE(O195),ability!$B:$C,2,FALSE)</f>
        <v>#N/A</v>
      </c>
      <c r="V195" t="e">
        <f>VLOOKUP(VALUE(P195),ability!$B:$C,2,FALSE)</f>
        <v>#N/A</v>
      </c>
    </row>
    <row r="196" spans="1:22">
      <c r="A196" s="8"/>
      <c r="B196" s="15">
        <v>5063</v>
      </c>
      <c r="C196" s="15">
        <v>46</v>
      </c>
      <c r="D196" s="15">
        <v>2</v>
      </c>
      <c r="E196" s="11" t="s">
        <v>1057</v>
      </c>
      <c r="F196" s="11" t="s">
        <v>1095</v>
      </c>
      <c r="G196" s="15">
        <v>4</v>
      </c>
      <c r="H196" s="15">
        <v>0</v>
      </c>
      <c r="I196" s="15"/>
      <c r="J196" s="15">
        <v>2</v>
      </c>
      <c r="K196" s="15"/>
      <c r="L196" s="15"/>
      <c r="M196" s="15"/>
      <c r="N196" s="15">
        <v>1109</v>
      </c>
      <c r="O196" s="15"/>
      <c r="P196" s="15">
        <v>264</v>
      </c>
      <c r="Q196" t="e">
        <f>VLOOKUP(VALUE(K196),ability!$B:$C,2,FALSE)</f>
        <v>#N/A</v>
      </c>
      <c r="R196" t="e">
        <f>VLOOKUP(VALUE(L196),ability!$B:$C,2,FALSE)</f>
        <v>#N/A</v>
      </c>
      <c r="S196" t="e">
        <f>VLOOKUP(VALUE(M196),ability!$B:$C,2,FALSE)</f>
        <v>#N/A</v>
      </c>
      <c r="T196" t="str">
        <f>VLOOKUP(VALUE(N196),ability!$B:$C,2,FALSE)</f>
        <v>吉報</v>
      </c>
      <c r="U196" t="e">
        <f>VLOOKUP(VALUE(O196),ability!$B:$C,2,FALSE)</f>
        <v>#N/A</v>
      </c>
      <c r="V196" t="str">
        <f>VLOOKUP(VALUE(P196),ability!$B:$C,2,FALSE)</f>
        <v>光の躍動</v>
      </c>
    </row>
    <row r="197" spans="1:22">
      <c r="A197" s="8"/>
      <c r="B197" s="15">
        <v>5064</v>
      </c>
      <c r="C197" s="15">
        <v>24</v>
      </c>
      <c r="D197" s="15">
        <v>2</v>
      </c>
      <c r="E197" s="11" t="s">
        <v>1058</v>
      </c>
      <c r="F197" s="11" t="s">
        <v>1107</v>
      </c>
      <c r="G197" s="15">
        <v>6</v>
      </c>
      <c r="H197" s="15">
        <v>0</v>
      </c>
      <c r="I197" s="15"/>
      <c r="J197" s="15">
        <v>1</v>
      </c>
      <c r="K197" s="15"/>
      <c r="L197" s="15"/>
      <c r="M197" s="15"/>
      <c r="N197" s="15">
        <v>220</v>
      </c>
      <c r="O197" s="15"/>
      <c r="P197" s="15">
        <v>262</v>
      </c>
      <c r="Q197" t="e">
        <f>VLOOKUP(VALUE(K197),ability!$B:$C,2,FALSE)</f>
        <v>#N/A</v>
      </c>
      <c r="R197" t="e">
        <f>VLOOKUP(VALUE(L197),ability!$B:$C,2,FALSE)</f>
        <v>#N/A</v>
      </c>
      <c r="S197" t="e">
        <f>VLOOKUP(VALUE(M197),ability!$B:$C,2,FALSE)</f>
        <v>#N/A</v>
      </c>
      <c r="T197" t="str">
        <f>VLOOKUP(VALUE(N197),ability!$B:$C,2,FALSE)</f>
        <v>決心</v>
      </c>
      <c r="U197" t="e">
        <f>VLOOKUP(VALUE(O197),ability!$B:$C,2,FALSE)</f>
        <v>#N/A</v>
      </c>
      <c r="V197" t="str">
        <f>VLOOKUP(VALUE(P197),ability!$B:$C,2,FALSE)</f>
        <v>氷の躍動</v>
      </c>
    </row>
    <row r="198" spans="1:22">
      <c r="A198" s="8"/>
      <c r="B198" s="15">
        <v>5065</v>
      </c>
      <c r="C198" s="15">
        <v>10</v>
      </c>
      <c r="D198" s="15">
        <v>2</v>
      </c>
      <c r="E198" s="11" t="s">
        <v>1059</v>
      </c>
      <c r="F198" s="11" t="s">
        <v>1079</v>
      </c>
      <c r="G198" s="15">
        <v>5</v>
      </c>
      <c r="H198" s="15">
        <v>1</v>
      </c>
      <c r="I198" s="15"/>
      <c r="J198" s="15">
        <v>1</v>
      </c>
      <c r="K198" s="15"/>
      <c r="L198" s="15"/>
      <c r="M198" s="15"/>
      <c r="N198" s="15">
        <v>1112</v>
      </c>
      <c r="O198" s="15"/>
      <c r="P198" s="15">
        <v>271</v>
      </c>
      <c r="Q198" t="e">
        <f>VLOOKUP(VALUE(K198),ability!$B:$C,2,FALSE)</f>
        <v>#N/A</v>
      </c>
      <c r="R198" t="e">
        <f>VLOOKUP(VALUE(L198),ability!$B:$C,2,FALSE)</f>
        <v>#N/A</v>
      </c>
      <c r="S198" t="e">
        <f>VLOOKUP(VALUE(M198),ability!$B:$C,2,FALSE)</f>
        <v>#N/A</v>
      </c>
      <c r="T198" t="str">
        <f>VLOOKUP(VALUE(N198),ability!$B:$C,2,FALSE)</f>
        <v>好機</v>
      </c>
      <c r="U198" t="e">
        <f>VLOOKUP(VALUE(O198),ability!$B:$C,2,FALSE)</f>
        <v>#N/A</v>
      </c>
      <c r="V198" t="str">
        <f>VLOOKUP(VALUE(P198),ability!$B:$C,2,FALSE)</f>
        <v>火の慧眼</v>
      </c>
    </row>
    <row r="199" spans="1:22">
      <c r="A199" s="8"/>
      <c r="B199" s="15">
        <v>5066</v>
      </c>
      <c r="C199" s="15">
        <v>104</v>
      </c>
      <c r="D199" s="15">
        <v>2</v>
      </c>
      <c r="E199" s="11" t="s">
        <v>1060</v>
      </c>
      <c r="F199" s="11" t="s">
        <v>829</v>
      </c>
      <c r="G199" s="15">
        <v>6</v>
      </c>
      <c r="H199" s="15">
        <v>2</v>
      </c>
      <c r="I199" s="15"/>
      <c r="J199" s="15">
        <v>4</v>
      </c>
      <c r="K199" s="15"/>
      <c r="L199" s="15"/>
      <c r="M199" s="15"/>
      <c r="N199" s="15">
        <v>1109</v>
      </c>
      <c r="O199" s="15"/>
      <c r="P199" s="15">
        <v>216</v>
      </c>
      <c r="Q199" t="e">
        <f>VLOOKUP(VALUE(K199),ability!$B:$C,2,FALSE)</f>
        <v>#N/A</v>
      </c>
      <c r="R199" t="e">
        <f>VLOOKUP(VALUE(L199),ability!$B:$C,2,FALSE)</f>
        <v>#N/A</v>
      </c>
      <c r="S199" t="e">
        <f>VLOOKUP(VALUE(M199),ability!$B:$C,2,FALSE)</f>
        <v>#N/A</v>
      </c>
      <c r="T199" t="str">
        <f>VLOOKUP(VALUE(N199),ability!$B:$C,2,FALSE)</f>
        <v>吉報</v>
      </c>
      <c r="U199" t="e">
        <f>VLOOKUP(VALUE(O199),ability!$B:$C,2,FALSE)</f>
        <v>#N/A</v>
      </c>
      <c r="V199" t="str">
        <f>VLOOKUP(VALUE(P199),ability!$B:$C,2,FALSE)</f>
        <v>氷の采配</v>
      </c>
    </row>
    <row r="200" spans="1:22">
      <c r="A200" s="8"/>
      <c r="B200" s="15">
        <v>5067</v>
      </c>
      <c r="C200" s="15">
        <v>14</v>
      </c>
      <c r="D200" s="15">
        <v>2</v>
      </c>
      <c r="E200" s="11" t="s">
        <v>1061</v>
      </c>
      <c r="F200" s="11" t="s">
        <v>1085</v>
      </c>
      <c r="G200" s="15">
        <v>7</v>
      </c>
      <c r="H200" s="15">
        <v>4</v>
      </c>
      <c r="I200" s="15"/>
      <c r="J200" s="15">
        <v>4</v>
      </c>
      <c r="K200" s="15"/>
      <c r="L200" s="15"/>
      <c r="M200" s="15"/>
      <c r="N200" s="15">
        <v>1502</v>
      </c>
      <c r="O200" s="15"/>
      <c r="P200" s="15">
        <v>1114</v>
      </c>
      <c r="Q200" t="e">
        <f>VLOOKUP(VALUE(K200),ability!$B:$C,2,FALSE)</f>
        <v>#N/A</v>
      </c>
      <c r="R200" t="e">
        <f>VLOOKUP(VALUE(L200),ability!$B:$C,2,FALSE)</f>
        <v>#N/A</v>
      </c>
      <c r="S200" t="e">
        <f>VLOOKUP(VALUE(M200),ability!$B:$C,2,FALSE)</f>
        <v>#N/A</v>
      </c>
      <c r="T200" t="str">
        <f>VLOOKUP(VALUE(N200),ability!$B:$C,2,FALSE)</f>
        <v>堅忍</v>
      </c>
      <c r="U200" t="e">
        <f>VLOOKUP(VALUE(O200),ability!$B:$C,2,FALSE)</f>
        <v>#N/A</v>
      </c>
      <c r="V200" t="str">
        <f>VLOOKUP(VALUE(P200),ability!$B:$C,2,FALSE)</f>
        <v>福運</v>
      </c>
    </row>
    <row r="201" spans="1:22">
      <c r="A201" s="8"/>
      <c r="B201" s="15">
        <v>5068</v>
      </c>
      <c r="C201" s="15">
        <v>9</v>
      </c>
      <c r="D201" s="15">
        <v>2</v>
      </c>
      <c r="E201" s="11" t="s">
        <v>1062</v>
      </c>
      <c r="F201" s="11" t="s">
        <v>1131</v>
      </c>
      <c r="G201" s="15">
        <v>2</v>
      </c>
      <c r="H201" s="15">
        <v>3</v>
      </c>
      <c r="I201" s="15"/>
      <c r="J201" s="15">
        <v>3</v>
      </c>
      <c r="K201" s="15"/>
      <c r="L201" s="15"/>
      <c r="M201" s="15"/>
      <c r="N201" s="15">
        <v>220</v>
      </c>
      <c r="O201" s="15"/>
      <c r="P201" s="15"/>
      <c r="Q201" t="e">
        <f>VLOOKUP(VALUE(K201),ability!$B:$C,2,FALSE)</f>
        <v>#N/A</v>
      </c>
      <c r="R201" t="e">
        <f>VLOOKUP(VALUE(L201),ability!$B:$C,2,FALSE)</f>
        <v>#N/A</v>
      </c>
      <c r="S201" t="e">
        <f>VLOOKUP(VALUE(M201),ability!$B:$C,2,FALSE)</f>
        <v>#N/A</v>
      </c>
      <c r="T201" t="str">
        <f>VLOOKUP(VALUE(N201),ability!$B:$C,2,FALSE)</f>
        <v>決心</v>
      </c>
      <c r="U201" t="e">
        <f>VLOOKUP(VALUE(O201),ability!$B:$C,2,FALSE)</f>
        <v>#N/A</v>
      </c>
      <c r="V201" t="e">
        <f>VLOOKUP(VALUE(P201),ability!$B:$C,2,FALSE)</f>
        <v>#N/A</v>
      </c>
    </row>
    <row r="202" spans="1:22">
      <c r="A202" s="8"/>
      <c r="B202" s="15">
        <v>5069</v>
      </c>
      <c r="C202" s="15">
        <v>47</v>
      </c>
      <c r="D202" s="15">
        <v>2</v>
      </c>
      <c r="E202" s="11" t="s">
        <v>1623</v>
      </c>
      <c r="F202" s="11" t="s">
        <v>1626</v>
      </c>
      <c r="G202" s="15">
        <v>2</v>
      </c>
      <c r="H202" s="15">
        <v>2</v>
      </c>
      <c r="I202" s="15"/>
      <c r="J202" s="15">
        <v>1</v>
      </c>
      <c r="K202" s="15"/>
      <c r="L202" s="15"/>
      <c r="M202" s="15"/>
      <c r="N202" s="15">
        <v>242</v>
      </c>
      <c r="O202" s="15"/>
      <c r="P202" s="15">
        <v>216</v>
      </c>
      <c r="Q202" t="e">
        <f>VLOOKUP(VALUE(K202),ability!$B:$C,2,FALSE)</f>
        <v>#N/A</v>
      </c>
      <c r="R202" t="e">
        <f>VLOOKUP(VALUE(L202),ability!$B:$C,2,FALSE)</f>
        <v>#N/A</v>
      </c>
      <c r="S202" t="e">
        <f>VLOOKUP(VALUE(M202),ability!$B:$C,2,FALSE)</f>
        <v>#N/A</v>
      </c>
      <c r="T202" t="str">
        <f>VLOOKUP(VALUE(N202),ability!$B:$C,2,FALSE)</f>
        <v>氷の意志</v>
      </c>
      <c r="U202" t="e">
        <f>VLOOKUP(VALUE(O202),ability!$B:$C,2,FALSE)</f>
        <v>#N/A</v>
      </c>
      <c r="V202" t="str">
        <f>VLOOKUP(VALUE(P202),ability!$B:$C,2,FALSE)</f>
        <v>氷の采配</v>
      </c>
    </row>
    <row r="203" spans="1:22">
      <c r="A203" s="8"/>
      <c r="B203" s="15">
        <v>5070</v>
      </c>
      <c r="C203" s="15">
        <v>25</v>
      </c>
      <c r="D203" s="15">
        <v>2</v>
      </c>
      <c r="E203" s="11" t="s">
        <v>1974</v>
      </c>
      <c r="F203" s="11" t="s">
        <v>1774</v>
      </c>
      <c r="G203" s="15">
        <v>1</v>
      </c>
      <c r="H203" s="15">
        <v>0</v>
      </c>
      <c r="I203" s="15"/>
      <c r="J203" s="15">
        <v>1</v>
      </c>
      <c r="K203" s="15"/>
      <c r="L203" s="15"/>
      <c r="M203" s="15"/>
      <c r="N203" s="15">
        <v>10</v>
      </c>
      <c r="O203" s="15"/>
      <c r="P203" s="15"/>
      <c r="Q203" t="e">
        <f>VLOOKUP(VALUE(K203),ability!$B:$C,2,FALSE)</f>
        <v>#N/A</v>
      </c>
      <c r="R203" t="e">
        <f>VLOOKUP(VALUE(L203),ability!$B:$C,2,FALSE)</f>
        <v>#N/A</v>
      </c>
      <c r="S203" t="e">
        <f>VLOOKUP(VALUE(M203),ability!$B:$C,2,FALSE)</f>
        <v>#N/A</v>
      </c>
      <c r="T203" t="str">
        <f>VLOOKUP(VALUE(N203),ability!$B:$C,2,FALSE)</f>
        <v>烈風</v>
      </c>
      <c r="U203" t="e">
        <f>VLOOKUP(VALUE(O203),ability!$B:$C,2,FALSE)</f>
        <v>#N/A</v>
      </c>
      <c r="V203" t="e">
        <f>VLOOKUP(VALUE(P203),ability!$B:$C,2,FALSE)</f>
        <v>#N/A</v>
      </c>
    </row>
    <row r="204" spans="1:22">
      <c r="A204" s="8"/>
      <c r="B204" s="15">
        <v>5071</v>
      </c>
      <c r="C204" s="15">
        <v>37</v>
      </c>
      <c r="D204" s="15">
        <v>2</v>
      </c>
      <c r="E204" s="11" t="s">
        <v>1814</v>
      </c>
      <c r="F204" s="11" t="s">
        <v>1815</v>
      </c>
      <c r="G204" s="15">
        <v>2</v>
      </c>
      <c r="H204" s="15">
        <v>3</v>
      </c>
      <c r="I204" s="15"/>
      <c r="J204" s="15">
        <v>1</v>
      </c>
      <c r="K204" s="15"/>
      <c r="L204" s="15"/>
      <c r="M204" s="15"/>
      <c r="N204" s="15">
        <v>238</v>
      </c>
      <c r="O204" s="15"/>
      <c r="P204" s="15">
        <v>1112</v>
      </c>
      <c r="Q204" t="e">
        <f>VLOOKUP(VALUE(K204),ability!$B:$C,2,FALSE)</f>
        <v>#N/A</v>
      </c>
      <c r="R204" t="e">
        <f>VLOOKUP(VALUE(L204),ability!$B:$C,2,FALSE)</f>
        <v>#N/A</v>
      </c>
      <c r="S204" t="e">
        <f>VLOOKUP(VALUE(M204),ability!$B:$C,2,FALSE)</f>
        <v>#N/A</v>
      </c>
      <c r="T204" t="str">
        <f>VLOOKUP(VALUE(N204),ability!$B:$C,2,FALSE)</f>
        <v>勇気</v>
      </c>
      <c r="U204" t="e">
        <f>VLOOKUP(VALUE(O204),ability!$B:$C,2,FALSE)</f>
        <v>#N/A</v>
      </c>
      <c r="V204" t="str">
        <f>VLOOKUP(VALUE(P204),ability!$B:$C,2,FALSE)</f>
        <v>好機</v>
      </c>
    </row>
    <row r="205" spans="1:22">
      <c r="A205" s="8"/>
      <c r="B205" s="15">
        <v>5072</v>
      </c>
      <c r="C205" s="15">
        <v>6</v>
      </c>
      <c r="D205" s="15">
        <v>2</v>
      </c>
      <c r="E205" s="11" t="s">
        <v>2054</v>
      </c>
      <c r="F205" s="11" t="s">
        <v>2055</v>
      </c>
      <c r="G205" s="15">
        <v>4</v>
      </c>
      <c r="H205" s="15">
        <v>0</v>
      </c>
      <c r="I205" s="15"/>
      <c r="J205" s="15">
        <v>2</v>
      </c>
      <c r="K205" s="15"/>
      <c r="L205" s="15"/>
      <c r="M205" s="15"/>
      <c r="N205" s="15">
        <v>1507</v>
      </c>
      <c r="O205" s="15"/>
      <c r="P205" s="15">
        <v>1115</v>
      </c>
      <c r="Q205" t="e">
        <f>VLOOKUP(VALUE(K205),ability!$B:$C,2,FALSE)</f>
        <v>#N/A</v>
      </c>
      <c r="R205" t="e">
        <f>VLOOKUP(VALUE(L205),ability!$B:$C,2,FALSE)</f>
        <v>#N/A</v>
      </c>
      <c r="S205" t="e">
        <f>VLOOKUP(VALUE(M205),ability!$B:$C,2,FALSE)</f>
        <v>#N/A</v>
      </c>
      <c r="T205" t="str">
        <f>VLOOKUP(VALUE(N205),ability!$B:$C,2,FALSE)</f>
        <v>忍耐</v>
      </c>
      <c r="U205" t="e">
        <f>VLOOKUP(VALUE(O205),ability!$B:$C,2,FALSE)</f>
        <v>#N/A</v>
      </c>
      <c r="V205" t="str">
        <f>VLOOKUP(VALUE(P205),ability!$B:$C,2,FALSE)</f>
        <v>友愛</v>
      </c>
    </row>
    <row r="206" spans="1:22">
      <c r="A206" s="8"/>
      <c r="B206" s="15">
        <v>5073</v>
      </c>
      <c r="C206" s="15">
        <v>4</v>
      </c>
      <c r="D206" s="15">
        <v>2</v>
      </c>
      <c r="E206" s="11" t="s">
        <v>2077</v>
      </c>
      <c r="F206" s="11" t="s">
        <v>2142</v>
      </c>
      <c r="G206" s="15">
        <v>5</v>
      </c>
      <c r="H206" s="15">
        <v>0</v>
      </c>
      <c r="I206" s="15"/>
      <c r="J206" s="15">
        <v>3</v>
      </c>
      <c r="K206" s="15"/>
      <c r="L206" s="15"/>
      <c r="M206" s="15"/>
      <c r="N206" s="15">
        <v>503</v>
      </c>
      <c r="O206" s="15"/>
      <c r="P206" s="15">
        <v>1007</v>
      </c>
      <c r="Q206" t="e">
        <f>VLOOKUP(VALUE(K206),ability!$B:$C,2,FALSE)</f>
        <v>#N/A</v>
      </c>
      <c r="R206" t="e">
        <f>VLOOKUP(VALUE(L206),ability!$B:$C,2,FALSE)</f>
        <v>#N/A</v>
      </c>
      <c r="S206" t="e">
        <f>VLOOKUP(VALUE(M206),ability!$B:$C,2,FALSE)</f>
        <v>#N/A</v>
      </c>
      <c r="T206" t="str">
        <f>VLOOKUP(VALUE(N206),ability!$B:$C,2,FALSE)</f>
        <v>増幅</v>
      </c>
      <c r="U206" t="e">
        <f>VLOOKUP(VALUE(O206),ability!$B:$C,2,FALSE)</f>
        <v>#N/A</v>
      </c>
      <c r="V206" t="str">
        <f>VLOOKUP(VALUE(P206),ability!$B:$C,2,FALSE)</f>
        <v>機敏</v>
      </c>
    </row>
    <row r="207" spans="1:22">
      <c r="A207" s="8"/>
      <c r="B207" s="15">
        <v>9001</v>
      </c>
      <c r="C207" s="15">
        <v>1</v>
      </c>
      <c r="D207" s="15">
        <v>3</v>
      </c>
      <c r="E207" s="11" t="s">
        <v>901</v>
      </c>
      <c r="F207" s="11" t="s">
        <v>991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/>
      <c r="O207" s="15">
        <v>9</v>
      </c>
      <c r="P207" s="15"/>
      <c r="Q207" t="e">
        <f>VLOOKUP(VALUE(K207),ability!$B:$C,2,FALSE)</f>
        <v>#N/A</v>
      </c>
      <c r="R207" t="e">
        <f>VLOOKUP(VALUE(L207),ability!$B:$C,2,FALSE)</f>
        <v>#N/A</v>
      </c>
      <c r="S207" t="e">
        <f>VLOOKUP(VALUE(M207),ability!$B:$C,2,FALSE)</f>
        <v>#N/A</v>
      </c>
      <c r="T207" t="e">
        <f>VLOOKUP(VALUE(N207),ability!$B:$C,2,FALSE)</f>
        <v>#N/A</v>
      </c>
      <c r="U207" t="str">
        <f>VLOOKUP(VALUE(O207),ability!$B:$C,2,FALSE)</f>
        <v>疾風</v>
      </c>
      <c r="V207" t="e">
        <f>VLOOKUP(VALUE(P207),ability!$B:$C,2,FALSE)</f>
        <v>#N/A</v>
      </c>
    </row>
    <row r="208" spans="1:22">
      <c r="A208" s="8"/>
      <c r="B208" s="15">
        <v>9002</v>
      </c>
      <c r="C208" s="15">
        <v>2</v>
      </c>
      <c r="D208" s="15">
        <v>3</v>
      </c>
      <c r="E208" s="11" t="s">
        <v>902</v>
      </c>
      <c r="F208" s="11" t="s">
        <v>990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/>
      <c r="O208" s="15">
        <v>238</v>
      </c>
      <c r="P208" s="15"/>
      <c r="Q208" t="e">
        <f>VLOOKUP(VALUE(K208),ability!$B:$C,2,FALSE)</f>
        <v>#N/A</v>
      </c>
      <c r="R208" t="e">
        <f>VLOOKUP(VALUE(L208),ability!$B:$C,2,FALSE)</f>
        <v>#N/A</v>
      </c>
      <c r="S208" t="e">
        <f>VLOOKUP(VALUE(M208),ability!$B:$C,2,FALSE)</f>
        <v>#N/A</v>
      </c>
      <c r="T208" t="e">
        <f>VLOOKUP(VALUE(N208),ability!$B:$C,2,FALSE)</f>
        <v>#N/A</v>
      </c>
      <c r="U208" t="str">
        <f>VLOOKUP(VALUE(O208),ability!$B:$C,2,FALSE)</f>
        <v>勇気</v>
      </c>
      <c r="V208" t="e">
        <f>VLOOKUP(VALUE(P208),ability!$B:$C,2,FALSE)</f>
        <v>#N/A</v>
      </c>
    </row>
    <row r="209" spans="1:22">
      <c r="A209" s="8"/>
      <c r="B209" s="15">
        <v>9003</v>
      </c>
      <c r="C209" s="15">
        <v>3</v>
      </c>
      <c r="D209" s="15">
        <v>3</v>
      </c>
      <c r="E209" s="11" t="s">
        <v>903</v>
      </c>
      <c r="F209" s="11" t="s">
        <v>989</v>
      </c>
      <c r="G209" s="15">
        <v>6</v>
      </c>
      <c r="H209" s="15">
        <v>0</v>
      </c>
      <c r="I209" s="15"/>
      <c r="J209" s="15"/>
      <c r="K209" s="15"/>
      <c r="L209" s="15"/>
      <c r="M209" s="15"/>
      <c r="N209" s="15"/>
      <c r="O209" s="15">
        <v>1007</v>
      </c>
      <c r="P209" s="15"/>
      <c r="Q209" t="e">
        <f>VLOOKUP(VALUE(K209),ability!$B:$C,2,FALSE)</f>
        <v>#N/A</v>
      </c>
      <c r="R209" t="e">
        <f>VLOOKUP(VALUE(L209),ability!$B:$C,2,FALSE)</f>
        <v>#N/A</v>
      </c>
      <c r="S209" t="e">
        <f>VLOOKUP(VALUE(M209),ability!$B:$C,2,FALSE)</f>
        <v>#N/A</v>
      </c>
      <c r="T209" t="e">
        <f>VLOOKUP(VALUE(N209),ability!$B:$C,2,FALSE)</f>
        <v>#N/A</v>
      </c>
      <c r="U209" t="str">
        <f>VLOOKUP(VALUE(O209),ability!$B:$C,2,FALSE)</f>
        <v>機敏</v>
      </c>
      <c r="V209" t="e">
        <f>VLOOKUP(VALUE(P209),ability!$B:$C,2,FALSE)</f>
        <v>#N/A</v>
      </c>
    </row>
    <row r="210" spans="1:22">
      <c r="A210" s="8"/>
      <c r="B210" s="15">
        <v>9004</v>
      </c>
      <c r="C210" s="15">
        <v>4</v>
      </c>
      <c r="D210" s="15">
        <v>3</v>
      </c>
      <c r="E210" s="11" t="s">
        <v>904</v>
      </c>
      <c r="F210" s="11" t="s">
        <v>988</v>
      </c>
      <c r="G210" s="15">
        <v>5</v>
      </c>
      <c r="H210" s="15">
        <v>0</v>
      </c>
      <c r="I210" s="15"/>
      <c r="J210" s="15"/>
      <c r="K210" s="15"/>
      <c r="L210" s="15"/>
      <c r="M210" s="15"/>
      <c r="N210" s="15"/>
      <c r="O210" s="15">
        <v>1112</v>
      </c>
      <c r="P210" s="15"/>
      <c r="Q210" t="e">
        <f>VLOOKUP(VALUE(K210),ability!$B:$C,2,FALSE)</f>
        <v>#N/A</v>
      </c>
      <c r="R210" t="e">
        <f>VLOOKUP(VALUE(L210),ability!$B:$C,2,FALSE)</f>
        <v>#N/A</v>
      </c>
      <c r="S210" t="e">
        <f>VLOOKUP(VALUE(M210),ability!$B:$C,2,FALSE)</f>
        <v>#N/A</v>
      </c>
      <c r="T210" t="e">
        <f>VLOOKUP(VALUE(N210),ability!$B:$C,2,FALSE)</f>
        <v>#N/A</v>
      </c>
      <c r="U210" t="str">
        <f>VLOOKUP(VALUE(O210),ability!$B:$C,2,FALSE)</f>
        <v>好機</v>
      </c>
      <c r="V210" t="e">
        <f>VLOOKUP(VALUE(P210),ability!$B:$C,2,FALSE)</f>
        <v>#N/A</v>
      </c>
    </row>
    <row r="211" spans="1:22">
      <c r="A211" s="8"/>
      <c r="B211" s="15">
        <v>9005</v>
      </c>
      <c r="C211" s="15">
        <v>5</v>
      </c>
      <c r="D211" s="15">
        <v>3</v>
      </c>
      <c r="E211" s="11" t="s">
        <v>905</v>
      </c>
      <c r="F211" s="11" t="s">
        <v>993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/>
      <c r="O211" s="15">
        <v>1007</v>
      </c>
      <c r="P211" s="15"/>
      <c r="Q211" t="e">
        <f>VLOOKUP(VALUE(K211),ability!$B:$C,2,FALSE)</f>
        <v>#N/A</v>
      </c>
      <c r="R211" t="e">
        <f>VLOOKUP(VALUE(L211),ability!$B:$C,2,FALSE)</f>
        <v>#N/A</v>
      </c>
      <c r="S211" t="e">
        <f>VLOOKUP(VALUE(M211),ability!$B:$C,2,FALSE)</f>
        <v>#N/A</v>
      </c>
      <c r="T211" t="e">
        <f>VLOOKUP(VALUE(N211),ability!$B:$C,2,FALSE)</f>
        <v>#N/A</v>
      </c>
      <c r="U211" t="str">
        <f>VLOOKUP(VALUE(O211),ability!$B:$C,2,FALSE)</f>
        <v>機敏</v>
      </c>
      <c r="V211" t="e">
        <f>VLOOKUP(VALUE(P211),ability!$B:$C,2,FALSE)</f>
        <v>#N/A</v>
      </c>
    </row>
    <row r="212" spans="1:22">
      <c r="A212" s="8"/>
      <c r="B212" s="15">
        <v>9006</v>
      </c>
      <c r="C212" s="15">
        <v>6</v>
      </c>
      <c r="D212" s="15">
        <v>3</v>
      </c>
      <c r="E212" s="11" t="s">
        <v>906</v>
      </c>
      <c r="F212" s="11" t="s">
        <v>987</v>
      </c>
      <c r="G212" s="15">
        <v>4</v>
      </c>
      <c r="H212" s="15">
        <v>0</v>
      </c>
      <c r="I212" s="15"/>
      <c r="J212" s="15"/>
      <c r="K212" s="15"/>
      <c r="L212" s="15"/>
      <c r="M212" s="15"/>
      <c r="N212" s="15"/>
      <c r="O212" s="15">
        <v>1507</v>
      </c>
      <c r="P212" s="15"/>
      <c r="Q212" t="e">
        <f>VLOOKUP(VALUE(K212),ability!$B:$C,2,FALSE)</f>
        <v>#N/A</v>
      </c>
      <c r="R212" t="e">
        <f>VLOOKUP(VALUE(L212),ability!$B:$C,2,FALSE)</f>
        <v>#N/A</v>
      </c>
      <c r="S212" t="e">
        <f>VLOOKUP(VALUE(M212),ability!$B:$C,2,FALSE)</f>
        <v>#N/A</v>
      </c>
      <c r="T212" t="e">
        <f>VLOOKUP(VALUE(N212),ability!$B:$C,2,FALSE)</f>
        <v>#N/A</v>
      </c>
      <c r="U212" t="str">
        <f>VLOOKUP(VALUE(O212),ability!$B:$C,2,FALSE)</f>
        <v>忍耐</v>
      </c>
      <c r="V212" t="e">
        <f>VLOOKUP(VALUE(P212),ability!$B:$C,2,FALSE)</f>
        <v>#N/A</v>
      </c>
    </row>
    <row r="213" spans="1:22">
      <c r="A213" s="8"/>
      <c r="B213" s="15">
        <v>9007</v>
      </c>
      <c r="C213" s="15">
        <v>7</v>
      </c>
      <c r="D213" s="15">
        <v>3</v>
      </c>
      <c r="E213" s="11" t="s">
        <v>907</v>
      </c>
      <c r="F213" s="11" t="s">
        <v>986</v>
      </c>
      <c r="G213" s="15">
        <v>7</v>
      </c>
      <c r="H213" s="15">
        <v>0</v>
      </c>
      <c r="I213" s="15"/>
      <c r="J213" s="15"/>
      <c r="K213" s="15"/>
      <c r="L213" s="15"/>
      <c r="M213" s="15"/>
      <c r="N213" s="15"/>
      <c r="O213" s="15">
        <v>239</v>
      </c>
      <c r="P213" s="15"/>
      <c r="Q213" t="e">
        <f>VLOOKUP(VALUE(K213),ability!$B:$C,2,FALSE)</f>
        <v>#N/A</v>
      </c>
      <c r="R213" t="e">
        <f>VLOOKUP(VALUE(L213),ability!$B:$C,2,FALSE)</f>
        <v>#N/A</v>
      </c>
      <c r="S213" t="e">
        <f>VLOOKUP(VALUE(M213),ability!$B:$C,2,FALSE)</f>
        <v>#N/A</v>
      </c>
      <c r="T213" t="e">
        <f>VLOOKUP(VALUE(N213),ability!$B:$C,2,FALSE)</f>
        <v>#N/A</v>
      </c>
      <c r="U213" t="str">
        <f>VLOOKUP(VALUE(O213),ability!$B:$C,2,FALSE)</f>
        <v>決意</v>
      </c>
      <c r="V213" t="e">
        <f>VLOOKUP(VALUE(P213),ability!$B:$C,2,FALSE)</f>
        <v>#N/A</v>
      </c>
    </row>
    <row r="214" spans="1:22">
      <c r="A214" s="8"/>
      <c r="B214" s="15">
        <v>9008</v>
      </c>
      <c r="C214" s="15">
        <v>8</v>
      </c>
      <c r="D214" s="15">
        <v>3</v>
      </c>
      <c r="E214" s="11" t="s">
        <v>908</v>
      </c>
      <c r="F214" s="11" t="s">
        <v>985</v>
      </c>
      <c r="G214" s="15">
        <v>1</v>
      </c>
      <c r="H214" s="15">
        <v>0</v>
      </c>
      <c r="I214" s="15"/>
      <c r="J214" s="15"/>
      <c r="K214" s="15"/>
      <c r="L214" s="15"/>
      <c r="M214" s="15"/>
      <c r="N214" s="15"/>
      <c r="O214" s="15">
        <v>238</v>
      </c>
      <c r="P214" s="15"/>
      <c r="Q214" t="e">
        <f>VLOOKUP(VALUE(K214),ability!$B:$C,2,FALSE)</f>
        <v>#N/A</v>
      </c>
      <c r="R214" t="e">
        <f>VLOOKUP(VALUE(L214),ability!$B:$C,2,FALSE)</f>
        <v>#N/A</v>
      </c>
      <c r="S214" t="e">
        <f>VLOOKUP(VALUE(M214),ability!$B:$C,2,FALSE)</f>
        <v>#N/A</v>
      </c>
      <c r="T214" t="e">
        <f>VLOOKUP(VALUE(N214),ability!$B:$C,2,FALSE)</f>
        <v>#N/A</v>
      </c>
      <c r="U214" t="str">
        <f>VLOOKUP(VALUE(O214),ability!$B:$C,2,FALSE)</f>
        <v>勇気</v>
      </c>
      <c r="V214" t="e">
        <f>VLOOKUP(VALUE(P214),ability!$B:$C,2,FALSE)</f>
        <v>#N/A</v>
      </c>
    </row>
    <row r="215" spans="1:22">
      <c r="A215" s="8"/>
      <c r="B215" s="15">
        <v>9009</v>
      </c>
      <c r="C215" s="15">
        <v>9</v>
      </c>
      <c r="D215" s="15">
        <v>3</v>
      </c>
      <c r="E215" s="11" t="s">
        <v>909</v>
      </c>
      <c r="F215" s="11" t="s">
        <v>1334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/>
      <c r="O215" s="15">
        <v>238</v>
      </c>
      <c r="P215" s="15"/>
      <c r="Q215" t="e">
        <f>VLOOKUP(VALUE(K215),ability!$B:$C,2,FALSE)</f>
        <v>#N/A</v>
      </c>
      <c r="R215" t="e">
        <f>VLOOKUP(VALUE(L215),ability!$B:$C,2,FALSE)</f>
        <v>#N/A</v>
      </c>
      <c r="S215" t="e">
        <f>VLOOKUP(VALUE(M215),ability!$B:$C,2,FALSE)</f>
        <v>#N/A</v>
      </c>
      <c r="T215" t="e">
        <f>VLOOKUP(VALUE(N215),ability!$B:$C,2,FALSE)</f>
        <v>#N/A</v>
      </c>
      <c r="U215" t="str">
        <f>VLOOKUP(VALUE(O215),ability!$B:$C,2,FALSE)</f>
        <v>勇気</v>
      </c>
      <c r="V215" t="e">
        <f>VLOOKUP(VALUE(P215),ability!$B:$C,2,FALSE)</f>
        <v>#N/A</v>
      </c>
    </row>
    <row r="216" spans="1:22">
      <c r="A216" s="8"/>
      <c r="B216" s="15">
        <v>9010</v>
      </c>
      <c r="C216" s="15">
        <v>10</v>
      </c>
      <c r="D216" s="15">
        <v>3</v>
      </c>
      <c r="E216" s="11" t="s">
        <v>910</v>
      </c>
      <c r="F216" s="11" t="s">
        <v>984</v>
      </c>
      <c r="G216" s="15">
        <v>5</v>
      </c>
      <c r="H216" s="15">
        <v>0</v>
      </c>
      <c r="I216" s="15"/>
      <c r="J216" s="15"/>
      <c r="K216" s="15"/>
      <c r="L216" s="15"/>
      <c r="M216" s="15"/>
      <c r="N216" s="15"/>
      <c r="O216" s="15">
        <v>1006</v>
      </c>
      <c r="P216" s="15"/>
      <c r="Q216" t="e">
        <f>VLOOKUP(VALUE(K216),ability!$B:$C,2,FALSE)</f>
        <v>#N/A</v>
      </c>
      <c r="R216" t="e">
        <f>VLOOKUP(VALUE(L216),ability!$B:$C,2,FALSE)</f>
        <v>#N/A</v>
      </c>
      <c r="S216" t="e">
        <f>VLOOKUP(VALUE(M216),ability!$B:$C,2,FALSE)</f>
        <v>#N/A</v>
      </c>
      <c r="T216" t="e">
        <f>VLOOKUP(VALUE(N216),ability!$B:$C,2,FALSE)</f>
        <v>#N/A</v>
      </c>
      <c r="U216" t="str">
        <f>VLOOKUP(VALUE(O216),ability!$B:$C,2,FALSE)</f>
        <v>咆吼</v>
      </c>
      <c r="V216" t="e">
        <f>VLOOKUP(VALUE(P216),ability!$B:$C,2,FALSE)</f>
        <v>#N/A</v>
      </c>
    </row>
    <row r="217" spans="1:22">
      <c r="A217" s="8"/>
      <c r="B217" s="15">
        <v>9011</v>
      </c>
      <c r="C217" s="15">
        <v>11</v>
      </c>
      <c r="D217" s="15">
        <v>3</v>
      </c>
      <c r="E217" s="11" t="s">
        <v>911</v>
      </c>
      <c r="F217" s="11" t="s">
        <v>983</v>
      </c>
      <c r="G217" s="15">
        <v>6</v>
      </c>
      <c r="H217" s="15">
        <v>0</v>
      </c>
      <c r="I217" s="15"/>
      <c r="J217" s="15"/>
      <c r="K217" s="15"/>
      <c r="L217" s="15"/>
      <c r="M217" s="15"/>
      <c r="N217" s="15"/>
      <c r="O217" s="15">
        <v>1008</v>
      </c>
      <c r="P217" s="15"/>
      <c r="Q217" t="e">
        <f>VLOOKUP(VALUE(K217),ability!$B:$C,2,FALSE)</f>
        <v>#N/A</v>
      </c>
      <c r="R217" t="e">
        <f>VLOOKUP(VALUE(L217),ability!$B:$C,2,FALSE)</f>
        <v>#N/A</v>
      </c>
      <c r="S217" t="e">
        <f>VLOOKUP(VALUE(M217),ability!$B:$C,2,FALSE)</f>
        <v>#N/A</v>
      </c>
      <c r="T217" t="e">
        <f>VLOOKUP(VALUE(N217),ability!$B:$C,2,FALSE)</f>
        <v>#N/A</v>
      </c>
      <c r="U217" t="str">
        <f>VLOOKUP(VALUE(O217),ability!$B:$C,2,FALSE)</f>
        <v>警衛</v>
      </c>
      <c r="V217" t="e">
        <f>VLOOKUP(VALUE(P217),ability!$B:$C,2,FALSE)</f>
        <v>#N/A</v>
      </c>
    </row>
    <row r="218" spans="1:22">
      <c r="A218" s="8"/>
      <c r="B218" s="15">
        <v>9012</v>
      </c>
      <c r="C218" s="15">
        <v>12</v>
      </c>
      <c r="D218" s="15">
        <v>3</v>
      </c>
      <c r="E218" s="11" t="s">
        <v>912</v>
      </c>
      <c r="F218" s="11" t="s">
        <v>982</v>
      </c>
      <c r="G218" s="15">
        <v>3</v>
      </c>
      <c r="H218" s="15">
        <v>0</v>
      </c>
      <c r="I218" s="15"/>
      <c r="J218" s="15"/>
      <c r="K218" s="15"/>
      <c r="L218" s="15"/>
      <c r="M218" s="15"/>
      <c r="N218" s="15"/>
      <c r="O218" s="15">
        <v>1507</v>
      </c>
      <c r="P218" s="15"/>
      <c r="Q218" t="e">
        <f>VLOOKUP(VALUE(K218),ability!$B:$C,2,FALSE)</f>
        <v>#N/A</v>
      </c>
      <c r="R218" t="e">
        <f>VLOOKUP(VALUE(L218),ability!$B:$C,2,FALSE)</f>
        <v>#N/A</v>
      </c>
      <c r="S218" t="e">
        <f>VLOOKUP(VALUE(M218),ability!$B:$C,2,FALSE)</f>
        <v>#N/A</v>
      </c>
      <c r="T218" t="e">
        <f>VLOOKUP(VALUE(N218),ability!$B:$C,2,FALSE)</f>
        <v>#N/A</v>
      </c>
      <c r="U218" t="str">
        <f>VLOOKUP(VALUE(O218),ability!$B:$C,2,FALSE)</f>
        <v>忍耐</v>
      </c>
      <c r="V218" t="e">
        <f>VLOOKUP(VALUE(P218),ability!$B:$C,2,FALSE)</f>
        <v>#N/A</v>
      </c>
    </row>
    <row r="219" spans="1:22">
      <c r="A219" s="8"/>
      <c r="B219" s="15">
        <v>9013</v>
      </c>
      <c r="C219" s="15">
        <v>13</v>
      </c>
      <c r="D219" s="15">
        <v>3</v>
      </c>
      <c r="E219" s="11" t="s">
        <v>913</v>
      </c>
      <c r="F219" s="11" t="s">
        <v>981</v>
      </c>
      <c r="G219" s="15">
        <v>1</v>
      </c>
      <c r="H219" s="15">
        <v>0</v>
      </c>
      <c r="I219" s="15"/>
      <c r="J219" s="15"/>
      <c r="K219" s="15"/>
      <c r="L219" s="15"/>
      <c r="M219" s="15"/>
      <c r="N219" s="15"/>
      <c r="O219" s="15">
        <v>9</v>
      </c>
      <c r="P219" s="15"/>
      <c r="Q219" t="e">
        <f>VLOOKUP(VALUE(K219),ability!$B:$C,2,FALSE)</f>
        <v>#N/A</v>
      </c>
      <c r="R219" t="e">
        <f>VLOOKUP(VALUE(L219),ability!$B:$C,2,FALSE)</f>
        <v>#N/A</v>
      </c>
      <c r="S219" t="e">
        <f>VLOOKUP(VALUE(M219),ability!$B:$C,2,FALSE)</f>
        <v>#N/A</v>
      </c>
      <c r="T219" t="e">
        <f>VLOOKUP(VALUE(N219),ability!$B:$C,2,FALSE)</f>
        <v>#N/A</v>
      </c>
      <c r="U219" t="str">
        <f>VLOOKUP(VALUE(O219),ability!$B:$C,2,FALSE)</f>
        <v>疾風</v>
      </c>
      <c r="V219" t="e">
        <f>VLOOKUP(VALUE(P219),ability!$B:$C,2,FALSE)</f>
        <v>#N/A</v>
      </c>
    </row>
    <row r="220" spans="1:22">
      <c r="A220" s="8"/>
      <c r="B220" s="15">
        <v>9014</v>
      </c>
      <c r="C220" s="15">
        <v>14</v>
      </c>
      <c r="D220" s="15">
        <v>3</v>
      </c>
      <c r="E220" s="11" t="s">
        <v>914</v>
      </c>
      <c r="F220" s="11" t="s">
        <v>980</v>
      </c>
      <c r="G220" s="15">
        <v>4</v>
      </c>
      <c r="H220" s="15">
        <v>0</v>
      </c>
      <c r="I220" s="15"/>
      <c r="J220" s="15"/>
      <c r="K220" s="15"/>
      <c r="L220" s="15"/>
      <c r="M220" s="15"/>
      <c r="N220" s="15"/>
      <c r="O220" s="15">
        <v>239</v>
      </c>
      <c r="P220" s="15"/>
      <c r="Q220" t="e">
        <f>VLOOKUP(VALUE(K220),ability!$B:$C,2,FALSE)</f>
        <v>#N/A</v>
      </c>
      <c r="R220" t="e">
        <f>VLOOKUP(VALUE(L220),ability!$B:$C,2,FALSE)</f>
        <v>#N/A</v>
      </c>
      <c r="S220" t="e">
        <f>VLOOKUP(VALUE(M220),ability!$B:$C,2,FALSE)</f>
        <v>#N/A</v>
      </c>
      <c r="T220" t="e">
        <f>VLOOKUP(VALUE(N220),ability!$B:$C,2,FALSE)</f>
        <v>#N/A</v>
      </c>
      <c r="U220" t="str">
        <f>VLOOKUP(VALUE(O220),ability!$B:$C,2,FALSE)</f>
        <v>決意</v>
      </c>
      <c r="V220" t="e">
        <f>VLOOKUP(VALUE(P220),ability!$B:$C,2,FALSE)</f>
        <v>#N/A</v>
      </c>
    </row>
    <row r="221" spans="1:22">
      <c r="A221" s="8"/>
      <c r="B221" s="15">
        <v>9015</v>
      </c>
      <c r="C221" s="15">
        <v>15</v>
      </c>
      <c r="D221" s="15">
        <v>3</v>
      </c>
      <c r="E221" s="11" t="s">
        <v>915</v>
      </c>
      <c r="F221" s="11" t="s">
        <v>979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/>
      <c r="O221" s="15">
        <v>8</v>
      </c>
      <c r="P221" s="15"/>
      <c r="Q221" t="e">
        <f>VLOOKUP(VALUE(K221),ability!$B:$C,2,FALSE)</f>
        <v>#N/A</v>
      </c>
      <c r="R221" t="e">
        <f>VLOOKUP(VALUE(L221),ability!$B:$C,2,FALSE)</f>
        <v>#N/A</v>
      </c>
      <c r="S221" t="e">
        <f>VLOOKUP(VALUE(M221),ability!$B:$C,2,FALSE)</f>
        <v>#N/A</v>
      </c>
      <c r="T221" t="e">
        <f>VLOOKUP(VALUE(N221),ability!$B:$C,2,FALSE)</f>
        <v>#N/A</v>
      </c>
      <c r="U221" t="str">
        <f>VLOOKUP(VALUE(O221),ability!$B:$C,2,FALSE)</f>
        <v>洞察</v>
      </c>
      <c r="V221" t="e">
        <f>VLOOKUP(VALUE(P221),ability!$B:$C,2,FALSE)</f>
        <v>#N/A</v>
      </c>
    </row>
    <row r="222" spans="1:22">
      <c r="A222" s="8"/>
      <c r="B222" s="15">
        <v>9016</v>
      </c>
      <c r="C222" s="15">
        <v>16</v>
      </c>
      <c r="D222" s="15">
        <v>3</v>
      </c>
      <c r="E222" s="11" t="s">
        <v>916</v>
      </c>
      <c r="F222" s="11" t="s">
        <v>978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/>
      <c r="O222" s="15">
        <v>1112</v>
      </c>
      <c r="P222" s="15"/>
      <c r="Q222" t="e">
        <f>VLOOKUP(VALUE(K222),ability!$B:$C,2,FALSE)</f>
        <v>#N/A</v>
      </c>
      <c r="R222" t="e">
        <f>VLOOKUP(VALUE(L222),ability!$B:$C,2,FALSE)</f>
        <v>#N/A</v>
      </c>
      <c r="S222" t="e">
        <f>VLOOKUP(VALUE(M222),ability!$B:$C,2,FALSE)</f>
        <v>#N/A</v>
      </c>
      <c r="T222" t="e">
        <f>VLOOKUP(VALUE(N222),ability!$B:$C,2,FALSE)</f>
        <v>#N/A</v>
      </c>
      <c r="U222" t="str">
        <f>VLOOKUP(VALUE(O222),ability!$B:$C,2,FALSE)</f>
        <v>好機</v>
      </c>
      <c r="V222" t="e">
        <f>VLOOKUP(VALUE(P222),ability!$B:$C,2,FALSE)</f>
        <v>#N/A</v>
      </c>
    </row>
    <row r="223" spans="1:22">
      <c r="A223" s="8"/>
      <c r="B223" s="15">
        <v>9017</v>
      </c>
      <c r="C223" s="15">
        <v>17</v>
      </c>
      <c r="D223" s="15">
        <v>3</v>
      </c>
      <c r="E223" s="11" t="s">
        <v>917</v>
      </c>
      <c r="F223" s="11" t="s">
        <v>977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/>
      <c r="O223" s="15">
        <v>1507</v>
      </c>
      <c r="P223" s="15"/>
      <c r="Q223" t="e">
        <f>VLOOKUP(VALUE(K223),ability!$B:$C,2,FALSE)</f>
        <v>#N/A</v>
      </c>
      <c r="R223" t="e">
        <f>VLOOKUP(VALUE(L223),ability!$B:$C,2,FALSE)</f>
        <v>#N/A</v>
      </c>
      <c r="S223" t="e">
        <f>VLOOKUP(VALUE(M223),ability!$B:$C,2,FALSE)</f>
        <v>#N/A</v>
      </c>
      <c r="T223" t="e">
        <f>VLOOKUP(VALUE(N223),ability!$B:$C,2,FALSE)</f>
        <v>#N/A</v>
      </c>
      <c r="U223" t="str">
        <f>VLOOKUP(VALUE(O223),ability!$B:$C,2,FALSE)</f>
        <v>忍耐</v>
      </c>
      <c r="V223" t="e">
        <f>VLOOKUP(VALUE(P223),ability!$B:$C,2,FALSE)</f>
        <v>#N/A</v>
      </c>
    </row>
    <row r="224" spans="1:22">
      <c r="A224" s="8"/>
      <c r="B224" s="15">
        <v>9018</v>
      </c>
      <c r="C224" s="15">
        <v>18</v>
      </c>
      <c r="D224" s="15">
        <v>3</v>
      </c>
      <c r="E224" s="11" t="s">
        <v>918</v>
      </c>
      <c r="F224" s="11" t="s">
        <v>976</v>
      </c>
      <c r="G224" s="15">
        <v>5</v>
      </c>
      <c r="H224" s="15">
        <v>0</v>
      </c>
      <c r="I224" s="15"/>
      <c r="J224" s="15"/>
      <c r="K224" s="15"/>
      <c r="L224" s="15"/>
      <c r="M224" s="15"/>
      <c r="N224" s="15"/>
      <c r="O224" s="15">
        <v>1113</v>
      </c>
      <c r="P224" s="15"/>
      <c r="Q224" t="e">
        <f>VLOOKUP(VALUE(K224),ability!$B:$C,2,FALSE)</f>
        <v>#N/A</v>
      </c>
      <c r="R224" t="e">
        <f>VLOOKUP(VALUE(L224),ability!$B:$C,2,FALSE)</f>
        <v>#N/A</v>
      </c>
      <c r="S224" t="e">
        <f>VLOOKUP(VALUE(M224),ability!$B:$C,2,FALSE)</f>
        <v>#N/A</v>
      </c>
      <c r="T224" t="e">
        <f>VLOOKUP(VALUE(N224),ability!$B:$C,2,FALSE)</f>
        <v>#N/A</v>
      </c>
      <c r="U224" t="str">
        <f>VLOOKUP(VALUE(O224),ability!$B:$C,2,FALSE)</f>
        <v>気合</v>
      </c>
      <c r="V224" t="e">
        <f>VLOOKUP(VALUE(P224),ability!$B:$C,2,FALSE)</f>
        <v>#N/A</v>
      </c>
    </row>
    <row r="225" spans="1:22">
      <c r="A225" s="8"/>
      <c r="B225" s="15">
        <v>9019</v>
      </c>
      <c r="C225" s="15">
        <v>19</v>
      </c>
      <c r="D225" s="15">
        <v>3</v>
      </c>
      <c r="E225" s="11" t="s">
        <v>919</v>
      </c>
      <c r="F225" s="11" t="s">
        <v>992</v>
      </c>
      <c r="G225" s="15">
        <v>1</v>
      </c>
      <c r="H225" s="15">
        <v>0</v>
      </c>
      <c r="I225" s="15"/>
      <c r="J225" s="15"/>
      <c r="K225" s="15"/>
      <c r="L225" s="15"/>
      <c r="M225" s="15"/>
      <c r="N225" s="15"/>
      <c r="O225" s="15">
        <v>1507</v>
      </c>
      <c r="P225" s="15"/>
      <c r="Q225" t="e">
        <f>VLOOKUP(VALUE(K225),ability!$B:$C,2,FALSE)</f>
        <v>#N/A</v>
      </c>
      <c r="R225" t="e">
        <f>VLOOKUP(VALUE(L225),ability!$B:$C,2,FALSE)</f>
        <v>#N/A</v>
      </c>
      <c r="S225" t="e">
        <f>VLOOKUP(VALUE(M225),ability!$B:$C,2,FALSE)</f>
        <v>#N/A</v>
      </c>
      <c r="T225" t="e">
        <f>VLOOKUP(VALUE(N225),ability!$B:$C,2,FALSE)</f>
        <v>#N/A</v>
      </c>
      <c r="U225" t="str">
        <f>VLOOKUP(VALUE(O225),ability!$B:$C,2,FALSE)</f>
        <v>忍耐</v>
      </c>
      <c r="V225" t="e">
        <f>VLOOKUP(VALUE(P225),ability!$B:$C,2,FALSE)</f>
        <v>#N/A</v>
      </c>
    </row>
    <row r="226" spans="1:22">
      <c r="A226" s="8"/>
      <c r="B226" s="15">
        <v>9020</v>
      </c>
      <c r="C226" s="15">
        <v>20</v>
      </c>
      <c r="D226" s="15">
        <v>3</v>
      </c>
      <c r="E226" s="11" t="s">
        <v>920</v>
      </c>
      <c r="F226" s="11" t="s">
        <v>970</v>
      </c>
      <c r="G226" s="15">
        <v>5</v>
      </c>
      <c r="H226" s="15">
        <v>0</v>
      </c>
      <c r="I226" s="15"/>
      <c r="J226" s="15"/>
      <c r="K226" s="15"/>
      <c r="L226" s="15"/>
      <c r="M226" s="15"/>
      <c r="N226" s="15"/>
      <c r="O226" s="15">
        <v>1007</v>
      </c>
      <c r="P226" s="15"/>
      <c r="Q226" t="e">
        <f>VLOOKUP(VALUE(K226),ability!$B:$C,2,FALSE)</f>
        <v>#N/A</v>
      </c>
      <c r="R226" t="e">
        <f>VLOOKUP(VALUE(L226),ability!$B:$C,2,FALSE)</f>
        <v>#N/A</v>
      </c>
      <c r="S226" t="e">
        <f>VLOOKUP(VALUE(M226),ability!$B:$C,2,FALSE)</f>
        <v>#N/A</v>
      </c>
      <c r="T226" t="e">
        <f>VLOOKUP(VALUE(N226),ability!$B:$C,2,FALSE)</f>
        <v>#N/A</v>
      </c>
      <c r="U226" t="str">
        <f>VLOOKUP(VALUE(O226),ability!$B:$C,2,FALSE)</f>
        <v>機敏</v>
      </c>
      <c r="V226" t="e">
        <f>VLOOKUP(VALUE(P226),ability!$B:$C,2,FALSE)</f>
        <v>#N/A</v>
      </c>
    </row>
    <row r="227" spans="1:22">
      <c r="A227" s="8"/>
      <c r="B227" s="15">
        <v>9021</v>
      </c>
      <c r="C227" s="15">
        <v>21</v>
      </c>
      <c r="D227" s="15">
        <v>3</v>
      </c>
      <c r="E227" s="11" t="s">
        <v>921</v>
      </c>
      <c r="F227" s="11" t="s">
        <v>969</v>
      </c>
      <c r="G227" s="15">
        <v>6</v>
      </c>
      <c r="H227" s="15">
        <v>0</v>
      </c>
      <c r="I227" s="15"/>
      <c r="J227" s="15"/>
      <c r="K227" s="15"/>
      <c r="L227" s="15"/>
      <c r="M227" s="15"/>
      <c r="N227" s="15"/>
      <c r="O227" s="15">
        <v>238</v>
      </c>
      <c r="P227" s="15"/>
      <c r="Q227" t="e">
        <f>VLOOKUP(VALUE(K227),ability!$B:$C,2,FALSE)</f>
        <v>#N/A</v>
      </c>
      <c r="R227" t="e">
        <f>VLOOKUP(VALUE(L227),ability!$B:$C,2,FALSE)</f>
        <v>#N/A</v>
      </c>
      <c r="S227" t="e">
        <f>VLOOKUP(VALUE(M227),ability!$B:$C,2,FALSE)</f>
        <v>#N/A</v>
      </c>
      <c r="T227" t="e">
        <f>VLOOKUP(VALUE(N227),ability!$B:$C,2,FALSE)</f>
        <v>#N/A</v>
      </c>
      <c r="U227" t="str">
        <f>VLOOKUP(VALUE(O227),ability!$B:$C,2,FALSE)</f>
        <v>勇気</v>
      </c>
      <c r="V227" t="e">
        <f>VLOOKUP(VALUE(P227),ability!$B:$C,2,FALSE)</f>
        <v>#N/A</v>
      </c>
    </row>
    <row r="228" spans="1:22">
      <c r="A228" s="8"/>
      <c r="B228" s="15">
        <v>9022</v>
      </c>
      <c r="C228" s="15">
        <v>22</v>
      </c>
      <c r="D228" s="15">
        <v>3</v>
      </c>
      <c r="E228" s="11" t="s">
        <v>922</v>
      </c>
      <c r="F228" s="11" t="s">
        <v>968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/>
      <c r="O228" s="15">
        <v>1113</v>
      </c>
      <c r="P228" s="15"/>
      <c r="Q228" t="e">
        <f>VLOOKUP(VALUE(K228),ability!$B:$C,2,FALSE)</f>
        <v>#N/A</v>
      </c>
      <c r="R228" t="e">
        <f>VLOOKUP(VALUE(L228),ability!$B:$C,2,FALSE)</f>
        <v>#N/A</v>
      </c>
      <c r="S228" t="e">
        <f>VLOOKUP(VALUE(M228),ability!$B:$C,2,FALSE)</f>
        <v>#N/A</v>
      </c>
      <c r="T228" t="e">
        <f>VLOOKUP(VALUE(N228),ability!$B:$C,2,FALSE)</f>
        <v>#N/A</v>
      </c>
      <c r="U228" t="str">
        <f>VLOOKUP(VALUE(O228),ability!$B:$C,2,FALSE)</f>
        <v>気合</v>
      </c>
      <c r="V228" t="e">
        <f>VLOOKUP(VALUE(P228),ability!$B:$C,2,FALSE)</f>
        <v>#N/A</v>
      </c>
    </row>
    <row r="229" spans="1:22">
      <c r="A229" s="8"/>
      <c r="B229" s="15">
        <v>9023</v>
      </c>
      <c r="C229" s="15">
        <v>23</v>
      </c>
      <c r="D229" s="15">
        <v>3</v>
      </c>
      <c r="E229" s="11" t="s">
        <v>923</v>
      </c>
      <c r="F229" s="11" t="s">
        <v>967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/>
      <c r="O229" s="15">
        <v>9</v>
      </c>
      <c r="P229" s="15"/>
      <c r="Q229" t="e">
        <f>VLOOKUP(VALUE(K229),ability!$B:$C,2,FALSE)</f>
        <v>#N/A</v>
      </c>
      <c r="R229" t="e">
        <f>VLOOKUP(VALUE(L229),ability!$B:$C,2,FALSE)</f>
        <v>#N/A</v>
      </c>
      <c r="S229" t="e">
        <f>VLOOKUP(VALUE(M229),ability!$B:$C,2,FALSE)</f>
        <v>#N/A</v>
      </c>
      <c r="T229" t="e">
        <f>VLOOKUP(VALUE(N229),ability!$B:$C,2,FALSE)</f>
        <v>#N/A</v>
      </c>
      <c r="U229" t="str">
        <f>VLOOKUP(VALUE(O229),ability!$B:$C,2,FALSE)</f>
        <v>疾風</v>
      </c>
      <c r="V229" t="e">
        <f>VLOOKUP(VALUE(P229),ability!$B:$C,2,FALSE)</f>
        <v>#N/A</v>
      </c>
    </row>
    <row r="230" spans="1:22">
      <c r="A230" s="8"/>
      <c r="B230" s="15">
        <v>9024</v>
      </c>
      <c r="C230" s="15">
        <v>24</v>
      </c>
      <c r="D230" s="15">
        <v>3</v>
      </c>
      <c r="E230" s="11" t="s">
        <v>924</v>
      </c>
      <c r="F230" s="11" t="s">
        <v>966</v>
      </c>
      <c r="G230" s="15">
        <v>6</v>
      </c>
      <c r="H230" s="15">
        <v>0</v>
      </c>
      <c r="I230" s="15"/>
      <c r="J230" s="15"/>
      <c r="K230" s="15"/>
      <c r="L230" s="15"/>
      <c r="M230" s="15"/>
      <c r="N230" s="15"/>
      <c r="O230" s="15">
        <v>8</v>
      </c>
      <c r="P230" s="15"/>
      <c r="Q230" t="e">
        <f>VLOOKUP(VALUE(K230),ability!$B:$C,2,FALSE)</f>
        <v>#N/A</v>
      </c>
      <c r="R230" t="e">
        <f>VLOOKUP(VALUE(L230),ability!$B:$C,2,FALSE)</f>
        <v>#N/A</v>
      </c>
      <c r="S230" t="e">
        <f>VLOOKUP(VALUE(M230),ability!$B:$C,2,FALSE)</f>
        <v>#N/A</v>
      </c>
      <c r="T230" t="e">
        <f>VLOOKUP(VALUE(N230),ability!$B:$C,2,FALSE)</f>
        <v>#N/A</v>
      </c>
      <c r="U230" t="str">
        <f>VLOOKUP(VALUE(O230),ability!$B:$C,2,FALSE)</f>
        <v>洞察</v>
      </c>
      <c r="V230" t="e">
        <f>VLOOKUP(VALUE(P230),ability!$B:$C,2,FALSE)</f>
        <v>#N/A</v>
      </c>
    </row>
    <row r="231" spans="1:22">
      <c r="A231" s="8"/>
      <c r="B231" s="15">
        <v>9025</v>
      </c>
      <c r="C231" s="15">
        <v>25</v>
      </c>
      <c r="D231" s="15">
        <v>3</v>
      </c>
      <c r="E231" s="11" t="s">
        <v>925</v>
      </c>
      <c r="F231" s="11" t="s">
        <v>994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/>
      <c r="O231" s="15">
        <v>1008</v>
      </c>
      <c r="P231" s="15"/>
      <c r="Q231" t="e">
        <f>VLOOKUP(VALUE(K231),ability!$B:$C,2,FALSE)</f>
        <v>#N/A</v>
      </c>
      <c r="R231" t="e">
        <f>VLOOKUP(VALUE(L231),ability!$B:$C,2,FALSE)</f>
        <v>#N/A</v>
      </c>
      <c r="S231" t="e">
        <f>VLOOKUP(VALUE(M231),ability!$B:$C,2,FALSE)</f>
        <v>#N/A</v>
      </c>
      <c r="T231" t="e">
        <f>VLOOKUP(VALUE(N231),ability!$B:$C,2,FALSE)</f>
        <v>#N/A</v>
      </c>
      <c r="U231" t="str">
        <f>VLOOKUP(VALUE(O231),ability!$B:$C,2,FALSE)</f>
        <v>警衛</v>
      </c>
      <c r="V231" t="e">
        <f>VLOOKUP(VALUE(P231),ability!$B:$C,2,FALSE)</f>
        <v>#N/A</v>
      </c>
    </row>
    <row r="232" spans="1:22">
      <c r="A232" s="8"/>
      <c r="B232" s="15">
        <v>9026</v>
      </c>
      <c r="C232" s="15">
        <v>26</v>
      </c>
      <c r="D232" s="15">
        <v>3</v>
      </c>
      <c r="E232" s="11" t="s">
        <v>926</v>
      </c>
      <c r="F232" s="11" t="s">
        <v>965</v>
      </c>
      <c r="G232" s="15">
        <v>3</v>
      </c>
      <c r="H232" s="15">
        <v>0</v>
      </c>
      <c r="I232" s="15"/>
      <c r="J232" s="15"/>
      <c r="K232" s="15"/>
      <c r="L232" s="15"/>
      <c r="M232" s="15"/>
      <c r="N232" s="15"/>
      <c r="O232" s="15">
        <v>1007</v>
      </c>
      <c r="P232" s="15"/>
      <c r="Q232" t="e">
        <f>VLOOKUP(VALUE(K232),ability!$B:$C,2,FALSE)</f>
        <v>#N/A</v>
      </c>
      <c r="R232" t="e">
        <f>VLOOKUP(VALUE(L232),ability!$B:$C,2,FALSE)</f>
        <v>#N/A</v>
      </c>
      <c r="S232" t="e">
        <f>VLOOKUP(VALUE(M232),ability!$B:$C,2,FALSE)</f>
        <v>#N/A</v>
      </c>
      <c r="T232" t="e">
        <f>VLOOKUP(VALUE(N232),ability!$B:$C,2,FALSE)</f>
        <v>#N/A</v>
      </c>
      <c r="U232" t="str">
        <f>VLOOKUP(VALUE(O232),ability!$B:$C,2,FALSE)</f>
        <v>機敏</v>
      </c>
      <c r="V232" t="e">
        <f>VLOOKUP(VALUE(P232),ability!$B:$C,2,FALSE)</f>
        <v>#N/A</v>
      </c>
    </row>
    <row r="233" spans="1:22">
      <c r="A233" s="8"/>
      <c r="B233" s="15">
        <v>9027</v>
      </c>
      <c r="C233" s="15">
        <v>27</v>
      </c>
      <c r="D233" s="15">
        <v>3</v>
      </c>
      <c r="E233" s="11" t="s">
        <v>927</v>
      </c>
      <c r="F233" s="11" t="s">
        <v>964</v>
      </c>
      <c r="G233" s="15">
        <v>1</v>
      </c>
      <c r="H233" s="15">
        <v>0</v>
      </c>
      <c r="I233" s="15"/>
      <c r="J233" s="15"/>
      <c r="K233" s="15"/>
      <c r="L233" s="15"/>
      <c r="M233" s="15"/>
      <c r="N233" s="15"/>
      <c r="O233" s="15">
        <v>1006</v>
      </c>
      <c r="P233" s="15"/>
      <c r="Q233" t="e">
        <f>VLOOKUP(VALUE(K233),ability!$B:$C,2,FALSE)</f>
        <v>#N/A</v>
      </c>
      <c r="R233" t="e">
        <f>VLOOKUP(VALUE(L233),ability!$B:$C,2,FALSE)</f>
        <v>#N/A</v>
      </c>
      <c r="S233" t="e">
        <f>VLOOKUP(VALUE(M233),ability!$B:$C,2,FALSE)</f>
        <v>#N/A</v>
      </c>
      <c r="T233" t="e">
        <f>VLOOKUP(VALUE(N233),ability!$B:$C,2,FALSE)</f>
        <v>#N/A</v>
      </c>
      <c r="U233" t="str">
        <f>VLOOKUP(VALUE(O233),ability!$B:$C,2,FALSE)</f>
        <v>咆吼</v>
      </c>
      <c r="V233" t="e">
        <f>VLOOKUP(VALUE(P233),ability!$B:$C,2,FALSE)</f>
        <v>#N/A</v>
      </c>
    </row>
    <row r="234" spans="1:22">
      <c r="A234" s="8"/>
      <c r="B234" s="15">
        <v>9028</v>
      </c>
      <c r="C234" s="15">
        <v>28</v>
      </c>
      <c r="D234" s="15">
        <v>3</v>
      </c>
      <c r="E234" s="11" t="s">
        <v>928</v>
      </c>
      <c r="F234" s="11" t="s">
        <v>963</v>
      </c>
      <c r="G234" s="15">
        <v>5</v>
      </c>
      <c r="H234" s="15">
        <v>0</v>
      </c>
      <c r="I234" s="15"/>
      <c r="J234" s="15"/>
      <c r="K234" s="15"/>
      <c r="L234" s="15"/>
      <c r="M234" s="15"/>
      <c r="N234" s="15"/>
      <c r="O234" s="15">
        <v>1007</v>
      </c>
      <c r="P234" s="15"/>
      <c r="Q234" t="e">
        <f>VLOOKUP(VALUE(K234),ability!$B:$C,2,FALSE)</f>
        <v>#N/A</v>
      </c>
      <c r="R234" t="e">
        <f>VLOOKUP(VALUE(L234),ability!$B:$C,2,FALSE)</f>
        <v>#N/A</v>
      </c>
      <c r="S234" t="e">
        <f>VLOOKUP(VALUE(M234),ability!$B:$C,2,FALSE)</f>
        <v>#N/A</v>
      </c>
      <c r="T234" t="e">
        <f>VLOOKUP(VALUE(N234),ability!$B:$C,2,FALSE)</f>
        <v>#N/A</v>
      </c>
      <c r="U234" t="str">
        <f>VLOOKUP(VALUE(O234),ability!$B:$C,2,FALSE)</f>
        <v>機敏</v>
      </c>
      <c r="V234" t="e">
        <f>VLOOKUP(VALUE(P234),ability!$B:$C,2,FALSE)</f>
        <v>#N/A</v>
      </c>
    </row>
    <row r="235" spans="1:22">
      <c r="A235" s="8"/>
      <c r="B235" s="15">
        <v>9029</v>
      </c>
      <c r="C235" s="15">
        <v>29</v>
      </c>
      <c r="D235" s="15">
        <v>3</v>
      </c>
      <c r="E235" s="11" t="s">
        <v>929</v>
      </c>
      <c r="F235" s="11" t="s">
        <v>962</v>
      </c>
      <c r="G235" s="15">
        <v>6</v>
      </c>
      <c r="H235" s="15">
        <v>0</v>
      </c>
      <c r="I235" s="15"/>
      <c r="J235" s="15"/>
      <c r="K235" s="15"/>
      <c r="L235" s="15"/>
      <c r="M235" s="15"/>
      <c r="N235" s="15"/>
      <c r="O235" s="15">
        <v>8</v>
      </c>
      <c r="P235" s="15"/>
      <c r="Q235" t="e">
        <f>VLOOKUP(VALUE(K235),ability!$B:$C,2,FALSE)</f>
        <v>#N/A</v>
      </c>
      <c r="R235" t="e">
        <f>VLOOKUP(VALUE(L235),ability!$B:$C,2,FALSE)</f>
        <v>#N/A</v>
      </c>
      <c r="S235" t="e">
        <f>VLOOKUP(VALUE(M235),ability!$B:$C,2,FALSE)</f>
        <v>#N/A</v>
      </c>
      <c r="T235" t="e">
        <f>VLOOKUP(VALUE(N235),ability!$B:$C,2,FALSE)</f>
        <v>#N/A</v>
      </c>
      <c r="U235" t="str">
        <f>VLOOKUP(VALUE(O235),ability!$B:$C,2,FALSE)</f>
        <v>洞察</v>
      </c>
      <c r="V235" t="e">
        <f>VLOOKUP(VALUE(P235),ability!$B:$C,2,FALSE)</f>
        <v>#N/A</v>
      </c>
    </row>
    <row r="236" spans="1:22">
      <c r="A236" s="8"/>
      <c r="B236" s="15">
        <v>9030</v>
      </c>
      <c r="C236" s="15">
        <v>30</v>
      </c>
      <c r="D236" s="15">
        <v>3</v>
      </c>
      <c r="E236" s="11" t="s">
        <v>930</v>
      </c>
      <c r="F236" s="11" t="s">
        <v>961</v>
      </c>
      <c r="G236" s="15">
        <v>4</v>
      </c>
      <c r="H236" s="15">
        <v>0</v>
      </c>
      <c r="I236" s="15"/>
      <c r="J236" s="15"/>
      <c r="K236" s="15"/>
      <c r="L236" s="15"/>
      <c r="M236" s="15"/>
      <c r="N236" s="15"/>
      <c r="O236" s="15">
        <v>1113</v>
      </c>
      <c r="P236" s="15"/>
      <c r="Q236" t="e">
        <f>VLOOKUP(VALUE(K236),ability!$B:$C,2,FALSE)</f>
        <v>#N/A</v>
      </c>
      <c r="R236" t="e">
        <f>VLOOKUP(VALUE(L236),ability!$B:$C,2,FALSE)</f>
        <v>#N/A</v>
      </c>
      <c r="S236" t="e">
        <f>VLOOKUP(VALUE(M236),ability!$B:$C,2,FALSE)</f>
        <v>#N/A</v>
      </c>
      <c r="T236" t="e">
        <f>VLOOKUP(VALUE(N236),ability!$B:$C,2,FALSE)</f>
        <v>#N/A</v>
      </c>
      <c r="U236" t="str">
        <f>VLOOKUP(VALUE(O236),ability!$B:$C,2,FALSE)</f>
        <v>気合</v>
      </c>
      <c r="V236" t="e">
        <f>VLOOKUP(VALUE(P236),ability!$B:$C,2,FALSE)</f>
        <v>#N/A</v>
      </c>
    </row>
    <row r="237" spans="1:22">
      <c r="A237" s="8"/>
      <c r="B237" s="15">
        <v>9031</v>
      </c>
      <c r="C237" s="15">
        <v>31</v>
      </c>
      <c r="D237" s="15">
        <v>3</v>
      </c>
      <c r="E237" s="11" t="s">
        <v>931</v>
      </c>
      <c r="F237" s="11" t="s">
        <v>960</v>
      </c>
      <c r="G237" s="15">
        <v>4</v>
      </c>
      <c r="H237" s="15">
        <v>0</v>
      </c>
      <c r="I237" s="15"/>
      <c r="J237" s="15"/>
      <c r="K237" s="15"/>
      <c r="L237" s="15"/>
      <c r="M237" s="15"/>
      <c r="N237" s="15"/>
      <c r="O237" s="15">
        <v>1112</v>
      </c>
      <c r="P237" s="15"/>
      <c r="Q237" t="e">
        <f>VLOOKUP(VALUE(K237),ability!$B:$C,2,FALSE)</f>
        <v>#N/A</v>
      </c>
      <c r="R237" t="e">
        <f>VLOOKUP(VALUE(L237),ability!$B:$C,2,FALSE)</f>
        <v>#N/A</v>
      </c>
      <c r="S237" t="e">
        <f>VLOOKUP(VALUE(M237),ability!$B:$C,2,FALSE)</f>
        <v>#N/A</v>
      </c>
      <c r="T237" t="e">
        <f>VLOOKUP(VALUE(N237),ability!$B:$C,2,FALSE)</f>
        <v>#N/A</v>
      </c>
      <c r="U237" t="str">
        <f>VLOOKUP(VALUE(O237),ability!$B:$C,2,FALSE)</f>
        <v>好機</v>
      </c>
      <c r="V237" t="e">
        <f>VLOOKUP(VALUE(P237),ability!$B:$C,2,FALSE)</f>
        <v>#N/A</v>
      </c>
    </row>
    <row r="238" spans="1:22">
      <c r="A238" s="8"/>
      <c r="B238" s="15">
        <v>9032</v>
      </c>
      <c r="C238" s="15">
        <v>32</v>
      </c>
      <c r="D238" s="15">
        <v>3</v>
      </c>
      <c r="E238" s="11" t="s">
        <v>932</v>
      </c>
      <c r="F238" s="11" t="s">
        <v>959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/>
      <c r="O238" s="15">
        <v>239</v>
      </c>
      <c r="P238" s="15"/>
      <c r="Q238" t="e">
        <f>VLOOKUP(VALUE(K238),ability!$B:$C,2,FALSE)</f>
        <v>#N/A</v>
      </c>
      <c r="R238" t="e">
        <f>VLOOKUP(VALUE(L238),ability!$B:$C,2,FALSE)</f>
        <v>#N/A</v>
      </c>
      <c r="S238" t="e">
        <f>VLOOKUP(VALUE(M238),ability!$B:$C,2,FALSE)</f>
        <v>#N/A</v>
      </c>
      <c r="T238" t="e">
        <f>VLOOKUP(VALUE(N238),ability!$B:$C,2,FALSE)</f>
        <v>#N/A</v>
      </c>
      <c r="U238" t="str">
        <f>VLOOKUP(VALUE(O238),ability!$B:$C,2,FALSE)</f>
        <v>決意</v>
      </c>
      <c r="V238" t="e">
        <f>VLOOKUP(VALUE(P238),ability!$B:$C,2,FALSE)</f>
        <v>#N/A</v>
      </c>
    </row>
    <row r="239" spans="1:22">
      <c r="A239" s="8"/>
      <c r="B239" s="15">
        <v>9033</v>
      </c>
      <c r="C239" s="15">
        <v>33</v>
      </c>
      <c r="D239" s="15">
        <v>3</v>
      </c>
      <c r="E239" s="11" t="s">
        <v>933</v>
      </c>
      <c r="F239" s="11" t="s">
        <v>958</v>
      </c>
      <c r="G239" s="15">
        <v>5</v>
      </c>
      <c r="H239" s="15">
        <v>0</v>
      </c>
      <c r="I239" s="15"/>
      <c r="J239" s="15"/>
      <c r="K239" s="15"/>
      <c r="L239" s="15"/>
      <c r="M239" s="15"/>
      <c r="N239" s="15"/>
      <c r="O239" s="15">
        <v>1007</v>
      </c>
      <c r="P239" s="15"/>
      <c r="Q239" t="e">
        <f>VLOOKUP(VALUE(K239),ability!$B:$C,2,FALSE)</f>
        <v>#N/A</v>
      </c>
      <c r="R239" t="e">
        <f>VLOOKUP(VALUE(L239),ability!$B:$C,2,FALSE)</f>
        <v>#N/A</v>
      </c>
      <c r="S239" t="e">
        <f>VLOOKUP(VALUE(M239),ability!$B:$C,2,FALSE)</f>
        <v>#N/A</v>
      </c>
      <c r="T239" t="e">
        <f>VLOOKUP(VALUE(N239),ability!$B:$C,2,FALSE)</f>
        <v>#N/A</v>
      </c>
      <c r="U239" t="str">
        <f>VLOOKUP(VALUE(O239),ability!$B:$C,2,FALSE)</f>
        <v>機敏</v>
      </c>
      <c r="V239" t="e">
        <f>VLOOKUP(VALUE(P239),ability!$B:$C,2,FALSE)</f>
        <v>#N/A</v>
      </c>
    </row>
    <row r="240" spans="1:22">
      <c r="A240" s="8"/>
      <c r="B240" s="15">
        <v>9034</v>
      </c>
      <c r="C240" s="15">
        <v>34</v>
      </c>
      <c r="D240" s="15">
        <v>3</v>
      </c>
      <c r="E240" s="11" t="s">
        <v>934</v>
      </c>
      <c r="F240" s="11" t="s">
        <v>957</v>
      </c>
      <c r="G240" s="15">
        <v>7</v>
      </c>
      <c r="H240" s="15">
        <v>0</v>
      </c>
      <c r="I240" s="15"/>
      <c r="J240" s="15"/>
      <c r="K240" s="15"/>
      <c r="L240" s="15"/>
      <c r="M240" s="15"/>
      <c r="N240" s="15"/>
      <c r="O240" s="15">
        <v>8</v>
      </c>
      <c r="P240" s="15"/>
      <c r="Q240" t="e">
        <f>VLOOKUP(VALUE(K240),ability!$B:$C,2,FALSE)</f>
        <v>#N/A</v>
      </c>
      <c r="R240" t="e">
        <f>VLOOKUP(VALUE(L240),ability!$B:$C,2,FALSE)</f>
        <v>#N/A</v>
      </c>
      <c r="S240" t="e">
        <f>VLOOKUP(VALUE(M240),ability!$B:$C,2,FALSE)</f>
        <v>#N/A</v>
      </c>
      <c r="T240" t="e">
        <f>VLOOKUP(VALUE(N240),ability!$B:$C,2,FALSE)</f>
        <v>#N/A</v>
      </c>
      <c r="U240" t="str">
        <f>VLOOKUP(VALUE(O240),ability!$B:$C,2,FALSE)</f>
        <v>洞察</v>
      </c>
      <c r="V240" t="e">
        <f>VLOOKUP(VALUE(P240),ability!$B:$C,2,FALSE)</f>
        <v>#N/A</v>
      </c>
    </row>
    <row r="241" spans="1:22">
      <c r="A241" s="8"/>
      <c r="B241" s="15">
        <v>9035</v>
      </c>
      <c r="C241" s="15">
        <v>35</v>
      </c>
      <c r="D241" s="15">
        <v>3</v>
      </c>
      <c r="E241" s="11" t="s">
        <v>935</v>
      </c>
      <c r="F241" s="11" t="s">
        <v>956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/>
      <c r="O241" s="15">
        <v>238</v>
      </c>
      <c r="P241" s="15"/>
      <c r="Q241" t="e">
        <f>VLOOKUP(VALUE(K241),ability!$B:$C,2,FALSE)</f>
        <v>#N/A</v>
      </c>
      <c r="R241" t="e">
        <f>VLOOKUP(VALUE(L241),ability!$B:$C,2,FALSE)</f>
        <v>#N/A</v>
      </c>
      <c r="S241" t="e">
        <f>VLOOKUP(VALUE(M241),ability!$B:$C,2,FALSE)</f>
        <v>#N/A</v>
      </c>
      <c r="T241" t="e">
        <f>VLOOKUP(VALUE(N241),ability!$B:$C,2,FALSE)</f>
        <v>#N/A</v>
      </c>
      <c r="U241" t="str">
        <f>VLOOKUP(VALUE(O241),ability!$B:$C,2,FALSE)</f>
        <v>勇気</v>
      </c>
      <c r="V241" t="e">
        <f>VLOOKUP(VALUE(P241),ability!$B:$C,2,FALSE)</f>
        <v>#N/A</v>
      </c>
    </row>
    <row r="242" spans="1:22">
      <c r="A242" s="8"/>
      <c r="B242" s="15">
        <v>9036</v>
      </c>
      <c r="C242" s="15">
        <v>36</v>
      </c>
      <c r="D242" s="15">
        <v>3</v>
      </c>
      <c r="E242" s="11" t="s">
        <v>936</v>
      </c>
      <c r="F242" s="11" t="s">
        <v>955</v>
      </c>
      <c r="G242" s="15">
        <v>3</v>
      </c>
      <c r="H242" s="15">
        <v>0</v>
      </c>
      <c r="I242" s="15"/>
      <c r="J242" s="15"/>
      <c r="K242" s="15"/>
      <c r="L242" s="15"/>
      <c r="M242" s="15"/>
      <c r="N242" s="15"/>
      <c r="O242" s="15">
        <v>8</v>
      </c>
      <c r="P242" s="15"/>
      <c r="Q242" t="e">
        <f>VLOOKUP(VALUE(K242),ability!$B:$C,2,FALSE)</f>
        <v>#N/A</v>
      </c>
      <c r="R242" t="e">
        <f>VLOOKUP(VALUE(L242),ability!$B:$C,2,FALSE)</f>
        <v>#N/A</v>
      </c>
      <c r="S242" t="e">
        <f>VLOOKUP(VALUE(M242),ability!$B:$C,2,FALSE)</f>
        <v>#N/A</v>
      </c>
      <c r="T242" t="e">
        <f>VLOOKUP(VALUE(N242),ability!$B:$C,2,FALSE)</f>
        <v>#N/A</v>
      </c>
      <c r="U242" t="str">
        <f>VLOOKUP(VALUE(O242),ability!$B:$C,2,FALSE)</f>
        <v>洞察</v>
      </c>
      <c r="V242" t="e">
        <f>VLOOKUP(VALUE(P242),ability!$B:$C,2,FALSE)</f>
        <v>#N/A</v>
      </c>
    </row>
    <row r="243" spans="1:22">
      <c r="A243" s="8"/>
      <c r="B243" s="15">
        <v>9037</v>
      </c>
      <c r="C243" s="15">
        <v>37</v>
      </c>
      <c r="D243" s="15">
        <v>3</v>
      </c>
      <c r="E243" s="11" t="s">
        <v>937</v>
      </c>
      <c r="F243" s="11" t="s">
        <v>954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/>
      <c r="O243" s="15">
        <v>238</v>
      </c>
      <c r="P243" s="15"/>
      <c r="Q243" t="e">
        <f>VLOOKUP(VALUE(K243),ability!$B:$C,2,FALSE)</f>
        <v>#N/A</v>
      </c>
      <c r="R243" t="e">
        <f>VLOOKUP(VALUE(L243),ability!$B:$C,2,FALSE)</f>
        <v>#N/A</v>
      </c>
      <c r="S243" t="e">
        <f>VLOOKUP(VALUE(M243),ability!$B:$C,2,FALSE)</f>
        <v>#N/A</v>
      </c>
      <c r="T243" t="e">
        <f>VLOOKUP(VALUE(N243),ability!$B:$C,2,FALSE)</f>
        <v>#N/A</v>
      </c>
      <c r="U243" t="str">
        <f>VLOOKUP(VALUE(O243),ability!$B:$C,2,FALSE)</f>
        <v>勇気</v>
      </c>
      <c r="V243" t="e">
        <f>VLOOKUP(VALUE(P243),ability!$B:$C,2,FALSE)</f>
        <v>#N/A</v>
      </c>
    </row>
    <row r="244" spans="1:22">
      <c r="A244" s="8"/>
      <c r="B244" s="15">
        <v>9038</v>
      </c>
      <c r="C244" s="15">
        <v>38</v>
      </c>
      <c r="D244" s="15">
        <v>3</v>
      </c>
      <c r="E244" s="11" t="s">
        <v>938</v>
      </c>
      <c r="F244" s="11" t="s">
        <v>953</v>
      </c>
      <c r="G244" s="15">
        <v>5</v>
      </c>
      <c r="H244" s="15">
        <v>0</v>
      </c>
      <c r="I244" s="15"/>
      <c r="J244" s="15"/>
      <c r="K244" s="15"/>
      <c r="L244" s="15"/>
      <c r="M244" s="15"/>
      <c r="N244" s="15"/>
      <c r="O244" s="15">
        <v>1112</v>
      </c>
      <c r="P244" s="15"/>
      <c r="Q244" t="e">
        <f>VLOOKUP(VALUE(K244),ability!$B:$C,2,FALSE)</f>
        <v>#N/A</v>
      </c>
      <c r="R244" t="e">
        <f>VLOOKUP(VALUE(L244),ability!$B:$C,2,FALSE)</f>
        <v>#N/A</v>
      </c>
      <c r="S244" t="e">
        <f>VLOOKUP(VALUE(M244),ability!$B:$C,2,FALSE)</f>
        <v>#N/A</v>
      </c>
      <c r="T244" t="e">
        <f>VLOOKUP(VALUE(N244),ability!$B:$C,2,FALSE)</f>
        <v>#N/A</v>
      </c>
      <c r="U244" t="str">
        <f>VLOOKUP(VALUE(O244),ability!$B:$C,2,FALSE)</f>
        <v>好機</v>
      </c>
      <c r="V244" t="e">
        <f>VLOOKUP(VALUE(P244),ability!$B:$C,2,FALSE)</f>
        <v>#N/A</v>
      </c>
    </row>
    <row r="245" spans="1:22">
      <c r="A245" s="8"/>
      <c r="B245" s="15">
        <v>9039</v>
      </c>
      <c r="C245" s="15">
        <v>39</v>
      </c>
      <c r="D245" s="15">
        <v>3</v>
      </c>
      <c r="E245" s="11" t="s">
        <v>939</v>
      </c>
      <c r="F245" s="11" t="s">
        <v>952</v>
      </c>
      <c r="G245" s="15">
        <v>2</v>
      </c>
      <c r="H245" s="15">
        <v>0</v>
      </c>
      <c r="I245" s="15"/>
      <c r="J245" s="15"/>
      <c r="K245" s="15"/>
      <c r="L245" s="15"/>
      <c r="M245" s="15"/>
      <c r="N245" s="15"/>
      <c r="O245" s="15">
        <v>9</v>
      </c>
      <c r="P245" s="15"/>
      <c r="Q245" t="e">
        <f>VLOOKUP(VALUE(K245),ability!$B:$C,2,FALSE)</f>
        <v>#N/A</v>
      </c>
      <c r="R245" t="e">
        <f>VLOOKUP(VALUE(L245),ability!$B:$C,2,FALSE)</f>
        <v>#N/A</v>
      </c>
      <c r="S245" t="e">
        <f>VLOOKUP(VALUE(M245),ability!$B:$C,2,FALSE)</f>
        <v>#N/A</v>
      </c>
      <c r="T245" t="e">
        <f>VLOOKUP(VALUE(N245),ability!$B:$C,2,FALSE)</f>
        <v>#N/A</v>
      </c>
      <c r="U245" t="str">
        <f>VLOOKUP(VALUE(O245),ability!$B:$C,2,FALSE)</f>
        <v>疾風</v>
      </c>
      <c r="V245" t="e">
        <f>VLOOKUP(VALUE(P245),ability!$B:$C,2,FALSE)</f>
        <v>#N/A</v>
      </c>
    </row>
    <row r="246" spans="1:22">
      <c r="A246" s="8"/>
      <c r="B246" s="15">
        <v>9040</v>
      </c>
      <c r="C246" s="15">
        <v>40</v>
      </c>
      <c r="D246" s="15">
        <v>3</v>
      </c>
      <c r="E246" s="11" t="s">
        <v>940</v>
      </c>
      <c r="F246" s="11" t="s">
        <v>951</v>
      </c>
      <c r="G246" s="15">
        <v>6</v>
      </c>
      <c r="H246" s="15">
        <v>0</v>
      </c>
      <c r="I246" s="15"/>
      <c r="J246" s="15"/>
      <c r="K246" s="15"/>
      <c r="L246" s="15"/>
      <c r="M246" s="15"/>
      <c r="N246" s="15"/>
      <c r="O246" s="15">
        <v>1507</v>
      </c>
      <c r="P246" s="15"/>
      <c r="Q246" t="e">
        <f>VLOOKUP(VALUE(K246),ability!$B:$C,2,FALSE)</f>
        <v>#N/A</v>
      </c>
      <c r="R246" t="e">
        <f>VLOOKUP(VALUE(L246),ability!$B:$C,2,FALSE)</f>
        <v>#N/A</v>
      </c>
      <c r="S246" t="e">
        <f>VLOOKUP(VALUE(M246),ability!$B:$C,2,FALSE)</f>
        <v>#N/A</v>
      </c>
      <c r="T246" t="e">
        <f>VLOOKUP(VALUE(N246),ability!$B:$C,2,FALSE)</f>
        <v>#N/A</v>
      </c>
      <c r="U246" t="str">
        <f>VLOOKUP(VALUE(O246),ability!$B:$C,2,FALSE)</f>
        <v>忍耐</v>
      </c>
      <c r="V246" t="e">
        <f>VLOOKUP(VALUE(P246),ability!$B:$C,2,FALSE)</f>
        <v>#N/A</v>
      </c>
    </row>
    <row r="247" spans="1:22">
      <c r="A247" s="8"/>
      <c r="B247" s="15">
        <v>9041</v>
      </c>
      <c r="C247" s="15">
        <v>41</v>
      </c>
      <c r="D247" s="15">
        <v>3</v>
      </c>
      <c r="E247" s="11" t="s">
        <v>941</v>
      </c>
      <c r="F247" s="11" t="s">
        <v>950</v>
      </c>
      <c r="G247" s="15">
        <v>4</v>
      </c>
      <c r="H247" s="15">
        <v>0</v>
      </c>
      <c r="I247" s="15"/>
      <c r="J247" s="15"/>
      <c r="K247" s="15"/>
      <c r="L247" s="15"/>
      <c r="M247" s="15"/>
      <c r="N247" s="15"/>
      <c r="O247" s="15">
        <v>1508</v>
      </c>
      <c r="P247" s="15"/>
      <c r="Q247" t="e">
        <f>VLOOKUP(VALUE(K247),ability!$B:$C,2,FALSE)</f>
        <v>#N/A</v>
      </c>
      <c r="R247" t="e">
        <f>VLOOKUP(VALUE(L247),ability!$B:$C,2,FALSE)</f>
        <v>#N/A</v>
      </c>
      <c r="S247" t="e">
        <f>VLOOKUP(VALUE(M247),ability!$B:$C,2,FALSE)</f>
        <v>#N/A</v>
      </c>
      <c r="T247" t="e">
        <f>VLOOKUP(VALUE(N247),ability!$B:$C,2,FALSE)</f>
        <v>#N/A</v>
      </c>
      <c r="U247" t="str">
        <f>VLOOKUP(VALUE(O247),ability!$B:$C,2,FALSE)</f>
        <v>鉄壁</v>
      </c>
      <c r="V247" t="e">
        <f>VLOOKUP(VALUE(P247),ability!$B:$C,2,FALSE)</f>
        <v>#N/A</v>
      </c>
    </row>
    <row r="248" spans="1:22">
      <c r="A248" s="8"/>
      <c r="B248" s="15">
        <v>9042</v>
      </c>
      <c r="C248" s="15">
        <v>42</v>
      </c>
      <c r="D248" s="15">
        <v>3</v>
      </c>
      <c r="E248" s="11" t="s">
        <v>942</v>
      </c>
      <c r="F248" s="11" t="s">
        <v>949</v>
      </c>
      <c r="G248" s="15">
        <v>6</v>
      </c>
      <c r="H248" s="15">
        <v>0</v>
      </c>
      <c r="I248" s="15"/>
      <c r="J248" s="15"/>
      <c r="K248" s="15"/>
      <c r="L248" s="15"/>
      <c r="M248" s="15"/>
      <c r="N248" s="15"/>
      <c r="O248" s="15">
        <v>238</v>
      </c>
      <c r="P248" s="15"/>
      <c r="Q248" t="e">
        <f>VLOOKUP(VALUE(K248),ability!$B:$C,2,FALSE)</f>
        <v>#N/A</v>
      </c>
      <c r="R248" t="e">
        <f>VLOOKUP(VALUE(L248),ability!$B:$C,2,FALSE)</f>
        <v>#N/A</v>
      </c>
      <c r="S248" t="e">
        <f>VLOOKUP(VALUE(M248),ability!$B:$C,2,FALSE)</f>
        <v>#N/A</v>
      </c>
      <c r="T248" t="e">
        <f>VLOOKUP(VALUE(N248),ability!$B:$C,2,FALSE)</f>
        <v>#N/A</v>
      </c>
      <c r="U248" t="str">
        <f>VLOOKUP(VALUE(O248),ability!$B:$C,2,FALSE)</f>
        <v>勇気</v>
      </c>
      <c r="V248" t="e">
        <f>VLOOKUP(VALUE(P248),ability!$B:$C,2,FALSE)</f>
        <v>#N/A</v>
      </c>
    </row>
    <row r="249" spans="1:22">
      <c r="A249" s="8"/>
      <c r="B249" s="15">
        <v>9043</v>
      </c>
      <c r="C249" s="15">
        <v>43</v>
      </c>
      <c r="D249" s="15">
        <v>3</v>
      </c>
      <c r="E249" s="11" t="s">
        <v>943</v>
      </c>
      <c r="F249" s="11" t="s">
        <v>975</v>
      </c>
      <c r="G249" s="15">
        <v>1</v>
      </c>
      <c r="H249" s="15">
        <v>0</v>
      </c>
      <c r="I249" s="15"/>
      <c r="J249" s="15"/>
      <c r="K249" s="15"/>
      <c r="L249" s="15"/>
      <c r="M249" s="15"/>
      <c r="N249" s="15"/>
      <c r="O249" s="15">
        <v>1507</v>
      </c>
      <c r="P249" s="15"/>
      <c r="Q249" t="e">
        <f>VLOOKUP(VALUE(K249),ability!$B:$C,2,FALSE)</f>
        <v>#N/A</v>
      </c>
      <c r="R249" t="e">
        <f>VLOOKUP(VALUE(L249),ability!$B:$C,2,FALSE)</f>
        <v>#N/A</v>
      </c>
      <c r="S249" t="e">
        <f>VLOOKUP(VALUE(M249),ability!$B:$C,2,FALSE)</f>
        <v>#N/A</v>
      </c>
      <c r="T249" t="e">
        <f>VLOOKUP(VALUE(N249),ability!$B:$C,2,FALSE)</f>
        <v>#N/A</v>
      </c>
      <c r="U249" t="str">
        <f>VLOOKUP(VALUE(O249),ability!$B:$C,2,FALSE)</f>
        <v>忍耐</v>
      </c>
      <c r="V249" t="e">
        <f>VLOOKUP(VALUE(P249),ability!$B:$C,2,FALSE)</f>
        <v>#N/A</v>
      </c>
    </row>
    <row r="250" spans="1:22">
      <c r="A250" s="8"/>
      <c r="B250" s="15">
        <v>9044</v>
      </c>
      <c r="C250" s="15">
        <v>44</v>
      </c>
      <c r="D250" s="15">
        <v>3</v>
      </c>
      <c r="E250" s="11" t="s">
        <v>944</v>
      </c>
      <c r="F250" s="11" t="s">
        <v>974</v>
      </c>
      <c r="G250" s="15">
        <v>1</v>
      </c>
      <c r="H250" s="15">
        <v>0</v>
      </c>
      <c r="I250" s="15"/>
      <c r="J250" s="15"/>
      <c r="K250" s="15"/>
      <c r="L250" s="15"/>
      <c r="M250" s="15"/>
      <c r="N250" s="15"/>
      <c r="O250" s="15">
        <v>1508</v>
      </c>
      <c r="P250" s="15"/>
      <c r="Q250" t="e">
        <f>VLOOKUP(VALUE(K250),ability!$B:$C,2,FALSE)</f>
        <v>#N/A</v>
      </c>
      <c r="R250" t="e">
        <f>VLOOKUP(VALUE(L250),ability!$B:$C,2,FALSE)</f>
        <v>#N/A</v>
      </c>
      <c r="S250" t="e">
        <f>VLOOKUP(VALUE(M250),ability!$B:$C,2,FALSE)</f>
        <v>#N/A</v>
      </c>
      <c r="T250" t="e">
        <f>VLOOKUP(VALUE(N250),ability!$B:$C,2,FALSE)</f>
        <v>#N/A</v>
      </c>
      <c r="U250" t="str">
        <f>VLOOKUP(VALUE(O250),ability!$B:$C,2,FALSE)</f>
        <v>鉄壁</v>
      </c>
      <c r="V250" t="e">
        <f>VLOOKUP(VALUE(P250),ability!$B:$C,2,FALSE)</f>
        <v>#N/A</v>
      </c>
    </row>
    <row r="251" spans="1:22">
      <c r="A251" s="8"/>
      <c r="B251" s="15">
        <v>9045</v>
      </c>
      <c r="C251" s="15">
        <v>45</v>
      </c>
      <c r="D251" s="15">
        <v>3</v>
      </c>
      <c r="E251" s="11" t="s">
        <v>945</v>
      </c>
      <c r="F251" s="11" t="s">
        <v>973</v>
      </c>
      <c r="G251" s="15">
        <v>6</v>
      </c>
      <c r="H251" s="15">
        <v>0</v>
      </c>
      <c r="I251" s="15"/>
      <c r="J251" s="15"/>
      <c r="K251" s="15"/>
      <c r="L251" s="15"/>
      <c r="M251" s="15"/>
      <c r="N251" s="15"/>
      <c r="O251" s="15">
        <v>1006</v>
      </c>
      <c r="P251" s="15"/>
      <c r="Q251" t="e">
        <f>VLOOKUP(VALUE(K251),ability!$B:$C,2,FALSE)</f>
        <v>#N/A</v>
      </c>
      <c r="R251" t="e">
        <f>VLOOKUP(VALUE(L251),ability!$B:$C,2,FALSE)</f>
        <v>#N/A</v>
      </c>
      <c r="S251" t="e">
        <f>VLOOKUP(VALUE(M251),ability!$B:$C,2,FALSE)</f>
        <v>#N/A</v>
      </c>
      <c r="T251" t="e">
        <f>VLOOKUP(VALUE(N251),ability!$B:$C,2,FALSE)</f>
        <v>#N/A</v>
      </c>
      <c r="U251" t="str">
        <f>VLOOKUP(VALUE(O251),ability!$B:$C,2,FALSE)</f>
        <v>咆吼</v>
      </c>
      <c r="V251" t="e">
        <f>VLOOKUP(VALUE(P251),ability!$B:$C,2,FALSE)</f>
        <v>#N/A</v>
      </c>
    </row>
    <row r="252" spans="1:22">
      <c r="A252" s="8"/>
      <c r="B252" s="15">
        <v>9046</v>
      </c>
      <c r="C252" s="15">
        <v>46</v>
      </c>
      <c r="D252" s="15">
        <v>3</v>
      </c>
      <c r="E252" s="11" t="s">
        <v>946</v>
      </c>
      <c r="F252" s="11" t="s">
        <v>972</v>
      </c>
      <c r="G252" s="15">
        <v>4</v>
      </c>
      <c r="H252" s="15">
        <v>0</v>
      </c>
      <c r="I252" s="15"/>
      <c r="J252" s="15"/>
      <c r="K252" s="15"/>
      <c r="L252" s="15"/>
      <c r="M252" s="15"/>
      <c r="N252" s="15"/>
      <c r="O252" s="15">
        <v>1008</v>
      </c>
      <c r="P252" s="15"/>
      <c r="Q252" t="e">
        <f>VLOOKUP(VALUE(K252),ability!$B:$C,2,FALSE)</f>
        <v>#N/A</v>
      </c>
      <c r="R252" t="e">
        <f>VLOOKUP(VALUE(L252),ability!$B:$C,2,FALSE)</f>
        <v>#N/A</v>
      </c>
      <c r="S252" t="e">
        <f>VLOOKUP(VALUE(M252),ability!$B:$C,2,FALSE)</f>
        <v>#N/A</v>
      </c>
      <c r="T252" t="e">
        <f>VLOOKUP(VALUE(N252),ability!$B:$C,2,FALSE)</f>
        <v>#N/A</v>
      </c>
      <c r="U252" t="str">
        <f>VLOOKUP(VALUE(O252),ability!$B:$C,2,FALSE)</f>
        <v>警衛</v>
      </c>
      <c r="V252" t="e">
        <f>VLOOKUP(VALUE(P252),ability!$B:$C,2,FALSE)</f>
        <v>#N/A</v>
      </c>
    </row>
    <row r="253" spans="1:22">
      <c r="A253" s="8"/>
      <c r="B253" s="15">
        <v>9047</v>
      </c>
      <c r="C253" s="15">
        <v>47</v>
      </c>
      <c r="D253" s="15">
        <v>3</v>
      </c>
      <c r="E253" s="11" t="s">
        <v>947</v>
      </c>
      <c r="F253" s="11" t="s">
        <v>971</v>
      </c>
      <c r="G253" s="15">
        <v>2</v>
      </c>
      <c r="H253" s="15">
        <v>0</v>
      </c>
      <c r="I253" s="15"/>
      <c r="J253" s="15"/>
      <c r="K253" s="15"/>
      <c r="L253" s="15"/>
      <c r="M253" s="15"/>
      <c r="N253" s="15"/>
      <c r="O253" s="15">
        <v>8</v>
      </c>
      <c r="P253" s="15"/>
      <c r="Q253" t="e">
        <f>VLOOKUP(VALUE(K253),ability!$B:$C,2,FALSE)</f>
        <v>#N/A</v>
      </c>
      <c r="R253" t="e">
        <f>VLOOKUP(VALUE(L253),ability!$B:$C,2,FALSE)</f>
        <v>#N/A</v>
      </c>
      <c r="S253" t="e">
        <f>VLOOKUP(VALUE(M253),ability!$B:$C,2,FALSE)</f>
        <v>#N/A</v>
      </c>
      <c r="T253" t="e">
        <f>VLOOKUP(VALUE(N253),ability!$B:$C,2,FALSE)</f>
        <v>#N/A</v>
      </c>
      <c r="U253" t="str">
        <f>VLOOKUP(VALUE(O253),ability!$B:$C,2,FALSE)</f>
        <v>洞察</v>
      </c>
      <c r="V253" t="e">
        <f>VLOOKUP(VALUE(P253),ability!$B:$C,2,FALSE)</f>
        <v>#N/A</v>
      </c>
    </row>
    <row r="254" spans="1:22">
      <c r="A254" s="8"/>
      <c r="B254" s="15">
        <v>9048</v>
      </c>
      <c r="C254" s="15">
        <v>48</v>
      </c>
      <c r="D254" s="15">
        <v>3</v>
      </c>
      <c r="E254" s="11" t="s">
        <v>948</v>
      </c>
      <c r="F254" s="11" t="s">
        <v>1335</v>
      </c>
      <c r="G254" s="15">
        <v>3</v>
      </c>
      <c r="H254" s="15">
        <v>0</v>
      </c>
      <c r="I254" s="15"/>
      <c r="J254" s="15"/>
      <c r="K254" s="15"/>
      <c r="L254" s="15"/>
      <c r="M254" s="15"/>
      <c r="N254" s="15"/>
      <c r="O254" s="15">
        <v>1112</v>
      </c>
      <c r="P254" s="15"/>
      <c r="Q254" t="e">
        <f>VLOOKUP(VALUE(K254),ability!$B:$C,2,FALSE)</f>
        <v>#N/A</v>
      </c>
      <c r="R254" t="e">
        <f>VLOOKUP(VALUE(L254),ability!$B:$C,2,FALSE)</f>
        <v>#N/A</v>
      </c>
      <c r="S254" t="e">
        <f>VLOOKUP(VALUE(M254),ability!$B:$C,2,FALSE)</f>
        <v>#N/A</v>
      </c>
      <c r="T254" t="e">
        <f>VLOOKUP(VALUE(N254),ability!$B:$C,2,FALSE)</f>
        <v>#N/A</v>
      </c>
      <c r="U254" t="str">
        <f>VLOOKUP(VALUE(O254),ability!$B:$C,2,FALSE)</f>
        <v>好機</v>
      </c>
      <c r="V254" t="e">
        <f>VLOOKUP(VALUE(P254),ability!$B:$C,2,FALSE)</f>
        <v>#N/A</v>
      </c>
    </row>
  </sheetData>
  <phoneticPr fontId="1"/>
  <dataValidations count="1">
    <dataValidation type="list" allowBlank="1" showInputMessage="1" showErrorMessage="1" sqref="A7:A254" xr:uid="{E866485A-815B-4FA2-B1CD-5DC5B9BFB0D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9"/>
  <sheetViews>
    <sheetView zoomScale="85" zoomScaleNormal="85" workbookViewId="0">
      <pane ySplit="6" topLeftCell="A67" activePane="bottomLeft" state="frozen"/>
      <selection pane="bottomLeft" activeCell="A92" sqref="A92:XFD92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332</v>
      </c>
      <c r="B2" s="9" t="s">
        <v>329</v>
      </c>
      <c r="C2" s="9" t="s">
        <v>330</v>
      </c>
      <c r="D2" s="9" t="s">
        <v>333</v>
      </c>
      <c r="E2" s="9" t="s">
        <v>416</v>
      </c>
      <c r="F2" s="9" t="s">
        <v>1170</v>
      </c>
      <c r="G2" s="9" t="s">
        <v>1171</v>
      </c>
      <c r="H2" s="9" t="s">
        <v>1172</v>
      </c>
      <c r="I2" s="9" t="s">
        <v>393</v>
      </c>
      <c r="J2" s="9" t="s">
        <v>1173</v>
      </c>
      <c r="K2" s="9" t="s">
        <v>331</v>
      </c>
      <c r="L2" s="9" t="s">
        <v>1174</v>
      </c>
      <c r="M2" s="9" t="s">
        <v>1175</v>
      </c>
      <c r="N2" s="9" t="s">
        <v>1176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1828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188</v>
      </c>
      <c r="F6" s="9" t="s">
        <v>27</v>
      </c>
      <c r="G6" s="9" t="s">
        <v>27</v>
      </c>
      <c r="H6" s="9" t="s">
        <v>188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188</v>
      </c>
      <c r="N6" s="9" t="s">
        <v>188</v>
      </c>
    </row>
    <row r="7" spans="1:14">
      <c r="A7" s="8"/>
      <c r="B7" s="15">
        <v>1</v>
      </c>
      <c r="C7" s="11" t="s">
        <v>334</v>
      </c>
      <c r="D7" s="11" t="s">
        <v>1177</v>
      </c>
      <c r="E7" s="11" t="s">
        <v>411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335</v>
      </c>
      <c r="D8" s="11" t="s">
        <v>1178</v>
      </c>
      <c r="E8" s="11" t="s">
        <v>412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336</v>
      </c>
      <c r="D9" s="11" t="s">
        <v>1179</v>
      </c>
      <c r="E9" s="11" t="s">
        <v>413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337</v>
      </c>
      <c r="D10" s="11" t="s">
        <v>1180</v>
      </c>
      <c r="E10" s="11" t="s">
        <v>414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338</v>
      </c>
      <c r="D11" s="11" t="s">
        <v>1181</v>
      </c>
      <c r="E11" s="11" t="s">
        <v>415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339</v>
      </c>
      <c r="D12" s="11" t="s">
        <v>1182</v>
      </c>
      <c r="E12" s="11" t="s">
        <v>1132</v>
      </c>
      <c r="F12" s="15">
        <v>0</v>
      </c>
      <c r="G12" s="15">
        <v>1</v>
      </c>
      <c r="H12" s="15" t="s">
        <v>1554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1555</v>
      </c>
      <c r="D13" s="11" t="s">
        <v>1183</v>
      </c>
      <c r="E13" s="11" t="s">
        <v>1133</v>
      </c>
      <c r="F13" s="15">
        <v>0</v>
      </c>
      <c r="G13" s="15">
        <v>1</v>
      </c>
      <c r="H13" s="15" t="s">
        <v>1554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1251</v>
      </c>
      <c r="D14" s="11" t="s">
        <v>1336</v>
      </c>
      <c r="E14" s="11" t="s">
        <v>1337</v>
      </c>
      <c r="F14" s="15">
        <v>0</v>
      </c>
      <c r="G14" s="15">
        <v>1</v>
      </c>
      <c r="H14" s="15" t="s">
        <v>1556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1252</v>
      </c>
      <c r="D15" s="11" t="s">
        <v>1338</v>
      </c>
      <c r="E15" s="11" t="s">
        <v>1339</v>
      </c>
      <c r="F15" s="15">
        <v>0</v>
      </c>
      <c r="G15" s="15">
        <v>1</v>
      </c>
      <c r="H15" s="15" t="s">
        <v>1556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1253</v>
      </c>
      <c r="D16" s="11" t="s">
        <v>1340</v>
      </c>
      <c r="E16" s="11" t="s">
        <v>1341</v>
      </c>
      <c r="F16" s="15">
        <v>0</v>
      </c>
      <c r="G16" s="15">
        <v>1</v>
      </c>
      <c r="H16" s="15" t="s">
        <v>1556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1557</v>
      </c>
      <c r="D17" s="11" t="s">
        <v>1558</v>
      </c>
      <c r="E17" s="11" t="s">
        <v>1134</v>
      </c>
      <c r="F17" s="15">
        <v>0</v>
      </c>
      <c r="G17" s="15">
        <v>3</v>
      </c>
      <c r="H17" s="15" t="s">
        <v>1559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1560</v>
      </c>
      <c r="D18" s="11" t="s">
        <v>1135</v>
      </c>
      <c r="E18" s="11" t="s">
        <v>1136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340</v>
      </c>
      <c r="D19" s="11" t="s">
        <v>341</v>
      </c>
      <c r="E19" s="11" t="s">
        <v>396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342</v>
      </c>
      <c r="D20" s="11" t="s">
        <v>343</v>
      </c>
      <c r="E20" s="11" t="s">
        <v>397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344</v>
      </c>
      <c r="D21" s="11" t="s">
        <v>345</v>
      </c>
      <c r="E21" s="11" t="s">
        <v>398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348</v>
      </c>
      <c r="D22" s="11" t="s">
        <v>349</v>
      </c>
      <c r="E22" s="11" t="s">
        <v>400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346</v>
      </c>
      <c r="D23" s="11" t="s">
        <v>347</v>
      </c>
      <c r="E23" s="11" t="s">
        <v>399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350</v>
      </c>
      <c r="D24" s="11" t="s">
        <v>1184</v>
      </c>
      <c r="E24" s="11" t="s">
        <v>1137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351</v>
      </c>
      <c r="D25" s="11" t="s">
        <v>1185</v>
      </c>
      <c r="E25" s="11" t="s">
        <v>1138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352</v>
      </c>
      <c r="D26" s="11" t="s">
        <v>1186</v>
      </c>
      <c r="E26" s="11" t="s">
        <v>403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353</v>
      </c>
      <c r="D27" s="11" t="s">
        <v>1187</v>
      </c>
      <c r="E27" s="11" t="s">
        <v>404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354</v>
      </c>
      <c r="D28" s="11" t="s">
        <v>1188</v>
      </c>
      <c r="E28" s="11" t="s">
        <v>401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355</v>
      </c>
      <c r="D29" s="11" t="s">
        <v>1189</v>
      </c>
      <c r="E29" s="11" t="s">
        <v>402</v>
      </c>
      <c r="F29" s="15">
        <v>1</v>
      </c>
      <c r="G29" s="15">
        <v>1</v>
      </c>
      <c r="H29" s="15" t="s">
        <v>1561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356</v>
      </c>
      <c r="D30" s="11" t="s">
        <v>1342</v>
      </c>
      <c r="E30" s="11" t="s">
        <v>405</v>
      </c>
      <c r="F30" s="15">
        <v>1</v>
      </c>
      <c r="G30" s="15">
        <v>1</v>
      </c>
      <c r="H30" s="15" t="s">
        <v>1562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357</v>
      </c>
      <c r="D31" s="11" t="s">
        <v>1343</v>
      </c>
      <c r="E31" s="11" t="s">
        <v>1139</v>
      </c>
      <c r="F31" s="15">
        <v>1</v>
      </c>
      <c r="G31" s="15">
        <v>1</v>
      </c>
      <c r="H31" s="15" t="s">
        <v>1190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358</v>
      </c>
      <c r="D32" s="11" t="s">
        <v>1191</v>
      </c>
      <c r="E32" s="11" t="s">
        <v>1140</v>
      </c>
      <c r="F32" s="15">
        <v>1</v>
      </c>
      <c r="G32" s="15">
        <v>1</v>
      </c>
      <c r="H32" s="15" t="s">
        <v>1563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1564</v>
      </c>
      <c r="D33" s="11" t="s">
        <v>1192</v>
      </c>
      <c r="E33" s="11" t="s">
        <v>1565</v>
      </c>
      <c r="F33" s="15">
        <v>1</v>
      </c>
      <c r="G33" s="15">
        <v>1</v>
      </c>
      <c r="H33" s="15" t="s">
        <v>1193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1566</v>
      </c>
      <c r="D34" s="11" t="s">
        <v>1192</v>
      </c>
      <c r="E34" s="11" t="s">
        <v>1141</v>
      </c>
      <c r="F34" s="15">
        <v>1</v>
      </c>
      <c r="G34" s="15">
        <v>1</v>
      </c>
      <c r="H34" s="15" t="s">
        <v>1193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359</v>
      </c>
      <c r="D35" s="11" t="s">
        <v>1194</v>
      </c>
      <c r="E35" s="11" t="s">
        <v>1142</v>
      </c>
      <c r="F35" s="15">
        <v>1</v>
      </c>
      <c r="G35" s="15">
        <v>1</v>
      </c>
      <c r="H35" s="15" t="s">
        <v>1193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360</v>
      </c>
      <c r="D36" s="11" t="s">
        <v>1195</v>
      </c>
      <c r="E36" s="11" t="s">
        <v>1143</v>
      </c>
      <c r="F36" s="15">
        <v>1</v>
      </c>
      <c r="G36" s="15">
        <v>1</v>
      </c>
      <c r="H36" s="15" t="s">
        <v>1193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1567</v>
      </c>
      <c r="D37" s="11" t="s">
        <v>1195</v>
      </c>
      <c r="E37" s="11" t="s">
        <v>1143</v>
      </c>
      <c r="F37" s="15">
        <v>1</v>
      </c>
      <c r="G37" s="15">
        <v>1</v>
      </c>
      <c r="H37" s="15" t="s">
        <v>1193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361</v>
      </c>
      <c r="D38" s="11" t="s">
        <v>1344</v>
      </c>
      <c r="E38" s="11" t="s">
        <v>1144</v>
      </c>
      <c r="F38" s="15">
        <v>1</v>
      </c>
      <c r="G38" s="15">
        <v>1</v>
      </c>
      <c r="H38" s="15" t="s">
        <v>1568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362</v>
      </c>
      <c r="D39" s="11" t="s">
        <v>1196</v>
      </c>
      <c r="E39" s="11" t="s">
        <v>1145</v>
      </c>
      <c r="F39" s="15">
        <v>1</v>
      </c>
      <c r="G39" s="15">
        <v>1</v>
      </c>
      <c r="H39" s="15" t="s">
        <v>1197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363</v>
      </c>
      <c r="D40" s="11" t="s">
        <v>364</v>
      </c>
      <c r="E40" s="11" t="s">
        <v>1146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1569</v>
      </c>
      <c r="D41" s="11" t="s">
        <v>1198</v>
      </c>
      <c r="E41" s="11" t="s">
        <v>1147</v>
      </c>
      <c r="F41" s="15">
        <v>1</v>
      </c>
      <c r="G41" s="15">
        <v>1</v>
      </c>
      <c r="H41" s="15" t="s">
        <v>1193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1570</v>
      </c>
      <c r="D42" s="11" t="s">
        <v>1571</v>
      </c>
      <c r="E42" s="11" t="s">
        <v>1148</v>
      </c>
      <c r="F42" s="15">
        <v>1</v>
      </c>
      <c r="G42" s="15">
        <v>1</v>
      </c>
      <c r="H42" s="15" t="s">
        <v>1193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576</v>
      </c>
      <c r="D43" s="11" t="s">
        <v>1199</v>
      </c>
      <c r="E43" s="11" t="s">
        <v>577</v>
      </c>
      <c r="F43" s="15">
        <v>1</v>
      </c>
      <c r="G43" s="15">
        <v>1</v>
      </c>
      <c r="H43" s="15" t="s">
        <v>1193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1149</v>
      </c>
      <c r="D44" s="11" t="s">
        <v>1200</v>
      </c>
      <c r="E44" s="11" t="s">
        <v>1150</v>
      </c>
      <c r="F44" s="15">
        <v>1</v>
      </c>
      <c r="G44" s="15">
        <v>1</v>
      </c>
      <c r="H44" s="15" t="s">
        <v>1193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1572</v>
      </c>
      <c r="D45" s="11" t="s">
        <v>1201</v>
      </c>
      <c r="E45" s="11" t="s">
        <v>1151</v>
      </c>
      <c r="F45" s="15">
        <v>1</v>
      </c>
      <c r="G45" s="15">
        <v>1</v>
      </c>
      <c r="H45" s="15" t="s">
        <v>1193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1573</v>
      </c>
      <c r="D46" s="11" t="s">
        <v>1574</v>
      </c>
      <c r="E46" s="11" t="s">
        <v>1143</v>
      </c>
      <c r="F46" s="15">
        <v>1</v>
      </c>
      <c r="G46" s="15">
        <v>2</v>
      </c>
      <c r="H46" s="15" t="s">
        <v>1193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388</v>
      </c>
      <c r="D47" s="11" t="s">
        <v>1152</v>
      </c>
      <c r="E47" s="11" t="s">
        <v>1153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389</v>
      </c>
      <c r="D48" s="11" t="s">
        <v>1154</v>
      </c>
      <c r="E48" s="11" t="s">
        <v>1155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1575</v>
      </c>
      <c r="D49" s="11" t="s">
        <v>1576</v>
      </c>
      <c r="E49" s="11" t="s">
        <v>849</v>
      </c>
      <c r="F49" s="15">
        <v>1</v>
      </c>
      <c r="G49" s="15">
        <v>1</v>
      </c>
      <c r="H49" s="15" t="s">
        <v>1577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1254</v>
      </c>
      <c r="D50" s="11" t="s">
        <v>1202</v>
      </c>
      <c r="E50" s="11" t="s">
        <v>1295</v>
      </c>
      <c r="F50" s="15">
        <v>1</v>
      </c>
      <c r="G50" s="15">
        <v>1</v>
      </c>
      <c r="H50" s="15" t="s">
        <v>1578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1255</v>
      </c>
      <c r="D51" s="11" t="s">
        <v>1203</v>
      </c>
      <c r="E51" s="11" t="s">
        <v>1296</v>
      </c>
      <c r="F51" s="15">
        <v>1</v>
      </c>
      <c r="G51" s="15">
        <v>1</v>
      </c>
      <c r="H51" s="15" t="s">
        <v>1204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1256</v>
      </c>
      <c r="D52" s="11" t="s">
        <v>1205</v>
      </c>
      <c r="E52" s="11" t="s">
        <v>1297</v>
      </c>
      <c r="F52" s="15">
        <v>1</v>
      </c>
      <c r="G52" s="15">
        <v>1</v>
      </c>
      <c r="H52" s="15" t="s">
        <v>1206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1579</v>
      </c>
      <c r="D53" s="11" t="s">
        <v>1580</v>
      </c>
      <c r="E53" s="11" t="s">
        <v>1287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1257</v>
      </c>
      <c r="D54" s="11" t="s">
        <v>1207</v>
      </c>
      <c r="E54" s="11" t="s">
        <v>1288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1258</v>
      </c>
      <c r="D55" s="11" t="s">
        <v>1208</v>
      </c>
      <c r="E55" s="11" t="s">
        <v>1289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1260</v>
      </c>
      <c r="D56" s="11" t="s">
        <v>1210</v>
      </c>
      <c r="E56" s="11" t="s">
        <v>1291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1259</v>
      </c>
      <c r="D57" s="11" t="s">
        <v>1209</v>
      </c>
      <c r="E57" s="11" t="s">
        <v>1290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1261</v>
      </c>
      <c r="D58" s="11" t="s">
        <v>1211</v>
      </c>
      <c r="E58" s="11" t="s">
        <v>1292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1262</v>
      </c>
      <c r="D59" s="11" t="s">
        <v>1581</v>
      </c>
      <c r="E59" s="11" t="s">
        <v>1293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1263</v>
      </c>
      <c r="D60" s="11" t="s">
        <v>1212</v>
      </c>
      <c r="E60" s="11" t="s">
        <v>1294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1264</v>
      </c>
      <c r="D61" s="11" t="s">
        <v>1213</v>
      </c>
      <c r="E61" s="11" t="s">
        <v>1298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1265</v>
      </c>
      <c r="D62" s="11" t="s">
        <v>1214</v>
      </c>
      <c r="E62" s="11" t="s">
        <v>1299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1266</v>
      </c>
      <c r="D63" s="11" t="s">
        <v>1215</v>
      </c>
      <c r="E63" s="11" t="s">
        <v>1300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1582</v>
      </c>
      <c r="D64" s="11" t="s">
        <v>1583</v>
      </c>
      <c r="E64" s="11" t="s">
        <v>1301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1267</v>
      </c>
      <c r="D65" s="11" t="s">
        <v>1216</v>
      </c>
      <c r="E65" s="11" t="s">
        <v>1302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1268</v>
      </c>
      <c r="D66" s="11" t="s">
        <v>1217</v>
      </c>
      <c r="E66" s="11" t="s">
        <v>1303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1269</v>
      </c>
      <c r="D67" s="11" t="s">
        <v>1584</v>
      </c>
      <c r="E67" s="11" t="s">
        <v>1304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1270</v>
      </c>
      <c r="D68" s="11" t="s">
        <v>1585</v>
      </c>
      <c r="E68" s="11" t="s">
        <v>1305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1271</v>
      </c>
      <c r="D69" s="11" t="s">
        <v>1218</v>
      </c>
      <c r="E69" s="11" t="s">
        <v>1306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1586</v>
      </c>
      <c r="D70" s="11" t="s">
        <v>1587</v>
      </c>
      <c r="E70" s="11" t="s">
        <v>1588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1272</v>
      </c>
      <c r="D71" s="11" t="s">
        <v>1589</v>
      </c>
      <c r="E71" s="11" t="s">
        <v>1307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1273</v>
      </c>
      <c r="D72" s="11" t="s">
        <v>1219</v>
      </c>
      <c r="E72" s="11" t="s">
        <v>1308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1274</v>
      </c>
      <c r="D73" s="11" t="s">
        <v>1220</v>
      </c>
      <c r="E73" s="11" t="s">
        <v>1309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1275</v>
      </c>
      <c r="D74" s="11" t="s">
        <v>1590</v>
      </c>
      <c r="E74" s="11" t="s">
        <v>1310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1276</v>
      </c>
      <c r="D75" s="11" t="s">
        <v>1221</v>
      </c>
      <c r="E75" s="11" t="s">
        <v>1311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1840</v>
      </c>
      <c r="D76" s="11" t="s">
        <v>1843</v>
      </c>
      <c r="E76" s="11" t="s">
        <v>1844</v>
      </c>
      <c r="F76" s="15">
        <v>1</v>
      </c>
      <c r="G76" s="15">
        <v>1</v>
      </c>
      <c r="H76" s="15" t="s">
        <v>1841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1842</v>
      </c>
      <c r="D77" s="11" t="s">
        <v>1591</v>
      </c>
      <c r="E77" s="11" t="s">
        <v>1591</v>
      </c>
      <c r="F77" s="15">
        <v>5</v>
      </c>
      <c r="G77" s="15">
        <v>1</v>
      </c>
      <c r="H77" s="15" t="s">
        <v>1592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365</v>
      </c>
      <c r="D78" s="11" t="s">
        <v>366</v>
      </c>
      <c r="E78" s="11" t="s">
        <v>406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367</v>
      </c>
      <c r="D79" s="11" t="s">
        <v>368</v>
      </c>
      <c r="E79" s="11" t="s">
        <v>407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369</v>
      </c>
      <c r="D80" s="11" t="s">
        <v>370</v>
      </c>
      <c r="E80" s="11" t="s">
        <v>408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371</v>
      </c>
      <c r="D81" s="11" t="s">
        <v>372</v>
      </c>
      <c r="E81" s="11" t="s">
        <v>409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373</v>
      </c>
      <c r="D82" s="11" t="s">
        <v>374</v>
      </c>
      <c r="E82" s="11" t="s">
        <v>410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606</v>
      </c>
      <c r="D83" s="11" t="s">
        <v>1156</v>
      </c>
      <c r="E83" s="11" t="s">
        <v>1157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841</v>
      </c>
      <c r="D84" s="11" t="s">
        <v>1222</v>
      </c>
      <c r="E84" s="11" t="s">
        <v>1158</v>
      </c>
      <c r="F84" s="15">
        <v>0</v>
      </c>
      <c r="G84" s="15">
        <v>0</v>
      </c>
      <c r="H84" s="15" t="s">
        <v>1593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842</v>
      </c>
      <c r="D85" s="11" t="s">
        <v>1223</v>
      </c>
      <c r="E85" s="11" t="s">
        <v>1159</v>
      </c>
      <c r="F85" s="15">
        <v>0</v>
      </c>
      <c r="G85" s="15">
        <v>0</v>
      </c>
      <c r="H85" s="15" t="s">
        <v>1594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375</v>
      </c>
      <c r="D86" s="11" t="s">
        <v>376</v>
      </c>
      <c r="E86" s="11" t="s">
        <v>376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377</v>
      </c>
      <c r="D87" s="11" t="s">
        <v>378</v>
      </c>
      <c r="E87" s="11" t="s">
        <v>378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1613</v>
      </c>
      <c r="D88" s="11" t="s">
        <v>1614</v>
      </c>
      <c r="E88" s="11" t="s">
        <v>1614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1615</v>
      </c>
      <c r="D89" s="11" t="s">
        <v>1616</v>
      </c>
      <c r="E89" s="11" t="s">
        <v>1616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1617</v>
      </c>
      <c r="D90" s="11" t="s">
        <v>1618</v>
      </c>
      <c r="E90" s="11" t="s">
        <v>1618</v>
      </c>
      <c r="F90" s="15">
        <v>1</v>
      </c>
      <c r="G90" s="15">
        <v>0</v>
      </c>
      <c r="H90" s="15" t="s">
        <v>1645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1778</v>
      </c>
      <c r="D91" s="11" t="s">
        <v>1779</v>
      </c>
      <c r="E91" s="11" t="s">
        <v>1779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605</v>
      </c>
      <c r="D92" s="11" t="s">
        <v>1780</v>
      </c>
      <c r="E92" s="11" t="s">
        <v>1160</v>
      </c>
      <c r="F92" s="15">
        <v>1</v>
      </c>
      <c r="G92" s="15">
        <v>1</v>
      </c>
      <c r="H92" s="15" t="s">
        <v>1595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1781</v>
      </c>
      <c r="D93" s="11" t="s">
        <v>1782</v>
      </c>
      <c r="E93" s="11" t="s">
        <v>1783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379</v>
      </c>
      <c r="D94" s="11" t="s">
        <v>1224</v>
      </c>
      <c r="E94" s="11" t="s">
        <v>734</v>
      </c>
      <c r="F94" s="15">
        <v>0</v>
      </c>
      <c r="G94" s="15">
        <v>1</v>
      </c>
      <c r="H94" s="15" t="s">
        <v>1596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380</v>
      </c>
      <c r="D95" s="11" t="s">
        <v>1225</v>
      </c>
      <c r="E95" s="11" t="s">
        <v>734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381</v>
      </c>
      <c r="D96" s="11" t="s">
        <v>1226</v>
      </c>
      <c r="E96" s="11" t="s">
        <v>734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1597</v>
      </c>
      <c r="D97" s="11" t="s">
        <v>1550</v>
      </c>
      <c r="E97" s="11" t="s">
        <v>734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1598</v>
      </c>
      <c r="D98" s="11" t="s">
        <v>1227</v>
      </c>
      <c r="E98" s="11" t="s">
        <v>734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1277</v>
      </c>
      <c r="D99" s="11" t="s">
        <v>1228</v>
      </c>
      <c r="E99" s="11" t="s">
        <v>734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1278</v>
      </c>
      <c r="D100" s="11" t="s">
        <v>1229</v>
      </c>
      <c r="E100" s="11" t="s">
        <v>734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1279</v>
      </c>
      <c r="D101" s="11" t="s">
        <v>1230</v>
      </c>
      <c r="E101" s="11" t="s">
        <v>734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1599</v>
      </c>
      <c r="D102" s="11" t="s">
        <v>1551</v>
      </c>
      <c r="E102" s="11" t="s">
        <v>734</v>
      </c>
      <c r="F102" s="15">
        <v>0</v>
      </c>
      <c r="G102" s="15">
        <v>3</v>
      </c>
      <c r="H102" s="15" t="s">
        <v>1600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20" t="s">
        <v>1622</v>
      </c>
      <c r="D103" s="11" t="s">
        <v>1632</v>
      </c>
      <c r="E103" s="11" t="s">
        <v>734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1013</v>
      </c>
      <c r="C104" s="20" t="s">
        <v>2043</v>
      </c>
      <c r="D104" s="11" t="s">
        <v>2045</v>
      </c>
      <c r="E104" s="11" t="s">
        <v>734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24</v>
      </c>
      <c r="M104" s="15"/>
      <c r="N104" s="15">
        <v>2</v>
      </c>
    </row>
    <row r="105" spans="1:14">
      <c r="A105" s="8"/>
      <c r="B105" s="15">
        <v>1014</v>
      </c>
      <c r="C105" s="20" t="s">
        <v>2044</v>
      </c>
      <c r="D105" s="11" t="s">
        <v>2045</v>
      </c>
      <c r="E105" s="11" t="s">
        <v>734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1101</v>
      </c>
      <c r="C106" s="20" t="s">
        <v>1601</v>
      </c>
      <c r="D106" s="11" t="s">
        <v>382</v>
      </c>
      <c r="E106" s="11" t="s">
        <v>734</v>
      </c>
      <c r="F106" s="15">
        <v>1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12</v>
      </c>
      <c r="M106" s="15">
        <v>1</v>
      </c>
      <c r="N106" s="15"/>
    </row>
    <row r="107" spans="1:14">
      <c r="A107" s="8"/>
      <c r="B107" s="15">
        <v>1102</v>
      </c>
      <c r="C107" s="11" t="s">
        <v>383</v>
      </c>
      <c r="D107" s="11" t="s">
        <v>1231</v>
      </c>
      <c r="E107" s="11" t="s">
        <v>734</v>
      </c>
      <c r="F107" s="15">
        <v>1</v>
      </c>
      <c r="G107" s="15">
        <v>1</v>
      </c>
      <c r="H107" s="15" t="s">
        <v>1206</v>
      </c>
      <c r="I107" s="15">
        <v>1</v>
      </c>
      <c r="J107" s="15">
        <v>0</v>
      </c>
      <c r="K107" s="15">
        <v>0</v>
      </c>
      <c r="L107" s="15">
        <v>13</v>
      </c>
      <c r="M107" s="15">
        <v>50</v>
      </c>
      <c r="N107" s="15"/>
    </row>
    <row r="108" spans="1:14">
      <c r="A108" s="8"/>
      <c r="B108" s="15">
        <v>1103</v>
      </c>
      <c r="C108" s="20" t="s">
        <v>384</v>
      </c>
      <c r="D108" s="11" t="s">
        <v>1232</v>
      </c>
      <c r="E108" s="11" t="s">
        <v>734</v>
      </c>
      <c r="F108" s="15">
        <v>1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14</v>
      </c>
      <c r="M108" s="15">
        <v>5</v>
      </c>
      <c r="N108" s="15"/>
    </row>
    <row r="109" spans="1:14">
      <c r="A109" s="8"/>
      <c r="B109" s="15">
        <v>1104</v>
      </c>
      <c r="C109" s="11" t="s">
        <v>385</v>
      </c>
      <c r="D109" s="11" t="s">
        <v>1233</v>
      </c>
      <c r="E109" s="11" t="s">
        <v>734</v>
      </c>
      <c r="F109" s="15">
        <v>1</v>
      </c>
      <c r="G109" s="15">
        <v>1</v>
      </c>
      <c r="H109" s="15"/>
      <c r="I109" s="15">
        <v>1</v>
      </c>
      <c r="J109" s="15">
        <v>0</v>
      </c>
      <c r="K109" s="15">
        <v>0</v>
      </c>
      <c r="L109" s="15">
        <v>11</v>
      </c>
      <c r="M109" s="15">
        <v>30</v>
      </c>
      <c r="N109" s="15">
        <v>1</v>
      </c>
    </row>
    <row r="110" spans="1:14">
      <c r="A110" s="8"/>
      <c r="B110" s="15">
        <v>1105</v>
      </c>
      <c r="C110" s="11" t="s">
        <v>386</v>
      </c>
      <c r="D110" s="11" t="s">
        <v>1234</v>
      </c>
      <c r="E110" s="11" t="s">
        <v>734</v>
      </c>
      <c r="F110" s="15">
        <v>1</v>
      </c>
      <c r="G110" s="15">
        <v>1</v>
      </c>
      <c r="H110" s="15"/>
      <c r="I110" s="15">
        <v>2</v>
      </c>
      <c r="J110" s="15">
        <v>0</v>
      </c>
      <c r="K110" s="15">
        <v>0</v>
      </c>
      <c r="L110" s="15">
        <v>13</v>
      </c>
      <c r="M110" s="15">
        <v>10</v>
      </c>
      <c r="N110" s="15"/>
    </row>
    <row r="111" spans="1:14">
      <c r="A111" s="8"/>
      <c r="B111" s="15">
        <v>1106</v>
      </c>
      <c r="C111" s="11" t="s">
        <v>387</v>
      </c>
      <c r="D111" s="11" t="s">
        <v>1235</v>
      </c>
      <c r="E111" s="11" t="s">
        <v>734</v>
      </c>
      <c r="F111" s="15">
        <v>1</v>
      </c>
      <c r="G111" s="15">
        <v>1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1107</v>
      </c>
      <c r="C112" s="20" t="s">
        <v>1602</v>
      </c>
      <c r="D112" s="11" t="s">
        <v>1552</v>
      </c>
      <c r="E112" s="11" t="s">
        <v>734</v>
      </c>
      <c r="F112" s="15">
        <v>1</v>
      </c>
      <c r="G112" s="15">
        <v>2</v>
      </c>
      <c r="H112" s="15"/>
      <c r="I112" s="15">
        <v>1</v>
      </c>
      <c r="J112" s="15">
        <v>0</v>
      </c>
      <c r="K112" s="15">
        <v>0</v>
      </c>
      <c r="L112" s="15">
        <v>12</v>
      </c>
      <c r="M112" s="15">
        <v>1</v>
      </c>
      <c r="N112" s="15"/>
    </row>
    <row r="113" spans="1:14">
      <c r="A113" s="8"/>
      <c r="B113" s="15">
        <v>1108</v>
      </c>
      <c r="C113" s="11" t="s">
        <v>1603</v>
      </c>
      <c r="D113" s="11" t="s">
        <v>1553</v>
      </c>
      <c r="E113" s="11" t="s">
        <v>734</v>
      </c>
      <c r="F113" s="15">
        <v>1</v>
      </c>
      <c r="G113" s="15">
        <v>2</v>
      </c>
      <c r="H113" s="15"/>
      <c r="I113" s="15">
        <v>4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1109</v>
      </c>
      <c r="C114" s="20" t="s">
        <v>1161</v>
      </c>
      <c r="D114" s="11" t="s">
        <v>1236</v>
      </c>
      <c r="E114" s="11" t="s">
        <v>734</v>
      </c>
      <c r="F114" s="15">
        <v>1</v>
      </c>
      <c r="G114" s="15">
        <v>1</v>
      </c>
      <c r="H114" s="15" t="s">
        <v>1561</v>
      </c>
      <c r="I114" s="15">
        <v>1</v>
      </c>
      <c r="J114" s="15">
        <v>0</v>
      </c>
      <c r="K114" s="15">
        <v>0</v>
      </c>
      <c r="L114" s="15">
        <v>12</v>
      </c>
      <c r="M114" s="15">
        <v>3</v>
      </c>
      <c r="N114" s="15"/>
    </row>
    <row r="115" spans="1:14">
      <c r="A115" s="8"/>
      <c r="B115" s="15">
        <v>1110</v>
      </c>
      <c r="C115" s="11" t="s">
        <v>1604</v>
      </c>
      <c r="D115" s="11" t="s">
        <v>1237</v>
      </c>
      <c r="E115" s="11" t="s">
        <v>734</v>
      </c>
      <c r="F115" s="15">
        <v>1</v>
      </c>
      <c r="G115" s="15">
        <v>3</v>
      </c>
      <c r="H115" s="15"/>
      <c r="I115" s="15">
        <v>1</v>
      </c>
      <c r="J115" s="15">
        <v>0</v>
      </c>
      <c r="K115" s="15">
        <v>0</v>
      </c>
      <c r="L115" s="15">
        <v>13</v>
      </c>
      <c r="M115" s="15">
        <v>7</v>
      </c>
      <c r="N115" s="15"/>
    </row>
    <row r="116" spans="1:14">
      <c r="A116" s="8"/>
      <c r="B116" s="15">
        <v>1111</v>
      </c>
      <c r="C116" s="21" t="s">
        <v>1829</v>
      </c>
      <c r="D116" s="11" t="s">
        <v>1238</v>
      </c>
      <c r="E116" s="11" t="s">
        <v>734</v>
      </c>
      <c r="F116" s="15">
        <v>1</v>
      </c>
      <c r="G116" s="15">
        <v>1</v>
      </c>
      <c r="H116" s="15" t="s">
        <v>1605</v>
      </c>
      <c r="I116" s="15">
        <v>1</v>
      </c>
      <c r="J116" s="15">
        <v>0</v>
      </c>
      <c r="K116" s="15">
        <v>0</v>
      </c>
      <c r="L116" s="15">
        <v>12</v>
      </c>
      <c r="M116" s="15">
        <v>1</v>
      </c>
      <c r="N116" s="15"/>
    </row>
    <row r="117" spans="1:14">
      <c r="A117" s="8"/>
      <c r="B117" s="15">
        <v>1112</v>
      </c>
      <c r="C117" s="20" t="s">
        <v>1280</v>
      </c>
      <c r="D117" s="11" t="s">
        <v>1239</v>
      </c>
      <c r="E117" s="11" t="s">
        <v>734</v>
      </c>
      <c r="F117" s="15">
        <v>1</v>
      </c>
      <c r="G117" s="15">
        <v>1</v>
      </c>
      <c r="H117" s="15" t="s">
        <v>1240</v>
      </c>
      <c r="I117" s="15">
        <v>1</v>
      </c>
      <c r="J117" s="15">
        <v>0</v>
      </c>
      <c r="K117" s="15">
        <v>0</v>
      </c>
      <c r="L117" s="15">
        <v>12</v>
      </c>
      <c r="M117" s="15">
        <v>1</v>
      </c>
      <c r="N117" s="15"/>
    </row>
    <row r="118" spans="1:14">
      <c r="A118" s="8"/>
      <c r="B118" s="15">
        <v>1113</v>
      </c>
      <c r="C118" s="11" t="s">
        <v>1281</v>
      </c>
      <c r="D118" s="11" t="s">
        <v>1241</v>
      </c>
      <c r="E118" s="11" t="s">
        <v>734</v>
      </c>
      <c r="F118" s="15">
        <v>1</v>
      </c>
      <c r="G118" s="15">
        <v>1</v>
      </c>
      <c r="H118" s="15" t="s">
        <v>1242</v>
      </c>
      <c r="I118" s="15">
        <v>1</v>
      </c>
      <c r="J118" s="15">
        <v>0</v>
      </c>
      <c r="K118" s="15">
        <v>0</v>
      </c>
      <c r="L118" s="15">
        <v>13</v>
      </c>
      <c r="M118" s="15">
        <v>15</v>
      </c>
      <c r="N118" s="15"/>
    </row>
    <row r="119" spans="1:14">
      <c r="A119" s="8"/>
      <c r="B119" s="15">
        <v>1114</v>
      </c>
      <c r="C119" s="21" t="s">
        <v>1282</v>
      </c>
      <c r="D119" s="11" t="s">
        <v>1243</v>
      </c>
      <c r="E119" s="11" t="s">
        <v>734</v>
      </c>
      <c r="F119" s="15">
        <v>1</v>
      </c>
      <c r="G119" s="15">
        <v>1</v>
      </c>
      <c r="H119" s="15" t="s">
        <v>1561</v>
      </c>
      <c r="I119" s="15">
        <v>4</v>
      </c>
      <c r="J119" s="15">
        <v>0</v>
      </c>
      <c r="K119" s="15">
        <v>0</v>
      </c>
      <c r="L119" s="15">
        <v>14</v>
      </c>
      <c r="M119" s="15">
        <v>10</v>
      </c>
      <c r="N119" s="15"/>
    </row>
    <row r="120" spans="1:14">
      <c r="A120" s="8"/>
      <c r="B120" s="15">
        <v>1115</v>
      </c>
      <c r="C120" s="11" t="s">
        <v>1283</v>
      </c>
      <c r="D120" s="11" t="s">
        <v>1244</v>
      </c>
      <c r="E120" s="11" t="s">
        <v>734</v>
      </c>
      <c r="F120" s="15">
        <v>1</v>
      </c>
      <c r="G120" s="15">
        <v>1</v>
      </c>
      <c r="H120" s="15"/>
      <c r="I120" s="15">
        <v>3</v>
      </c>
      <c r="J120" s="15">
        <v>0</v>
      </c>
      <c r="K120" s="15">
        <v>0</v>
      </c>
      <c r="L120" s="15">
        <v>13</v>
      </c>
      <c r="M120" s="15">
        <v>10</v>
      </c>
      <c r="N120" s="15"/>
    </row>
    <row r="121" spans="1:14">
      <c r="A121" s="8"/>
      <c r="B121" s="15">
        <v>1116</v>
      </c>
      <c r="C121" s="20" t="s">
        <v>1284</v>
      </c>
      <c r="D121" s="11" t="s">
        <v>1245</v>
      </c>
      <c r="E121" s="11" t="s">
        <v>734</v>
      </c>
      <c r="F121" s="15">
        <v>1</v>
      </c>
      <c r="G121" s="15">
        <v>1</v>
      </c>
      <c r="H121" s="15"/>
      <c r="I121" s="15">
        <v>3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1117</v>
      </c>
      <c r="C122" s="11" t="s">
        <v>1619</v>
      </c>
      <c r="D122" s="11" t="s">
        <v>1620</v>
      </c>
      <c r="E122" s="11" t="s">
        <v>734</v>
      </c>
      <c r="F122" s="15">
        <v>1</v>
      </c>
      <c r="G122" s="15">
        <v>1</v>
      </c>
      <c r="H122" s="15"/>
      <c r="I122" s="15">
        <v>0</v>
      </c>
      <c r="J122" s="15">
        <v>0</v>
      </c>
      <c r="K122" s="15">
        <v>0</v>
      </c>
      <c r="L122" s="15">
        <v>2</v>
      </c>
      <c r="M122" s="15">
        <v>10</v>
      </c>
      <c r="N122" s="15"/>
    </row>
    <row r="123" spans="1:14">
      <c r="A123" s="8"/>
      <c r="B123" s="15">
        <v>1118</v>
      </c>
      <c r="C123" s="20" t="s">
        <v>1784</v>
      </c>
      <c r="D123" s="11" t="s">
        <v>1785</v>
      </c>
      <c r="E123" s="11" t="s">
        <v>734</v>
      </c>
      <c r="F123" s="15">
        <v>1</v>
      </c>
      <c r="G123" s="15">
        <v>3</v>
      </c>
      <c r="H123" s="15" t="s">
        <v>1786</v>
      </c>
      <c r="I123" s="15">
        <v>1</v>
      </c>
      <c r="J123" s="15">
        <v>0</v>
      </c>
      <c r="K123" s="15">
        <v>0</v>
      </c>
      <c r="L123" s="15">
        <v>12</v>
      </c>
      <c r="M123" s="15">
        <v>1</v>
      </c>
      <c r="N123" s="15"/>
    </row>
    <row r="124" spans="1:14">
      <c r="A124" s="8"/>
      <c r="B124" s="15">
        <v>1119</v>
      </c>
      <c r="C124" s="20" t="s">
        <v>1787</v>
      </c>
      <c r="D124" s="11" t="s">
        <v>1788</v>
      </c>
      <c r="E124" s="11" t="s">
        <v>734</v>
      </c>
      <c r="F124" s="15">
        <v>1</v>
      </c>
      <c r="G124" s="15">
        <v>3</v>
      </c>
      <c r="H124" s="15" t="s">
        <v>1789</v>
      </c>
      <c r="I124" s="15">
        <v>1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1203</v>
      </c>
      <c r="C125" s="11" t="s">
        <v>814</v>
      </c>
      <c r="D125" s="11" t="s">
        <v>1246</v>
      </c>
      <c r="E125" s="11" t="s">
        <v>734</v>
      </c>
      <c r="F125" s="15">
        <v>2</v>
      </c>
      <c r="G125" s="15">
        <v>1</v>
      </c>
      <c r="H125" s="15" t="s">
        <v>1562</v>
      </c>
      <c r="I125" s="15">
        <v>1</v>
      </c>
      <c r="J125" s="15">
        <v>0</v>
      </c>
      <c r="K125" s="15">
        <v>0</v>
      </c>
      <c r="L125" s="15">
        <v>11</v>
      </c>
      <c r="M125" s="15">
        <v>50</v>
      </c>
      <c r="N125" s="15">
        <v>1</v>
      </c>
    </row>
    <row r="126" spans="1:14">
      <c r="A126" s="8"/>
      <c r="B126" s="15">
        <v>1204</v>
      </c>
      <c r="C126" s="20" t="s">
        <v>1879</v>
      </c>
      <c r="D126" s="11" t="s">
        <v>1846</v>
      </c>
      <c r="E126" s="11"/>
      <c r="F126" s="15">
        <v>1</v>
      </c>
      <c r="G126" s="15">
        <v>1</v>
      </c>
      <c r="H126" s="15" t="s">
        <v>1848</v>
      </c>
      <c r="I126" s="15">
        <v>4</v>
      </c>
      <c r="J126" s="15">
        <v>0</v>
      </c>
      <c r="K126" s="15">
        <v>0</v>
      </c>
      <c r="L126" s="15">
        <v>12</v>
      </c>
      <c r="M126" s="15">
        <v>1</v>
      </c>
      <c r="N126" s="15"/>
    </row>
    <row r="127" spans="1:14">
      <c r="A127" s="8"/>
      <c r="B127" s="15">
        <v>1205</v>
      </c>
      <c r="C127" s="11" t="s">
        <v>1845</v>
      </c>
      <c r="D127" s="11" t="s">
        <v>1847</v>
      </c>
      <c r="E127" s="11"/>
      <c r="F127" s="15">
        <v>2</v>
      </c>
      <c r="G127" s="15">
        <v>3</v>
      </c>
      <c r="H127" s="15" t="s">
        <v>1848</v>
      </c>
      <c r="I127" s="15">
        <v>7</v>
      </c>
      <c r="J127" s="15">
        <v>0</v>
      </c>
      <c r="K127" s="15">
        <v>0</v>
      </c>
      <c r="L127" s="15">
        <v>13</v>
      </c>
      <c r="M127" s="15">
        <v>15</v>
      </c>
      <c r="N127" s="15"/>
    </row>
    <row r="128" spans="1:14">
      <c r="A128" s="8"/>
      <c r="B128" s="15">
        <v>1501</v>
      </c>
      <c r="C128" s="11" t="s">
        <v>390</v>
      </c>
      <c r="D128" s="11" t="s">
        <v>391</v>
      </c>
      <c r="E128" s="11" t="s">
        <v>734</v>
      </c>
      <c r="F128" s="15">
        <v>2</v>
      </c>
      <c r="G128" s="15">
        <v>0</v>
      </c>
      <c r="H128" s="15"/>
      <c r="I128" s="15">
        <v>0</v>
      </c>
      <c r="J128" s="15">
        <v>0</v>
      </c>
      <c r="K128" s="15">
        <v>0</v>
      </c>
      <c r="L128" s="15">
        <v>0</v>
      </c>
      <c r="M128" s="15">
        <v>20</v>
      </c>
      <c r="N128" s="15"/>
    </row>
    <row r="129" spans="1:14">
      <c r="A129" s="8"/>
      <c r="B129" s="15">
        <v>1502</v>
      </c>
      <c r="C129" s="11" t="s">
        <v>392</v>
      </c>
      <c r="D129" s="11" t="s">
        <v>1247</v>
      </c>
      <c r="E129" s="11" t="s">
        <v>734</v>
      </c>
      <c r="F129" s="15">
        <v>3</v>
      </c>
      <c r="G129" s="15">
        <v>1</v>
      </c>
      <c r="H129" s="15" t="s">
        <v>1248</v>
      </c>
      <c r="I129" s="15">
        <v>1</v>
      </c>
      <c r="J129" s="15">
        <v>0</v>
      </c>
      <c r="K129" s="15">
        <v>0</v>
      </c>
      <c r="L129" s="15">
        <v>11</v>
      </c>
      <c r="M129" s="15">
        <v>50</v>
      </c>
      <c r="N129" s="15">
        <v>1</v>
      </c>
    </row>
    <row r="130" spans="1:14">
      <c r="A130" s="8"/>
      <c r="B130" s="15">
        <v>1503</v>
      </c>
      <c r="C130" s="11" t="s">
        <v>1162</v>
      </c>
      <c r="D130" s="11" t="s">
        <v>1163</v>
      </c>
      <c r="E130" s="11" t="s">
        <v>734</v>
      </c>
      <c r="F130" s="15">
        <v>0</v>
      </c>
      <c r="G130" s="15">
        <v>0</v>
      </c>
      <c r="H130" s="15" t="s">
        <v>1606</v>
      </c>
      <c r="I130" s="15">
        <v>0</v>
      </c>
      <c r="J130" s="15">
        <v>0</v>
      </c>
      <c r="K130" s="15">
        <v>0</v>
      </c>
      <c r="L130" s="15">
        <v>30</v>
      </c>
      <c r="M130" s="15">
        <v>1</v>
      </c>
      <c r="N130" s="15"/>
    </row>
    <row r="131" spans="1:14">
      <c r="A131" s="8"/>
      <c r="B131" s="15">
        <v>1504</v>
      </c>
      <c r="C131" s="11" t="s">
        <v>575</v>
      </c>
      <c r="D131" s="11" t="s">
        <v>1607</v>
      </c>
      <c r="E131" s="11" t="s">
        <v>734</v>
      </c>
      <c r="F131" s="15">
        <v>0</v>
      </c>
      <c r="G131" s="15">
        <v>0</v>
      </c>
      <c r="H131" s="15" t="s">
        <v>1608</v>
      </c>
      <c r="I131" s="15">
        <v>0</v>
      </c>
      <c r="J131" s="15">
        <v>0</v>
      </c>
      <c r="K131" s="15">
        <v>0</v>
      </c>
      <c r="L131" s="15">
        <v>30</v>
      </c>
      <c r="M131" s="15">
        <v>1</v>
      </c>
      <c r="N131" s="15"/>
    </row>
    <row r="132" spans="1:14">
      <c r="A132" s="8"/>
      <c r="B132" s="15">
        <v>1505</v>
      </c>
      <c r="C132" s="11" t="s">
        <v>1609</v>
      </c>
      <c r="D132" s="11" t="s">
        <v>1610</v>
      </c>
      <c r="E132" s="11" t="s">
        <v>734</v>
      </c>
      <c r="F132" s="15">
        <v>6</v>
      </c>
      <c r="G132" s="15">
        <v>0</v>
      </c>
      <c r="H132" s="15" t="s">
        <v>1594</v>
      </c>
      <c r="I132" s="15">
        <v>1</v>
      </c>
      <c r="J132" s="15">
        <v>0</v>
      </c>
      <c r="K132" s="15">
        <v>0</v>
      </c>
      <c r="L132" s="15">
        <v>12</v>
      </c>
      <c r="M132" s="15">
        <v>8</v>
      </c>
      <c r="N132" s="15"/>
    </row>
    <row r="133" spans="1:14">
      <c r="A133" s="8"/>
      <c r="B133" s="15">
        <v>1506</v>
      </c>
      <c r="C133" s="20" t="s">
        <v>1834</v>
      </c>
      <c r="D133" s="11" t="s">
        <v>1611</v>
      </c>
      <c r="E133" s="11" t="s">
        <v>734</v>
      </c>
      <c r="F133" s="15">
        <v>6</v>
      </c>
      <c r="G133" s="15">
        <v>3</v>
      </c>
      <c r="H133" s="15" t="s">
        <v>1612</v>
      </c>
      <c r="I133" s="15">
        <v>1</v>
      </c>
      <c r="J133" s="15">
        <v>0</v>
      </c>
      <c r="K133" s="15">
        <v>0</v>
      </c>
      <c r="L133" s="15">
        <v>15</v>
      </c>
      <c r="M133" s="15">
        <v>2</v>
      </c>
      <c r="N133" s="15"/>
    </row>
    <row r="134" spans="1:14">
      <c r="A134" s="8"/>
      <c r="B134" s="15">
        <v>1507</v>
      </c>
      <c r="C134" s="11" t="s">
        <v>1285</v>
      </c>
      <c r="D134" s="11" t="s">
        <v>1249</v>
      </c>
      <c r="E134" s="11" t="s">
        <v>734</v>
      </c>
      <c r="F134" s="15">
        <v>3</v>
      </c>
      <c r="G134" s="15">
        <v>1</v>
      </c>
      <c r="H134" s="15" t="s">
        <v>1242</v>
      </c>
      <c r="I134" s="15">
        <v>1</v>
      </c>
      <c r="J134" s="15">
        <v>0</v>
      </c>
      <c r="K134" s="15">
        <v>0</v>
      </c>
      <c r="L134" s="15">
        <v>11</v>
      </c>
      <c r="M134" s="15">
        <v>25</v>
      </c>
      <c r="N134" s="15">
        <v>1</v>
      </c>
    </row>
    <row r="135" spans="1:14">
      <c r="A135" s="8"/>
      <c r="B135" s="15">
        <v>1508</v>
      </c>
      <c r="C135" s="11" t="s">
        <v>1286</v>
      </c>
      <c r="D135" s="11" t="s">
        <v>1250</v>
      </c>
      <c r="E135" s="11" t="s">
        <v>734</v>
      </c>
      <c r="F135" s="15">
        <v>3</v>
      </c>
      <c r="G135" s="15">
        <v>1</v>
      </c>
      <c r="H135" s="15"/>
      <c r="I135" s="15">
        <v>1</v>
      </c>
      <c r="J135" s="15">
        <v>0</v>
      </c>
      <c r="K135" s="15">
        <v>0</v>
      </c>
      <c r="L135" s="15">
        <v>32</v>
      </c>
      <c r="M135" s="15">
        <v>7</v>
      </c>
      <c r="N135" s="15">
        <v>1</v>
      </c>
    </row>
    <row r="136" spans="1:14">
      <c r="A136" s="8"/>
      <c r="B136" s="15">
        <v>1509</v>
      </c>
      <c r="C136" s="11" t="s">
        <v>1820</v>
      </c>
      <c r="D136" s="11" t="s">
        <v>1830</v>
      </c>
      <c r="E136" s="11" t="s">
        <v>734</v>
      </c>
      <c r="F136" s="15">
        <v>6</v>
      </c>
      <c r="G136" s="15">
        <v>0</v>
      </c>
      <c r="H136" s="15" t="s">
        <v>1831</v>
      </c>
      <c r="I136" s="15">
        <v>2</v>
      </c>
      <c r="J136" s="15">
        <v>0</v>
      </c>
      <c r="K136" s="15">
        <v>0</v>
      </c>
      <c r="L136" s="15">
        <v>12</v>
      </c>
      <c r="M136" s="15">
        <v>2</v>
      </c>
      <c r="N136" s="15"/>
    </row>
    <row r="137" spans="1:14">
      <c r="A137" s="8"/>
      <c r="B137" s="15">
        <v>1510</v>
      </c>
      <c r="C137" s="11" t="s">
        <v>1832</v>
      </c>
      <c r="D137" s="11" t="s">
        <v>1833</v>
      </c>
      <c r="E137" s="11" t="s">
        <v>734</v>
      </c>
      <c r="F137" s="15">
        <v>0</v>
      </c>
      <c r="G137" s="15">
        <v>1</v>
      </c>
      <c r="H137" s="15" t="s">
        <v>1562</v>
      </c>
      <c r="I137" s="15">
        <v>2</v>
      </c>
      <c r="J137" s="15">
        <v>0</v>
      </c>
      <c r="K137" s="15">
        <v>0</v>
      </c>
      <c r="L137" s="15">
        <v>11</v>
      </c>
      <c r="M137" s="15">
        <v>15</v>
      </c>
      <c r="N137" s="15"/>
    </row>
    <row r="138" spans="1:14">
      <c r="A138" s="8"/>
      <c r="B138" s="15">
        <v>1511</v>
      </c>
      <c r="C138" s="11" t="s">
        <v>1839</v>
      </c>
      <c r="D138" s="11" t="s">
        <v>391</v>
      </c>
      <c r="E138" s="11" t="s">
        <v>734</v>
      </c>
      <c r="F138" s="15">
        <v>2</v>
      </c>
      <c r="G138" s="15">
        <v>0</v>
      </c>
      <c r="H138" s="15"/>
      <c r="I138" s="15">
        <v>0</v>
      </c>
      <c r="J138" s="15">
        <v>0</v>
      </c>
      <c r="K138" s="15">
        <v>0</v>
      </c>
      <c r="L138" s="15">
        <v>0</v>
      </c>
      <c r="M138" s="15">
        <v>10</v>
      </c>
      <c r="N138" s="15"/>
    </row>
    <row r="139" spans="1:14">
      <c r="A139" s="8"/>
      <c r="B139" s="15">
        <v>1512</v>
      </c>
      <c r="C139" s="20" t="s">
        <v>2035</v>
      </c>
      <c r="D139" s="11" t="s">
        <v>1611</v>
      </c>
      <c r="E139" s="11" t="s">
        <v>734</v>
      </c>
      <c r="F139" s="15">
        <v>6</v>
      </c>
      <c r="G139" s="15">
        <v>3</v>
      </c>
      <c r="H139" s="15" t="s">
        <v>1612</v>
      </c>
      <c r="I139" s="15">
        <v>1</v>
      </c>
      <c r="J139" s="15">
        <v>0</v>
      </c>
      <c r="K139" s="15">
        <v>0</v>
      </c>
      <c r="L139" s="15">
        <v>15</v>
      </c>
      <c r="M139" s="15">
        <v>2</v>
      </c>
      <c r="N139" s="15"/>
    </row>
  </sheetData>
  <autoFilter ref="B6:N138" xr:uid="{33D0B11C-9859-45D7-8BC1-573E4E831828}"/>
  <phoneticPr fontId="1"/>
  <dataValidations count="1">
    <dataValidation type="list" allowBlank="1" showInputMessage="1" showErrorMessage="1" sqref="A7:A139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14"/>
  <sheetViews>
    <sheetView zoomScale="85" zoomScaleNormal="85" workbookViewId="0">
      <pane ySplit="6" topLeftCell="A99" activePane="bottomLeft" state="frozen"/>
      <selection pane="bottomLeft" activeCell="J108" sqref="J108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743</v>
      </c>
      <c r="B2" s="9" t="s">
        <v>718</v>
      </c>
      <c r="C2" s="9" t="s">
        <v>731</v>
      </c>
      <c r="D2" s="9" t="s">
        <v>744</v>
      </c>
      <c r="E2" s="9" t="s">
        <v>732</v>
      </c>
      <c r="F2" s="9" t="s">
        <v>735</v>
      </c>
      <c r="G2" s="9" t="s">
        <v>736</v>
      </c>
      <c r="H2" s="9" t="s">
        <v>737</v>
      </c>
      <c r="I2" s="9" t="s">
        <v>738</v>
      </c>
      <c r="J2" s="9" t="s">
        <v>739</v>
      </c>
      <c r="K2" s="9" t="s">
        <v>740</v>
      </c>
      <c r="L2" s="9" t="s">
        <v>741</v>
      </c>
      <c r="M2" s="9" t="s">
        <v>742</v>
      </c>
      <c r="N2" s="9" t="s">
        <v>194</v>
      </c>
      <c r="O2" s="9" t="s">
        <v>195</v>
      </c>
      <c r="P2" s="9" t="s">
        <v>196</v>
      </c>
      <c r="Q2" s="9" t="s">
        <v>199</v>
      </c>
      <c r="R2" s="9" t="s">
        <v>200</v>
      </c>
      <c r="S2" s="9" t="s">
        <v>201</v>
      </c>
      <c r="T2" s="9" t="s">
        <v>202</v>
      </c>
      <c r="U2" s="9" t="s">
        <v>203</v>
      </c>
      <c r="V2" s="9" t="s">
        <v>204</v>
      </c>
      <c r="W2" s="9" t="s">
        <v>50</v>
      </c>
      <c r="X2" s="9" t="s">
        <v>826</v>
      </c>
    </row>
    <row r="3" spans="1:24">
      <c r="B3" s="9" t="s">
        <v>25</v>
      </c>
      <c r="C3" s="9" t="s">
        <v>25</v>
      </c>
      <c r="D3" s="9" t="s">
        <v>25</v>
      </c>
      <c r="E3" s="9" t="s">
        <v>733</v>
      </c>
      <c r="F3" s="9" t="s">
        <v>733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734</v>
      </c>
      <c r="F4" s="9" t="s">
        <v>734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188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1695</v>
      </c>
      <c r="F7" s="11" t="s">
        <v>1695</v>
      </c>
      <c r="G7" s="11" t="s">
        <v>1696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747</v>
      </c>
      <c r="F8" s="11" t="s">
        <v>745</v>
      </c>
      <c r="G8" s="11" t="s">
        <v>748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747</v>
      </c>
      <c r="F9" s="11" t="s">
        <v>745</v>
      </c>
      <c r="G9" s="11" t="s">
        <v>1869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747</v>
      </c>
      <c r="F10" s="11" t="s">
        <v>745</v>
      </c>
      <c r="G10" s="11" t="s">
        <v>749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745</v>
      </c>
      <c r="F11" s="11" t="s">
        <v>746</v>
      </c>
      <c r="G11" s="11" t="s">
        <v>1697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745</v>
      </c>
      <c r="F12" s="11" t="s">
        <v>746</v>
      </c>
      <c r="G12" s="11" t="s">
        <v>1698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745</v>
      </c>
      <c r="F13" s="11" t="s">
        <v>746</v>
      </c>
      <c r="G13" s="11" t="s">
        <v>1699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746</v>
      </c>
      <c r="F14" s="11" t="s">
        <v>1700</v>
      </c>
      <c r="G14" s="11" t="s">
        <v>1701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746</v>
      </c>
      <c r="F15" s="11" t="s">
        <v>1700</v>
      </c>
      <c r="G15" s="11" t="s">
        <v>1702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746</v>
      </c>
      <c r="F16" s="11" t="s">
        <v>1700</v>
      </c>
      <c r="G16" s="11" t="s">
        <v>1703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1700</v>
      </c>
      <c r="F17" s="11" t="s">
        <v>1704</v>
      </c>
      <c r="G17" s="11" t="s">
        <v>1705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1700</v>
      </c>
      <c r="F18" s="11" t="s">
        <v>1704</v>
      </c>
      <c r="G18" s="11" t="s">
        <v>1706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1700</v>
      </c>
      <c r="F19" s="11" t="s">
        <v>1704</v>
      </c>
      <c r="G19" s="11" t="s">
        <v>1703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1704</v>
      </c>
      <c r="F20" s="11" t="s">
        <v>1707</v>
      </c>
      <c r="G20" s="11" t="s">
        <v>1708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1704</v>
      </c>
      <c r="F21" s="11" t="s">
        <v>1707</v>
      </c>
      <c r="G21" s="11" t="s">
        <v>1709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1704</v>
      </c>
      <c r="F22" s="11" t="s">
        <v>1707</v>
      </c>
      <c r="G22" s="11" t="s">
        <v>1703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1707</v>
      </c>
      <c r="F23" s="11" t="s">
        <v>1710</v>
      </c>
      <c r="G23" s="11" t="s">
        <v>1705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1707</v>
      </c>
      <c r="F24" s="11" t="s">
        <v>1710</v>
      </c>
      <c r="G24" s="11" t="s">
        <v>1711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1707</v>
      </c>
      <c r="F25" s="11" t="s">
        <v>1710</v>
      </c>
      <c r="G25" s="11" t="s">
        <v>1699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1710</v>
      </c>
      <c r="F26" s="11" t="s">
        <v>1712</v>
      </c>
      <c r="G26" s="11" t="s">
        <v>1713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1710</v>
      </c>
      <c r="F27" s="11" t="s">
        <v>1712</v>
      </c>
      <c r="G27" s="11" t="s">
        <v>1714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1710</v>
      </c>
      <c r="F28" s="11" t="s">
        <v>1712</v>
      </c>
      <c r="G28" s="11" t="s">
        <v>1715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1712</v>
      </c>
      <c r="F29" s="11" t="s">
        <v>1716</v>
      </c>
      <c r="G29" s="11" t="s">
        <v>1717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1712</v>
      </c>
      <c r="F30" s="11" t="s">
        <v>1716</v>
      </c>
      <c r="G30" s="11" t="s">
        <v>1698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1712</v>
      </c>
      <c r="F31" s="11" t="s">
        <v>1716</v>
      </c>
      <c r="G31" s="11" t="s">
        <v>1703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1716</v>
      </c>
      <c r="F32" s="11" t="s">
        <v>1718</v>
      </c>
      <c r="G32" s="11" t="s">
        <v>1719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1716</v>
      </c>
      <c r="F33" s="11" t="s">
        <v>1718</v>
      </c>
      <c r="G33" s="11" t="s">
        <v>1713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1716</v>
      </c>
      <c r="F34" s="11" t="s">
        <v>1718</v>
      </c>
      <c r="G34" s="11" t="s">
        <v>1720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1718</v>
      </c>
      <c r="F35" s="11" t="s">
        <v>1721</v>
      </c>
      <c r="G35" s="11" t="s">
        <v>1722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1718</v>
      </c>
      <c r="F36" s="11" t="s">
        <v>1721</v>
      </c>
      <c r="G36" s="11" t="s">
        <v>1723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1718</v>
      </c>
      <c r="F37" s="11" t="s">
        <v>1721</v>
      </c>
      <c r="G37" s="11" t="s">
        <v>1724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1721</v>
      </c>
      <c r="F38" s="11" t="s">
        <v>1725</v>
      </c>
      <c r="G38" s="11" t="s">
        <v>1726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1721</v>
      </c>
      <c r="F39" s="11" t="s">
        <v>1725</v>
      </c>
      <c r="G39" s="11" t="s">
        <v>1723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1721</v>
      </c>
      <c r="F40" s="11" t="s">
        <v>1725</v>
      </c>
      <c r="G40" s="11" t="s">
        <v>1727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1725</v>
      </c>
      <c r="F41" s="11" t="s">
        <v>1728</v>
      </c>
      <c r="G41" s="11" t="s">
        <v>1729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1725</v>
      </c>
      <c r="F42" s="11" t="s">
        <v>1728</v>
      </c>
      <c r="G42" s="11" t="s">
        <v>1719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1725</v>
      </c>
      <c r="F43" s="11" t="s">
        <v>1728</v>
      </c>
      <c r="G43" s="11" t="s">
        <v>1727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1728</v>
      </c>
      <c r="F44" s="11" t="s">
        <v>1730</v>
      </c>
      <c r="G44" s="11" t="s">
        <v>1731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1728</v>
      </c>
      <c r="F45" s="11" t="s">
        <v>1730</v>
      </c>
      <c r="G45" s="11" t="s">
        <v>1713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1728</v>
      </c>
      <c r="F46" s="11" t="s">
        <v>1730</v>
      </c>
      <c r="G46" s="11" t="s">
        <v>1732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1730</v>
      </c>
      <c r="F47" s="11" t="s">
        <v>1733</v>
      </c>
      <c r="G47" s="11" t="s">
        <v>1734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1730</v>
      </c>
      <c r="F48" s="11" t="s">
        <v>1733</v>
      </c>
      <c r="G48" s="11" t="s">
        <v>1713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1730</v>
      </c>
      <c r="F49" s="11" t="s">
        <v>1733</v>
      </c>
      <c r="G49" s="11" t="s">
        <v>1720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1733</v>
      </c>
      <c r="F50" s="11" t="s">
        <v>1735</v>
      </c>
      <c r="G50" s="11" t="s">
        <v>1722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1733</v>
      </c>
      <c r="F51" s="11" t="s">
        <v>1735</v>
      </c>
      <c r="G51" s="11" t="s">
        <v>1736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1733</v>
      </c>
      <c r="F52" s="11" t="s">
        <v>1735</v>
      </c>
      <c r="G52" s="11" t="s">
        <v>1737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1735</v>
      </c>
      <c r="F53" s="11" t="s">
        <v>1738</v>
      </c>
      <c r="G53" s="11" t="s">
        <v>1739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1735</v>
      </c>
      <c r="F54" s="11" t="s">
        <v>1738</v>
      </c>
      <c r="G54" s="11" t="s">
        <v>1719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1735</v>
      </c>
      <c r="F55" s="11" t="s">
        <v>1738</v>
      </c>
      <c r="G55" s="11" t="s">
        <v>1694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1738</v>
      </c>
      <c r="F56" s="11" t="s">
        <v>1740</v>
      </c>
      <c r="G56" s="11" t="s">
        <v>1741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1738</v>
      </c>
      <c r="F57" s="11" t="s">
        <v>1740</v>
      </c>
      <c r="G57" s="11" t="s">
        <v>1713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1738</v>
      </c>
      <c r="F58" s="11" t="s">
        <v>1740</v>
      </c>
      <c r="G58" s="11" t="s">
        <v>1742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1743</v>
      </c>
      <c r="F59" s="11" t="s">
        <v>1743</v>
      </c>
      <c r="G59" s="11" t="s">
        <v>1744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1743</v>
      </c>
      <c r="F60" s="11" t="s">
        <v>1743</v>
      </c>
      <c r="G60" s="11" t="s">
        <v>1714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1743</v>
      </c>
      <c r="F61" s="11" t="s">
        <v>1743</v>
      </c>
      <c r="G61" s="11" t="s">
        <v>1745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1743</v>
      </c>
      <c r="F62" s="11" t="s">
        <v>1743</v>
      </c>
      <c r="G62" s="11" t="s">
        <v>1746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1743</v>
      </c>
      <c r="F63" s="11" t="s">
        <v>1743</v>
      </c>
      <c r="G63" s="11" t="s">
        <v>1719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1743</v>
      </c>
      <c r="F64" s="11" t="s">
        <v>1743</v>
      </c>
      <c r="G64" s="11" t="s">
        <v>1747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1743</v>
      </c>
      <c r="F65" s="11" t="s">
        <v>1743</v>
      </c>
      <c r="G65" s="11" t="s">
        <v>1748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1743</v>
      </c>
      <c r="F66" s="11" t="s">
        <v>1743</v>
      </c>
      <c r="G66" s="11" t="s">
        <v>1749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1743</v>
      </c>
      <c r="F67" s="11" t="s">
        <v>1743</v>
      </c>
      <c r="G67" s="11" t="s">
        <v>1750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1743</v>
      </c>
      <c r="F68" s="11" t="s">
        <v>1743</v>
      </c>
      <c r="G68" s="11" t="s">
        <v>1713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1743</v>
      </c>
      <c r="F69" s="11" t="s">
        <v>1743</v>
      </c>
      <c r="G69" s="11" t="s">
        <v>1714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1743</v>
      </c>
      <c r="F70" s="11" t="s">
        <v>1743</v>
      </c>
      <c r="G70" s="11" t="s">
        <v>1751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1743</v>
      </c>
      <c r="F71" s="11" t="s">
        <v>1743</v>
      </c>
      <c r="G71" s="11" t="s">
        <v>1752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1743</v>
      </c>
      <c r="F72" s="11" t="s">
        <v>1743</v>
      </c>
      <c r="G72" s="11" t="s">
        <v>1719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1743</v>
      </c>
      <c r="F73" s="11" t="s">
        <v>1743</v>
      </c>
      <c r="G73" s="11" t="s">
        <v>1747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1743</v>
      </c>
      <c r="F74" s="11" t="s">
        <v>1743</v>
      </c>
      <c r="G74" s="11" t="s">
        <v>748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1743</v>
      </c>
      <c r="F75" s="11" t="s">
        <v>1743</v>
      </c>
      <c r="G75" s="11" t="s">
        <v>1719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1743</v>
      </c>
      <c r="F76" s="11" t="s">
        <v>1743</v>
      </c>
      <c r="G76" s="11" t="s">
        <v>1715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1743</v>
      </c>
      <c r="F77" s="11" t="s">
        <v>1743</v>
      </c>
      <c r="G77" s="11" t="s">
        <v>1694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1743</v>
      </c>
      <c r="F78" s="11" t="s">
        <v>1743</v>
      </c>
      <c r="G78" s="11" t="s">
        <v>1717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1743</v>
      </c>
      <c r="F79" s="11" t="s">
        <v>1743</v>
      </c>
      <c r="G79" s="11" t="s">
        <v>1753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1743</v>
      </c>
      <c r="F80" s="11" t="s">
        <v>1794</v>
      </c>
      <c r="G80" s="11" t="s">
        <v>1795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1743</v>
      </c>
      <c r="F81" s="11" t="s">
        <v>1743</v>
      </c>
      <c r="G81" s="11" t="s">
        <v>1807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1743</v>
      </c>
      <c r="F82" s="11" t="s">
        <v>1743</v>
      </c>
      <c r="G82" s="11" t="s">
        <v>1714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1743</v>
      </c>
      <c r="F83" s="11" t="s">
        <v>1743</v>
      </c>
      <c r="G83" s="11" t="s">
        <v>1796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1743</v>
      </c>
      <c r="F84" s="11" t="s">
        <v>1743</v>
      </c>
      <c r="G84" s="11" t="s">
        <v>1870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1743</v>
      </c>
      <c r="F85" s="11" t="s">
        <v>1743</v>
      </c>
      <c r="G85" s="11" t="s">
        <v>1822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1743</v>
      </c>
      <c r="F86" s="11" t="s">
        <v>1743</v>
      </c>
      <c r="G86" s="11" t="s">
        <v>1745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1743</v>
      </c>
      <c r="F87" s="11" t="s">
        <v>1743</v>
      </c>
      <c r="G87" s="11" t="s">
        <v>1713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1743</v>
      </c>
      <c r="F88" s="11" t="s">
        <v>1743</v>
      </c>
      <c r="G88" s="11" t="s">
        <v>1714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1743</v>
      </c>
      <c r="F89" s="11" t="s">
        <v>1743</v>
      </c>
      <c r="G89" s="11" t="s">
        <v>1823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1743</v>
      </c>
      <c r="F90" s="11" t="s">
        <v>1743</v>
      </c>
      <c r="G90" s="11" t="s">
        <v>1871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1743</v>
      </c>
      <c r="F91" s="11" t="s">
        <v>1743</v>
      </c>
      <c r="G91" s="11" t="s">
        <v>1795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1743</v>
      </c>
      <c r="F92" s="11" t="s">
        <v>1743</v>
      </c>
      <c r="G92" s="11" t="s">
        <v>1711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1743</v>
      </c>
      <c r="F93" s="11" t="s">
        <v>1743</v>
      </c>
      <c r="G93" s="11" t="s">
        <v>1747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1743</v>
      </c>
      <c r="F94" s="11" t="s">
        <v>1743</v>
      </c>
      <c r="G94" s="11" t="s">
        <v>1719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1743</v>
      </c>
      <c r="F95" s="11" t="s">
        <v>1743</v>
      </c>
      <c r="G95" s="11" t="s">
        <v>1870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1743</v>
      </c>
      <c r="F96" s="11" t="s">
        <v>1743</v>
      </c>
      <c r="G96" s="11" t="s">
        <v>1872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1743</v>
      </c>
      <c r="F97" s="11" t="s">
        <v>1743</v>
      </c>
      <c r="G97" s="11" t="s">
        <v>2040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1743</v>
      </c>
      <c r="F98" s="11" t="s">
        <v>1743</v>
      </c>
      <c r="G98" s="11" t="s">
        <v>1714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1743</v>
      </c>
      <c r="F99" s="11" t="s">
        <v>1743</v>
      </c>
      <c r="G99" s="11" t="s">
        <v>1823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1743</v>
      </c>
      <c r="F100" s="11" t="s">
        <v>1743</v>
      </c>
      <c r="G100" s="11" t="s">
        <v>2061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1743</v>
      </c>
      <c r="F101" s="11" t="s">
        <v>1743</v>
      </c>
      <c r="G101" s="11" t="s">
        <v>2062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1743</v>
      </c>
      <c r="F102" s="11" t="s">
        <v>1743</v>
      </c>
      <c r="G102" s="11" t="s">
        <v>2065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1743</v>
      </c>
      <c r="F103" s="11" t="s">
        <v>1743</v>
      </c>
      <c r="G103" s="11" t="s">
        <v>2064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1743</v>
      </c>
      <c r="F104" s="11" t="s">
        <v>1743</v>
      </c>
      <c r="G104" s="11" t="s">
        <v>1714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1743</v>
      </c>
      <c r="F105" s="11" t="s">
        <v>1743</v>
      </c>
      <c r="G105" s="11" t="s">
        <v>2063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1743</v>
      </c>
      <c r="F106" s="11" t="s">
        <v>1743</v>
      </c>
      <c r="G106" s="11" t="s">
        <v>2126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1743</v>
      </c>
      <c r="F107" s="11" t="s">
        <v>1743</v>
      </c>
      <c r="G107" s="11" t="s">
        <v>1715</v>
      </c>
      <c r="H107" s="15">
        <v>15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1743</v>
      </c>
      <c r="F108" s="11" t="s">
        <v>1743</v>
      </c>
      <c r="G108" s="11" t="s">
        <v>2127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1743</v>
      </c>
      <c r="F109" s="11" t="s">
        <v>1743</v>
      </c>
      <c r="G109" s="11" t="s">
        <v>2128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1743</v>
      </c>
      <c r="F110" s="11" t="s">
        <v>1743</v>
      </c>
      <c r="G110" s="11" t="s">
        <v>1694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1743</v>
      </c>
      <c r="F111" s="11" t="s">
        <v>1743</v>
      </c>
      <c r="G111" s="11" t="s">
        <v>2129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1743</v>
      </c>
      <c r="F112" s="11" t="s">
        <v>1743</v>
      </c>
      <c r="G112" s="11" t="s">
        <v>2130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1743</v>
      </c>
      <c r="F113" s="11" t="s">
        <v>1743</v>
      </c>
      <c r="G113" s="11" t="s">
        <v>1717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1743</v>
      </c>
      <c r="F114" s="11" t="s">
        <v>1743</v>
      </c>
      <c r="G114" s="11" t="s">
        <v>2131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14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zoomScale="85" zoomScaleNormal="85" workbookViewId="0">
      <selection activeCell="N24" sqref="N24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1472</v>
      </c>
      <c r="B2" s="9" t="s">
        <v>33</v>
      </c>
      <c r="C2" s="9" t="s">
        <v>1063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1545</v>
      </c>
      <c r="C7" s="15">
        <v>1</v>
      </c>
      <c r="D7" s="15">
        <v>1</v>
      </c>
      <c r="E7" s="11" t="s">
        <v>1518</v>
      </c>
    </row>
    <row r="8" spans="1:5">
      <c r="A8" s="8"/>
      <c r="B8" s="11" t="s">
        <v>1545</v>
      </c>
      <c r="C8" s="15">
        <v>2</v>
      </c>
      <c r="D8" s="15">
        <v>1</v>
      </c>
      <c r="E8" s="11" t="s">
        <v>1519</v>
      </c>
    </row>
    <row r="9" spans="1:5">
      <c r="A9" s="8"/>
      <c r="B9" s="11" t="s">
        <v>1545</v>
      </c>
      <c r="C9" s="15">
        <v>3</v>
      </c>
      <c r="D9" s="15">
        <v>1</v>
      </c>
      <c r="E9" s="11" t="s">
        <v>1520</v>
      </c>
    </row>
    <row r="10" spans="1:5">
      <c r="A10" s="8"/>
      <c r="B10" s="11" t="s">
        <v>1545</v>
      </c>
      <c r="C10" s="15">
        <v>4</v>
      </c>
      <c r="D10" s="15">
        <v>1</v>
      </c>
      <c r="E10" s="11" t="s">
        <v>2099</v>
      </c>
    </row>
    <row r="11" spans="1:5">
      <c r="A11" s="8"/>
      <c r="B11" s="11" t="s">
        <v>1545</v>
      </c>
      <c r="C11" s="15">
        <v>1</v>
      </c>
      <c r="D11" s="15">
        <v>2</v>
      </c>
      <c r="E11" s="11" t="s">
        <v>1539</v>
      </c>
    </row>
    <row r="12" spans="1:5">
      <c r="A12" s="8"/>
      <c r="B12" s="11" t="s">
        <v>1545</v>
      </c>
      <c r="C12" s="15">
        <v>2</v>
      </c>
      <c r="D12" s="15">
        <v>2</v>
      </c>
      <c r="E12" s="11" t="s">
        <v>1540</v>
      </c>
    </row>
    <row r="13" spans="1:5">
      <c r="A13" s="8"/>
      <c r="B13" s="11" t="s">
        <v>1545</v>
      </c>
      <c r="C13" s="15">
        <v>3</v>
      </c>
      <c r="D13" s="15">
        <v>2</v>
      </c>
      <c r="E13" s="11" t="s">
        <v>1541</v>
      </c>
    </row>
    <row r="14" spans="1:5">
      <c r="A14" s="8"/>
      <c r="B14" s="11" t="s">
        <v>1545</v>
      </c>
      <c r="C14" s="15">
        <v>4</v>
      </c>
      <c r="D14" s="15">
        <v>2</v>
      </c>
      <c r="E14" s="11" t="s">
        <v>2105</v>
      </c>
    </row>
    <row r="15" spans="1:5">
      <c r="A15" s="8"/>
      <c r="B15" s="11" t="s">
        <v>1545</v>
      </c>
      <c r="C15" s="15">
        <v>1</v>
      </c>
      <c r="D15" s="15">
        <v>3</v>
      </c>
      <c r="E15" s="11" t="s">
        <v>1500</v>
      </c>
    </row>
    <row r="16" spans="1:5">
      <c r="A16" s="8"/>
      <c r="B16" s="11" t="s">
        <v>1545</v>
      </c>
      <c r="C16" s="15">
        <v>2</v>
      </c>
      <c r="D16" s="15">
        <v>3</v>
      </c>
      <c r="E16" s="11" t="s">
        <v>1501</v>
      </c>
    </row>
    <row r="17" spans="1:5">
      <c r="A17" s="8"/>
      <c r="B17" s="11" t="s">
        <v>1545</v>
      </c>
      <c r="C17" s="15">
        <v>3</v>
      </c>
      <c r="D17" s="15">
        <v>3</v>
      </c>
      <c r="E17" s="11" t="s">
        <v>1502</v>
      </c>
    </row>
    <row r="18" spans="1:5">
      <c r="A18" s="8"/>
      <c r="B18" s="11" t="s">
        <v>1545</v>
      </c>
      <c r="C18" s="15">
        <v>4</v>
      </c>
      <c r="D18" s="15">
        <v>3</v>
      </c>
      <c r="E18" s="11" t="s">
        <v>2092</v>
      </c>
    </row>
    <row r="19" spans="1:5">
      <c r="A19" s="8"/>
      <c r="B19" s="11" t="s">
        <v>1545</v>
      </c>
      <c r="C19" s="15">
        <v>1</v>
      </c>
      <c r="D19" s="15">
        <v>4</v>
      </c>
      <c r="E19" s="11" t="s">
        <v>1533</v>
      </c>
    </row>
    <row r="20" spans="1:5">
      <c r="A20" s="8"/>
      <c r="B20" s="11" t="s">
        <v>1545</v>
      </c>
      <c r="C20" s="15">
        <v>2</v>
      </c>
      <c r="D20" s="15">
        <v>4</v>
      </c>
      <c r="E20" s="11" t="s">
        <v>1534</v>
      </c>
    </row>
    <row r="21" spans="1:5">
      <c r="A21" s="8"/>
      <c r="B21" s="11" t="s">
        <v>1545</v>
      </c>
      <c r="C21" s="15">
        <v>3</v>
      </c>
      <c r="D21" s="15">
        <v>4</v>
      </c>
      <c r="E21" s="11" t="s">
        <v>1535</v>
      </c>
    </row>
    <row r="22" spans="1:5">
      <c r="A22" s="8"/>
      <c r="B22" s="11" t="s">
        <v>1545</v>
      </c>
      <c r="C22" s="15">
        <v>4</v>
      </c>
      <c r="D22" s="15">
        <v>4</v>
      </c>
      <c r="E22" s="11" t="s">
        <v>2104</v>
      </c>
    </row>
    <row r="23" spans="1:5">
      <c r="A23" s="8"/>
      <c r="B23" s="11" t="s">
        <v>1545</v>
      </c>
      <c r="C23" s="15">
        <v>1</v>
      </c>
      <c r="D23" s="15">
        <v>5</v>
      </c>
      <c r="E23" s="11" t="s">
        <v>1494</v>
      </c>
    </row>
    <row r="24" spans="1:5">
      <c r="A24" s="8"/>
      <c r="B24" s="11" t="s">
        <v>1545</v>
      </c>
      <c r="C24" s="15">
        <v>2</v>
      </c>
      <c r="D24" s="15">
        <v>5</v>
      </c>
      <c r="E24" s="11" t="s">
        <v>1495</v>
      </c>
    </row>
    <row r="25" spans="1:5">
      <c r="A25" s="8"/>
      <c r="B25" s="11" t="s">
        <v>1545</v>
      </c>
      <c r="C25" s="15">
        <v>3</v>
      </c>
      <c r="D25" s="15">
        <v>5</v>
      </c>
      <c r="E25" s="11" t="s">
        <v>1496</v>
      </c>
    </row>
    <row r="26" spans="1:5">
      <c r="A26" s="8"/>
      <c r="B26" s="11" t="s">
        <v>1545</v>
      </c>
      <c r="C26" s="15">
        <v>4</v>
      </c>
      <c r="D26" s="15">
        <v>5</v>
      </c>
      <c r="E26" s="11" t="s">
        <v>2088</v>
      </c>
    </row>
    <row r="27" spans="1:5">
      <c r="A27" s="8"/>
      <c r="B27" s="11" t="s">
        <v>1545</v>
      </c>
      <c r="C27" s="15">
        <v>1</v>
      </c>
      <c r="D27" s="15">
        <v>6</v>
      </c>
      <c r="E27" s="11" t="s">
        <v>1530</v>
      </c>
    </row>
    <row r="28" spans="1:5">
      <c r="A28" s="8"/>
      <c r="B28" s="11" t="s">
        <v>1545</v>
      </c>
      <c r="C28" s="15">
        <v>2</v>
      </c>
      <c r="D28" s="15">
        <v>6</v>
      </c>
      <c r="E28" s="11" t="s">
        <v>1531</v>
      </c>
    </row>
    <row r="29" spans="1:5">
      <c r="A29" s="8"/>
      <c r="B29" s="11" t="s">
        <v>1545</v>
      </c>
      <c r="C29" s="15">
        <v>3</v>
      </c>
      <c r="D29" s="15">
        <v>6</v>
      </c>
      <c r="E29" s="11" t="s">
        <v>1532</v>
      </c>
    </row>
    <row r="30" spans="1:5">
      <c r="A30" s="8"/>
      <c r="B30" s="11" t="s">
        <v>1545</v>
      </c>
      <c r="C30" s="15">
        <v>4</v>
      </c>
      <c r="D30" s="15">
        <v>6</v>
      </c>
      <c r="E30" s="11" t="s">
        <v>2103</v>
      </c>
    </row>
    <row r="31" spans="1:5">
      <c r="A31" s="8"/>
      <c r="B31" s="11" t="s">
        <v>1546</v>
      </c>
      <c r="C31" s="15">
        <v>1</v>
      </c>
      <c r="D31" s="15">
        <v>1</v>
      </c>
      <c r="E31" s="11" t="s">
        <v>1482</v>
      </c>
    </row>
    <row r="32" spans="1:5">
      <c r="A32" s="8"/>
      <c r="B32" s="11" t="s">
        <v>1546</v>
      </c>
      <c r="C32" s="15">
        <v>2</v>
      </c>
      <c r="D32" s="15">
        <v>1</v>
      </c>
      <c r="E32" s="11" t="s">
        <v>1483</v>
      </c>
    </row>
    <row r="33" spans="1:5">
      <c r="A33" s="8"/>
      <c r="B33" s="11" t="s">
        <v>1546</v>
      </c>
      <c r="C33" s="15">
        <v>3</v>
      </c>
      <c r="D33" s="15">
        <v>1</v>
      </c>
      <c r="E33" s="11" t="s">
        <v>1484</v>
      </c>
    </row>
    <row r="34" spans="1:5">
      <c r="A34" s="8"/>
      <c r="B34" s="11" t="s">
        <v>1546</v>
      </c>
      <c r="C34" s="15">
        <v>1</v>
      </c>
      <c r="D34" s="15">
        <v>2</v>
      </c>
      <c r="E34" s="11" t="s">
        <v>1488</v>
      </c>
    </row>
    <row r="35" spans="1:5">
      <c r="A35" s="8"/>
      <c r="B35" s="11" t="s">
        <v>1546</v>
      </c>
      <c r="C35" s="15">
        <v>2</v>
      </c>
      <c r="D35" s="15">
        <v>2</v>
      </c>
      <c r="E35" s="11" t="s">
        <v>1489</v>
      </c>
    </row>
    <row r="36" spans="1:5">
      <c r="A36" s="8"/>
      <c r="B36" s="11" t="s">
        <v>1546</v>
      </c>
      <c r="C36" s="15">
        <v>3</v>
      </c>
      <c r="D36" s="15">
        <v>2</v>
      </c>
      <c r="E36" s="11" t="s">
        <v>1490</v>
      </c>
    </row>
    <row r="37" spans="1:5">
      <c r="A37" s="8"/>
      <c r="B37" s="11" t="s">
        <v>1546</v>
      </c>
      <c r="C37" s="15">
        <v>1</v>
      </c>
      <c r="D37" s="15">
        <v>3</v>
      </c>
      <c r="E37" s="11" t="s">
        <v>1524</v>
      </c>
    </row>
    <row r="38" spans="1:5">
      <c r="A38" s="8"/>
      <c r="B38" s="11" t="s">
        <v>1546</v>
      </c>
      <c r="C38" s="15">
        <v>2</v>
      </c>
      <c r="D38" s="15">
        <v>3</v>
      </c>
      <c r="E38" s="11" t="s">
        <v>1525</v>
      </c>
    </row>
    <row r="39" spans="1:5">
      <c r="A39" s="8"/>
      <c r="B39" s="11" t="s">
        <v>1546</v>
      </c>
      <c r="C39" s="15">
        <v>3</v>
      </c>
      <c r="D39" s="15">
        <v>3</v>
      </c>
      <c r="E39" s="11" t="s">
        <v>1526</v>
      </c>
    </row>
    <row r="40" spans="1:5">
      <c r="A40" s="8"/>
      <c r="B40" s="11" t="s">
        <v>1546</v>
      </c>
      <c r="C40" s="15">
        <v>1</v>
      </c>
      <c r="D40" s="15">
        <v>4</v>
      </c>
      <c r="E40" s="11" t="s">
        <v>1521</v>
      </c>
    </row>
    <row r="41" spans="1:5">
      <c r="A41" s="8"/>
      <c r="B41" s="11" t="s">
        <v>1546</v>
      </c>
      <c r="C41" s="15">
        <v>2</v>
      </c>
      <c r="D41" s="15">
        <v>4</v>
      </c>
      <c r="E41" s="11" t="s">
        <v>1522</v>
      </c>
    </row>
    <row r="42" spans="1:5">
      <c r="A42" s="8"/>
      <c r="B42" s="11" t="s">
        <v>1546</v>
      </c>
      <c r="C42" s="15">
        <v>3</v>
      </c>
      <c r="D42" s="15">
        <v>4</v>
      </c>
      <c r="E42" s="11" t="s">
        <v>1523</v>
      </c>
    </row>
    <row r="43" spans="1:5">
      <c r="A43" s="8"/>
      <c r="B43" s="11" t="s">
        <v>1546</v>
      </c>
      <c r="C43" s="15">
        <v>1</v>
      </c>
      <c r="D43" s="15">
        <v>5</v>
      </c>
      <c r="E43" s="11" t="s">
        <v>1497</v>
      </c>
    </row>
    <row r="44" spans="1:5">
      <c r="A44" s="8"/>
      <c r="B44" s="11" t="s">
        <v>1546</v>
      </c>
      <c r="C44" s="15">
        <v>2</v>
      </c>
      <c r="D44" s="15">
        <v>5</v>
      </c>
      <c r="E44" s="11" t="s">
        <v>1498</v>
      </c>
    </row>
    <row r="45" spans="1:5">
      <c r="A45" s="8"/>
      <c r="B45" s="11" t="s">
        <v>1546</v>
      </c>
      <c r="C45" s="15">
        <v>3</v>
      </c>
      <c r="D45" s="15">
        <v>5</v>
      </c>
      <c r="E45" s="11" t="s">
        <v>1499</v>
      </c>
    </row>
    <row r="46" spans="1:5">
      <c r="A46" s="8"/>
      <c r="B46" s="11" t="s">
        <v>1546</v>
      </c>
      <c r="C46" s="15">
        <v>1</v>
      </c>
      <c r="D46" s="15">
        <v>6</v>
      </c>
      <c r="E46" s="11" t="s">
        <v>1479</v>
      </c>
    </row>
    <row r="47" spans="1:5">
      <c r="A47" s="8"/>
      <c r="B47" s="11" t="s">
        <v>1546</v>
      </c>
      <c r="C47" s="15">
        <v>2</v>
      </c>
      <c r="D47" s="15">
        <v>6</v>
      </c>
      <c r="E47" s="11" t="s">
        <v>1480</v>
      </c>
    </row>
    <row r="48" spans="1:5">
      <c r="A48" s="8"/>
      <c r="B48" s="11" t="s">
        <v>1546</v>
      </c>
      <c r="C48" s="15">
        <v>3</v>
      </c>
      <c r="D48" s="15">
        <v>6</v>
      </c>
      <c r="E48" s="11" t="s">
        <v>1481</v>
      </c>
    </row>
    <row r="49" spans="1:5">
      <c r="A49" s="8"/>
      <c r="B49" s="11" t="s">
        <v>1547</v>
      </c>
      <c r="C49" s="15">
        <v>1</v>
      </c>
      <c r="D49" s="15">
        <v>1</v>
      </c>
      <c r="E49" s="11" t="s">
        <v>1476</v>
      </c>
    </row>
    <row r="50" spans="1:5">
      <c r="A50" s="8"/>
      <c r="B50" s="11" t="s">
        <v>1547</v>
      </c>
      <c r="C50" s="15">
        <v>2</v>
      </c>
      <c r="D50" s="15">
        <v>1</v>
      </c>
      <c r="E50" s="11" t="s">
        <v>1477</v>
      </c>
    </row>
    <row r="51" spans="1:5">
      <c r="A51" s="8"/>
      <c r="B51" s="11" t="s">
        <v>1547</v>
      </c>
      <c r="C51" s="15">
        <v>3</v>
      </c>
      <c r="D51" s="15">
        <v>1</v>
      </c>
      <c r="E51" s="11" t="s">
        <v>1478</v>
      </c>
    </row>
    <row r="52" spans="1:5">
      <c r="A52" s="8"/>
      <c r="B52" s="11" t="s">
        <v>1547</v>
      </c>
      <c r="C52" s="15">
        <v>1</v>
      </c>
      <c r="D52" s="15">
        <v>2</v>
      </c>
      <c r="E52" s="11" t="s">
        <v>1527</v>
      </c>
    </row>
    <row r="53" spans="1:5">
      <c r="A53" s="8"/>
      <c r="B53" s="11" t="s">
        <v>1547</v>
      </c>
      <c r="C53" s="15">
        <v>2</v>
      </c>
      <c r="D53" s="15">
        <v>2</v>
      </c>
      <c r="E53" s="11" t="s">
        <v>1528</v>
      </c>
    </row>
    <row r="54" spans="1:5">
      <c r="A54" s="8"/>
      <c r="B54" s="11" t="s">
        <v>1547</v>
      </c>
      <c r="C54" s="15">
        <v>3</v>
      </c>
      <c r="D54" s="15">
        <v>2</v>
      </c>
      <c r="E54" s="11" t="s">
        <v>1529</v>
      </c>
    </row>
    <row r="55" spans="1:5">
      <c r="A55" s="8"/>
      <c r="B55" s="11" t="s">
        <v>1547</v>
      </c>
      <c r="C55" s="15">
        <v>1</v>
      </c>
      <c r="D55" s="15">
        <v>3</v>
      </c>
      <c r="E55" s="11" t="s">
        <v>1509</v>
      </c>
    </row>
    <row r="56" spans="1:5">
      <c r="A56" s="8"/>
      <c r="B56" s="11" t="s">
        <v>1547</v>
      </c>
      <c r="C56" s="15">
        <v>2</v>
      </c>
      <c r="D56" s="15">
        <v>3</v>
      </c>
      <c r="E56" s="11" t="s">
        <v>1510</v>
      </c>
    </row>
    <row r="57" spans="1:5">
      <c r="A57" s="8"/>
      <c r="B57" s="11" t="s">
        <v>1547</v>
      </c>
      <c r="C57" s="15">
        <v>3</v>
      </c>
      <c r="D57" s="15">
        <v>3</v>
      </c>
      <c r="E57" s="11" t="s">
        <v>1511</v>
      </c>
    </row>
    <row r="58" spans="1:5">
      <c r="A58" s="8"/>
      <c r="B58" s="11" t="s">
        <v>1547</v>
      </c>
      <c r="C58" s="15">
        <v>1</v>
      </c>
      <c r="D58" s="15">
        <v>4</v>
      </c>
      <c r="E58" s="11" t="s">
        <v>1536</v>
      </c>
    </row>
    <row r="59" spans="1:5">
      <c r="A59" s="8"/>
      <c r="B59" s="11" t="s">
        <v>1547</v>
      </c>
      <c r="C59" s="15">
        <v>2</v>
      </c>
      <c r="D59" s="15">
        <v>4</v>
      </c>
      <c r="E59" s="11" t="s">
        <v>1537</v>
      </c>
    </row>
    <row r="60" spans="1:5">
      <c r="A60" s="8"/>
      <c r="B60" s="11" t="s">
        <v>1547</v>
      </c>
      <c r="C60" s="15">
        <v>3</v>
      </c>
      <c r="D60" s="15">
        <v>4</v>
      </c>
      <c r="E60" s="11" t="s">
        <v>1538</v>
      </c>
    </row>
    <row r="61" spans="1:5">
      <c r="A61" s="8"/>
      <c r="B61" s="11" t="s">
        <v>1547</v>
      </c>
      <c r="C61" s="15">
        <v>1</v>
      </c>
      <c r="D61" s="15">
        <v>5</v>
      </c>
      <c r="E61" s="11" t="s">
        <v>1473</v>
      </c>
    </row>
    <row r="62" spans="1:5">
      <c r="A62" s="8"/>
      <c r="B62" s="11" t="s">
        <v>1547</v>
      </c>
      <c r="C62" s="15">
        <v>2</v>
      </c>
      <c r="D62" s="15">
        <v>5</v>
      </c>
      <c r="E62" s="11" t="s">
        <v>1474</v>
      </c>
    </row>
    <row r="63" spans="1:5">
      <c r="A63" s="8"/>
      <c r="B63" s="11" t="s">
        <v>1547</v>
      </c>
      <c r="C63" s="15">
        <v>3</v>
      </c>
      <c r="D63" s="15">
        <v>5</v>
      </c>
      <c r="E63" s="11" t="s">
        <v>1475</v>
      </c>
    </row>
    <row r="64" spans="1:5">
      <c r="A64" s="8"/>
      <c r="B64" s="11" t="s">
        <v>1547</v>
      </c>
      <c r="C64" s="15">
        <v>1</v>
      </c>
      <c r="D64" s="15">
        <v>6</v>
      </c>
      <c r="E64" s="11" t="s">
        <v>1506</v>
      </c>
    </row>
    <row r="65" spans="1:5">
      <c r="A65" s="8"/>
      <c r="B65" s="11" t="s">
        <v>1547</v>
      </c>
      <c r="C65" s="15">
        <v>2</v>
      </c>
      <c r="D65" s="15">
        <v>6</v>
      </c>
      <c r="E65" s="11" t="s">
        <v>1508</v>
      </c>
    </row>
    <row r="66" spans="1:5">
      <c r="A66" s="8"/>
      <c r="B66" s="11" t="s">
        <v>1547</v>
      </c>
      <c r="C66" s="15">
        <v>3</v>
      </c>
      <c r="D66" s="15">
        <v>6</v>
      </c>
      <c r="E66" s="11" t="s">
        <v>1507</v>
      </c>
    </row>
    <row r="67" spans="1:5">
      <c r="A67" s="8"/>
      <c r="B67" s="11" t="s">
        <v>1548</v>
      </c>
      <c r="C67" s="15">
        <v>1</v>
      </c>
      <c r="D67" s="15">
        <v>1</v>
      </c>
      <c r="E67" s="11" t="s">
        <v>1485</v>
      </c>
    </row>
    <row r="68" spans="1:5">
      <c r="A68" s="8"/>
      <c r="B68" s="11" t="s">
        <v>1548</v>
      </c>
      <c r="C68" s="15">
        <v>2</v>
      </c>
      <c r="D68" s="15">
        <v>1</v>
      </c>
      <c r="E68" s="11" t="s">
        <v>1486</v>
      </c>
    </row>
    <row r="69" spans="1:5">
      <c r="A69" s="8"/>
      <c r="B69" s="11" t="s">
        <v>1548</v>
      </c>
      <c r="C69" s="15">
        <v>3</v>
      </c>
      <c r="D69" s="15">
        <v>1</v>
      </c>
      <c r="E69" s="11" t="s">
        <v>1487</v>
      </c>
    </row>
    <row r="70" spans="1:5">
      <c r="A70" s="8"/>
      <c r="B70" s="11" t="s">
        <v>1548</v>
      </c>
      <c r="C70" s="15">
        <v>1</v>
      </c>
      <c r="D70" s="15">
        <v>2</v>
      </c>
      <c r="E70" s="11" t="s">
        <v>1515</v>
      </c>
    </row>
    <row r="71" spans="1:5">
      <c r="A71" s="8"/>
      <c r="B71" s="11" t="s">
        <v>1548</v>
      </c>
      <c r="C71" s="15">
        <v>2</v>
      </c>
      <c r="D71" s="15">
        <v>2</v>
      </c>
      <c r="E71" s="11" t="s">
        <v>1516</v>
      </c>
    </row>
    <row r="72" spans="1:5">
      <c r="A72" s="8"/>
      <c r="B72" s="11" t="s">
        <v>1548</v>
      </c>
      <c r="C72" s="15">
        <v>3</v>
      </c>
      <c r="D72" s="15">
        <v>2</v>
      </c>
      <c r="E72" s="11" t="s">
        <v>1517</v>
      </c>
    </row>
    <row r="73" spans="1:5">
      <c r="A73" s="8"/>
      <c r="B73" s="11" t="s">
        <v>1548</v>
      </c>
      <c r="C73" s="15">
        <v>1</v>
      </c>
      <c r="D73" s="15">
        <v>3</v>
      </c>
      <c r="E73" s="11" t="s">
        <v>1503</v>
      </c>
    </row>
    <row r="74" spans="1:5">
      <c r="A74" s="8"/>
      <c r="B74" s="11" t="s">
        <v>1548</v>
      </c>
      <c r="C74" s="15">
        <v>2</v>
      </c>
      <c r="D74" s="15">
        <v>3</v>
      </c>
      <c r="E74" s="11" t="s">
        <v>1504</v>
      </c>
    </row>
    <row r="75" spans="1:5">
      <c r="A75" s="8"/>
      <c r="B75" s="11" t="s">
        <v>1548</v>
      </c>
      <c r="C75" s="15">
        <v>3</v>
      </c>
      <c r="D75" s="15">
        <v>3</v>
      </c>
      <c r="E75" s="11" t="s">
        <v>1505</v>
      </c>
    </row>
    <row r="76" spans="1:5">
      <c r="A76" s="8"/>
      <c r="B76" s="11" t="s">
        <v>1548</v>
      </c>
      <c r="C76" s="15">
        <v>1</v>
      </c>
      <c r="D76" s="15">
        <v>4</v>
      </c>
      <c r="E76" s="11" t="s">
        <v>1542</v>
      </c>
    </row>
    <row r="77" spans="1:5">
      <c r="A77" s="8"/>
      <c r="B77" s="11" t="s">
        <v>1548</v>
      </c>
      <c r="C77" s="15">
        <v>2</v>
      </c>
      <c r="D77" s="15">
        <v>4</v>
      </c>
      <c r="E77" s="11" t="s">
        <v>1543</v>
      </c>
    </row>
    <row r="78" spans="1:5">
      <c r="A78" s="8"/>
      <c r="B78" s="11" t="s">
        <v>1548</v>
      </c>
      <c r="C78" s="15">
        <v>3</v>
      </c>
      <c r="D78" s="15">
        <v>4</v>
      </c>
      <c r="E78" s="11" t="s">
        <v>1544</v>
      </c>
    </row>
    <row r="79" spans="1:5">
      <c r="A79" s="8"/>
      <c r="B79" s="11" t="s">
        <v>1548</v>
      </c>
      <c r="C79" s="15">
        <v>1</v>
      </c>
      <c r="D79" s="15">
        <v>5</v>
      </c>
      <c r="E79" s="11" t="s">
        <v>1491</v>
      </c>
    </row>
    <row r="80" spans="1:5">
      <c r="A80" s="8"/>
      <c r="B80" s="11" t="s">
        <v>1548</v>
      </c>
      <c r="C80" s="15">
        <v>2</v>
      </c>
      <c r="D80" s="15">
        <v>5</v>
      </c>
      <c r="E80" s="11" t="s">
        <v>1492</v>
      </c>
    </row>
    <row r="81" spans="1:5">
      <c r="A81" s="8"/>
      <c r="B81" s="11" t="s">
        <v>1548</v>
      </c>
      <c r="C81" s="15">
        <v>3</v>
      </c>
      <c r="D81" s="15">
        <v>5</v>
      </c>
      <c r="E81" s="11" t="s">
        <v>1493</v>
      </c>
    </row>
    <row r="82" spans="1:5">
      <c r="A82" s="8"/>
      <c r="B82" s="11" t="s">
        <v>1548</v>
      </c>
      <c r="C82" s="15">
        <v>1</v>
      </c>
      <c r="D82" s="15">
        <v>6</v>
      </c>
      <c r="E82" s="11" t="s">
        <v>1512</v>
      </c>
    </row>
    <row r="83" spans="1:5">
      <c r="A83" s="8"/>
      <c r="B83" s="11" t="s">
        <v>1548</v>
      </c>
      <c r="C83" s="15">
        <v>2</v>
      </c>
      <c r="D83" s="15">
        <v>6</v>
      </c>
      <c r="E83" s="11" t="s">
        <v>1513</v>
      </c>
    </row>
    <row r="84" spans="1:5">
      <c r="A84" s="8"/>
      <c r="B84" s="11" t="s">
        <v>1548</v>
      </c>
      <c r="C84" s="15">
        <v>3</v>
      </c>
      <c r="D84" s="15">
        <v>6</v>
      </c>
      <c r="E84" s="11" t="s">
        <v>1514</v>
      </c>
    </row>
    <row r="85" spans="1:5">
      <c r="A85" s="8"/>
      <c r="B85" s="11" t="s">
        <v>2106</v>
      </c>
      <c r="C85" s="15">
        <v>1</v>
      </c>
      <c r="D85" s="15">
        <v>1</v>
      </c>
      <c r="E85" s="11" t="s">
        <v>2096</v>
      </c>
    </row>
    <row r="86" spans="1:5">
      <c r="A86" s="8"/>
      <c r="B86" s="11" t="s">
        <v>2106</v>
      </c>
      <c r="C86" s="15">
        <v>2</v>
      </c>
      <c r="D86" s="15">
        <v>1</v>
      </c>
      <c r="E86" s="11" t="s">
        <v>2097</v>
      </c>
    </row>
    <row r="87" spans="1:5">
      <c r="A87" s="8"/>
      <c r="B87" s="11" t="s">
        <v>2106</v>
      </c>
      <c r="C87" s="15">
        <v>3</v>
      </c>
      <c r="D87" s="15">
        <v>1</v>
      </c>
      <c r="E87" s="11" t="s">
        <v>2098</v>
      </c>
    </row>
    <row r="88" spans="1:5">
      <c r="A88" s="8"/>
      <c r="B88" s="11" t="s">
        <v>2106</v>
      </c>
      <c r="C88" s="15">
        <v>1</v>
      </c>
      <c r="D88" s="15">
        <v>2</v>
      </c>
      <c r="E88" s="11" t="s">
        <v>2089</v>
      </c>
    </row>
    <row r="89" spans="1:5">
      <c r="A89" s="8"/>
      <c r="B89" s="11" t="s">
        <v>2106</v>
      </c>
      <c r="C89" s="15">
        <v>2</v>
      </c>
      <c r="D89" s="15">
        <v>2</v>
      </c>
      <c r="E89" s="11" t="s">
        <v>2090</v>
      </c>
    </row>
    <row r="90" spans="1:5">
      <c r="A90" s="8"/>
      <c r="B90" s="11" t="s">
        <v>2106</v>
      </c>
      <c r="C90" s="15">
        <v>3</v>
      </c>
      <c r="D90" s="15">
        <v>2</v>
      </c>
      <c r="E90" s="11" t="s">
        <v>2091</v>
      </c>
    </row>
    <row r="91" spans="1:5">
      <c r="A91" s="8"/>
      <c r="B91" s="11" t="s">
        <v>2106</v>
      </c>
      <c r="C91" s="15">
        <v>1</v>
      </c>
      <c r="D91" s="15">
        <v>3</v>
      </c>
      <c r="E91" s="11" t="s">
        <v>2100</v>
      </c>
    </row>
    <row r="92" spans="1:5">
      <c r="A92" s="8"/>
      <c r="B92" s="11" t="s">
        <v>2106</v>
      </c>
      <c r="C92" s="15">
        <v>2</v>
      </c>
      <c r="D92" s="15">
        <v>3</v>
      </c>
      <c r="E92" s="11" t="s">
        <v>2101</v>
      </c>
    </row>
    <row r="93" spans="1:5">
      <c r="A93" s="8"/>
      <c r="B93" s="11" t="s">
        <v>2106</v>
      </c>
      <c r="C93" s="15">
        <v>3</v>
      </c>
      <c r="D93" s="15">
        <v>3</v>
      </c>
      <c r="E93" s="11" t="s">
        <v>2102</v>
      </c>
    </row>
    <row r="94" spans="1:5">
      <c r="A94" s="8"/>
      <c r="B94" s="11" t="s">
        <v>2106</v>
      </c>
      <c r="C94" s="15">
        <v>1</v>
      </c>
      <c r="D94" s="15">
        <v>4</v>
      </c>
      <c r="E94" s="11" t="s">
        <v>2082</v>
      </c>
    </row>
    <row r="95" spans="1:5">
      <c r="A95" s="8"/>
      <c r="B95" s="11" t="s">
        <v>2106</v>
      </c>
      <c r="C95" s="15">
        <v>2</v>
      </c>
      <c r="D95" s="15">
        <v>4</v>
      </c>
      <c r="E95" s="11" t="s">
        <v>2083</v>
      </c>
    </row>
    <row r="96" spans="1:5">
      <c r="A96" s="8"/>
      <c r="B96" s="11" t="s">
        <v>2106</v>
      </c>
      <c r="C96" s="15">
        <v>3</v>
      </c>
      <c r="D96" s="15">
        <v>4</v>
      </c>
      <c r="E96" s="11" t="s">
        <v>2084</v>
      </c>
    </row>
    <row r="97" spans="1:5">
      <c r="A97" s="8"/>
      <c r="B97" s="11" t="s">
        <v>2106</v>
      </c>
      <c r="C97" s="15">
        <v>1</v>
      </c>
      <c r="D97" s="15">
        <v>5</v>
      </c>
      <c r="E97" s="11" t="s">
        <v>2085</v>
      </c>
    </row>
    <row r="98" spans="1:5">
      <c r="A98" s="8"/>
      <c r="B98" s="11" t="s">
        <v>2106</v>
      </c>
      <c r="C98" s="15">
        <v>2</v>
      </c>
      <c r="D98" s="15">
        <v>5</v>
      </c>
      <c r="E98" s="11" t="s">
        <v>2086</v>
      </c>
    </row>
    <row r="99" spans="1:5">
      <c r="A99" s="8"/>
      <c r="B99" s="11" t="s">
        <v>2106</v>
      </c>
      <c r="C99" s="15">
        <v>3</v>
      </c>
      <c r="D99" s="15">
        <v>5</v>
      </c>
      <c r="E99" s="11" t="s">
        <v>2087</v>
      </c>
    </row>
    <row r="100" spans="1:5">
      <c r="A100" s="8"/>
      <c r="B100" s="11" t="s">
        <v>2106</v>
      </c>
      <c r="C100" s="15">
        <v>1</v>
      </c>
      <c r="D100" s="15">
        <v>6</v>
      </c>
      <c r="E100" s="11" t="s">
        <v>2093</v>
      </c>
    </row>
    <row r="101" spans="1:5">
      <c r="A101" s="8"/>
      <c r="B101" s="11" t="s">
        <v>2106</v>
      </c>
      <c r="C101" s="15">
        <v>2</v>
      </c>
      <c r="D101" s="15">
        <v>6</v>
      </c>
      <c r="E101" s="11" t="s">
        <v>2094</v>
      </c>
    </row>
    <row r="102" spans="1:5">
      <c r="A102" s="8"/>
      <c r="B102" s="11" t="s">
        <v>2106</v>
      </c>
      <c r="C102" s="15">
        <v>3</v>
      </c>
      <c r="D102" s="15">
        <v>6</v>
      </c>
      <c r="E102" s="11" t="s">
        <v>2095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1806</v>
      </c>
      <c r="B2" s="9" t="s">
        <v>718</v>
      </c>
      <c r="C2" s="9" t="s">
        <v>1798</v>
      </c>
      <c r="D2" s="9" t="s">
        <v>1799</v>
      </c>
      <c r="E2" s="9" t="s">
        <v>1801</v>
      </c>
      <c r="F2" s="9" t="s">
        <v>1803</v>
      </c>
      <c r="G2" s="9" t="s">
        <v>1804</v>
      </c>
      <c r="H2" s="9" t="s">
        <v>1805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1800</v>
      </c>
      <c r="E4" s="9" t="s">
        <v>1802</v>
      </c>
      <c r="F4" s="9" t="s">
        <v>1802</v>
      </c>
      <c r="G4" s="9" t="s">
        <v>1802</v>
      </c>
      <c r="H4" s="9" t="s">
        <v>1802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2024-08-08T17:21:39Z</dcterms:modified>
</cp:coreProperties>
</file>