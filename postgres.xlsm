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2E5FB2F2-AD67-4F0F-9AFE-38E349FBDC9C}" xr6:coauthVersionLast="47" xr6:coauthVersionMax="47" xr10:uidLastSave="{00000000-0000-0000-0000-000000000000}"/>
  <bookViews>
    <workbookView xWindow="28680" yWindow="-120" windowWidth="29040" windowHeight="15840" firstSheet="4" activeTab="6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skill_buff!$B$6:$P$302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50" i="58" l="1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0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4" i="59"/>
  <c r="F273" i="59"/>
  <c r="F145" i="59"/>
  <c r="F272" i="59"/>
  <c r="F271" i="59"/>
  <c r="F270" i="59"/>
  <c r="F269" i="59"/>
  <c r="F268" i="59"/>
  <c r="F267" i="59"/>
  <c r="F266" i="59"/>
  <c r="F265" i="59"/>
  <c r="F264" i="59"/>
  <c r="F263" i="59"/>
  <c r="F262" i="59"/>
  <c r="F261" i="59"/>
  <c r="F260" i="59"/>
  <c r="F259" i="59"/>
  <c r="F302" i="59"/>
  <c r="F143" i="59"/>
  <c r="F144" i="59"/>
  <c r="F142" i="59"/>
  <c r="F301" i="59"/>
  <c r="F141" i="59"/>
  <c r="D140" i="58"/>
  <c r="F140" i="59"/>
  <c r="F139" i="59"/>
  <c r="F203" i="59"/>
  <c r="F191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9" i="59"/>
  <c r="F298" i="59"/>
  <c r="F297" i="59"/>
  <c r="F296" i="59"/>
  <c r="F295" i="59"/>
  <c r="F294" i="59"/>
  <c r="F293" i="59"/>
  <c r="F292" i="59"/>
  <c r="F291" i="59"/>
  <c r="F284" i="59"/>
  <c r="F290" i="59"/>
  <c r="F289" i="59"/>
  <c r="F288" i="59"/>
  <c r="F287" i="59"/>
  <c r="F286" i="59"/>
  <c r="F285" i="59"/>
  <c r="F283" i="59"/>
  <c r="F136" i="59"/>
  <c r="F135" i="59"/>
  <c r="F282" i="59"/>
  <c r="F281" i="59"/>
  <c r="F236" i="59"/>
  <c r="F190" i="59"/>
  <c r="D318" i="58"/>
  <c r="D139" i="58"/>
  <c r="D319" i="58"/>
  <c r="D137" i="58"/>
  <c r="D136" i="58"/>
  <c r="D135" i="58"/>
  <c r="F280" i="59"/>
  <c r="F279" i="59"/>
  <c r="F278" i="59"/>
  <c r="F277" i="59"/>
  <c r="F276" i="59"/>
  <c r="F130" i="59"/>
  <c r="F131" i="59"/>
  <c r="F132" i="59"/>
  <c r="F275" i="59"/>
  <c r="F133" i="59"/>
  <c r="F134" i="59"/>
  <c r="F129" i="59"/>
  <c r="F246" i="59"/>
  <c r="A1" i="60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45" i="59"/>
  <c r="F244" i="59"/>
  <c r="F243" i="59"/>
  <c r="F242" i="59"/>
  <c r="F241" i="59"/>
  <c r="F240" i="59"/>
  <c r="F239" i="59"/>
  <c r="F238" i="59"/>
  <c r="F237" i="59"/>
  <c r="F235" i="59"/>
  <c r="F234" i="59"/>
  <c r="F233" i="59"/>
  <c r="F232" i="59"/>
  <c r="F231" i="59"/>
  <c r="F230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2" i="59"/>
  <c r="F201" i="59"/>
  <c r="F200" i="59"/>
  <c r="F199" i="59"/>
  <c r="F198" i="59"/>
  <c r="F197" i="59"/>
  <c r="F196" i="59"/>
  <c r="F195" i="59"/>
  <c r="F194" i="59"/>
  <c r="F193" i="59"/>
  <c r="F192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<sst xmlns="http://schemas.openxmlformats.org/spreadsheetml/2006/main" count="3708" uniqueCount="2143">
  <si>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</si>
  <si>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</si>
  <si>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</si>
  <si>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</si>
  <si>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</si>
  <si>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</si>
  <si>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</si>
  <si>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</si>
  <si>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</si>
  <si>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</si>
  <si>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</si>
  <si>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</si>
  <si>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</si>
  <si>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</si>
  <si>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</si>
  <si>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</si>
  <si>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</si>
  <si>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</si>
  <si>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</si>
  <si>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</si>
  <si>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</si>
  <si>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</si>
  <si>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</si>
  <si>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</si>
  <si>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</si>
  <si>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</si>
  <si>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</si>
  <si>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</si>
  <si>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</si>
  <si>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</si>
  <si>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</si>
  <si>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</si>
  <si>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</si>
  <si>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</si>
  <si>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</si>
  <si>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</si>
  <si>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</si>
  <si>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</si>
  <si>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</si>
  <si>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</si>
  <si>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</si>
  <si>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</si>
  <si>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</si>
  <si>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</si>
  <si>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</si>
  <si>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</si>
  <si>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</si>
  <si>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</si>
  <si>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</si>
  <si>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</si>
  <si>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</si>
  <si>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</si>
  <si>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</si>
  <si>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</si>
  <si>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</si>
  <si>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</si>
  <si>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</si>
  <si>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</si>
  <si>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</si>
  <si>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</si>
  <si>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</si>
  <si>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</si>
  <si>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</si>
  <si>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</si>
  <si>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</si>
  <si>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</si>
  <si>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</si>
  <si>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</si>
  <si>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</si>
  <si>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</si>
  <si>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</si>
  <si>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</si>
  <si>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</si>
  <si>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</si>
  <si>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</si>
  <si>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</si>
  <si>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</si>
  <si>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</si>
  <si>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</si>
  <si>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</si>
  <si>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</si>
  <si>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</si>
  <si>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</si>
  <si>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</si>
  <si>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</si>
  <si>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</si>
  <si>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</si>
  <si>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</si>
  <si>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</si>
  <si>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</si>
  <si>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</si>
  <si>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</si>
  <si>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</si>
  <si>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</si>
  <si>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</si>
  <si>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</si>
  <si>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</si>
  <si>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</si>
  <si>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</si>
  <si>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</si>
  <si>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</si>
  <si>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</si>
  <si>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</si>
  <si>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</si>
  <si>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</si>
  <si>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</si>
  <si>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</si>
  <si>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</si>
  <si>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</si>
  <si>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</si>
  <si>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</si>
  <si>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</si>
  <si>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</si>
  <si>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</si>
  <si>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</si>
  <si>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</si>
  <si>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</si>
  <si>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</si>
  <si>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</si>
  <si>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</si>
  <si>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</si>
  <si>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</si>
  <si>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</si>
  <si>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</si>
  <si>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</si>
  <si>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</si>
  <si>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</si>
  <si>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</si>
  <si>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</si>
  <si>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</si>
  <si>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</si>
  <si>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</si>
  <si>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</si>
  <si>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</si>
  <si>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</si>
  <si>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</si>
  <si>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</si>
  <si>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</si>
  <si>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</si>
  <si>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</si>
  <si>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</si>
  <si>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</si>
  <si>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</si>
  <si>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</si>
  <si>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</si>
  <si>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</si>
  <si>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</si>
  <si>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</si>
  <si>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</si>
  <si>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</si>
  <si>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</si>
  <si>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</si>
  <si>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</si>
  <si>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</si>
  <si>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</si>
  <si>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</si>
  <si>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</si>
  <si>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</si>
  <si>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</si>
  <si>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</si>
  <si>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</si>
  <si>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</si>
  <si>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</si>
  <si>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</si>
  <si>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</si>
  <si>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</si>
  <si>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</si>
  <si>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</si>
  <si>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</si>
  <si>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</si>
  <si>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</si>
  <si>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</si>
  <si>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</si>
  <si>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</si>
  <si>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</si>
  <si>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</si>
  <si>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</si>
  <si>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</si>
  <si>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</si>
  <si>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</si>
  <si>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</si>
  <si>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</si>
  <si>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</si>
  <si>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</si>
  <si>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</si>
  <si>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</si>
  <si>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</si>
  <si>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</si>
  <si>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</si>
  <si>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</si>
  <si>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</si>
  <si>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</si>
  <si>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</si>
  <si>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</si>
  <si>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</si>
  <si>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</si>
  <si>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</si>
  <si>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</si>
  <si>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</si>
  <si>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</si>
  <si>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</si>
  <si>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</si>
  <si>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</si>
  <si>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</si>
  <si>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</si>
  <si>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</si>
  <si>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</si>
  <si>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</si>
  <si>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</si>
  <si>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</si>
  <si>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</si>
  <si>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</si>
  <si>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</si>
  <si>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</si>
  <si>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</si>
  <si>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</si>
  <si>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</si>
  <si>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</si>
  <si>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</si>
  <si>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</si>
  <si>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</si>
  <si>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</si>
  <si>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</si>
  <si>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</si>
  <si>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</si>
  <si>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</si>
  <si>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</si>
  <si>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</si>
  <si>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</si>
  <si>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</si>
  <si>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</si>
  <si>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</si>
  <si>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</si>
  <si>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</si>
  <si>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</si>
  <si>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</si>
  <si>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</si>
  <si>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</si>
  <si>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</si>
  <si>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</si>
  <si>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</si>
  <si>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</si>
  <si>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</si>
  <si>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</si>
  <si>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</si>
  <si>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</si>
  <si>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</si>
  <si>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</si>
  <si>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</si>
  <si>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</si>
  <si>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</si>
  <si>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</si>
  <si>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</si>
  <si>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</si>
  <si>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</si>
  <si>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</si>
  <si>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</si>
  <si>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</si>
  <si>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</si>
  <si>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</si>
  <si>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</si>
  <si>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</si>
  <si>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</si>
  <si>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</si>
  <si>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</si>
  <si>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</si>
  <si>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</si>
  <si>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</si>
  <si>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</si>
  <si>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</si>
  <si>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</si>
  <si>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</si>
  <si>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</si>
  <si>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</si>
  <si>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</si>
  <si>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</si>
  <si>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</si>
  <si>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</si>
  <si>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</si>
  <si>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</si>
  <si>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</si>
  <si>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</si>
  <si>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</si>
  <si>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</si>
  <si>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</si>
  <si>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</si>
  <si>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</si>
  <si>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</si>
  <si>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</si>
  <si>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</si>
  <si>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</si>
  <si>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</si>
  <si>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</si>
  <si>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</si>
  <si>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</si>
  <si>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</si>
  <si>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</si>
  <si>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</si>
  <si>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</si>
  <si>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</si>
  <si>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</si>
  <si>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</si>
  <si>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</si>
  <si>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</si>
  <si>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</si>
  <si>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</si>
  <si>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</si>
  <si>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</si>
  <si>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</si>
  <si>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</si>
  <si>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</si>
  <si>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</si>
  <si>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</si>
  <si>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</si>
  <si>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</si>
  <si>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</si>
  <si>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</si>
  <si>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</si>
  <si>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</si>
  <si>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</si>
  <si>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</si>
  <si>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</si>
  <si>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</si>
  <si>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</si>
  <si>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</si>
  <si>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</si>
  <si>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</si>
  <si>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</si>
  <si>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</si>
  <si>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</si>
  <si>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</si>
  <si>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</si>
  <si>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</si>
  <si>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</si>
  <si>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</si>
  <si>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</si>
  <si>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</si>
  <si>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</si>
  <si>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</si>
  <si>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</si>
  <si>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</si>
  <si>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</si>
  <si>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</si>
  <si>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</si>
  <si>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</si>
  <si>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</si>
  <si>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</si>
  <si>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</si>
  <si>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</si>
  <si>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</si>
  <si>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</si>
  <si>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</si>
  <si>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</si>
  <si>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</si>
  <si>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</si>
  <si>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</si>
  <si>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</si>
  <si>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</si>
  <si>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</si>
  <si>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</si>
  <si>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</si>
  <si>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</si>
  <si>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</si>
  <si>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</si>
  <si>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</si>
  <si>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</si>
  <si>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</si>
  <si>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</si>
  <si>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</si>
  <si>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</si>
  <si>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</si>
  <si>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</si>
  <si>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</si>
  <si>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</si>
  <si>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</si>
  <si>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</si>
  <si>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</si>
  <si>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</si>
  <si>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</si>
  <si>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</si>
  <si>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</si>
  <si>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</si>
  <si>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</si>
  <si>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</si>
  <si>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</si>
  <si>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</si>
  <si>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</si>
  <si>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</si>
  <si>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</si>
  <si>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</si>
  <si>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</si>
  <si>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</si>
  <si>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</si>
  <si>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</si>
  <si>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</si>
  <si>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</si>
  <si>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</si>
  <si>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</si>
  <si>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</si>
  <si>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</si>
  <si>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</si>
  <si>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</si>
  <si>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</si>
  <si>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</si>
  <si>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</si>
  <si>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</si>
  <si>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</si>
  <si>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</si>
  <si>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</si>
  <si>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</si>
  <si>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</si>
  <si>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</si>
  <si>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</si>
  <si>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</si>
  <si>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</si>
  <si>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</si>
  <si>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</si>
  <si>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</si>
  <si>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</si>
  <si>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</si>
  <si>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</si>
  <si>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</si>
  <si>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</si>
  <si>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</si>
  <si>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</si>
  <si>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</si>
  <si>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</si>
  <si>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</si>
  <si>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</si>
  <si>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</si>
  <si>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</si>
  <si>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</si>
  <si>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</si>
  <si>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</si>
  <si>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</si>
  <si>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</si>
  <si>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</si>
  <si>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</si>
  <si>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</si>
  <si>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</si>
  <si>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</si>
  <si>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</si>
  <si>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</si>
  <si>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</si>
  <si>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</si>
  <si>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</si>
  <si>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</si>
  <si>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</si>
  <si>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</si>
  <si>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</si>
  <si>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</si>
  <si>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</si>
  <si>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</si>
  <si>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</si>
  <si>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</si>
  <si>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</si>
  <si>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</si>
  <si>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</si>
  <si>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</si>
  <si>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</si>
  <si>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</si>
  <si>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</si>
  <si>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</si>
  <si>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</si>
  <si>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</si>
  <si>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</si>
  <si>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</si>
  <si>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</si>
  <si>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</si>
  <si>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</si>
  <si>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</si>
  <si>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</si>
  <si>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</si>
  <si>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</si>
  <si>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</si>
  <si>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</si>
  <si>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</si>
  <si>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</si>
  <si>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</si>
  <si>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</si>
  <si>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</si>
  <si>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</si>
  <si>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</si>
  <si>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</si>
  <si>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</si>
  <si>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</si>
  <si>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</si>
  <si>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</si>
  <si>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</si>
  <si>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</si>
  <si>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</si>
  <si>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</si>
  <si>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</si>
  <si>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</si>
  <si>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</si>
  <si>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</si>
  <si>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</si>
  <si>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</si>
  <si>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</si>
  <si>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</si>
  <si>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</si>
  <si>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</si>
  <si>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</si>
  <si>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</si>
  <si>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</si>
  <si>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</si>
  <si>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</si>
  <si>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</si>
  <si>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</si>
  <si>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</si>
  <si>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</si>
  <si>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</si>
  <si>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</si>
  <si>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</si>
  <si>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</si>
  <si>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</si>
  <si>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</si>
  <si>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</si>
  <si>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</si>
  <si>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</si>
  <si>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</si>
  <si>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</si>
  <si>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</si>
  <si>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</si>
  <si>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</si>
  <si>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</si>
  <si>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</si>
  <si>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</si>
  <si>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</si>
  <si>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</si>
  <si>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</si>
  <si>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</si>
  <si>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</si>
  <si>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</si>
  <si>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</si>
  <si>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</si>
  <si>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</si>
  <si>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</si>
  <si>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</si>
  <si>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</si>
  <si>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</si>
  <si>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</si>
  <si>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</si>
  <si>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</si>
  <si>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</si>
  <si>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</si>
  <si>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</si>
  <si>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</si>
  <si>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</si>
  <si>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</si>
  <si>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</si>
  <si>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</si>
  <si>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</si>
  <si>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</si>
  <si>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</si>
  <si>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</si>
  <si>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</si>
  <si>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</si>
  <si>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</si>
  <si>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</si>
  <si>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</si>
  <si>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</si>
  <si>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</si>
  <si>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</si>
  <si>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</si>
  <si>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</si>
  <si>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</si>
  <si>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</si>
  <si>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</si>
  <si>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</si>
  <si>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</si>
  <si>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</si>
  <si>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</si>
  <si>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</si>
  <si>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</si>
  <si>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</si>
  <si>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</si>
  <si>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</si>
  <si>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</si>
  <si>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</si>
  <si>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</si>
  <si>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</si>
  <si>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</si>
  <si>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</si>
  <si>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</si>
  <si>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</si>
  <si>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</si>
  <si>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</si>
  <si>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</si>
  <si>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</si>
  <si>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</si>
  <si>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</si>
  <si>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</si>
  <si>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</si>
  <si>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</si>
  <si>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</si>
  <si>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</si>
  <si>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</si>
  <si>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</si>
  <si>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</si>
  <si>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</si>
  <si>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</si>
  <si>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</si>
  <si>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</si>
  <si>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</si>
  <si>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</si>
  <si>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</si>
  <si>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</si>
  <si>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</si>
  <si>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</si>
  <si>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</si>
  <si>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</si>
  <si>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</si>
  <si>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</si>
  <si>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</si>
  <si>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</si>
  <si>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</si>
  <si>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</si>
  <si>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</si>
  <si>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</si>
  <si>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</si>
  <si>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</si>
  <si>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</si>
  <si>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</si>
  <si>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</si>
  <si>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</si>
  <si>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</si>
  <si>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</si>
  <si>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</si>
  <si>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</si>
  <si>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</si>
  <si>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</si>
  <si>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</si>
  <si>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</si>
  <si>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</si>
  <si>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</si>
  <si>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</si>
  <si>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</si>
  <si>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</si>
  <si>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</si>
  <si>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</si>
  <si>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</si>
  <si>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</si>
  <si>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</si>
  <si>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</si>
  <si>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</si>
  <si>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</si>
  <si>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</si>
  <si>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</si>
  <si>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</si>
  <si>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</si>
  <si>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</si>
  <si>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</si>
  <si>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</si>
  <si>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</si>
  <si>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</si>
  <si>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</si>
  <si>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</si>
  <si>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</si>
  <si>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</si>
  <si>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</si>
  <si>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</si>
  <si>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</si>
  <si>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</si>
  <si>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</si>
  <si>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</si>
  <si>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</si>
  <si>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</si>
  <si>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</si>
  <si>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</si>
  <si>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</si>
  <si>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</si>
  <si>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</si>
  <si>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</si>
  <si>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</si>
  <si>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</si>
  <si>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</si>
  <si>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</si>
  <si>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</si>
  <si>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</si>
  <si>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</si>
  <si>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</si>
  <si>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</si>
  <si>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</si>
  <si>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</si>
  <si>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</si>
  <si>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</si>
  <si>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</si>
  <si>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</si>
  <si>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</si>
  <si>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</si>
  <si>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</si>
  <si>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</si>
  <si>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</si>
  <si>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</si>
  <si>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</si>
  <si>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</si>
  <si>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</si>
  <si>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</si>
  <si>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</si>
  <si>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</si>
  <si>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</si>
  <si>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</si>
  <si>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</si>
  <si>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</si>
  <si>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</si>
  <si>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</si>
  <si>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</si>
  <si>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</si>
  <si>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</si>
  <si>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</si>
  <si>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</si>
  <si>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</si>
  <si>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</si>
  <si>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</si>
  <si>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</si>
  <si>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</si>
  <si>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</si>
  <si>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</si>
  <si>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</si>
  <si>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</si>
  <si>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</si>
  <si>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</si>
  <si>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</si>
  <si>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</si>
  <si>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</si>
  <si>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</si>
  <si>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</si>
  <si>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</si>
  <si>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</si>
  <si>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</si>
  <si>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</si>
  <si>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</si>
  <si>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</si>
  <si>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</si>
  <si>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</si>
  <si>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</si>
  <si>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</si>
  <si>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</si>
  <si>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</si>
  <si>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</si>
  <si>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</si>
  <si>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</si>
  <si>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</si>
  <si>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</si>
  <si>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</si>
  <si>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</si>
  <si>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</si>
  <si>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</si>
  <si>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</si>
  <si>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</si>
  <si>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</si>
  <si>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</si>
  <si>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</si>
  <si>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</si>
  <si>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</si>
  <si>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</si>
  <si>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</si>
  <si>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</si>
  <si>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</si>
  <si>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</si>
  <si>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</si>
  <si>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</si>
  <si>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</si>
  <si>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</si>
  <si>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</si>
  <si>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</si>
  <si>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</si>
  <si>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</si>
  <si>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</si>
  <si>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</si>
  <si>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</si>
  <si>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</si>
  <si>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</si>
  <si>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</si>
  <si>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</si>
  <si>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</si>
  <si>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</si>
  <si>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</si>
  <si>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</si>
  <si>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</si>
  <si>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</si>
  <si>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</si>
  <si>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</si>
  <si>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</si>
  <si>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</si>
  <si>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</si>
  <si>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</si>
  <si>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</si>
  <si>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</si>
  <si>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</si>
  <si>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</si>
  <si>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</si>
  <si>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</si>
  <si>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</si>
  <si>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</si>
  <si>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</si>
  <si>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</si>
  <si>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</si>
  <si>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</si>
  <si>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</si>
  <si>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</si>
  <si>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</si>
  <si>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</si>
  <si>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</si>
  <si>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</si>
  <si>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</si>
  <si>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</si>
  <si>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</si>
  <si>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</si>
  <si>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</si>
  <si>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</si>
  <si>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</si>
  <si>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</si>
  <si>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</si>
  <si>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</si>
  <si>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</si>
  <si>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</si>
  <si>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</si>
  <si>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</si>
  <si>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</si>
  <si>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</si>
  <si>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</si>
  <si>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</si>
  <si>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</si>
  <si>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</si>
  <si>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</si>
  <si>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</si>
  <si>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</si>
  <si>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</si>
  <si>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</si>
  <si>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</si>
  <si>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</si>
  <si>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</si>
  <si>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</si>
  <si>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</si>
  <si>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</si>
  <si>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</si>
  <si>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</si>
  <si>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</si>
  <si>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</si>
  <si>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</si>
  <si>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</si>
  <si>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</si>
  <si>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</si>
  <si>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</si>
  <si>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</si>
  <si>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</si>
  <si>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</si>
  <si>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</si>
  <si>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</si>
  <si>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</si>
  <si>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</si>
  <si>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</si>
  <si>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</si>
  <si>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</si>
  <si>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</si>
  <si>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</si>
  <si>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</si>
  <si>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</si>
  <si>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</si>
  <si>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</si>
  <si>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</si>
  <si>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</si>
  <si>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</si>
  <si>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</si>
  <si>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</si>
  <si>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</si>
  <si>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</si>
  <si>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</si>
  <si>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</si>
  <si>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</si>
  <si>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</si>
  <si>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</si>
  <si>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</si>
  <si>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</si>
  <si>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</si>
  <si>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</si>
  <si>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</si>
  <si>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</si>
  <si>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</si>
  <si>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</si>
  <si>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</si>
  <si>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</si>
  <si>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</si>
  <si>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</si>
  <si>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</si>
  <si>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</si>
  <si>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</si>
  <si>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</si>
  <si>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</si>
  <si>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</si>
  <si>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</si>
  <si>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</si>
  <si>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</si>
  <si>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</si>
  <si>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</si>
  <si>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</si>
  <si>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</si>
  <si>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</si>
  <si>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</si>
  <si>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</si>
  <si>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</si>
  <si>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</si>
  <si>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</si>
  <si>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</si>
  <si>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</si>
  <si>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</si>
  <si>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</si>
  <si>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</si>
  <si>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</si>
  <si>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</si>
  <si>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</si>
  <si>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</si>
  <si>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</si>
  <si>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</si>
  <si>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</si>
  <si>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</si>
  <si>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</si>
  <si>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</si>
  <si>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</si>
  <si>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</si>
  <si>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</si>
  <si>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</si>
  <si>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</si>
  <si>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</si>
  <si>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</si>
  <si>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</si>
  <si>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</si>
  <si>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</si>
  <si>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</si>
  <si>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</si>
  <si>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</si>
  <si>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</si>
  <si>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</si>
  <si>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</si>
  <si>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</si>
  <si>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</si>
  <si>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</si>
  <si>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</si>
  <si>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</si>
  <si>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</si>
  <si>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</si>
  <si>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</si>
  <si>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</si>
  <si>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</si>
  <si>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</si>
  <si>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</si>
  <si>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</si>
  <si>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</si>
  <si>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</si>
  <si>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</si>
  <si>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</si>
  <si>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</si>
  <si>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</si>
  <si>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</si>
  <si>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</si>
  <si>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</si>
  <si>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</si>
  <si>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</si>
  <si>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</si>
  <si>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</si>
  <si>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</si>
  <si>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</si>
  <si>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</si>
  <si>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</si>
  <si>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</si>
  <si>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</si>
  <si>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</si>
  <si>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</si>
  <si>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</si>
  <si>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</si>
  <si>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</si>
  <si>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</si>
  <si>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</si>
  <si>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</si>
  <si>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</si>
  <si>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</si>
  <si>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</si>
  <si>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</si>
  <si>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</si>
  <si>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</si>
  <si>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</si>
  <si>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</si>
  <si>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</si>
  <si>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</si>
  <si>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</si>
  <si>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</si>
  <si>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</si>
  <si>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</si>
  <si>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</si>
  <si>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</si>
  <si>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</si>
  <si>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</si>
  <si>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</si>
  <si>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</si>
  <si>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</si>
  <si>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</si>
  <si>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</si>
  <si>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</si>
  <si>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</si>
  <si>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</si>
  <si>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</si>
  <si>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</si>
  <si>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</si>
  <si>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</si>
  <si>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</si>
  <si>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</si>
  <si>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</si>
  <si>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</si>
  <si>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</si>
  <si>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</si>
  <si>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</si>
  <si>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</si>
  <si>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</si>
  <si>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</si>
  <si>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</si>
  <si>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</si>
  <si>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</si>
  <si>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</si>
  <si>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</si>
  <si>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</si>
  <si>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</si>
  <si>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</si>
  <si>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</si>
  <si>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</si>
  <si>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</si>
  <si>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</si>
  <si>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</si>
  <si>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</si>
  <si>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</si>
  <si>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</si>
  <si>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</si>
  <si>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</si>
  <si>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</si>
  <si>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</si>
  <si>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</si>
  <si>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</si>
  <si>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</si>
  <si>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</si>
  <si>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</si>
  <si>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</si>
  <si>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</si>
  <si>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</si>
  <si>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</si>
  <si>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</si>
  <si>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</si>
  <si>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</si>
  <si>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</si>
  <si>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</si>
  <si>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</si>
  <si>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</si>
  <si>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</si>
  <si>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</si>
  <si>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</si>
  <si>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</si>
  <si>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</si>
  <si>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</si>
  <si>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</si>
  <si>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</si>
  <si>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</si>
  <si>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</si>
  <si>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</si>
  <si>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</si>
  <si>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</si>
  <si>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</si>
  <si>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</si>
  <si>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</si>
  <si>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</si>
  <si>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</si>
  <si>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</si>
  <si>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</si>
  <si>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</si>
  <si>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</si>
  <si>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</si>
  <si>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</si>
  <si>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</si>
  <si>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</si>
  <si>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</si>
  <si>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</si>
  <si>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</si>
  <si>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</si>
  <si>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</si>
  <si>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</si>
  <si>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</si>
  <si>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</si>
  <si>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</si>
  <si>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</si>
  <si>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</si>
  <si>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</si>
  <si>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</si>
  <si>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</si>
  <si>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</si>
  <si>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</si>
  <si>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</si>
  <si>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</si>
  <si>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</si>
  <si>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</si>
  <si>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</si>
  <si>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</si>
  <si>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</si>
  <si>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</si>
  <si>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</si>
  <si>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</si>
  <si>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</si>
  <si>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</si>
  <si>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</si>
  <si>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</si>
  <si>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</si>
  <si>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</si>
  <si>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</si>
  <si>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</si>
  <si>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</si>
  <si>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</si>
  <si>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</si>
  <si>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</si>
  <si>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</si>
  <si>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</si>
  <si>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</si>
  <si>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</si>
  <si>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</si>
  <si>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</si>
  <si>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</si>
  <si>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</si>
  <si>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</si>
  <si>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</si>
  <si>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</si>
  <si>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</si>
  <si>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</si>
  <si>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</si>
  <si>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</si>
  <si>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</si>
  <si>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</si>
  <si>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</si>
  <si>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</si>
  <si>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</si>
  <si>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</si>
  <si>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</si>
  <si>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</si>
  <si>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</si>
  <si>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</si>
  <si>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</si>
  <si>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</si>
  <si>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</si>
  <si>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</si>
  <si>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</si>
  <si>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</si>
  <si>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</si>
  <si>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</si>
  <si>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</si>
  <si>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</si>
  <si>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</si>
  <si>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</si>
  <si>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</si>
  <si>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</si>
  <si>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</si>
  <si>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</si>
  <si>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</si>
  <si>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</si>
  <si>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</si>
  <si>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</si>
  <si>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</si>
  <si>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</si>
  <si>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</si>
  <si>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</si>
  <si>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</si>
  <si>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</si>
  <si>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</si>
  <si>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</si>
  <si>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</si>
  <si>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</si>
  <si>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</si>
  <si>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</si>
  <si>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</si>
  <si>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</si>
  <si>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</si>
  <si>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</si>
  <si>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</si>
  <si>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</si>
  <si>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</si>
  <si>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</si>
  <si>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</si>
  <si>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</si>
  <si>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</si>
  <si>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</si>
  <si>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</si>
  <si>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</si>
  <si>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</si>
  <si>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</si>
  <si>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</si>
  <si>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</si>
  <si>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</si>
  <si>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</si>
  <si>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</si>
  <si>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</si>
  <si>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</si>
  <si>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</si>
  <si>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</si>
  <si>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</si>
  <si>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</si>
  <si>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</si>
  <si>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</si>
  <si>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</si>
  <si>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</si>
  <si>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</si>
  <si>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</si>
  <si>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</si>
  <si>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</si>
  <si>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</si>
  <si>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</si>
  <si>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</si>
  <si>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</si>
  <si>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</si>
  <si>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</si>
  <si>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</si>
  <si>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</si>
  <si>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</si>
  <si>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</si>
  <si>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</si>
  <si>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</si>
  <si>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</si>
  <si>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</si>
  <si>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</si>
  <si>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</si>
  <si>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</si>
  <si>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</si>
  <si>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</si>
  <si>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</si>
  <si>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</si>
  <si>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</si>
  <si>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</si>
  <si>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</si>
  <si>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</si>
  <si>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</si>
  <si>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</si>
  <si>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</si>
  <si>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</si>
  <si>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</si>
  <si>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</si>
  <si>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</si>
  <si>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</si>
  <si>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</si>
  <si>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</si>
  <si>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</si>
  <si>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</si>
  <si>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</si>
  <si>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</si>
  <si>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</si>
  <si>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</si>
  <si>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</si>
  <si>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</si>
  <si>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</si>
  <si>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</si>
  <si>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</si>
  <si>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</si>
  <si>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</si>
  <si>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</si>
  <si>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</si>
  <si>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</si>
  <si>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</si>
  <si>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</si>
  <si>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</si>
  <si>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</si>
  <si>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</si>
  <si>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</si>
  <si>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</si>
  <si>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</si>
  <si>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</si>
  <si>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</si>
  <si>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</si>
  <si>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</si>
  <si>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</si>
  <si>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</si>
  <si>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</si>
  <si>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</si>
  <si>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</si>
  <si>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</si>
  <si>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</si>
  <si>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</si>
  <si>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</si>
  <si>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</si>
  <si>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</si>
  <si>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</si>
  <si>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</si>
  <si>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</si>
  <si>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</si>
  <si>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</si>
  <si>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</si>
  <si>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</si>
  <si>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</si>
  <si>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</si>
  <si>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</si>
  <si>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</si>
  <si>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</si>
  <si>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</si>
  <si>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</si>
  <si>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</si>
  <si>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</si>
  <si>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</si>
  <si>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</si>
  <si>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</si>
  <si>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</si>
  <si>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</si>
  <si>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</si>
  <si>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</si>
  <si>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</si>
  <si>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</si>
  <si>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</si>
  <si>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</si>
  <si>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</si>
  <si>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</si>
  <si>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</si>
  <si>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</si>
  <si>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</si>
  <si>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</si>
  <si>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</si>
  <si>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</si>
  <si>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</si>
  <si>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</si>
  <si>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</si>
  <si>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</si>
  <si>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</si>
  <si>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</si>
  <si>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</si>
  <si>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</si>
  <si>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</si>
  <si>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</si>
  <si>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</si>
  <si>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</si>
  <si>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</si>
  <si>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</si>
  <si>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</si>
  <si>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</si>
  <si>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</si>
  <si>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</si>
  <si>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</si>
  <si>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</si>
  <si>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</si>
  <si>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</si>
  <si>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</si>
  <si>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</si>
  <si>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</si>
  <si>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</si>
  <si>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</si>
  <si>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</si>
  <si>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</si>
  <si>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</si>
  <si>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</si>
  <si>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</si>
  <si>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</si>
  <si>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</si>
  <si>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</si>
  <si>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</si>
  <si>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</si>
  <si>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</si>
  <si>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</si>
  <si>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</si>
  <si>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</si>
  <si>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</si>
  <si>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</si>
  <si>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</si>
  <si>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</si>
  <si>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</si>
  <si>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</si>
  <si>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</si>
  <si>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</si>
  <si>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</si>
  <si>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</si>
  <si>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</si>
  <si>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</si>
  <si>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</si>
  <si>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</si>
  <si>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</si>
  <si>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</si>
  <si>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</si>
  <si>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</si>
  <si>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</si>
  <si>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</si>
  <si>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</si>
  <si>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</si>
  <si>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</si>
  <si>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</si>
  <si>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</si>
  <si>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</si>
  <si>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</si>
  <si>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</si>
  <si>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</si>
  <si>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</si>
  <si>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</si>
  <si>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</si>
  <si>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</si>
  <si>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</si>
  <si>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</si>
  <si>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</si>
  <si>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</si>
  <si>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</si>
  <si>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</si>
  <si>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</si>
  <si>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</si>
  <si>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</si>
  <si>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</si>
  <si>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</si>
  <si>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</si>
  <si>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</si>
  <si>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</si>
  <si>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</si>
  <si>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</si>
  <si>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</si>
  <si>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</si>
  <si>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</si>
  <si>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</si>
  <si>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</si>
  <si>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</si>
  <si>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</si>
  <si>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</si>
  <si>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</si>
  <si>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</si>
  <si>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</si>
  <si>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</si>
  <si>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</si>
  <si>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</si>
  <si>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</si>
  <si>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</si>
  <si>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</si>
  <si>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</si>
  <si>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</si>
  <si>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</si>
  <si>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</si>
  <si>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</si>
  <si>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</si>
  <si>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</si>
  <si>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</si>
  <si>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</si>
  <si>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</si>
  <si>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</si>
  <si>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</si>
  <si>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</si>
  <si>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</si>
  <si>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</si>
  <si>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</si>
  <si>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</si>
  <si>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</si>
  <si>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</si>
  <si>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</si>
  <si>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</si>
  <si>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</si>
  <si>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</si>
  <si>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</si>
  <si>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</si>
  <si>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</si>
  <si>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</si>
  <si>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</si>
  <si>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</si>
  <si>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</si>
  <si>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</si>
  <si>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</si>
  <si>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</si>
  <si>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</si>
  <si>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</si>
  <si>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</si>
  <si>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</si>
  <si>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</si>
  <si>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</si>
  <si>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</si>
  <si>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</si>
  <si>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</si>
  <si>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</si>
  <si>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</si>
  <si>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</si>
  <si>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</si>
  <si>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</si>
  <si>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</si>
  <si>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</si>
  <si>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</si>
  <si>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</si>
  <si>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</si>
  <si>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</si>
  <si>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</si>
  <si>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</si>
  <si>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</si>
  <si>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</si>
  <si>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</si>
  <si>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</si>
  <si>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</si>
  <si>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</si>
  <si>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</si>
  <si>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</si>
  <si>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</si>
  <si>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</si>
  <si>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</si>
  <si>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</si>
  <si>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</si>
  <si>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</si>
  <si>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</si>
  <si>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</si>
  <si>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</si>
  <si>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</si>
  <si>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</si>
  <si>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</si>
  <si>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</si>
  <si>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</si>
  <si>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</si>
  <si>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</si>
  <si>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</si>
  <si>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</si>
  <si>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</si>
  <si>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</si>
  <si>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</si>
  <si>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</si>
  <si>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</si>
  <si>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</si>
  <si>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</si>
  <si>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</si>
  <si>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</si>
  <si>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</si>
  <si>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</si>
  <si>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</si>
  <si>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</si>
  <si>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</si>
  <si>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</si>
  <si>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</si>
  <si>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</si>
  <si>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</si>
  <si>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</si>
  <si>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</si>
  <si>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</si>
  <si>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</si>
  <si>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</si>
  <si>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</si>
  <si>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</si>
  <si>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</si>
  <si>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</si>
  <si>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</si>
  <si>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</si>
  <si>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</si>
  <si>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</si>
  <si>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</si>
  <si>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</si>
  <si>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</si>
  <si>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</si>
  <si>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</si>
  <si>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</si>
  <si>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</si>
  <si>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</si>
  <si>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</si>
  <si>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</si>
  <si>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</si>
  <si>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</si>
  <si>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</si>
  <si>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</si>
  <si>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</si>
  <si>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</si>
  <si>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</si>
  <si>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</si>
  <si>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</si>
  <si>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</si>
  <si>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</si>
  <si>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</si>
  <si>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</si>
  <si>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</si>
  <si>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</si>
  <si>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</si>
  <si>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</si>
  <si>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</si>
  <si>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</si>
  <si>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</si>
  <si>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</si>
  <si>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</si>
  <si>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</si>
  <si>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</si>
  <si>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</si>
  <si>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</si>
  <si>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</si>
  <si>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</si>
  <si>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</si>
  <si>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</si>
  <si>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</si>
  <si>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</si>
  <si>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</si>
  <si>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</si>
  <si>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</si>
  <si>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</si>
  <si>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</si>
  <si>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</si>
  <si>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</si>
  <si>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</si>
  <si>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</si>
  <si>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</si>
  <si>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</si>
  <si>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</si>
  <si>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</si>
  <si>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</si>
  <si>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</si>
  <si>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</si>
  <si>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</si>
  <si>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</si>
  <si>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</si>
  <si>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</si>
  <si>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</si>
  <si>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</si>
  <si>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</si>
  <si>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</si>
  <si>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</si>
  <si>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</si>
  <si>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</si>
  <si>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</si>
  <si>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</si>
  <si>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</si>
  <si>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</si>
  <si>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</si>
  <si>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</si>
  <si>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</si>
  <si>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</si>
  <si>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</si>
  <si>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</si>
  <si>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</si>
  <si>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</si>
  <si>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</si>
  <si>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</si>
  <si>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</si>
  <si>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</si>
  <si>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</si>
  <si>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</si>
  <si>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</si>
  <si>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</si>
  <si>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</si>
  <si>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</si>
  <si>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</si>
  <si>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</si>
  <si>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</si>
  <si>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</si>
  <si>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</si>
  <si>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</si>
  <si>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</si>
  <si>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</si>
  <si>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</si>
  <si>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</si>
  <si>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</si>
  <si>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</si>
  <si>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</si>
  <si>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</si>
  <si>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</si>
  <si>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</si>
  <si>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</si>
  <si>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</si>
  <si>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</si>
  <si>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</si>
  <si>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</si>
  <si>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</si>
  <si>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</si>
  <si>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</si>
  <si>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</si>
  <si>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</si>
  <si>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</si>
  <si>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</si>
  <si>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</si>
  <si>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</si>
  <si>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</si>
  <si>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</si>
  <si>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</si>
  <si>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</si>
  <si>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</si>
  <si>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</si>
  <si>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</si>
  <si>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</si>
  <si>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</si>
  <si>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</si>
  <si>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</si>
  <si>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</si>
  <si>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</si>
  <si>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</si>
  <si>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</si>
  <si>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</si>
  <si>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</si>
  <si>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</si>
  <si>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</si>
  <si>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</si>
  <si>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</si>
  <si>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</si>
  <si>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</si>
  <si>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</si>
  <si>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</si>
  <si>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</si>
  <si>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</si>
  <si>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</si>
  <si>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</si>
  <si>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</si>
  <si>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</si>
  <si>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</si>
  <si>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</si>
  <si>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</si>
  <si>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</si>
  <si>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</si>
  <si>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</si>
  <si>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</si>
  <si>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</si>
  <si>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</si>
  <si>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</si>
  <si>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</si>
  <si>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</si>
  <si>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</si>
  <si>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</si>
  <si>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</si>
  <si>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</si>
  <si>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</si>
  <si>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</si>
  <si>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</si>
  <si>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</si>
  <si>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</si>
  <si>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</si>
  <si>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</si>
  <si>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</si>
  <si>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</si>
  <si>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</si>
  <si>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</si>
  <si>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</si>
  <si>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</si>
  <si>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</si>
  <si>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</si>
  <si>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</si>
  <si>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</si>
  <si>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</si>
  <si>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</si>
  <si>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</si>
  <si>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</si>
  <si>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</si>
  <si>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</si>
  <si>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</si>
  <si>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</si>
  <si>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</si>
  <si>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</si>
  <si>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</si>
  <si>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</si>
  <si>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</si>
  <si>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</si>
  <si>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</si>
  <si>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</si>
  <si>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</si>
  <si>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</si>
  <si>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</si>
  <si>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</si>
  <si>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</si>
  <si>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</si>
  <si>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</si>
  <si>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</si>
  <si>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</si>
  <si>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</si>
  <si>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</si>
  <si>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</si>
  <si>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</si>
  <si>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</si>
  <si>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</si>
  <si>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</si>
  <si>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</si>
  <si>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</si>
  <si>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</si>
  <si>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</si>
  <si>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</si>
  <si>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</si>
  <si>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</si>
  <si>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</si>
  <si>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</si>
  <si>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</si>
  <si>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</si>
  <si>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</si>
  <si>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</si>
  <si>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</si>
  <si>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</si>
  <si>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</si>
  <si>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</si>
  <si>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</si>
  <si>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</si>
  <si>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</si>
  <si>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</si>
  <si>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</si>
  <si>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</si>
  <si>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</si>
  <si>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</si>
  <si>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</si>
  <si>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</si>
  <si>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</si>
  <si>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</si>
  <si>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</si>
  <si>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</si>
  <si>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</si>
  <si>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</si>
  <si>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</si>
  <si>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</si>
  <si>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</si>
  <si>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</si>
  <si>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</si>
  <si>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</si>
  <si>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</si>
  <si>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</si>
  <si>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</si>
  <si>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</si>
  <si>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</si>
  <si>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</si>
  <si>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</si>
  <si>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</si>
  <si>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</si>
  <si>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</si>
  <si>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</si>
  <si>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</si>
  <si>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</si>
  <si>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</si>
  <si>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</si>
  <si>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</si>
  <si>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</si>
  <si>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</si>
  <si>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</si>
  <si>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</si>
  <si>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</si>
  <si>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</si>
  <si>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</si>
  <si>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</si>
  <si>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</si>
  <si>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</si>
  <si>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</si>
  <si>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</si>
  <si>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</si>
  <si>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</si>
  <si>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</si>
  <si>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</si>
  <si>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</si>
  <si>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</si>
  <si>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</si>
  <si>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</si>
  <si>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</si>
  <si>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</si>
  <si>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</si>
  <si>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</si>
  <si>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</si>
  <si>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</si>
  <si>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</si>
  <si>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</si>
  <si>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</si>
  <si>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</si>
  <si>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</si>
  <si>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</si>
  <si>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</si>
  <si>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</si>
  <si>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</si>
  <si>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</si>
  <si>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</si>
  <si>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</si>
  <si>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</si>
  <si>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</si>
  <si>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</si>
  <si>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</si>
  <si>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</si>
  <si>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</si>
  <si>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</si>
  <si>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</si>
  <si>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</si>
  <si>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</si>
  <si>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</si>
  <si>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</si>
  <si>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</si>
  <si>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</si>
  <si>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</si>
  <si>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</si>
  <si>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</si>
  <si>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</si>
  <si>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</si>
  <si>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</si>
  <si>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</si>
  <si>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</si>
  <si>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</si>
  <si>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</si>
  <si>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</si>
  <si>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</si>
  <si>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</si>
  <si>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</si>
  <si>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</si>
  <si>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</si>
  <si>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</si>
  <si>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</si>
  <si>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</si>
  <si>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</si>
  <si>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</si>
  <si>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</si>
  <si>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</si>
  <si>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</si>
  <si>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</si>
  <si>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</si>
  <si>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</si>
  <si>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</si>
  <si>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</si>
  <si>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</si>
  <si>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</si>
  <si>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</si>
  <si>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</si>
  <si>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</si>
  <si>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</si>
  <si>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</si>
  <si>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</si>
  <si>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</si>
  <si>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</si>
  <si>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</si>
  <si>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</si>
  <si>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</si>
  <si>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</si>
  <si>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</si>
  <si>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</si>
  <si>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</si>
  <si>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</si>
  <si>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</si>
  <si>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</si>
  <si>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</si>
  <si>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</si>
  <si>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</si>
  <si>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</si>
  <si>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</si>
  <si>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</si>
  <si>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</si>
  <si>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</si>
  <si>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</si>
  <si>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</si>
  <si>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</si>
  <si>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</si>
  <si>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</si>
  <si>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</si>
  <si>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</si>
  <si>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</si>
  <si>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</si>
  <si>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</si>
  <si>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</si>
  <si>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</si>
  <si>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</si>
  <si>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</si>
  <si>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</si>
  <si>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</si>
  <si>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</si>
  <si>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</si>
  <si>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</si>
  <si>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</si>
  <si>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</si>
  <si>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</si>
  <si>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</si>
  <si>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</si>
  <si>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</si>
  <si>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</si>
  <si>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</si>
  <si>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</si>
  <si>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</si>
  <si>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</si>
  <si>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</si>
  <si>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</si>
  <si>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</si>
  <si>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</si>
  <si>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</si>
  <si>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</si>
  <si>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</si>
  <si>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</si>
  <si>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</si>
  <si>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</si>
  <si>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</si>
  <si>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</si>
  <si>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</si>
  <si>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</si>
  <si>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</si>
  <si>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</si>
  <si>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</si>
  <si>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</si>
  <si>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</si>
  <si>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</si>
  <si>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</si>
  <si>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</si>
  <si>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</si>
  <si>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</si>
  <si>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</si>
  <si>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</si>
  <si>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</si>
  <si>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</si>
  <si>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</si>
  <si>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</si>
  <si>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</si>
  <si>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</si>
  <si>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</si>
  <si>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</si>
  <si>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</si>
  <si>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</si>
  <si>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</si>
  <si>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</si>
  <si>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</si>
  <si>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</si>
  <si>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</si>
  <si>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</si>
  <si>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</si>
  <si>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</si>
  <si>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</si>
  <si>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</si>
  <si>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</si>
  <si>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</si>
  <si>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</si>
  <si>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</si>
  <si>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</si>
  <si>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</si>
  <si>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</si>
  <si>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</si>
  <si>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</si>
  <si>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</si>
  <si>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</si>
  <si>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</si>
  <si>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</si>
  <si>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</si>
  <si>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</si>
  <si>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</si>
  <si>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</si>
  <si>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</si>
  <si>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</si>
  <si>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</si>
  <si>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</si>
  <si>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</si>
  <si>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</si>
  <si>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</si>
  <si>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</si>
  <si>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</si>
  <si>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</si>
  <si>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</si>
  <si>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</si>
  <si>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</si>
  <si>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</si>
  <si>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</si>
  <si>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</si>
  <si>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</si>
  <si>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</si>
  <si>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</si>
  <si>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</si>
  <si>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</si>
  <si>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</si>
  <si>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</si>
  <si>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</si>
  <si>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</si>
  <si>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</si>
  <si>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</si>
  <si>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</si>
  <si>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</si>
  <si>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</si>
  <si>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</si>
  <si>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</si>
  <si>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</si>
  <si>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</si>
  <si>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</si>
  <si>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</si>
  <si>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</si>
  <si>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</si>
  <si>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</si>
  <si>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</si>
  <si>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</si>
  <si>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</si>
  <si>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</si>
  <si>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</si>
  <si>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</si>
  <si>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</si>
  <si>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</si>
  <si>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</si>
  <si>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</si>
  <si>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</si>
  <si>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</si>
  <si>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</si>
  <si>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</si>
  <si>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</si>
  <si>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</si>
  <si>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</si>
  <si>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</si>
  <si>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</si>
  <si>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</si>
  <si>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</si>
  <si>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</si>
  <si>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</si>
  <si>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</si>
  <si>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</si>
  <si>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</si>
  <si>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</si>
  <si>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</si>
  <si>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</si>
  <si>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</si>
  <si>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</si>
  <si>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</si>
  <si>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</si>
  <si>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MAikawaSwim2024_R3_Thumbnail.webp</t>
    <phoneticPr fontId="1"/>
  </si>
  <si>
    <t>KarenSwim2024_R3_Thumbnail.webp</t>
    <phoneticPr fontId="1"/>
  </si>
  <si>
    <t>TTojoSwim2024_R2_Thumbnail.webp</t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</si>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</sst>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7"/>
  <sheetViews>
    <sheetView tabSelected="1" zoomScale="85" zoomScaleNormal="85" workbookViewId="0">
      <pane ySplit="6" topLeftCell="A163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2116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2116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519</v>
      </c>
      <c r="E25" s="15">
        <v>340</v>
      </c>
      <c r="F25" s="11" t="s">
        <v>769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844</v>
      </c>
      <c r="E26" s="15">
        <v>340</v>
      </c>
      <c r="F26" s="11" t="s">
        <v>769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520</v>
      </c>
      <c r="E27" s="15">
        <v>340</v>
      </c>
      <c r="F27" s="11" t="s">
        <v>769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521</v>
      </c>
      <c r="E28" s="15">
        <v>340</v>
      </c>
      <c r="F28" s="11" t="s">
        <v>769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522</v>
      </c>
      <c r="E29" s="15">
        <v>340</v>
      </c>
      <c r="F29" s="11" t="s">
        <v>769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2117</v>
      </c>
      <c r="E30" s="15">
        <v>390</v>
      </c>
      <c r="F30" s="11" t="s">
        <v>770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836</v>
      </c>
      <c r="E31" s="15">
        <v>390</v>
      </c>
      <c r="F31" s="11" t="s">
        <v>770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752</v>
      </c>
      <c r="E32" s="15">
        <v>390</v>
      </c>
      <c r="F32" s="11" t="s">
        <v>770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1169</v>
      </c>
      <c r="E33" s="15">
        <v>390</v>
      </c>
      <c r="F33" s="11" t="s">
        <v>770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1755</v>
      </c>
      <c r="E34" s="15">
        <v>390</v>
      </c>
      <c r="F34" s="11" t="s">
        <v>770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504</v>
      </c>
      <c r="E35" s="15">
        <v>340</v>
      </c>
      <c r="F35" s="11" t="s">
        <v>771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505</v>
      </c>
      <c r="E36" s="15">
        <v>340</v>
      </c>
      <c r="F36" s="11" t="s">
        <v>772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506</v>
      </c>
      <c r="E37" s="15">
        <v>340</v>
      </c>
      <c r="F37" s="11" t="s">
        <v>773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507</v>
      </c>
      <c r="E38" s="15">
        <v>340</v>
      </c>
      <c r="F38" s="11" t="s">
        <v>774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508</v>
      </c>
      <c r="E39" s="15">
        <v>340</v>
      </c>
      <c r="F39" s="11" t="s">
        <v>775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509</v>
      </c>
      <c r="E40" s="15">
        <v>340</v>
      </c>
      <c r="F40" s="11" t="s">
        <v>776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510</v>
      </c>
      <c r="E41" s="15">
        <v>340</v>
      </c>
      <c r="F41" s="11" t="s">
        <v>772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511</v>
      </c>
      <c r="E42" s="15">
        <v>340</v>
      </c>
      <c r="F42" s="11" t="s">
        <v>777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512</v>
      </c>
      <c r="E43" s="15">
        <v>340</v>
      </c>
      <c r="F43" s="11" t="s">
        <v>778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515</v>
      </c>
      <c r="E44" s="15">
        <v>340</v>
      </c>
      <c r="F44" s="11" t="s">
        <v>769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514</v>
      </c>
      <c r="E45" s="15">
        <v>340</v>
      </c>
      <c r="F45" s="11" t="s">
        <v>779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513</v>
      </c>
      <c r="E46" s="15">
        <v>340</v>
      </c>
      <c r="F46" s="11" t="s">
        <v>771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566</v>
      </c>
      <c r="E47" s="15">
        <v>350</v>
      </c>
      <c r="F47" s="11" t="s">
        <v>780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567</v>
      </c>
      <c r="E48" s="15">
        <v>350</v>
      </c>
      <c r="F48" s="11" t="s">
        <v>781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568</v>
      </c>
      <c r="E49" s="15">
        <v>350</v>
      </c>
      <c r="F49" s="11" t="s">
        <v>782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569</v>
      </c>
      <c r="E50" s="15">
        <v>350</v>
      </c>
      <c r="F50" s="11" t="s">
        <v>783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570</v>
      </c>
      <c r="E51" s="15">
        <v>350</v>
      </c>
      <c r="F51" s="11" t="s">
        <v>784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615</v>
      </c>
      <c r="E52" s="15">
        <v>350</v>
      </c>
      <c r="F52" s="11" t="s">
        <v>775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616</v>
      </c>
      <c r="E53" s="15">
        <v>350</v>
      </c>
      <c r="F53" s="11" t="s">
        <v>785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617</v>
      </c>
      <c r="E54" s="15">
        <v>350</v>
      </c>
      <c r="F54" s="11" t="s">
        <v>786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618</v>
      </c>
      <c r="E55" s="15">
        <v>350</v>
      </c>
      <c r="F55" s="11" t="s">
        <v>787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619</v>
      </c>
      <c r="E56" s="15">
        <v>350</v>
      </c>
      <c r="F56" s="11" t="s">
        <v>788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815</v>
      </c>
      <c r="E57" s="15">
        <v>360</v>
      </c>
      <c r="F57" s="11" t="s">
        <v>820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816</v>
      </c>
      <c r="E58" s="15">
        <v>360</v>
      </c>
      <c r="F58" s="11" t="s">
        <v>821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817</v>
      </c>
      <c r="E59" s="15">
        <v>360</v>
      </c>
      <c r="F59" s="11" t="s">
        <v>822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818</v>
      </c>
      <c r="E60" s="15">
        <v>360</v>
      </c>
      <c r="F60" s="11" t="s">
        <v>823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819</v>
      </c>
      <c r="E61" s="15">
        <v>360</v>
      </c>
      <c r="F61" s="11" t="s">
        <v>797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852</v>
      </c>
      <c r="E62" s="15">
        <v>360</v>
      </c>
      <c r="F62" s="11" t="s">
        <v>789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853</v>
      </c>
      <c r="E63" s="15">
        <v>360</v>
      </c>
      <c r="F63" s="11" t="s">
        <v>857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854</v>
      </c>
      <c r="E64" s="15">
        <v>360</v>
      </c>
      <c r="F64" s="11" t="s">
        <v>857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855</v>
      </c>
      <c r="E65" s="15">
        <v>360</v>
      </c>
      <c r="F65" s="11" t="s">
        <v>780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856</v>
      </c>
      <c r="E66" s="15">
        <v>360</v>
      </c>
      <c r="F66" s="11" t="s">
        <v>764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885</v>
      </c>
      <c r="E67" s="15">
        <v>370</v>
      </c>
      <c r="F67" s="11" t="s">
        <v>890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886</v>
      </c>
      <c r="E68" s="15">
        <v>370</v>
      </c>
      <c r="F68" s="11" t="s">
        <v>891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887</v>
      </c>
      <c r="E69" s="15">
        <v>370</v>
      </c>
      <c r="F69" s="11" t="s">
        <v>892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888</v>
      </c>
      <c r="E70" s="15">
        <v>370</v>
      </c>
      <c r="F70" s="11" t="s">
        <v>783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889</v>
      </c>
      <c r="E71" s="15">
        <v>370</v>
      </c>
      <c r="F71" s="11" t="s">
        <v>893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1756</v>
      </c>
      <c r="E72" s="15">
        <v>370</v>
      </c>
      <c r="F72" s="11" t="s">
        <v>811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1757</v>
      </c>
      <c r="E73" s="15">
        <v>370</v>
      </c>
      <c r="F73" s="11" t="s">
        <v>1761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1758</v>
      </c>
      <c r="E74" s="15">
        <v>370</v>
      </c>
      <c r="F74" s="11" t="s">
        <v>1762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1759</v>
      </c>
      <c r="E75" s="15">
        <v>370</v>
      </c>
      <c r="F75" s="11" t="s">
        <v>1763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1760</v>
      </c>
      <c r="E76" s="15">
        <v>370</v>
      </c>
      <c r="F76" s="11" t="s">
        <v>1764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1853</v>
      </c>
      <c r="E77" s="15">
        <v>380</v>
      </c>
      <c r="F77" s="11" t="s">
        <v>789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1854</v>
      </c>
      <c r="E78" s="15">
        <v>380</v>
      </c>
      <c r="F78" s="11" t="s">
        <v>1862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1855</v>
      </c>
      <c r="E79" s="15">
        <v>380</v>
      </c>
      <c r="F79" s="11" t="s">
        <v>797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1856</v>
      </c>
      <c r="E80" s="15">
        <v>380</v>
      </c>
      <c r="F80" s="11" t="s">
        <v>769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1857</v>
      </c>
      <c r="E81" s="15">
        <v>380</v>
      </c>
      <c r="F81" s="11" t="s">
        <v>1860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1858</v>
      </c>
      <c r="E82" s="15">
        <v>380</v>
      </c>
      <c r="F82" s="11" t="s">
        <v>1861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2137</v>
      </c>
      <c r="E83" s="15">
        <v>380</v>
      </c>
      <c r="F83" s="11" t="s">
        <v>2118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2138</v>
      </c>
      <c r="E84" s="15">
        <v>380</v>
      </c>
      <c r="F84" s="11" t="s">
        <v>857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2139</v>
      </c>
      <c r="E85" s="15">
        <v>380</v>
      </c>
      <c r="F85" s="11" t="s">
        <v>762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2140</v>
      </c>
      <c r="E86" s="15">
        <v>380</v>
      </c>
      <c r="F86" s="11" t="s">
        <v>1631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504</v>
      </c>
      <c r="E87" s="15">
        <v>380</v>
      </c>
      <c r="F87" s="11" t="s">
        <v>789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505</v>
      </c>
      <c r="E88" s="15">
        <v>380</v>
      </c>
      <c r="F88" s="11" t="s">
        <v>790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506</v>
      </c>
      <c r="E89" s="15">
        <v>380</v>
      </c>
      <c r="F89" s="11" t="s">
        <v>791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507</v>
      </c>
      <c r="E90" s="15">
        <v>380</v>
      </c>
      <c r="F90" s="11" t="s">
        <v>792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508</v>
      </c>
      <c r="E91" s="15">
        <v>380</v>
      </c>
      <c r="F91" s="11" t="s">
        <v>790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509</v>
      </c>
      <c r="E92" s="15">
        <v>380</v>
      </c>
      <c r="F92" s="11" t="s">
        <v>793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510</v>
      </c>
      <c r="E93" s="15">
        <v>380</v>
      </c>
      <c r="F93" s="11" t="s">
        <v>779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511</v>
      </c>
      <c r="E94" s="15">
        <v>380</v>
      </c>
      <c r="F94" s="11" t="s">
        <v>794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512</v>
      </c>
      <c r="E95" s="15">
        <v>380</v>
      </c>
      <c r="F95" s="11" t="s">
        <v>795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515</v>
      </c>
      <c r="E96" s="15">
        <v>380</v>
      </c>
      <c r="F96" s="11" t="s">
        <v>796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514</v>
      </c>
      <c r="E97" s="15">
        <v>380</v>
      </c>
      <c r="F97" s="11" t="s">
        <v>797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513</v>
      </c>
      <c r="E98" s="15">
        <v>380</v>
      </c>
      <c r="F98" s="11" t="s">
        <v>769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566</v>
      </c>
      <c r="E99" s="15">
        <v>390</v>
      </c>
      <c r="F99" s="11" t="s">
        <v>762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567</v>
      </c>
      <c r="E100" s="15">
        <v>390</v>
      </c>
      <c r="F100" s="11" t="s">
        <v>798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568</v>
      </c>
      <c r="E101" s="15">
        <v>390</v>
      </c>
      <c r="F101" s="11" t="s">
        <v>799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569</v>
      </c>
      <c r="E102" s="15">
        <v>390</v>
      </c>
      <c r="F102" s="11" t="s">
        <v>795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570</v>
      </c>
      <c r="E103" s="15">
        <v>390</v>
      </c>
      <c r="F103" s="11" t="s">
        <v>800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615</v>
      </c>
      <c r="E104" s="15">
        <v>390</v>
      </c>
      <c r="F104" s="11" t="s">
        <v>801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616</v>
      </c>
      <c r="E105" s="15">
        <v>390</v>
      </c>
      <c r="F105" s="11" t="s">
        <v>802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617</v>
      </c>
      <c r="E106" s="15">
        <v>390</v>
      </c>
      <c r="F106" s="11" t="s">
        <v>803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618</v>
      </c>
      <c r="E107" s="15">
        <v>390</v>
      </c>
      <c r="F107" s="11" t="s">
        <v>804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619</v>
      </c>
      <c r="E108" s="15">
        <v>390</v>
      </c>
      <c r="F108" s="11" t="s">
        <v>805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815</v>
      </c>
      <c r="E109" s="15">
        <v>400</v>
      </c>
      <c r="F109" s="11" t="s">
        <v>812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816</v>
      </c>
      <c r="E110" s="15">
        <v>400</v>
      </c>
      <c r="F110" s="11" t="s">
        <v>790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817</v>
      </c>
      <c r="E111" s="15">
        <v>400</v>
      </c>
      <c r="F111" s="11" t="s">
        <v>824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818</v>
      </c>
      <c r="E112" s="15">
        <v>400</v>
      </c>
      <c r="F112" s="11" t="s">
        <v>786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819</v>
      </c>
      <c r="E113" s="15">
        <v>400</v>
      </c>
      <c r="F113" s="11" t="s">
        <v>825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852</v>
      </c>
      <c r="E114" s="15">
        <v>400</v>
      </c>
      <c r="F114" s="11" t="s">
        <v>766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853</v>
      </c>
      <c r="E115" s="15">
        <v>400</v>
      </c>
      <c r="F115" s="11" t="s">
        <v>858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854</v>
      </c>
      <c r="E116" s="15">
        <v>400</v>
      </c>
      <c r="F116" s="11" t="s">
        <v>797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855</v>
      </c>
      <c r="E117" s="15">
        <v>400</v>
      </c>
      <c r="F117" s="11" t="s">
        <v>858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856</v>
      </c>
      <c r="E118" s="15">
        <v>400</v>
      </c>
      <c r="F118" s="11" t="s">
        <v>859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885</v>
      </c>
      <c r="E119" s="15">
        <v>410</v>
      </c>
      <c r="F119" s="11" t="s">
        <v>858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886</v>
      </c>
      <c r="E120" s="15">
        <v>410</v>
      </c>
      <c r="F120" s="11" t="s">
        <v>894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887</v>
      </c>
      <c r="E121" s="15">
        <v>410</v>
      </c>
      <c r="F121" s="11" t="s">
        <v>895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888</v>
      </c>
      <c r="E122" s="15">
        <v>410</v>
      </c>
      <c r="F122" s="11" t="s">
        <v>798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889</v>
      </c>
      <c r="E123" s="15">
        <v>410</v>
      </c>
      <c r="F123" s="11" t="s">
        <v>812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1756</v>
      </c>
      <c r="E124" s="15">
        <v>410</v>
      </c>
      <c r="F124" s="11" t="s">
        <v>804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1757</v>
      </c>
      <c r="E125" s="15">
        <v>410</v>
      </c>
      <c r="F125" s="11" t="s">
        <v>1765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1758</v>
      </c>
      <c r="E126" s="15">
        <v>410</v>
      </c>
      <c r="F126" s="11" t="s">
        <v>1766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1759</v>
      </c>
      <c r="E127" s="15">
        <v>410</v>
      </c>
      <c r="F127" s="11" t="s">
        <v>1767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1760</v>
      </c>
      <c r="E128" s="15">
        <v>410</v>
      </c>
      <c r="F128" s="11" t="s">
        <v>1768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1853</v>
      </c>
      <c r="E129" s="15">
        <v>420</v>
      </c>
      <c r="F129" s="11" t="s">
        <v>1859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1854</v>
      </c>
      <c r="E130" s="15">
        <v>420</v>
      </c>
      <c r="F130" s="11" t="s">
        <v>1863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1855</v>
      </c>
      <c r="E131" s="15">
        <v>420</v>
      </c>
      <c r="F131" s="11" t="s">
        <v>1864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1856</v>
      </c>
      <c r="E132" s="15">
        <v>420</v>
      </c>
      <c r="F132" s="11" t="s">
        <v>1865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1857</v>
      </c>
      <c r="E133" s="15">
        <v>420</v>
      </c>
      <c r="F133" s="11" t="s">
        <v>1866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1858</v>
      </c>
      <c r="E134" s="15">
        <v>420</v>
      </c>
      <c r="F134" s="11" t="s">
        <v>1866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2137</v>
      </c>
      <c r="E135" s="15">
        <v>420</v>
      </c>
      <c r="F135" s="11" t="s">
        <v>2119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2138</v>
      </c>
      <c r="E136" s="15">
        <v>420</v>
      </c>
      <c r="F136" s="11" t="s">
        <v>2120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2139</v>
      </c>
      <c r="E137" s="15">
        <v>420</v>
      </c>
      <c r="F137" s="11" t="s">
        <v>2121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2140</v>
      </c>
      <c r="E138" s="15">
        <v>420</v>
      </c>
      <c r="F138" s="11" t="s">
        <v>2122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556</v>
      </c>
      <c r="E139" s="15">
        <v>280</v>
      </c>
      <c r="F139" s="11" t="s">
        <v>772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557</v>
      </c>
      <c r="E140" s="15">
        <v>300</v>
      </c>
      <c r="F140" s="11" t="s">
        <v>806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558</v>
      </c>
      <c r="E141" s="15">
        <v>310</v>
      </c>
      <c r="F141" s="11" t="s">
        <v>807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559</v>
      </c>
      <c r="E142" s="15">
        <v>320</v>
      </c>
      <c r="F142" s="11" t="s">
        <v>778</v>
      </c>
      <c r="G142" s="15">
        <v>56000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50</v>
      </c>
      <c r="S142" s="15"/>
    </row>
    <row r="143" spans="1:19">
      <c r="A143" s="8"/>
      <c r="B143" s="15">
        <v>5</v>
      </c>
      <c r="C143" s="15">
        <v>5</v>
      </c>
      <c r="D143" s="11" t="s">
        <v>560</v>
      </c>
      <c r="E143" s="15">
        <v>330</v>
      </c>
      <c r="F143" s="11" t="s">
        <v>807</v>
      </c>
      <c r="G143" s="15">
        <v>47000</v>
      </c>
      <c r="H143" s="15">
        <v>2</v>
      </c>
      <c r="I143" s="15">
        <v>150</v>
      </c>
      <c r="J143" s="15">
        <v>100</v>
      </c>
      <c r="K143" s="15">
        <v>100</v>
      </c>
      <c r="L143" s="15">
        <v>200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561</v>
      </c>
      <c r="E144" s="15">
        <v>340</v>
      </c>
      <c r="F144" s="11" t="s">
        <v>807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200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562</v>
      </c>
      <c r="E145" s="15">
        <v>345</v>
      </c>
      <c r="F145" s="11" t="s">
        <v>807</v>
      </c>
      <c r="G145" s="15">
        <v>47000</v>
      </c>
      <c r="H145" s="15">
        <v>2</v>
      </c>
      <c r="I145" s="15">
        <v>150</v>
      </c>
      <c r="J145" s="15">
        <v>100</v>
      </c>
      <c r="K145" s="15">
        <v>200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50</v>
      </c>
      <c r="S145" s="15"/>
    </row>
    <row r="146" spans="1:19">
      <c r="A146" s="8"/>
      <c r="B146" s="15">
        <v>5</v>
      </c>
      <c r="C146" s="15">
        <v>8</v>
      </c>
      <c r="D146" s="11" t="s">
        <v>563</v>
      </c>
      <c r="E146" s="15">
        <v>350</v>
      </c>
      <c r="F146" s="11" t="s">
        <v>780</v>
      </c>
      <c r="G146" s="15">
        <v>68000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100</v>
      </c>
      <c r="N146" s="15">
        <v>200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564</v>
      </c>
      <c r="E147" s="15">
        <v>360</v>
      </c>
      <c r="F147" s="11" t="s">
        <v>758</v>
      </c>
      <c r="G147" s="15">
        <v>300000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25</v>
      </c>
      <c r="S147" s="15"/>
    </row>
    <row r="148" spans="1:19">
      <c r="A148" s="8"/>
      <c r="B148" s="15">
        <v>5</v>
      </c>
      <c r="C148" s="15">
        <v>10</v>
      </c>
      <c r="D148" s="11" t="s">
        <v>565</v>
      </c>
      <c r="E148" s="15">
        <v>360</v>
      </c>
      <c r="F148" s="11" t="s">
        <v>759</v>
      </c>
      <c r="G148" s="15">
        <v>1200000</v>
      </c>
      <c r="H148" s="15">
        <v>8</v>
      </c>
      <c r="I148" s="15">
        <v>700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25</v>
      </c>
      <c r="S148" s="15"/>
    </row>
    <row r="149" spans="1:19">
      <c r="A149" s="8"/>
      <c r="B149" s="15">
        <v>6</v>
      </c>
      <c r="C149" s="15">
        <v>1</v>
      </c>
      <c r="D149" s="11" t="s">
        <v>71</v>
      </c>
      <c r="E149" s="15">
        <v>430</v>
      </c>
      <c r="F149" s="11" t="s">
        <v>1630</v>
      </c>
      <c r="G149" s="15">
        <v>900000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48</v>
      </c>
    </row>
    <row r="150" spans="1:19">
      <c r="A150" s="8"/>
      <c r="B150" s="15">
        <v>6</v>
      </c>
      <c r="C150" s="15">
        <v>2</v>
      </c>
      <c r="D150" s="11" t="s">
        <v>69</v>
      </c>
      <c r="E150" s="15">
        <v>430</v>
      </c>
      <c r="F150" s="11" t="s">
        <v>1631</v>
      </c>
      <c r="G150" s="15">
        <v>1000000</v>
      </c>
      <c r="H150" s="15">
        <v>5</v>
      </c>
      <c r="I150" s="15">
        <v>300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48</v>
      </c>
    </row>
    <row r="151" spans="1:19">
      <c r="A151" s="8"/>
      <c r="B151" s="15">
        <v>6</v>
      </c>
      <c r="C151" s="15">
        <v>3</v>
      </c>
      <c r="D151" s="11" t="s">
        <v>1691</v>
      </c>
      <c r="E151" s="15">
        <v>430</v>
      </c>
      <c r="F151" s="11" t="s">
        <v>1630</v>
      </c>
      <c r="G151" s="15">
        <v>1000000</v>
      </c>
      <c r="H151" s="15">
        <v>5</v>
      </c>
      <c r="I151" s="15">
        <v>300</v>
      </c>
      <c r="J151" s="15">
        <v>100</v>
      </c>
      <c r="K151" s="15">
        <v>250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49</v>
      </c>
    </row>
    <row r="152" spans="1:19">
      <c r="A152" s="8"/>
      <c r="B152" s="15">
        <v>6</v>
      </c>
      <c r="C152" s="15">
        <v>4</v>
      </c>
      <c r="D152" s="11" t="s">
        <v>1690</v>
      </c>
      <c r="E152" s="15">
        <v>340</v>
      </c>
      <c r="F152" s="11" t="s">
        <v>1693</v>
      </c>
      <c r="G152" s="15">
        <v>1700000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250</v>
      </c>
      <c r="N152" s="15">
        <v>250</v>
      </c>
      <c r="O152" s="15">
        <v>100</v>
      </c>
      <c r="P152" s="15">
        <v>100</v>
      </c>
      <c r="Q152" s="15">
        <v>100</v>
      </c>
      <c r="R152" s="15">
        <v>100</v>
      </c>
      <c r="S152" s="15">
        <v>50</v>
      </c>
    </row>
    <row r="153" spans="1:19">
      <c r="A153" s="8"/>
      <c r="B153" s="15">
        <v>6</v>
      </c>
      <c r="C153" s="15">
        <v>5</v>
      </c>
      <c r="D153" s="11" t="s">
        <v>208</v>
      </c>
      <c r="E153" s="15">
        <v>340</v>
      </c>
      <c r="F153" s="11" t="s">
        <v>1762</v>
      </c>
      <c r="G153" s="15">
        <v>2905000</v>
      </c>
      <c r="H153" s="15">
        <v>8</v>
      </c>
      <c r="I153" s="15">
        <v>999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51</v>
      </c>
    </row>
    <row r="154" spans="1:19">
      <c r="A154" s="8"/>
      <c r="B154" s="15">
        <v>6</v>
      </c>
      <c r="C154" s="15">
        <v>6</v>
      </c>
      <c r="D154" s="11" t="s">
        <v>1821</v>
      </c>
      <c r="E154" s="15">
        <v>340</v>
      </c>
      <c r="F154" s="11" t="s">
        <v>1630</v>
      </c>
      <c r="G154" s="15">
        <v>1000000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250</v>
      </c>
      <c r="O154" s="15">
        <v>100</v>
      </c>
      <c r="P154" s="15">
        <v>100</v>
      </c>
      <c r="Q154" s="15">
        <v>150</v>
      </c>
      <c r="R154" s="15">
        <v>100</v>
      </c>
      <c r="S154" s="15">
        <v>52</v>
      </c>
    </row>
    <row r="155" spans="1:19">
      <c r="A155" s="8"/>
      <c r="B155" s="15">
        <v>6</v>
      </c>
      <c r="C155" s="15">
        <v>7</v>
      </c>
      <c r="D155" s="11" t="s">
        <v>1868</v>
      </c>
      <c r="E155" s="15">
        <v>340</v>
      </c>
      <c r="F155" s="11" t="s">
        <v>2123</v>
      </c>
      <c r="G155" s="15">
        <v>6900000</v>
      </c>
      <c r="H155" s="15">
        <v>6</v>
      </c>
      <c r="I155" s="15">
        <v>500</v>
      </c>
      <c r="J155" s="15">
        <v>100</v>
      </c>
      <c r="K155" s="15">
        <v>100</v>
      </c>
      <c r="L155" s="15">
        <v>250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53</v>
      </c>
    </row>
    <row r="156" spans="1:19">
      <c r="A156" s="8"/>
      <c r="B156" s="15">
        <v>6</v>
      </c>
      <c r="C156" s="15">
        <v>8</v>
      </c>
      <c r="D156" s="11" t="s">
        <v>2038</v>
      </c>
      <c r="E156" s="15">
        <v>300</v>
      </c>
      <c r="F156" s="11" t="s">
        <v>2124</v>
      </c>
      <c r="G156" s="15">
        <v>60000</v>
      </c>
      <c r="H156" s="15">
        <v>5</v>
      </c>
      <c r="I156" s="15">
        <v>500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54</v>
      </c>
    </row>
    <row r="157" spans="1:19">
      <c r="A157" s="8"/>
      <c r="B157" s="15">
        <v>6</v>
      </c>
      <c r="C157" s="15">
        <v>9</v>
      </c>
      <c r="D157" s="11" t="s">
        <v>2039</v>
      </c>
      <c r="E157" s="15">
        <v>300</v>
      </c>
      <c r="F157" s="11" t="s">
        <v>2124</v>
      </c>
      <c r="G157" s="15">
        <v>60000</v>
      </c>
      <c r="H157" s="15">
        <v>5</v>
      </c>
      <c r="I157" s="15">
        <v>500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54</v>
      </c>
    </row>
    <row r="158" spans="1:19">
      <c r="A158" s="8"/>
      <c r="B158" s="15">
        <v>6</v>
      </c>
      <c r="C158" s="15">
        <v>10</v>
      </c>
      <c r="D158" s="11" t="s">
        <v>2060</v>
      </c>
      <c r="E158" s="15">
        <v>300</v>
      </c>
      <c r="F158" s="11" t="s">
        <v>2125</v>
      </c>
      <c r="G158" s="15">
        <v>7200000</v>
      </c>
      <c r="H158" s="15">
        <v>5</v>
      </c>
      <c r="I158" s="15">
        <v>500</v>
      </c>
      <c r="J158" s="15">
        <v>250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55</v>
      </c>
    </row>
    <row r="159" spans="1:19">
      <c r="A159" s="8"/>
      <c r="B159" s="15">
        <v>6</v>
      </c>
      <c r="C159" s="15">
        <v>11</v>
      </c>
      <c r="D159" s="11" t="s">
        <v>2115</v>
      </c>
      <c r="E159" s="15">
        <v>300</v>
      </c>
      <c r="F159" s="11" t="s">
        <v>2141</v>
      </c>
      <c r="G159" s="15">
        <v>13455000</v>
      </c>
      <c r="H159" s="15">
        <v>6</v>
      </c>
      <c r="I159" s="15">
        <v>700</v>
      </c>
      <c r="J159" s="15">
        <v>100</v>
      </c>
      <c r="K159" s="15">
        <v>100</v>
      </c>
      <c r="L159" s="15">
        <v>250</v>
      </c>
      <c r="M159" s="15">
        <v>100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56</v>
      </c>
    </row>
    <row r="160" spans="1:19">
      <c r="A160" s="8"/>
      <c r="B160" s="15">
        <v>7</v>
      </c>
      <c r="C160" s="15">
        <v>1</v>
      </c>
      <c r="D160" s="11" t="s">
        <v>581</v>
      </c>
      <c r="E160" s="15">
        <v>400</v>
      </c>
      <c r="F160" s="11" t="s">
        <v>808</v>
      </c>
      <c r="G160" s="15">
        <v>235000</v>
      </c>
      <c r="H160" s="15">
        <v>5</v>
      </c>
      <c r="I160" s="15">
        <v>300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</v>
      </c>
      <c r="S160" s="15"/>
    </row>
    <row r="161" spans="1:19">
      <c r="A161" s="8"/>
      <c r="B161" s="15">
        <v>7</v>
      </c>
      <c r="C161" s="15">
        <v>2</v>
      </c>
      <c r="D161" s="11" t="s">
        <v>582</v>
      </c>
      <c r="E161" s="15">
        <v>380</v>
      </c>
      <c r="F161" s="11" t="s">
        <v>809</v>
      </c>
      <c r="G161" s="15">
        <v>175000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</v>
      </c>
      <c r="S161" s="15"/>
    </row>
    <row r="162" spans="1:19">
      <c r="A162" s="8"/>
      <c r="B162" s="15">
        <v>7</v>
      </c>
      <c r="C162" s="15">
        <v>3</v>
      </c>
      <c r="D162" s="11" t="s">
        <v>583</v>
      </c>
      <c r="E162" s="15">
        <v>360</v>
      </c>
      <c r="F162" s="11" t="s">
        <v>810</v>
      </c>
      <c r="G162" s="15">
        <v>124000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4</v>
      </c>
      <c r="D163" s="11" t="s">
        <v>584</v>
      </c>
      <c r="E163" s="15">
        <v>340</v>
      </c>
      <c r="F163" s="11" t="s">
        <v>811</v>
      </c>
      <c r="G163" s="15">
        <v>82500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8</v>
      </c>
      <c r="C164" s="15">
        <v>1</v>
      </c>
      <c r="D164" s="11" t="s">
        <v>882</v>
      </c>
      <c r="E164" s="15">
        <v>355</v>
      </c>
      <c r="F164" s="11" t="s">
        <v>899</v>
      </c>
      <c r="G164" s="15">
        <v>238600</v>
      </c>
      <c r="H164" s="15">
        <v>5</v>
      </c>
      <c r="I164" s="15">
        <v>300</v>
      </c>
      <c r="J164" s="15">
        <v>250</v>
      </c>
      <c r="K164" s="15">
        <v>100</v>
      </c>
      <c r="L164" s="15">
        <v>100</v>
      </c>
      <c r="M164" s="15">
        <v>250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8</v>
      </c>
      <c r="C165" s="15">
        <v>2</v>
      </c>
      <c r="D165" s="11" t="s">
        <v>884</v>
      </c>
      <c r="E165" s="15">
        <v>355</v>
      </c>
      <c r="F165" s="11" t="s">
        <v>898</v>
      </c>
      <c r="G165" s="15">
        <v>2164700</v>
      </c>
      <c r="H165" s="15">
        <v>5</v>
      </c>
      <c r="I165" s="15">
        <v>300</v>
      </c>
      <c r="J165" s="15">
        <v>250</v>
      </c>
      <c r="K165" s="15">
        <v>100</v>
      </c>
      <c r="L165" s="15">
        <v>100</v>
      </c>
      <c r="M165" s="15">
        <v>250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8</v>
      </c>
      <c r="C166" s="15">
        <v>3</v>
      </c>
      <c r="D166" s="11" t="s">
        <v>881</v>
      </c>
      <c r="E166" s="15">
        <v>370</v>
      </c>
      <c r="F166" s="11" t="s">
        <v>897</v>
      </c>
      <c r="G166" s="15">
        <v>320900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4</v>
      </c>
      <c r="D167" s="11" t="s">
        <v>883</v>
      </c>
      <c r="E167" s="15">
        <v>370</v>
      </c>
      <c r="F167" s="11" t="s">
        <v>896</v>
      </c>
      <c r="G167" s="15">
        <v>2911200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5</v>
      </c>
      <c r="D168" s="11" t="s">
        <v>720</v>
      </c>
      <c r="E168" s="15">
        <v>330</v>
      </c>
      <c r="F168" s="11" t="s">
        <v>812</v>
      </c>
      <c r="G168" s="15">
        <v>4000000</v>
      </c>
      <c r="H168" s="15">
        <v>5</v>
      </c>
      <c r="I168" s="15">
        <v>999</v>
      </c>
      <c r="J168" s="15">
        <v>250</v>
      </c>
      <c r="K168" s="15">
        <v>250</v>
      </c>
      <c r="L168" s="15">
        <v>250</v>
      </c>
      <c r="M168" s="15">
        <v>250</v>
      </c>
      <c r="N168" s="15">
        <v>250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6</v>
      </c>
      <c r="D169" s="11" t="s">
        <v>719</v>
      </c>
      <c r="E169" s="15">
        <v>340</v>
      </c>
      <c r="F169" s="11" t="s">
        <v>789</v>
      </c>
      <c r="G169" s="15">
        <v>10000000</v>
      </c>
      <c r="H169" s="15">
        <v>5</v>
      </c>
      <c r="I169" s="15">
        <v>999</v>
      </c>
      <c r="J169" s="15">
        <v>250</v>
      </c>
      <c r="K169" s="15">
        <v>250</v>
      </c>
      <c r="L169" s="15">
        <v>250</v>
      </c>
      <c r="M169" s="15">
        <v>250</v>
      </c>
      <c r="N169" s="15">
        <v>250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7</v>
      </c>
      <c r="D170" s="11" t="s">
        <v>2126</v>
      </c>
      <c r="E170" s="15">
        <v>355</v>
      </c>
      <c r="F170" s="11" t="s">
        <v>1867</v>
      </c>
      <c r="G170" s="15">
        <v>4000000</v>
      </c>
      <c r="H170" s="15">
        <v>5</v>
      </c>
      <c r="I170" s="15">
        <v>300</v>
      </c>
      <c r="J170" s="15">
        <v>250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8</v>
      </c>
      <c r="D171" s="11" t="s">
        <v>2127</v>
      </c>
      <c r="E171" s="15">
        <v>370</v>
      </c>
      <c r="F171" s="11" t="s">
        <v>796</v>
      </c>
      <c r="G171" s="15">
        <v>8500000</v>
      </c>
      <c r="H171" s="15">
        <v>5</v>
      </c>
      <c r="I171" s="15">
        <v>300</v>
      </c>
      <c r="J171" s="15">
        <v>250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</v>
      </c>
      <c r="C172" s="15">
        <v>1</v>
      </c>
      <c r="D172" s="11" t="s">
        <v>845</v>
      </c>
      <c r="E172" s="15">
        <v>290</v>
      </c>
      <c r="F172" s="11" t="s">
        <v>834</v>
      </c>
      <c r="G172" s="15">
        <v>4500000</v>
      </c>
      <c r="H172" s="15">
        <v>5</v>
      </c>
      <c r="I172" s="15">
        <v>400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150</v>
      </c>
      <c r="P172" s="15">
        <v>50</v>
      </c>
      <c r="Q172" s="15">
        <v>100</v>
      </c>
      <c r="R172" s="15">
        <v>100</v>
      </c>
      <c r="S172" s="15"/>
    </row>
    <row r="173" spans="1:19">
      <c r="A173" s="8"/>
      <c r="B173" s="15">
        <v>9</v>
      </c>
      <c r="C173" s="15">
        <v>2</v>
      </c>
      <c r="D173" s="11" t="s">
        <v>846</v>
      </c>
      <c r="E173" s="15">
        <v>360</v>
      </c>
      <c r="F173" s="11" t="s">
        <v>835</v>
      </c>
      <c r="G173" s="15">
        <v>12000000</v>
      </c>
      <c r="H173" s="15">
        <v>5</v>
      </c>
      <c r="I173" s="15">
        <v>300</v>
      </c>
      <c r="J173" s="15">
        <v>250</v>
      </c>
      <c r="K173" s="15">
        <v>250</v>
      </c>
      <c r="L173" s="15">
        <v>250</v>
      </c>
      <c r="M173" s="15">
        <v>250</v>
      </c>
      <c r="N173" s="15">
        <v>250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3</v>
      </c>
      <c r="D174" s="11" t="s">
        <v>1653</v>
      </c>
      <c r="E174" s="15">
        <v>400</v>
      </c>
      <c r="F174" s="11" t="s">
        <v>1654</v>
      </c>
      <c r="G174" s="15">
        <v>42000000</v>
      </c>
      <c r="H174" s="15">
        <v>5</v>
      </c>
      <c r="I174" s="15">
        <v>700</v>
      </c>
      <c r="J174" s="15">
        <v>100</v>
      </c>
      <c r="K174" s="15">
        <v>400</v>
      </c>
      <c r="L174" s="15">
        <v>100</v>
      </c>
      <c r="M174" s="15">
        <v>100</v>
      </c>
      <c r="N174" s="15">
        <v>400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4</v>
      </c>
      <c r="D175" s="11" t="s">
        <v>2135</v>
      </c>
      <c r="E175" s="15">
        <v>400</v>
      </c>
      <c r="F175" s="11" t="s">
        <v>2142</v>
      </c>
      <c r="G175" s="15">
        <v>15000000</v>
      </c>
      <c r="H175" s="15">
        <v>5</v>
      </c>
      <c r="I175" s="15">
        <v>600</v>
      </c>
      <c r="J175" s="15">
        <v>400</v>
      </c>
      <c r="K175" s="15">
        <v>100</v>
      </c>
      <c r="L175" s="15">
        <v>100</v>
      </c>
      <c r="M175" s="15">
        <v>400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5</v>
      </c>
      <c r="D176" s="11" t="s">
        <v>2136</v>
      </c>
      <c r="E176" s="15">
        <v>400</v>
      </c>
      <c r="F176" s="11" t="s">
        <v>2142</v>
      </c>
      <c r="G176" s="15">
        <v>15000000</v>
      </c>
      <c r="H176" s="15">
        <v>5</v>
      </c>
      <c r="I176" s="15">
        <v>600</v>
      </c>
      <c r="J176" s="15">
        <v>400</v>
      </c>
      <c r="K176" s="15">
        <v>100</v>
      </c>
      <c r="L176" s="15">
        <v>100</v>
      </c>
      <c r="M176" s="15">
        <v>400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10</v>
      </c>
      <c r="C177" s="15">
        <v>1</v>
      </c>
      <c r="D177" s="11" t="s">
        <v>2128</v>
      </c>
      <c r="E177" s="15">
        <v>361</v>
      </c>
      <c r="F177" s="11" t="s">
        <v>758</v>
      </c>
      <c r="G177" s="15">
        <v>35100</v>
      </c>
      <c r="H177" s="15">
        <v>5</v>
      </c>
      <c r="I177" s="15">
        <v>300</v>
      </c>
      <c r="J177" s="15">
        <v>100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99</v>
      </c>
      <c r="C178" s="15">
        <v>1</v>
      </c>
      <c r="D178" s="11" t="s">
        <v>874</v>
      </c>
      <c r="E178" s="15">
        <v>360</v>
      </c>
      <c r="F178" s="11" t="s">
        <v>875</v>
      </c>
      <c r="G178" s="15">
        <v>10000000</v>
      </c>
      <c r="H178" s="15">
        <v>8</v>
      </c>
      <c r="I178" s="15">
        <v>999</v>
      </c>
      <c r="J178" s="15">
        <v>100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99</v>
      </c>
      <c r="C179" s="15">
        <v>2</v>
      </c>
      <c r="D179" s="11" t="s">
        <v>874</v>
      </c>
      <c r="E179" s="15">
        <v>360</v>
      </c>
      <c r="F179" s="11" t="s">
        <v>875</v>
      </c>
      <c r="G179" s="15">
        <v>10000000</v>
      </c>
      <c r="H179" s="15">
        <v>8</v>
      </c>
      <c r="I179" s="15">
        <v>999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3</v>
      </c>
      <c r="D180" s="11" t="s">
        <v>874</v>
      </c>
      <c r="E180" s="15">
        <v>360</v>
      </c>
      <c r="F180" s="11" t="s">
        <v>875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4</v>
      </c>
      <c r="D181" s="11" t="s">
        <v>874</v>
      </c>
      <c r="E181" s="15">
        <v>360</v>
      </c>
      <c r="F181" s="11" t="s">
        <v>875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5</v>
      </c>
      <c r="D182" s="11" t="s">
        <v>874</v>
      </c>
      <c r="E182" s="15">
        <v>360</v>
      </c>
      <c r="F182" s="11" t="s">
        <v>875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6</v>
      </c>
      <c r="D183" s="11" t="s">
        <v>874</v>
      </c>
      <c r="E183" s="15">
        <v>360</v>
      </c>
      <c r="F183" s="11" t="s">
        <v>875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7</v>
      </c>
      <c r="D184" s="11" t="s">
        <v>874</v>
      </c>
      <c r="E184" s="15">
        <v>360</v>
      </c>
      <c r="F184" s="11" t="s">
        <v>875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8</v>
      </c>
      <c r="D185" s="11" t="s">
        <v>874</v>
      </c>
      <c r="E185" s="15">
        <v>360</v>
      </c>
      <c r="F185" s="11" t="s">
        <v>875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9</v>
      </c>
      <c r="D186" s="11" t="s">
        <v>874</v>
      </c>
      <c r="E186" s="15">
        <v>360</v>
      </c>
      <c r="F186" s="11" t="s">
        <v>875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10</v>
      </c>
      <c r="D187" s="11" t="s">
        <v>874</v>
      </c>
      <c r="E187" s="15">
        <v>360</v>
      </c>
      <c r="F187" s="11" t="s">
        <v>875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</sheetData>
  <phoneticPr fontId="1"/>
  <dataValidations count="1">
    <dataValidation type="list" allowBlank="1" showInputMessage="1" showErrorMessage="1" sqref="A7:A187" xr:uid="{72C8423A-4734-4E0B-8CF3-DA0D35623B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7"/>
  <sheetViews>
    <sheetView zoomScale="85" zoomScaleNormal="85" workbookViewId="0">
      <pane ySplit="6" topLeftCell="A493" activePane="bottomLeft" state="frozen"/>
      <selection pane="bottomLeft" activeCell="G507" sqref="G50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2112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2111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2110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1001</v>
      </c>
      <c r="C513" s="15" t="s">
        <v>2028</v>
      </c>
      <c r="D513" s="15">
        <v>0</v>
      </c>
      <c r="E513" s="15">
        <v>0</v>
      </c>
      <c r="F513" s="15">
        <v>5</v>
      </c>
      <c r="G513" s="15">
        <v>450</v>
      </c>
      <c r="H513" s="15">
        <v>1</v>
      </c>
      <c r="I513" s="15"/>
    </row>
    <row r="514" spans="1:9">
      <c r="A514" s="8"/>
      <c r="B514" s="15">
        <v>1002</v>
      </c>
      <c r="C514" s="15" t="s">
        <v>1661</v>
      </c>
      <c r="D514" s="15">
        <v>0</v>
      </c>
      <c r="E514" s="15">
        <v>0</v>
      </c>
      <c r="F514" s="15">
        <v>11</v>
      </c>
      <c r="G514" s="15">
        <v>450</v>
      </c>
      <c r="H514" s="15">
        <v>1</v>
      </c>
      <c r="I514" s="15"/>
    </row>
    <row r="515" spans="1:9">
      <c r="A515" s="8"/>
      <c r="B515" s="15">
        <v>1003</v>
      </c>
      <c r="C515" s="15" t="s">
        <v>1656</v>
      </c>
      <c r="D515" s="15">
        <v>0</v>
      </c>
      <c r="E515" s="15">
        <v>0</v>
      </c>
      <c r="F515" s="15">
        <v>6</v>
      </c>
      <c r="G515" s="15">
        <v>0</v>
      </c>
      <c r="H515" s="15">
        <v>1</v>
      </c>
      <c r="I515" s="15"/>
    </row>
    <row r="516" spans="1:9">
      <c r="A516" s="8"/>
      <c r="B516" s="15">
        <v>1004</v>
      </c>
      <c r="C516" s="15" t="s">
        <v>1659</v>
      </c>
      <c r="D516" s="15">
        <v>0</v>
      </c>
      <c r="E516" s="15">
        <v>0</v>
      </c>
      <c r="F516" s="15">
        <v>3</v>
      </c>
      <c r="G516" s="15">
        <v>450</v>
      </c>
      <c r="H516" s="15">
        <v>1</v>
      </c>
      <c r="I516" s="15"/>
    </row>
    <row r="517" spans="1:9">
      <c r="A517" s="8"/>
      <c r="B517" s="15">
        <v>1005</v>
      </c>
      <c r="C517" s="15" t="s">
        <v>590</v>
      </c>
      <c r="D517" s="15">
        <v>0</v>
      </c>
      <c r="E517" s="15">
        <v>0</v>
      </c>
      <c r="F517" s="15">
        <v>4</v>
      </c>
      <c r="G517" s="15">
        <v>450</v>
      </c>
      <c r="H517" s="15">
        <v>1</v>
      </c>
      <c r="I517" s="15"/>
    </row>
    <row r="518" spans="1:9">
      <c r="A518" s="8"/>
      <c r="B518" s="15">
        <v>1006</v>
      </c>
      <c r="C518" s="15" t="s">
        <v>530</v>
      </c>
      <c r="D518" s="15">
        <v>0</v>
      </c>
      <c r="E518" s="15">
        <v>0</v>
      </c>
      <c r="F518" s="15">
        <v>4</v>
      </c>
      <c r="G518" s="15">
        <v>450</v>
      </c>
      <c r="H518" s="15">
        <v>1</v>
      </c>
      <c r="I518" s="15"/>
    </row>
    <row r="519" spans="1:9">
      <c r="A519" s="8"/>
      <c r="B519" s="15">
        <v>1007</v>
      </c>
      <c r="C519" s="15" t="s">
        <v>1657</v>
      </c>
      <c r="D519" s="15">
        <v>0</v>
      </c>
      <c r="E519" s="15">
        <v>0</v>
      </c>
      <c r="F519" s="15">
        <v>1</v>
      </c>
      <c r="G519" s="15">
        <v>0</v>
      </c>
      <c r="H519" s="15">
        <v>1</v>
      </c>
      <c r="I519" s="15"/>
    </row>
    <row r="520" spans="1:9">
      <c r="A520" s="8"/>
      <c r="B520" s="15">
        <v>1008</v>
      </c>
      <c r="C520" s="15" t="s">
        <v>1660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1009</v>
      </c>
      <c r="C521" s="15" t="s">
        <v>586</v>
      </c>
      <c r="D521" s="15">
        <v>0</v>
      </c>
      <c r="E521" s="15">
        <v>0</v>
      </c>
      <c r="F521" s="15">
        <v>9</v>
      </c>
      <c r="G521" s="15">
        <v>200</v>
      </c>
      <c r="H521" s="15">
        <v>1</v>
      </c>
      <c r="I521" s="15"/>
    </row>
    <row r="522" spans="1:9">
      <c r="A522" s="8"/>
      <c r="B522" s="15">
        <v>1010</v>
      </c>
      <c r="C522" s="15" t="s">
        <v>1658</v>
      </c>
      <c r="D522" s="15">
        <v>0</v>
      </c>
      <c r="E522" s="15">
        <v>0</v>
      </c>
      <c r="F522" s="15">
        <v>6</v>
      </c>
      <c r="G522" s="15">
        <v>200</v>
      </c>
      <c r="H522" s="15">
        <v>1</v>
      </c>
      <c r="I522" s="15"/>
    </row>
    <row r="523" spans="1:9">
      <c r="A523" s="8"/>
      <c r="B523" s="15">
        <v>1011</v>
      </c>
      <c r="C523" s="15" t="s">
        <v>1662</v>
      </c>
      <c r="D523" s="15">
        <v>0</v>
      </c>
      <c r="E523" s="15">
        <v>0</v>
      </c>
      <c r="F523" s="15">
        <v>6</v>
      </c>
      <c r="G523" s="15">
        <v>0</v>
      </c>
      <c r="H523" s="15">
        <v>1</v>
      </c>
      <c r="I523" s="15"/>
    </row>
    <row r="524" spans="1:9">
      <c r="A524" s="8"/>
      <c r="B524" s="15">
        <v>1012</v>
      </c>
      <c r="C524" s="15" t="s">
        <v>2029</v>
      </c>
      <c r="D524" s="15">
        <v>0</v>
      </c>
      <c r="E524" s="15">
        <v>0</v>
      </c>
      <c r="F524" s="15">
        <v>6</v>
      </c>
      <c r="G524" s="15">
        <v>0</v>
      </c>
      <c r="H524" s="15">
        <v>1</v>
      </c>
      <c r="I524" s="15"/>
    </row>
    <row r="525" spans="1:9">
      <c r="A525" s="8"/>
      <c r="B525" s="15">
        <v>1013</v>
      </c>
      <c r="C525" s="15" t="s">
        <v>1663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1014</v>
      </c>
      <c r="C526" s="15" t="s">
        <v>2030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1015</v>
      </c>
      <c r="C527" s="15" t="s">
        <v>2031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</sheetData>
  <autoFilter ref="B6:J516" xr:uid="{3F84FBC2-D1A1-4918-8ACB-795AE24453E5}"/>
  <phoneticPr fontId="1"/>
  <dataValidations count="1">
    <dataValidation type="list" allowBlank="1" showInputMessage="1" showErrorMessage="1" sqref="A7:A527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136" activePane="bottomLeft" state="frozen"/>
      <selection pane="bottomLeft" activeCell="M151" sqref="M15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2113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2114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2113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302"/>
  <sheetViews>
    <sheetView zoomScale="85" zoomScaleNormal="85" workbookViewId="0">
      <pane ySplit="6" topLeftCell="A146" activePane="bottomLeft" state="frozen"/>
      <selection pane="bottomLeft" activeCell="I162" sqref="I16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417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</row>
    <row r="157" spans="1:16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</row>
    <row r="158" spans="1:16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</row>
    <row r="159" spans="1:16">
      <c r="A159" s="8"/>
      <c r="B159" s="15">
        <v>155</v>
      </c>
      <c r="C159" s="15">
        <v>503</v>
      </c>
      <c r="D159" s="15">
        <v>7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</row>
    <row r="160" spans="1:16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</row>
    <row r="161" spans="1:16">
      <c r="A161" s="8"/>
      <c r="B161" s="15">
        <v>157</v>
      </c>
      <c r="C161" s="15">
        <v>503</v>
      </c>
      <c r="D161" s="15">
        <v>7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</row>
    <row r="162" spans="1:16">
      <c r="A162" s="8"/>
      <c r="B162" s="15">
        <v>1000</v>
      </c>
      <c r="C162" s="15">
        <v>1005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</row>
    <row r="184" spans="1:16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</row>
    <row r="188" spans="1:16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1101</v>
      </c>
      <c r="C192" s="15">
        <v>373</v>
      </c>
      <c r="D192" s="15">
        <v>1</v>
      </c>
      <c r="E192" s="15">
        <v>4</v>
      </c>
      <c r="F192" s="14" t="str">
        <f>VLOOKUP(C192,skill_list!B:C,2)</f>
        <v>ホーリーエンハンス</v>
      </c>
      <c r="G192" s="11"/>
      <c r="H192" s="15">
        <v>65</v>
      </c>
      <c r="I192" s="15">
        <v>80</v>
      </c>
      <c r="J192" s="15">
        <v>208</v>
      </c>
      <c r="K192" s="15">
        <v>10</v>
      </c>
      <c r="L192" s="15">
        <v>4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1102</v>
      </c>
      <c r="C193" s="15">
        <v>371</v>
      </c>
      <c r="D193" s="15">
        <v>1</v>
      </c>
      <c r="E193" s="15">
        <v>5</v>
      </c>
      <c r="F193" s="14" t="str">
        <f>VLOOKUP(C193,skill_list!B:C,2)</f>
        <v>赤面スティグマ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1103</v>
      </c>
      <c r="C194" s="15">
        <v>332</v>
      </c>
      <c r="D194" s="15">
        <v>1</v>
      </c>
      <c r="E194" s="15">
        <v>2</v>
      </c>
      <c r="F194" s="14" t="str">
        <f>VLOOKUP(C194,skill_list!B:C,2)</f>
        <v>淡雪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1104</v>
      </c>
      <c r="C195" s="15">
        <v>366</v>
      </c>
      <c r="D195" s="15">
        <v>1</v>
      </c>
      <c r="E195" s="15">
        <v>5</v>
      </c>
      <c r="F195" s="14" t="str">
        <f>VLOOKUP(C195,skill_list!B:C,2)</f>
        <v>被害妄想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1105</v>
      </c>
      <c r="C196" s="15">
        <v>253</v>
      </c>
      <c r="D196" s="15">
        <v>1</v>
      </c>
      <c r="E196" s="15">
        <v>3</v>
      </c>
      <c r="F196" s="14" t="str">
        <f>VLOOKUP(C196,skill_list!B:C,2)</f>
        <v>ライトニングロア</v>
      </c>
      <c r="G196" s="11"/>
      <c r="H196" s="15">
        <v>40</v>
      </c>
      <c r="I196" s="15">
        <v>55</v>
      </c>
      <c r="J196" s="15">
        <v>129</v>
      </c>
      <c r="K196" s="15">
        <v>1</v>
      </c>
      <c r="L196" s="15">
        <v>7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1106</v>
      </c>
      <c r="C197" s="15">
        <v>219</v>
      </c>
      <c r="D197" s="15">
        <v>1</v>
      </c>
      <c r="E197" s="15">
        <v>4</v>
      </c>
      <c r="F197" s="14" t="str">
        <f>VLOOKUP(C197,skill_list!B:C,2)</f>
        <v>夢十夜</v>
      </c>
      <c r="G197" s="11"/>
      <c r="H197" s="15">
        <v>40</v>
      </c>
      <c r="I197" s="15">
        <v>55</v>
      </c>
      <c r="J197" s="15">
        <v>132</v>
      </c>
      <c r="K197" s="15">
        <v>1</v>
      </c>
      <c r="L197" s="15">
        <v>7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1107</v>
      </c>
      <c r="C198" s="15">
        <v>339</v>
      </c>
      <c r="D198" s="15">
        <v>1</v>
      </c>
      <c r="E198" s="15">
        <v>5</v>
      </c>
      <c r="F198" s="14" t="str">
        <f>VLOOKUP(C198,skill_list!B:C,2)</f>
        <v>大切り盛り</v>
      </c>
      <c r="G198" s="11"/>
      <c r="H198" s="15">
        <v>40</v>
      </c>
      <c r="I198" s="15">
        <v>55</v>
      </c>
      <c r="J198" s="15">
        <v>123</v>
      </c>
      <c r="K198" s="15">
        <v>1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1108</v>
      </c>
      <c r="C199" s="15">
        <v>404</v>
      </c>
      <c r="D199" s="15">
        <v>1</v>
      </c>
      <c r="E199" s="15">
        <v>3</v>
      </c>
      <c r="F199" s="14" t="str">
        <f>VLOOKUP(C199,skill_list!B:C,2)</f>
        <v>とある衝撃</v>
      </c>
      <c r="G199" s="11"/>
      <c r="H199" s="15">
        <v>65</v>
      </c>
      <c r="I199" s="15">
        <v>80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1109</v>
      </c>
      <c r="C200" s="15">
        <v>412</v>
      </c>
      <c r="D200" s="15">
        <v>1</v>
      </c>
      <c r="E200" s="15">
        <v>2</v>
      </c>
      <c r="F200" s="14" t="str">
        <f>VLOOKUP(C200,skill_list!B:C,2)</f>
        <v>北風のスバル</v>
      </c>
      <c r="G200" s="11"/>
      <c r="H200" s="15">
        <v>65</v>
      </c>
      <c r="I200" s="15">
        <v>80</v>
      </c>
      <c r="J200" s="15">
        <v>192</v>
      </c>
      <c r="K200" s="15">
        <v>10</v>
      </c>
      <c r="L200" s="15">
        <v>7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1110</v>
      </c>
      <c r="C201" s="15">
        <v>461</v>
      </c>
      <c r="D201" s="15">
        <v>1</v>
      </c>
      <c r="E201" s="15">
        <v>3</v>
      </c>
      <c r="F201" s="14" t="str">
        <f>VLOOKUP(C201,skill_list!B:C,2)</f>
        <v>ねこじゃらし</v>
      </c>
      <c r="G201" s="11"/>
      <c r="H201" s="15">
        <v>65</v>
      </c>
      <c r="I201" s="15">
        <v>80</v>
      </c>
      <c r="J201" s="15">
        <v>200</v>
      </c>
      <c r="K201" s="15">
        <v>10</v>
      </c>
      <c r="L201" s="15">
        <v>7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1111</v>
      </c>
      <c r="C202" s="15">
        <v>465</v>
      </c>
      <c r="D202" s="15">
        <v>1</v>
      </c>
      <c r="E202" s="15">
        <v>5</v>
      </c>
      <c r="F202" s="14" t="str">
        <f>VLOOKUP(C202,skill_list!B:C,2)</f>
        <v>ピクシースマイル</v>
      </c>
      <c r="G202" s="11"/>
      <c r="H202" s="15">
        <v>65</v>
      </c>
      <c r="I202" s="15">
        <v>80</v>
      </c>
      <c r="J202" s="15">
        <v>208</v>
      </c>
      <c r="K202" s="15">
        <v>10</v>
      </c>
      <c r="L202" s="15">
        <v>4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1112</v>
      </c>
      <c r="C203" s="15">
        <v>488</v>
      </c>
      <c r="D203" s="15">
        <v>1</v>
      </c>
      <c r="E203" s="15">
        <v>5</v>
      </c>
      <c r="F203" s="14" t="str">
        <f>VLOOKUP(C203,skill_list!B:C,2)</f>
        <v>クリャートヴァ</v>
      </c>
      <c r="G203" s="11"/>
      <c r="H203" s="15">
        <v>65</v>
      </c>
      <c r="I203" s="15">
        <v>80</v>
      </c>
      <c r="J203" s="15">
        <v>232</v>
      </c>
      <c r="K203" s="15">
        <v>10</v>
      </c>
      <c r="L203" s="15">
        <v>3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1201</v>
      </c>
      <c r="C204" s="15">
        <v>310</v>
      </c>
      <c r="D204" s="15">
        <v>2</v>
      </c>
      <c r="E204" s="15">
        <v>0</v>
      </c>
      <c r="F204" s="14" t="str">
        <f>VLOOKUP(C204,skill_list!B:C,2)</f>
        <v>インサイト</v>
      </c>
      <c r="G204" s="11"/>
      <c r="H204" s="15">
        <v>35</v>
      </c>
      <c r="I204" s="15">
        <v>50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1202</v>
      </c>
      <c r="C205" s="15">
        <v>451</v>
      </c>
      <c r="D205" s="15">
        <v>2</v>
      </c>
      <c r="E205" s="15">
        <v>0</v>
      </c>
      <c r="F205" s="14" t="str">
        <f>VLOOKUP(C205,skill_list!B:C,2)</f>
        <v>炯眼の構え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1300</v>
      </c>
      <c r="C206" s="15">
        <v>1009</v>
      </c>
      <c r="D206" s="15">
        <v>3</v>
      </c>
      <c r="E206" s="15">
        <v>0</v>
      </c>
      <c r="F206" s="14" t="str">
        <f>VLOOKUP(C206,skill_list!B:C,2)</f>
        <v>ソフニング</v>
      </c>
      <c r="G206" s="11"/>
      <c r="H206" s="15">
        <v>30</v>
      </c>
      <c r="I206" s="15">
        <v>45</v>
      </c>
      <c r="J206" s="15">
        <v>200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1301</v>
      </c>
      <c r="C207" s="15">
        <v>173</v>
      </c>
      <c r="D207" s="15">
        <v>3</v>
      </c>
      <c r="E207" s="15">
        <v>0</v>
      </c>
      <c r="F207" s="14" t="str">
        <f>VLOOKUP(C207,skill_list!B:C,2)</f>
        <v>臥龍演舞斬</v>
      </c>
      <c r="G207" s="11"/>
      <c r="H207" s="15">
        <v>30</v>
      </c>
      <c r="I207" s="15">
        <v>45</v>
      </c>
      <c r="J207" s="15">
        <v>123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1302</v>
      </c>
      <c r="C208" s="15">
        <v>16</v>
      </c>
      <c r="D208" s="15">
        <v>3</v>
      </c>
      <c r="E208" s="15">
        <v>0</v>
      </c>
      <c r="F208" s="14" t="str">
        <f>VLOOKUP(C208,skill_list!B:C,2)</f>
        <v>ハードブレード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1303</v>
      </c>
      <c r="C209" s="15">
        <v>70</v>
      </c>
      <c r="D209" s="15">
        <v>3</v>
      </c>
      <c r="E209" s="15">
        <v>0</v>
      </c>
      <c r="F209" s="14" t="str">
        <f>VLOOKUP(C209,skill_list!B:C,2)</f>
        <v>ウィザードショット</v>
      </c>
      <c r="G209" s="11"/>
      <c r="H209" s="15">
        <v>30</v>
      </c>
      <c r="I209" s="15">
        <v>45</v>
      </c>
      <c r="J209" s="15">
        <v>117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1304</v>
      </c>
      <c r="C210" s="15">
        <v>467</v>
      </c>
      <c r="D210" s="15">
        <v>3</v>
      </c>
      <c r="E210" s="15">
        <v>0</v>
      </c>
      <c r="F210" s="14" t="str">
        <f>VLOOKUP(C210,skill_list!B:C,2)</f>
        <v>螳螂之斧</v>
      </c>
      <c r="G210" s="11"/>
      <c r="H210" s="15">
        <v>20</v>
      </c>
      <c r="I210" s="15">
        <v>30</v>
      </c>
      <c r="J210" s="15">
        <v>134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1351</v>
      </c>
      <c r="C211" s="15">
        <v>116</v>
      </c>
      <c r="D211" s="15">
        <v>3</v>
      </c>
      <c r="E211" s="15">
        <v>0</v>
      </c>
      <c r="F211" s="14" t="str">
        <f>VLOOKUP(C211,skill_list!B:C,2)</f>
        <v>レイジングシャウト</v>
      </c>
      <c r="G211" s="11"/>
      <c r="H211" s="15">
        <v>20</v>
      </c>
      <c r="I211" s="15">
        <v>30</v>
      </c>
      <c r="J211" s="15">
        <v>120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1352</v>
      </c>
      <c r="C212" s="15">
        <v>126</v>
      </c>
      <c r="D212" s="15">
        <v>3</v>
      </c>
      <c r="E212" s="15">
        <v>0</v>
      </c>
      <c r="F212" s="14" t="str">
        <f>VLOOKUP(C212,skill_list!B:C,2)</f>
        <v>ラブカ・ブレード</v>
      </c>
      <c r="G212" s="11"/>
      <c r="H212" s="15">
        <v>20</v>
      </c>
      <c r="I212" s="15">
        <v>30</v>
      </c>
      <c r="J212" s="15">
        <v>123</v>
      </c>
      <c r="K212" s="15">
        <v>1</v>
      </c>
      <c r="L212" s="15">
        <v>2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1401</v>
      </c>
      <c r="C213" s="15">
        <v>204</v>
      </c>
      <c r="D213" s="15">
        <v>4</v>
      </c>
      <c r="E213" s="15">
        <v>3</v>
      </c>
      <c r="F213" s="14" t="str">
        <f>VLOOKUP(C213,skill_list!B:C,2)</f>
        <v>ミストイングレイブ</v>
      </c>
      <c r="G213" s="11"/>
      <c r="H213" s="15">
        <v>45</v>
      </c>
      <c r="I213" s="15">
        <v>60</v>
      </c>
      <c r="J213" s="15">
        <v>126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1402</v>
      </c>
      <c r="C214" s="15">
        <v>328</v>
      </c>
      <c r="D214" s="15">
        <v>4</v>
      </c>
      <c r="E214" s="15">
        <v>5</v>
      </c>
      <c r="F214" s="14" t="str">
        <f>VLOOKUP(C214,skill_list!B:C,2)</f>
        <v>先に逝くなよ</v>
      </c>
      <c r="G214" s="11"/>
      <c r="H214" s="15">
        <v>45</v>
      </c>
      <c r="I214" s="15">
        <v>60</v>
      </c>
      <c r="J214" s="15">
        <v>123</v>
      </c>
      <c r="K214" s="15">
        <v>1</v>
      </c>
      <c r="L214" s="15">
        <v>1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1403</v>
      </c>
      <c r="C215" s="15">
        <v>282</v>
      </c>
      <c r="D215" s="15">
        <v>4</v>
      </c>
      <c r="E215" s="15">
        <v>1</v>
      </c>
      <c r="F215" s="14" t="str">
        <f>VLOOKUP(C215,skill_list!B:C,2)</f>
        <v>ヴィクタープラクティス</v>
      </c>
      <c r="G215" s="11"/>
      <c r="H215" s="15">
        <v>45</v>
      </c>
      <c r="I215" s="15">
        <v>60</v>
      </c>
      <c r="J215" s="15">
        <v>123</v>
      </c>
      <c r="K215" s="15">
        <v>1</v>
      </c>
      <c r="L215" s="15">
        <v>1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1404</v>
      </c>
      <c r="C216" s="15">
        <v>222</v>
      </c>
      <c r="D216" s="15">
        <v>4</v>
      </c>
      <c r="E216" s="15">
        <v>4</v>
      </c>
      <c r="F216" s="14" t="str">
        <f>VLOOKUP(C216,skill_list!B:C,2)</f>
        <v>夜雨</v>
      </c>
      <c r="G216" s="11"/>
      <c r="H216" s="15">
        <v>45</v>
      </c>
      <c r="I216" s="15">
        <v>60</v>
      </c>
      <c r="J216" s="15">
        <v>131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1405</v>
      </c>
      <c r="C217" s="15">
        <v>222</v>
      </c>
      <c r="D217" s="15">
        <v>4</v>
      </c>
      <c r="E217" s="15">
        <v>5</v>
      </c>
      <c r="F217" s="14" t="str">
        <f>VLOOKUP(C217,skill_list!B:C,2)</f>
        <v>夜雨</v>
      </c>
      <c r="G217" s="11"/>
      <c r="H217" s="15">
        <v>45</v>
      </c>
      <c r="I217" s="15">
        <v>60</v>
      </c>
      <c r="J217" s="15">
        <v>131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1406</v>
      </c>
      <c r="C218" s="15">
        <v>446</v>
      </c>
      <c r="D218" s="15">
        <v>4</v>
      </c>
      <c r="E218" s="15">
        <v>2</v>
      </c>
      <c r="F218" s="14" t="str">
        <f>VLOOKUP(C218,skill_list!B:C,2)</f>
        <v>コールドクラッシュ</v>
      </c>
      <c r="G218" s="11"/>
      <c r="H218" s="15">
        <v>45</v>
      </c>
      <c r="I218" s="15">
        <v>60</v>
      </c>
      <c r="J218" s="15">
        <v>132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1451</v>
      </c>
      <c r="C219" s="15">
        <v>241</v>
      </c>
      <c r="D219" s="15">
        <v>4</v>
      </c>
      <c r="E219" s="15">
        <v>1</v>
      </c>
      <c r="F219" s="14" t="str">
        <f>VLOOKUP(C219,skill_list!B:C,2)</f>
        <v>怒裂昂</v>
      </c>
      <c r="G219" s="11"/>
      <c r="H219" s="15">
        <v>30</v>
      </c>
      <c r="I219" s="15">
        <v>45</v>
      </c>
      <c r="J219" s="15">
        <v>129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1452</v>
      </c>
      <c r="C220" s="15">
        <v>77</v>
      </c>
      <c r="D220" s="15">
        <v>4</v>
      </c>
      <c r="E220" s="15">
        <v>2</v>
      </c>
      <c r="F220" s="14" t="str">
        <f>VLOOKUP(C220,skill_list!B:C,2)</f>
        <v>ビスコッティ</v>
      </c>
      <c r="G220" s="11"/>
      <c r="H220" s="15">
        <v>30</v>
      </c>
      <c r="I220" s="15">
        <v>45</v>
      </c>
      <c r="J220" s="15">
        <v>129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1453</v>
      </c>
      <c r="C221" s="15">
        <v>410</v>
      </c>
      <c r="D221" s="15">
        <v>4</v>
      </c>
      <c r="E221" s="15">
        <v>3</v>
      </c>
      <c r="F221" s="14" t="str">
        <f>VLOOKUP(C221,skill_list!B:C,2)</f>
        <v>ザヴィーシマスチ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1454</v>
      </c>
      <c r="C222" s="15">
        <v>476</v>
      </c>
      <c r="D222" s="15">
        <v>4</v>
      </c>
      <c r="E222" s="15">
        <v>5</v>
      </c>
      <c r="F222" s="14" t="str">
        <f>VLOOKUP(C222,skill_list!B:C,2)</f>
        <v>ヌラルジャ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999</v>
      </c>
      <c r="P222" s="15"/>
    </row>
    <row r="223" spans="1:16">
      <c r="A223" s="8"/>
      <c r="B223" s="15">
        <v>1501</v>
      </c>
      <c r="C223" s="15">
        <v>94</v>
      </c>
      <c r="D223" s="15">
        <v>5</v>
      </c>
      <c r="E223" s="15">
        <v>0</v>
      </c>
      <c r="F223" s="14" t="str">
        <f>VLOOKUP(C223,skill_list!B:C,2)</f>
        <v>呪怨の矢</v>
      </c>
      <c r="G223" s="11"/>
      <c r="H223" s="15">
        <v>35</v>
      </c>
      <c r="I223" s="15">
        <v>50</v>
      </c>
      <c r="J223" s="15">
        <v>120</v>
      </c>
      <c r="K223" s="15">
        <v>1</v>
      </c>
      <c r="L223" s="15">
        <v>1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1502</v>
      </c>
      <c r="C224" s="15">
        <v>272</v>
      </c>
      <c r="D224" s="15">
        <v>5</v>
      </c>
      <c r="E224" s="15">
        <v>0</v>
      </c>
      <c r="F224" s="14" t="str">
        <f>VLOOKUP(C224,skill_list!B:C,2)</f>
        <v>ディープブロー</v>
      </c>
      <c r="G224" s="11"/>
      <c r="H224" s="15">
        <v>35</v>
      </c>
      <c r="I224" s="15">
        <v>50</v>
      </c>
      <c r="J224" s="15">
        <v>120</v>
      </c>
      <c r="K224" s="15">
        <v>1</v>
      </c>
      <c r="L224" s="15">
        <v>1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1551</v>
      </c>
      <c r="C225" s="15">
        <v>195</v>
      </c>
      <c r="D225" s="15">
        <v>5</v>
      </c>
      <c r="E225" s="15">
        <v>0</v>
      </c>
      <c r="F225" s="14" t="str">
        <f>VLOOKUP(C225,skill_list!B:C,2)</f>
        <v>ネイキッドイレイザー</v>
      </c>
      <c r="G225" s="11"/>
      <c r="H225" s="15">
        <v>35</v>
      </c>
      <c r="I225" s="15">
        <v>50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1552</v>
      </c>
      <c r="C226" s="15">
        <v>218</v>
      </c>
      <c r="D226" s="15">
        <v>5</v>
      </c>
      <c r="E226" s="15">
        <v>0</v>
      </c>
      <c r="F226" s="14" t="str">
        <f>VLOOKUP(C226,skill_list!B:C,2)</f>
        <v>薙の矢</v>
      </c>
      <c r="G226" s="11"/>
      <c r="H226" s="15">
        <v>35</v>
      </c>
      <c r="I226" s="15">
        <v>50</v>
      </c>
      <c r="J226" s="15">
        <v>126</v>
      </c>
      <c r="K226" s="15">
        <v>1</v>
      </c>
      <c r="L226" s="15">
        <v>2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1553</v>
      </c>
      <c r="C227" s="15">
        <v>349</v>
      </c>
      <c r="D227" s="15">
        <v>5</v>
      </c>
      <c r="E227" s="15">
        <v>0</v>
      </c>
      <c r="F227" s="14" t="str">
        <f>VLOOKUP(C227,skill_list!B:C,2)</f>
        <v>大海原</v>
      </c>
      <c r="G227" s="11"/>
      <c r="H227" s="15">
        <v>35</v>
      </c>
      <c r="I227" s="15">
        <v>50</v>
      </c>
      <c r="J227" s="15">
        <v>129</v>
      </c>
      <c r="K227" s="15">
        <v>1</v>
      </c>
      <c r="L227" s="15">
        <v>2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1600</v>
      </c>
      <c r="C228" s="15">
        <v>1001</v>
      </c>
      <c r="D228" s="15">
        <v>6</v>
      </c>
      <c r="E228" s="15">
        <v>0</v>
      </c>
      <c r="F228" s="14" t="str">
        <f>VLOOKUP(C228,skill_list!B:C,2)</f>
        <v>クリティカルシンキング</v>
      </c>
      <c r="G228" s="11"/>
      <c r="H228" s="15">
        <v>40</v>
      </c>
      <c r="I228" s="15">
        <v>70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1601</v>
      </c>
      <c r="C229" s="15">
        <v>71</v>
      </c>
      <c r="D229" s="15">
        <v>6</v>
      </c>
      <c r="E229" s="15">
        <v>0</v>
      </c>
      <c r="F229" s="14" t="str">
        <f>VLOOKUP(C229,skill_list!B:C,2)</f>
        <v>ルーンバースト</v>
      </c>
      <c r="G229" s="11"/>
      <c r="H229" s="15">
        <v>35</v>
      </c>
      <c r="I229" s="15">
        <v>45</v>
      </c>
      <c r="J229" s="15">
        <v>132</v>
      </c>
      <c r="K229" s="15">
        <v>1</v>
      </c>
      <c r="L229" s="15">
        <v>7</v>
      </c>
      <c r="M229" s="15">
        <v>0</v>
      </c>
      <c r="N229" s="15">
        <v>1</v>
      </c>
      <c r="O229" s="15">
        <v>999</v>
      </c>
      <c r="P229" s="15"/>
    </row>
    <row r="230" spans="1:16">
      <c r="A230" s="8"/>
      <c r="B230" s="15">
        <v>1602</v>
      </c>
      <c r="C230" s="15">
        <v>255</v>
      </c>
      <c r="D230" s="15">
        <v>6</v>
      </c>
      <c r="E230" s="15">
        <v>0</v>
      </c>
      <c r="F230" s="14" t="str">
        <f>VLOOKUP(C230,skill_list!B:C,2)</f>
        <v>ホールドアップマインド</v>
      </c>
      <c r="G230" s="11"/>
      <c r="H230" s="15">
        <v>35</v>
      </c>
      <c r="I230" s="15">
        <v>45</v>
      </c>
      <c r="J230" s="15">
        <v>224</v>
      </c>
      <c r="K230" s="15">
        <v>10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1603</v>
      </c>
      <c r="C231" s="15">
        <v>378</v>
      </c>
      <c r="D231" s="15">
        <v>6</v>
      </c>
      <c r="E231" s="15">
        <v>0</v>
      </c>
      <c r="F231" s="14" t="str">
        <f>VLOOKUP(C231,skill_list!B:C,2)</f>
        <v>冀望</v>
      </c>
      <c r="G231" s="11"/>
      <c r="H231" s="15">
        <v>40</v>
      </c>
      <c r="I231" s="15">
        <v>70</v>
      </c>
      <c r="J231" s="15">
        <v>216</v>
      </c>
      <c r="K231" s="15">
        <v>10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1604</v>
      </c>
      <c r="C232" s="15">
        <v>462</v>
      </c>
      <c r="D232" s="15">
        <v>6</v>
      </c>
      <c r="E232" s="15">
        <v>0</v>
      </c>
      <c r="F232" s="14" t="str">
        <f>VLOOKUP(C232,skill_list!B:C,2)</f>
        <v>一途なスマイル</v>
      </c>
      <c r="G232" s="11"/>
      <c r="H232" s="15">
        <v>40</v>
      </c>
      <c r="I232" s="15">
        <v>70</v>
      </c>
      <c r="J232" s="15">
        <v>232</v>
      </c>
      <c r="K232" s="15">
        <v>10</v>
      </c>
      <c r="L232" s="15">
        <v>3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1605</v>
      </c>
      <c r="C233" s="15">
        <v>471</v>
      </c>
      <c r="D233" s="15">
        <v>6</v>
      </c>
      <c r="E233" s="15">
        <v>0</v>
      </c>
      <c r="F233" s="14" t="str">
        <f>VLOOKUP(C233,skill_list!B:C,2)</f>
        <v>おしおき</v>
      </c>
      <c r="G233" s="11"/>
      <c r="H233" s="15">
        <v>40</v>
      </c>
      <c r="I233" s="15">
        <v>70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1700</v>
      </c>
      <c r="C234" s="15">
        <v>1006</v>
      </c>
      <c r="D234" s="15">
        <v>7</v>
      </c>
      <c r="E234" s="15">
        <v>0</v>
      </c>
      <c r="F234" s="14" t="str">
        <f>VLOOKUP(C234,skill_list!B:C,2)</f>
        <v>コンセントレーション</v>
      </c>
      <c r="G234" s="11"/>
      <c r="H234" s="15">
        <v>10</v>
      </c>
      <c r="I234" s="15">
        <v>20</v>
      </c>
      <c r="J234" s="15">
        <v>450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1701</v>
      </c>
      <c r="C235" s="15">
        <v>462</v>
      </c>
      <c r="D235" s="15">
        <v>7</v>
      </c>
      <c r="E235" s="15">
        <v>0</v>
      </c>
      <c r="F235" s="14" t="str">
        <f>VLOOKUP(C235,skill_list!B:C,2)</f>
        <v>一途なスマイル</v>
      </c>
      <c r="G235" s="11"/>
      <c r="H235" s="15">
        <v>30</v>
      </c>
      <c r="I235" s="15">
        <v>30</v>
      </c>
      <c r="J235" s="15">
        <v>0</v>
      </c>
      <c r="K235" s="15">
        <v>1</v>
      </c>
      <c r="L235" s="15">
        <v>3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1702</v>
      </c>
      <c r="C236" s="15">
        <v>482</v>
      </c>
      <c r="D236" s="15">
        <v>7</v>
      </c>
      <c r="E236" s="15">
        <v>0</v>
      </c>
      <c r="F236" s="14" t="str">
        <f>VLOOKUP(C236,skill_list!B:C,2)</f>
        <v>解けない謎はない</v>
      </c>
      <c r="G236" s="11"/>
      <c r="H236" s="15">
        <v>30</v>
      </c>
      <c r="I236" s="15">
        <v>30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2001</v>
      </c>
      <c r="C237" s="15">
        <v>378</v>
      </c>
      <c r="D237" s="15">
        <v>10</v>
      </c>
      <c r="E237" s="15">
        <v>0</v>
      </c>
      <c r="F237" s="14" t="str">
        <f>VLOOKUP(C237,skill_list!B:C,2)</f>
        <v>冀望</v>
      </c>
      <c r="G237" s="11"/>
      <c r="H237" s="15">
        <v>20</v>
      </c>
      <c r="I237" s="15">
        <v>30</v>
      </c>
      <c r="J237" s="15">
        <v>216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2002</v>
      </c>
      <c r="C238" s="15">
        <v>157</v>
      </c>
      <c r="D238" s="15">
        <v>10</v>
      </c>
      <c r="E238" s="15">
        <v>0</v>
      </c>
      <c r="F238" s="14" t="str">
        <f>VLOOKUP(C238,skill_list!B:C,2)</f>
        <v>聖域のカンタータ</v>
      </c>
      <c r="G238" s="11"/>
      <c r="H238" s="15">
        <v>20</v>
      </c>
      <c r="I238" s="15">
        <v>30</v>
      </c>
      <c r="J238" s="15">
        <v>216</v>
      </c>
      <c r="K238" s="15">
        <v>10</v>
      </c>
      <c r="L238" s="15">
        <v>6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2003</v>
      </c>
      <c r="C239" s="15">
        <v>346</v>
      </c>
      <c r="D239" s="15">
        <v>10</v>
      </c>
      <c r="E239" s="15">
        <v>0</v>
      </c>
      <c r="F239" s="14" t="str">
        <f>VLOOKUP(C239,skill_list!B:C,2)</f>
        <v>メイドの嗜み</v>
      </c>
      <c r="G239" s="11"/>
      <c r="H239" s="15">
        <v>20</v>
      </c>
      <c r="I239" s="15">
        <v>30</v>
      </c>
      <c r="J239" s="15">
        <v>200</v>
      </c>
      <c r="K239" s="15">
        <v>10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2004</v>
      </c>
      <c r="C240" s="15">
        <v>478</v>
      </c>
      <c r="D240" s="15">
        <v>10</v>
      </c>
      <c r="E240" s="15">
        <v>0</v>
      </c>
      <c r="F240" s="14" t="str">
        <f>VLOOKUP(C240,skill_list!B:C,2)</f>
        <v>春爛漫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2051</v>
      </c>
      <c r="C241" s="15">
        <v>226</v>
      </c>
      <c r="D241" s="15">
        <v>10</v>
      </c>
      <c r="E241" s="15">
        <v>0</v>
      </c>
      <c r="F241" s="14" t="str">
        <f>VLOOKUP(C241,skill_list!B:C,2)</f>
        <v>ハイセンス・ショット</v>
      </c>
      <c r="G241" s="11"/>
      <c r="H241" s="15">
        <v>20</v>
      </c>
      <c r="I241" s="15">
        <v>30</v>
      </c>
      <c r="J241" s="15">
        <v>123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2052</v>
      </c>
      <c r="C242" s="15">
        <v>163</v>
      </c>
      <c r="D242" s="15">
        <v>10</v>
      </c>
      <c r="E242" s="15">
        <v>0</v>
      </c>
      <c r="F242" s="14" t="str">
        <f>VLOOKUP(C242,skill_list!B:C,2)</f>
        <v>残心</v>
      </c>
      <c r="G242" s="11"/>
      <c r="H242" s="15">
        <v>20</v>
      </c>
      <c r="I242" s="15">
        <v>30</v>
      </c>
      <c r="J242" s="15">
        <v>123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2053</v>
      </c>
      <c r="C243" s="15">
        <v>228</v>
      </c>
      <c r="D243" s="15">
        <v>10</v>
      </c>
      <c r="E243" s="15">
        <v>0</v>
      </c>
      <c r="F243" s="14" t="str">
        <f>VLOOKUP(C243,skill_list!B:C,2)</f>
        <v>喧嘩上等！！</v>
      </c>
      <c r="G243" s="11"/>
      <c r="H243" s="15">
        <v>20</v>
      </c>
      <c r="I243" s="15">
        <v>30</v>
      </c>
      <c r="J243" s="15">
        <v>132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2201</v>
      </c>
      <c r="C244" s="15">
        <v>321</v>
      </c>
      <c r="D244" s="15">
        <v>12</v>
      </c>
      <c r="E244" s="15">
        <v>0</v>
      </c>
      <c r="F244" s="14" t="str">
        <f>VLOOKUP(C244,skill_list!B:C,2)</f>
        <v>ファーストラヴ</v>
      </c>
      <c r="G244" s="11"/>
      <c r="H244" s="15">
        <v>50</v>
      </c>
      <c r="I244" s="15">
        <v>50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999</v>
      </c>
      <c r="P244" s="15"/>
    </row>
    <row r="245" spans="1:16">
      <c r="A245" s="8"/>
      <c r="B245" s="15">
        <v>2300</v>
      </c>
      <c r="C245" s="15">
        <v>1003</v>
      </c>
      <c r="D245" s="15">
        <v>13</v>
      </c>
      <c r="E245" s="15">
        <v>0</v>
      </c>
      <c r="F245" s="14" t="str">
        <f>VLOOKUP(C245,skill_list!B:C,2)</f>
        <v>ドライブゲイン</v>
      </c>
      <c r="G245" s="11"/>
      <c r="H245" s="15">
        <v>15</v>
      </c>
      <c r="I245" s="15">
        <v>15</v>
      </c>
      <c r="J245" s="15">
        <v>0</v>
      </c>
      <c r="K245" s="15">
        <v>1</v>
      </c>
      <c r="L245" s="15">
        <v>0</v>
      </c>
      <c r="M245" s="15">
        <v>0</v>
      </c>
      <c r="N245" s="15">
        <v>0</v>
      </c>
      <c r="O245" s="15">
        <v>0</v>
      </c>
      <c r="P245" s="15"/>
    </row>
    <row r="246" spans="1:16">
      <c r="A246" s="8"/>
      <c r="B246" s="15">
        <v>2301</v>
      </c>
      <c r="C246" s="15">
        <v>123</v>
      </c>
      <c r="D246" s="15">
        <v>13</v>
      </c>
      <c r="E246" s="15">
        <v>0</v>
      </c>
      <c r="F246" s="14" t="str">
        <f>VLOOKUP(C246,skill_list!B:C,2)</f>
        <v>サービス・エース</v>
      </c>
      <c r="G246" s="11"/>
      <c r="H246" s="15">
        <v>10</v>
      </c>
      <c r="I246" s="15">
        <v>15</v>
      </c>
      <c r="J246" s="15">
        <v>117</v>
      </c>
      <c r="K246" s="15">
        <v>1</v>
      </c>
      <c r="L246" s="15">
        <v>0</v>
      </c>
      <c r="M246" s="15">
        <v>0</v>
      </c>
      <c r="N246" s="15">
        <v>0</v>
      </c>
      <c r="O246" s="15">
        <v>0</v>
      </c>
      <c r="P246" s="15"/>
    </row>
    <row r="247" spans="1:16">
      <c r="A247" s="8"/>
      <c r="B247" s="15">
        <v>2401</v>
      </c>
      <c r="C247" s="15">
        <v>293</v>
      </c>
      <c r="D247" s="15">
        <v>14</v>
      </c>
      <c r="E247" s="15">
        <v>0</v>
      </c>
      <c r="F247" s="14" t="str">
        <f>VLOOKUP(C247,skill_list!B:C,2)</f>
        <v>きらめきのエール</v>
      </c>
      <c r="G247" s="11"/>
      <c r="H247" s="15">
        <v>0</v>
      </c>
      <c r="I247" s="15">
        <v>0</v>
      </c>
      <c r="J247" s="15">
        <v>0</v>
      </c>
      <c r="K247" s="15">
        <v>1</v>
      </c>
      <c r="L247" s="15">
        <v>4</v>
      </c>
      <c r="M247" s="15">
        <v>0</v>
      </c>
      <c r="N247" s="15">
        <v>2</v>
      </c>
      <c r="O247" s="15">
        <v>0</v>
      </c>
      <c r="P247" s="15"/>
    </row>
    <row r="248" spans="1:16">
      <c r="A248" s="8"/>
      <c r="B248" s="15">
        <v>2501</v>
      </c>
      <c r="C248" s="15">
        <v>275</v>
      </c>
      <c r="D248" s="15">
        <v>15</v>
      </c>
      <c r="E248" s="15">
        <v>0</v>
      </c>
      <c r="F248" s="14" t="str">
        <f>VLOOKUP(C248,skill_list!B:C,2)</f>
        <v>カースサイス</v>
      </c>
      <c r="G248" s="11"/>
      <c r="H248" s="15">
        <v>0</v>
      </c>
      <c r="I248" s="15">
        <v>0</v>
      </c>
      <c r="J248" s="15">
        <v>0</v>
      </c>
      <c r="K248" s="15">
        <v>1</v>
      </c>
      <c r="L248" s="15">
        <v>1</v>
      </c>
      <c r="M248" s="15">
        <v>0</v>
      </c>
      <c r="N248" s="15">
        <v>2</v>
      </c>
      <c r="O248" s="15">
        <v>0</v>
      </c>
      <c r="P248" s="15"/>
    </row>
    <row r="249" spans="1:16">
      <c r="A249" s="8"/>
      <c r="B249" s="15">
        <v>2502</v>
      </c>
      <c r="C249" s="15">
        <v>380</v>
      </c>
      <c r="D249" s="15">
        <v>15</v>
      </c>
      <c r="E249" s="15">
        <v>0</v>
      </c>
      <c r="F249" s="14" t="str">
        <f>VLOOKUP(C249,skill_list!B:C,2)</f>
        <v>天変の相</v>
      </c>
      <c r="G249" s="11"/>
      <c r="H249" s="15">
        <v>0</v>
      </c>
      <c r="I249" s="15">
        <v>0</v>
      </c>
      <c r="J249" s="15">
        <v>0</v>
      </c>
      <c r="K249" s="15">
        <v>1</v>
      </c>
      <c r="L249" s="15">
        <v>1</v>
      </c>
      <c r="M249" s="15">
        <v>0</v>
      </c>
      <c r="N249" s="15">
        <v>2</v>
      </c>
      <c r="O249" s="15">
        <v>0</v>
      </c>
      <c r="P249" s="15"/>
    </row>
    <row r="250" spans="1:16">
      <c r="A250" s="8"/>
      <c r="B250" s="15">
        <v>2503</v>
      </c>
      <c r="C250" s="15">
        <v>265</v>
      </c>
      <c r="D250" s="15">
        <v>15</v>
      </c>
      <c r="E250" s="15">
        <v>0</v>
      </c>
      <c r="F250" s="14" t="str">
        <f>VLOOKUP(C250,skill_list!B:C,2)</f>
        <v>神妙</v>
      </c>
      <c r="G250" s="11"/>
      <c r="H250" s="15">
        <v>0</v>
      </c>
      <c r="I250" s="15">
        <v>0</v>
      </c>
      <c r="J250" s="15">
        <v>0</v>
      </c>
      <c r="K250" s="15">
        <v>1</v>
      </c>
      <c r="L250" s="15">
        <v>2</v>
      </c>
      <c r="M250" s="15">
        <v>0</v>
      </c>
      <c r="N250" s="15">
        <v>2</v>
      </c>
      <c r="O250" s="15">
        <v>0</v>
      </c>
      <c r="P250" s="15"/>
    </row>
    <row r="251" spans="1:16">
      <c r="A251" s="8"/>
      <c r="B251" s="15">
        <v>2504</v>
      </c>
      <c r="C251" s="15">
        <v>417</v>
      </c>
      <c r="D251" s="15">
        <v>15</v>
      </c>
      <c r="E251" s="15">
        <v>0</v>
      </c>
      <c r="F251" s="14" t="str">
        <f>VLOOKUP(C251,skill_list!B:C,2)</f>
        <v>ナイトフォール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1</v>
      </c>
      <c r="M251" s="15">
        <v>0</v>
      </c>
      <c r="N251" s="15">
        <v>2</v>
      </c>
      <c r="O251" s="15">
        <v>0</v>
      </c>
      <c r="P251" s="15"/>
    </row>
    <row r="252" spans="1:16">
      <c r="A252" s="8"/>
      <c r="B252" s="15">
        <v>2601</v>
      </c>
      <c r="C252" s="15">
        <v>331</v>
      </c>
      <c r="D252" s="15">
        <v>16</v>
      </c>
      <c r="E252" s="15">
        <v>0</v>
      </c>
      <c r="F252" s="14" t="str">
        <f>VLOOKUP(C252,skill_list!B:C,2)</f>
        <v>イチコロスマイル</v>
      </c>
      <c r="G252" s="11"/>
      <c r="H252" s="15">
        <v>5</v>
      </c>
      <c r="I252" s="15">
        <v>5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2602</v>
      </c>
      <c r="C253" s="15">
        <v>384</v>
      </c>
      <c r="D253" s="15">
        <v>16</v>
      </c>
      <c r="E253" s="15">
        <v>0</v>
      </c>
      <c r="F253" s="14" t="str">
        <f>VLOOKUP(C253,skill_list!B:C,2)</f>
        <v>バックラッシュ</v>
      </c>
      <c r="G253" s="11"/>
      <c r="H253" s="15">
        <v>5</v>
      </c>
      <c r="I253" s="15">
        <v>5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0</v>
      </c>
      <c r="P253" s="15"/>
    </row>
    <row r="254" spans="1:16">
      <c r="A254" s="8"/>
      <c r="B254" s="15">
        <v>2603</v>
      </c>
      <c r="C254" s="15">
        <v>425</v>
      </c>
      <c r="D254" s="15">
        <v>16</v>
      </c>
      <c r="E254" s="15">
        <v>0</v>
      </c>
      <c r="F254" s="14" t="str">
        <f>VLOOKUP(C254,skill_list!B:C,2)</f>
        <v>セルフパッション</v>
      </c>
      <c r="G254" s="11"/>
      <c r="H254" s="15">
        <v>5</v>
      </c>
      <c r="I254" s="15">
        <v>5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0</v>
      </c>
      <c r="P254" s="15"/>
    </row>
    <row r="255" spans="1:16">
      <c r="A255" s="8"/>
      <c r="B255" s="15">
        <v>2701</v>
      </c>
      <c r="C255" s="15">
        <v>189</v>
      </c>
      <c r="D255" s="15">
        <v>17</v>
      </c>
      <c r="E255" s="15">
        <v>0</v>
      </c>
      <c r="F255" s="14" t="str">
        <f>VLOOKUP(C255,skill_list!B:C,2)</f>
        <v>心意活性</v>
      </c>
      <c r="G255" s="11"/>
      <c r="H255" s="15">
        <v>2</v>
      </c>
      <c r="I255" s="15">
        <v>3</v>
      </c>
      <c r="J255" s="15">
        <v>129</v>
      </c>
      <c r="K255" s="15">
        <v>1</v>
      </c>
      <c r="L255" s="15">
        <v>7</v>
      </c>
      <c r="M255" s="15">
        <v>0</v>
      </c>
      <c r="N255" s="15">
        <v>1</v>
      </c>
      <c r="O255" s="15">
        <v>0</v>
      </c>
      <c r="P255" s="15"/>
    </row>
    <row r="256" spans="1:16">
      <c r="A256" s="8"/>
      <c r="B256" s="15">
        <v>2702</v>
      </c>
      <c r="C256" s="15">
        <v>255</v>
      </c>
      <c r="D256" s="15">
        <v>17</v>
      </c>
      <c r="E256" s="15">
        <v>0</v>
      </c>
      <c r="F256" s="14" t="str">
        <f>VLOOKUP(C256,skill_list!B:C,2)</f>
        <v>ホールドアップマインド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</row>
    <row r="257" spans="1:17">
      <c r="A257" s="8"/>
      <c r="B257" s="15">
        <v>2703</v>
      </c>
      <c r="C257" s="15">
        <v>236</v>
      </c>
      <c r="D257" s="15">
        <v>17</v>
      </c>
      <c r="E257" s="15">
        <v>0</v>
      </c>
      <c r="F257" s="14" t="str">
        <f>VLOOKUP(C257,skill_list!B:C,2)</f>
        <v>ブリリアント・グローリー</v>
      </c>
      <c r="G257" s="11"/>
      <c r="H257" s="15">
        <v>2</v>
      </c>
      <c r="I257" s="15">
        <v>3</v>
      </c>
      <c r="J257" s="15">
        <v>208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</row>
    <row r="258" spans="1:17">
      <c r="A258" s="8"/>
      <c r="B258" s="15">
        <v>3300</v>
      </c>
      <c r="C258" s="15">
        <v>1007</v>
      </c>
      <c r="D258" s="15">
        <v>23</v>
      </c>
      <c r="E258" s="15">
        <v>0</v>
      </c>
      <c r="F258" s="14" t="str">
        <f>VLOOKUP(C258,skill_list!B:C,2)</f>
        <v>ポイントケア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</row>
    <row r="259" spans="1:17">
      <c r="A259" s="8"/>
      <c r="B259" s="15">
        <v>3301</v>
      </c>
      <c r="C259" s="15">
        <v>22</v>
      </c>
      <c r="D259" s="15">
        <v>23</v>
      </c>
      <c r="E259" s="15">
        <v>0</v>
      </c>
      <c r="F259" s="14" t="str">
        <f>VLOOKUP(C259,skill_list!B:C,2)</f>
        <v>ブレスショット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3302</v>
      </c>
      <c r="C260" s="15">
        <v>33</v>
      </c>
      <c r="D260" s="15">
        <v>23</v>
      </c>
      <c r="E260" s="15">
        <v>0</v>
      </c>
      <c r="F260" s="14" t="str">
        <f>VLOOKUP(C260,skill_list!B:C,2)</f>
        <v>闘気斬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3303</v>
      </c>
      <c r="C261" s="15">
        <v>113</v>
      </c>
      <c r="D261" s="15">
        <v>23</v>
      </c>
      <c r="E261" s="15">
        <v>0</v>
      </c>
      <c r="F261" s="14" t="str">
        <f>VLOOKUP(C261,skill_list!B:C,2)</f>
        <v>ヴィヴィットシュート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3304</v>
      </c>
      <c r="C262" s="15">
        <v>120</v>
      </c>
      <c r="D262" s="15">
        <v>23</v>
      </c>
      <c r="E262" s="15">
        <v>0</v>
      </c>
      <c r="F262" s="14" t="str">
        <f>VLOOKUP(C262,skill_list!B:C,2)</f>
        <v>リバースショット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3305</v>
      </c>
      <c r="C263" s="15">
        <v>132</v>
      </c>
      <c r="D263" s="15">
        <v>23</v>
      </c>
      <c r="E263" s="15">
        <v>0</v>
      </c>
      <c r="F263" s="14" t="str">
        <f>VLOOKUP(C263,skill_list!B:C,2)</f>
        <v>砕華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3306</v>
      </c>
      <c r="C264" s="15">
        <v>190</v>
      </c>
      <c r="D264" s="15">
        <v>23</v>
      </c>
      <c r="E264" s="15">
        <v>0</v>
      </c>
      <c r="F264" s="14" t="str">
        <f>VLOOKUP(C264,skill_list!B:C,2)</f>
        <v>ゲインカノン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3307</v>
      </c>
      <c r="C265" s="15">
        <v>212</v>
      </c>
      <c r="D265" s="15">
        <v>23</v>
      </c>
      <c r="E265" s="15">
        <v>0</v>
      </c>
      <c r="F265" s="14" t="str">
        <f>VLOOKUP(C265,skill_list!B:C,2)</f>
        <v>粛正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</row>
    <row r="266" spans="1:17">
      <c r="A266" s="8"/>
      <c r="B266" s="15">
        <v>3308</v>
      </c>
      <c r="C266" s="15">
        <v>239</v>
      </c>
      <c r="D266" s="15">
        <v>23</v>
      </c>
      <c r="E266" s="15">
        <v>0</v>
      </c>
      <c r="F266" s="14" t="str">
        <f>VLOOKUP(C266,skill_list!B:C,2)</f>
        <v>キャンディ・バースト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3309</v>
      </c>
      <c r="C267" s="15">
        <v>259</v>
      </c>
      <c r="D267" s="15">
        <v>23</v>
      </c>
      <c r="E267" s="15">
        <v>0</v>
      </c>
      <c r="F267" s="14" t="str">
        <f>VLOOKUP(C267,skill_list!B:C,2)</f>
        <v>不純なアリア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3310</v>
      </c>
      <c r="C268" s="15">
        <v>309</v>
      </c>
      <c r="D268" s="15">
        <v>23</v>
      </c>
      <c r="E268" s="15">
        <v>0</v>
      </c>
      <c r="F268" s="14" t="str">
        <f>VLOOKUP(C268,skill_list!B:C,2)</f>
        <v>フォーチュンスラッシュ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</row>
    <row r="269" spans="1:17">
      <c r="A269" s="8"/>
      <c r="B269" s="15">
        <v>3311</v>
      </c>
      <c r="C269" s="15">
        <v>324</v>
      </c>
      <c r="D269" s="15">
        <v>23</v>
      </c>
      <c r="E269" s="15">
        <v>0</v>
      </c>
      <c r="F269" s="14" t="str">
        <f>VLOOKUP(C269,skill_list!B:C,2)</f>
        <v>トランスペイン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</row>
    <row r="270" spans="1:17">
      <c r="A270" s="8"/>
      <c r="B270" s="15">
        <v>3312</v>
      </c>
      <c r="C270" s="15">
        <v>382</v>
      </c>
      <c r="D270" s="15">
        <v>23</v>
      </c>
      <c r="E270" s="15">
        <v>0</v>
      </c>
      <c r="F270" s="14" t="str">
        <f>VLOOKUP(C270,skill_list!B:C,2)</f>
        <v>エキゾーストノート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</row>
    <row r="271" spans="1:17">
      <c r="A271" s="8"/>
      <c r="B271" s="15">
        <v>3313</v>
      </c>
      <c r="C271" s="15">
        <v>397</v>
      </c>
      <c r="D271" s="15">
        <v>23</v>
      </c>
      <c r="E271" s="15">
        <v>0</v>
      </c>
      <c r="F271" s="14" t="str">
        <f>VLOOKUP(C271,skill_list!B:C,2)</f>
        <v>春雷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3314</v>
      </c>
      <c r="C272" s="15">
        <v>427</v>
      </c>
      <c r="D272" s="15">
        <v>23</v>
      </c>
      <c r="E272" s="15">
        <v>0</v>
      </c>
      <c r="F272" s="14" t="str">
        <f>VLOOKUP(C272,skill_list!B:C,2)</f>
        <v>ファンタズム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</row>
    <row r="273" spans="1:16">
      <c r="A273" s="8"/>
      <c r="B273" s="15">
        <v>3315</v>
      </c>
      <c r="C273" s="15">
        <v>480</v>
      </c>
      <c r="D273" s="15">
        <v>23</v>
      </c>
      <c r="E273" s="15">
        <v>0</v>
      </c>
      <c r="F273" s="14" t="str">
        <f>VLOOKUP(C273,skill_list!B:C,2)</f>
        <v>スイーツチャージ！</v>
      </c>
      <c r="G273" s="11"/>
      <c r="H273" s="15">
        <v>2</v>
      </c>
      <c r="I273" s="15">
        <v>2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</row>
    <row r="274" spans="1:16">
      <c r="A274" s="8"/>
      <c r="B274" s="15">
        <v>3316</v>
      </c>
      <c r="C274" s="15">
        <v>177</v>
      </c>
      <c r="D274" s="15">
        <v>23</v>
      </c>
      <c r="E274" s="15">
        <v>0</v>
      </c>
      <c r="F274" s="14" t="str">
        <f>VLOOKUP(C274,skill_list!B:C,2)</f>
        <v>エリミネイト・ポッシブル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3</v>
      </c>
      <c r="M274" s="15">
        <v>0</v>
      </c>
      <c r="N274" s="15">
        <v>1</v>
      </c>
      <c r="O274" s="15">
        <v>0</v>
      </c>
      <c r="P274" s="15"/>
    </row>
    <row r="275" spans="1:16">
      <c r="A275" s="8"/>
      <c r="B275" s="15">
        <v>3401</v>
      </c>
      <c r="C275" s="15">
        <v>137</v>
      </c>
      <c r="D275" s="15">
        <v>24</v>
      </c>
      <c r="E275" s="15">
        <v>0</v>
      </c>
      <c r="F275" s="14" t="str">
        <f>VLOOKUP(C275,skill_list!B:C,2)</f>
        <v>サイクロンブレード</v>
      </c>
      <c r="G275" s="11"/>
      <c r="H275" s="15">
        <v>0</v>
      </c>
      <c r="I275" s="15">
        <v>0</v>
      </c>
      <c r="J275" s="15">
        <v>0</v>
      </c>
      <c r="K275" s="15">
        <v>0</v>
      </c>
      <c r="L275" s="15">
        <v>7</v>
      </c>
      <c r="M275" s="15">
        <v>0</v>
      </c>
      <c r="N275" s="15">
        <v>2</v>
      </c>
      <c r="O275" s="15">
        <v>999</v>
      </c>
      <c r="P275" s="15"/>
    </row>
    <row r="276" spans="1:16">
      <c r="A276" s="8"/>
      <c r="B276" s="15">
        <v>3402</v>
      </c>
      <c r="C276" s="15">
        <v>211</v>
      </c>
      <c r="D276" s="15">
        <v>24</v>
      </c>
      <c r="E276" s="15">
        <v>0</v>
      </c>
      <c r="F276" s="14" t="str">
        <f>VLOOKUP(C276,skill_list!B:C,2)</f>
        <v>我忘恍惚</v>
      </c>
      <c r="G276" s="11"/>
      <c r="H276" s="15">
        <v>0</v>
      </c>
      <c r="I276" s="15">
        <v>0</v>
      </c>
      <c r="J276" s="15">
        <v>0</v>
      </c>
      <c r="K276" s="15">
        <v>0</v>
      </c>
      <c r="L276" s="15">
        <v>7</v>
      </c>
      <c r="M276" s="15">
        <v>0</v>
      </c>
      <c r="N276" s="15">
        <v>2</v>
      </c>
      <c r="O276" s="15">
        <v>1</v>
      </c>
      <c r="P276" s="15"/>
    </row>
    <row r="277" spans="1:16">
      <c r="A277" s="8"/>
      <c r="B277" s="15">
        <v>3403</v>
      </c>
      <c r="C277" s="15">
        <v>229</v>
      </c>
      <c r="D277" s="15">
        <v>24</v>
      </c>
      <c r="E277" s="15">
        <v>0</v>
      </c>
      <c r="F277" s="14" t="str">
        <f>VLOOKUP(C277,skill_list!B:C,2)</f>
        <v>フューリーインパルス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2</v>
      </c>
      <c r="O277" s="15">
        <v>999</v>
      </c>
      <c r="P277" s="15"/>
    </row>
    <row r="278" spans="1:16">
      <c r="A278" s="8"/>
      <c r="B278" s="15">
        <v>3404</v>
      </c>
      <c r="C278" s="15">
        <v>243</v>
      </c>
      <c r="D278" s="15">
        <v>24</v>
      </c>
      <c r="E278" s="15">
        <v>0</v>
      </c>
      <c r="F278" s="14" t="str">
        <f>VLOOKUP(C278,skill_list!B:C,2)</f>
        <v>銀蜂</v>
      </c>
      <c r="G278" s="11"/>
      <c r="H278" s="15">
        <v>0</v>
      </c>
      <c r="I278" s="15">
        <v>0</v>
      </c>
      <c r="J278" s="15">
        <v>0</v>
      </c>
      <c r="K278" s="15">
        <v>0</v>
      </c>
      <c r="L278" s="15">
        <v>7</v>
      </c>
      <c r="M278" s="15">
        <v>0</v>
      </c>
      <c r="N278" s="15">
        <v>2</v>
      </c>
      <c r="O278" s="15">
        <v>999</v>
      </c>
      <c r="P278" s="15"/>
    </row>
    <row r="279" spans="1:16">
      <c r="A279" s="8"/>
      <c r="B279" s="15">
        <v>3405</v>
      </c>
      <c r="C279" s="15">
        <v>322</v>
      </c>
      <c r="D279" s="15">
        <v>24</v>
      </c>
      <c r="E279" s="15">
        <v>0</v>
      </c>
      <c r="F279" s="14" t="str">
        <f>VLOOKUP(C279,skill_list!B:C,2)</f>
        <v>決戦前夜</v>
      </c>
      <c r="G279" s="11"/>
      <c r="H279" s="15">
        <v>0</v>
      </c>
      <c r="I279" s="15">
        <v>0</v>
      </c>
      <c r="J279" s="15">
        <v>0</v>
      </c>
      <c r="K279" s="15">
        <v>0</v>
      </c>
      <c r="L279" s="15">
        <v>7</v>
      </c>
      <c r="M279" s="15">
        <v>0</v>
      </c>
      <c r="N279" s="15">
        <v>2</v>
      </c>
      <c r="O279" s="15">
        <v>0</v>
      </c>
      <c r="P279" s="15"/>
    </row>
    <row r="280" spans="1:16">
      <c r="A280" s="8"/>
      <c r="B280" s="15">
        <v>3406</v>
      </c>
      <c r="C280" s="15">
        <v>473</v>
      </c>
      <c r="D280" s="15">
        <v>24</v>
      </c>
      <c r="E280" s="15">
        <v>0</v>
      </c>
      <c r="F280" s="14" t="str">
        <f>VLOOKUP(C280,skill_list!B:C,2)</f>
        <v>朝霜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</row>
    <row r="281" spans="1:16">
      <c r="A281" s="8"/>
      <c r="B281" s="15">
        <v>3501</v>
      </c>
      <c r="C281" s="15">
        <v>38</v>
      </c>
      <c r="D281" s="15">
        <v>25</v>
      </c>
      <c r="E281" s="15">
        <v>0</v>
      </c>
      <c r="F281" s="14" t="str">
        <f>VLOOKUP(C281,skill_list!B:C,2)</f>
        <v>プロヴォーク</v>
      </c>
      <c r="G281" s="11"/>
      <c r="H281" s="15">
        <v>2</v>
      </c>
      <c r="I281" s="15">
        <v>3</v>
      </c>
      <c r="J281" s="15">
        <v>208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3502</v>
      </c>
      <c r="C282" s="15">
        <v>65</v>
      </c>
      <c r="D282" s="15">
        <v>25</v>
      </c>
      <c r="E282" s="15">
        <v>0</v>
      </c>
      <c r="F282" s="14" t="str">
        <f>VLOOKUP(C282,skill_list!B:C,2)</f>
        <v>ポラリスの輝き</v>
      </c>
      <c r="G282" s="11"/>
      <c r="H282" s="15">
        <v>2</v>
      </c>
      <c r="I282" s="15">
        <v>3</v>
      </c>
      <c r="J282" s="15">
        <v>129</v>
      </c>
      <c r="K282" s="15">
        <v>0</v>
      </c>
      <c r="L282" s="15">
        <v>7</v>
      </c>
      <c r="M282" s="15">
        <v>0</v>
      </c>
      <c r="N282" s="15">
        <v>3</v>
      </c>
      <c r="O282" s="15">
        <v>999</v>
      </c>
      <c r="P282" s="15"/>
    </row>
    <row r="283" spans="1:16">
      <c r="A283" s="8"/>
      <c r="B283" s="15">
        <v>3503</v>
      </c>
      <c r="C283" s="15">
        <v>129</v>
      </c>
      <c r="D283" s="15">
        <v>25</v>
      </c>
      <c r="E283" s="15">
        <v>0</v>
      </c>
      <c r="F283" s="14" t="str">
        <f>VLOOKUP(C283,skill_list!B:C,2)</f>
        <v>ライオンハート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3504</v>
      </c>
      <c r="C284" s="15">
        <v>160</v>
      </c>
      <c r="D284" s="15">
        <v>25</v>
      </c>
      <c r="E284" s="15">
        <v>0</v>
      </c>
      <c r="F284" s="14" t="str">
        <f>VLOOKUP(C284,skill_list!B:C,2)</f>
        <v>ギャザー・バッシュ</v>
      </c>
      <c r="G284" s="11"/>
      <c r="H284" s="15">
        <v>2</v>
      </c>
      <c r="I284" s="15">
        <v>3</v>
      </c>
      <c r="J284" s="15">
        <v>117</v>
      </c>
      <c r="K284" s="15">
        <v>0</v>
      </c>
      <c r="L284" s="15">
        <v>7</v>
      </c>
      <c r="M284" s="15">
        <v>0</v>
      </c>
      <c r="N284" s="15">
        <v>3</v>
      </c>
      <c r="O284" s="15">
        <v>999</v>
      </c>
      <c r="P284" s="15"/>
    </row>
    <row r="285" spans="1:16">
      <c r="A285" s="8"/>
      <c r="B285" s="15">
        <v>3505</v>
      </c>
      <c r="C285" s="15">
        <v>233</v>
      </c>
      <c r="D285" s="15">
        <v>25</v>
      </c>
      <c r="E285" s="15">
        <v>0</v>
      </c>
      <c r="F285" s="14" t="str">
        <f>VLOOKUP(C285,skill_list!B:C,2)</f>
        <v>プロヴォーク</v>
      </c>
      <c r="G285" s="11"/>
      <c r="H285" s="15">
        <v>2</v>
      </c>
      <c r="I285" s="15">
        <v>3</v>
      </c>
      <c r="J285" s="15">
        <v>208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3506</v>
      </c>
      <c r="C286" s="15">
        <v>257</v>
      </c>
      <c r="D286" s="15">
        <v>25</v>
      </c>
      <c r="E286" s="15">
        <v>0</v>
      </c>
      <c r="F286" s="14" t="str">
        <f>VLOOKUP(C286,skill_list!B:C,2)</f>
        <v>プリンシプルチャンダス</v>
      </c>
      <c r="G286" s="11"/>
      <c r="H286" s="15">
        <v>2</v>
      </c>
      <c r="I286" s="15">
        <v>3</v>
      </c>
      <c r="J286" s="15">
        <v>131</v>
      </c>
      <c r="K286" s="15">
        <v>0</v>
      </c>
      <c r="L286" s="15">
        <v>7</v>
      </c>
      <c r="M286" s="15">
        <v>0</v>
      </c>
      <c r="N286" s="15">
        <v>3</v>
      </c>
      <c r="O286" s="15">
        <v>999</v>
      </c>
      <c r="P286" s="15"/>
    </row>
    <row r="287" spans="1:16">
      <c r="A287" s="8"/>
      <c r="B287" s="15">
        <v>3507</v>
      </c>
      <c r="C287" s="15">
        <v>326</v>
      </c>
      <c r="D287" s="15">
        <v>25</v>
      </c>
      <c r="E287" s="15">
        <v>0</v>
      </c>
      <c r="F287" s="14" t="str">
        <f>VLOOKUP(C287,skill_list!B:C,2)</f>
        <v>籠の鳥</v>
      </c>
      <c r="G287" s="11"/>
      <c r="H287" s="15">
        <v>2</v>
      </c>
      <c r="I287" s="15">
        <v>3</v>
      </c>
      <c r="J287" s="15">
        <v>184</v>
      </c>
      <c r="K287" s="15">
        <v>0</v>
      </c>
      <c r="L287" s="15">
        <v>7</v>
      </c>
      <c r="M287" s="15">
        <v>0</v>
      </c>
      <c r="N287" s="15">
        <v>3</v>
      </c>
      <c r="O287" s="15">
        <v>0</v>
      </c>
      <c r="P287" s="15"/>
    </row>
    <row r="288" spans="1:16">
      <c r="A288" s="8"/>
      <c r="B288" s="15">
        <v>3508</v>
      </c>
      <c r="C288" s="15">
        <v>341</v>
      </c>
      <c r="D288" s="15">
        <v>25</v>
      </c>
      <c r="E288" s="15">
        <v>0</v>
      </c>
      <c r="F288" s="14" t="str">
        <f>VLOOKUP(C288,skill_list!B:C,2)</f>
        <v>ご注文を伺います</v>
      </c>
      <c r="G288" s="11"/>
      <c r="H288" s="15">
        <v>2</v>
      </c>
      <c r="I288" s="15">
        <v>3</v>
      </c>
      <c r="J288" s="15">
        <v>192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</row>
    <row r="289" spans="1:16">
      <c r="A289" s="8"/>
      <c r="B289" s="15">
        <v>3509</v>
      </c>
      <c r="C289" s="15">
        <v>358</v>
      </c>
      <c r="D289" s="15">
        <v>25</v>
      </c>
      <c r="E289" s="15">
        <v>0</v>
      </c>
      <c r="F289" s="14" t="str">
        <f>VLOOKUP(C289,skill_list!B:C,2)</f>
        <v>決意の夜</v>
      </c>
      <c r="G289" s="11"/>
      <c r="H289" s="15">
        <v>2</v>
      </c>
      <c r="I289" s="15">
        <v>3</v>
      </c>
      <c r="J289" s="15">
        <v>184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</row>
    <row r="290" spans="1:16">
      <c r="A290" s="8"/>
      <c r="B290" s="15">
        <v>3510</v>
      </c>
      <c r="C290" s="15">
        <v>434</v>
      </c>
      <c r="D290" s="15">
        <v>25</v>
      </c>
      <c r="E290" s="15">
        <v>0</v>
      </c>
      <c r="F290" s="14" t="str">
        <f>VLOOKUP(C290,skill_list!B:C,2)</f>
        <v>シンコペーション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</row>
    <row r="291" spans="1:16">
      <c r="A291" s="8"/>
      <c r="B291" s="15">
        <v>3511</v>
      </c>
      <c r="C291" s="15">
        <v>461</v>
      </c>
      <c r="D291" s="15">
        <v>25</v>
      </c>
      <c r="E291" s="15">
        <v>0</v>
      </c>
      <c r="F291" s="14" t="str">
        <f>VLOOKUP(C291,skill_list!B:C,2)</f>
        <v>ねこじゃらし</v>
      </c>
      <c r="G291" s="11"/>
      <c r="H291" s="15">
        <v>2</v>
      </c>
      <c r="I291" s="15">
        <v>3</v>
      </c>
      <c r="J291" s="15">
        <v>200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</row>
    <row r="292" spans="1:16">
      <c r="A292" s="8"/>
      <c r="B292" s="15">
        <v>3601</v>
      </c>
      <c r="C292" s="15">
        <v>88</v>
      </c>
      <c r="D292" s="15">
        <v>26</v>
      </c>
      <c r="E292" s="15">
        <v>0</v>
      </c>
      <c r="F292" s="14" t="str">
        <f>VLOOKUP(C292,skill_list!B:C,2)</f>
        <v>導きの号令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3602</v>
      </c>
      <c r="C293" s="15">
        <v>217</v>
      </c>
      <c r="D293" s="15">
        <v>26</v>
      </c>
      <c r="E293" s="15">
        <v>0</v>
      </c>
      <c r="F293" s="14" t="str">
        <f>VLOOKUP(C293,skill_list!B:C,2)</f>
        <v>空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3603</v>
      </c>
      <c r="C294" s="15">
        <v>267</v>
      </c>
      <c r="D294" s="15">
        <v>26</v>
      </c>
      <c r="E294" s="15">
        <v>0</v>
      </c>
      <c r="F294" s="14" t="str">
        <f>VLOOKUP(C294,skill_list!B:C,2)</f>
        <v>細雪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7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3604</v>
      </c>
      <c r="C295" s="15">
        <v>346</v>
      </c>
      <c r="D295" s="15">
        <v>26</v>
      </c>
      <c r="E295" s="15">
        <v>0</v>
      </c>
      <c r="F295" s="14" t="str">
        <f>VLOOKUP(C295,skill_list!B:C,2)</f>
        <v>メイドの嗜み</v>
      </c>
      <c r="G295" s="11"/>
      <c r="H295" s="15">
        <v>0</v>
      </c>
      <c r="I295" s="15">
        <v>0</v>
      </c>
      <c r="J295" s="15">
        <v>0</v>
      </c>
      <c r="K295" s="15">
        <v>0</v>
      </c>
      <c r="L295" s="15">
        <v>7</v>
      </c>
      <c r="M295" s="15">
        <v>0</v>
      </c>
      <c r="N295" s="15">
        <v>1</v>
      </c>
      <c r="O295" s="15">
        <v>0</v>
      </c>
      <c r="P295" s="15"/>
    </row>
    <row r="296" spans="1:16">
      <c r="A296" s="8"/>
      <c r="B296" s="15">
        <v>3605</v>
      </c>
      <c r="C296" s="15">
        <v>371</v>
      </c>
      <c r="D296" s="15">
        <v>26</v>
      </c>
      <c r="E296" s="15">
        <v>0</v>
      </c>
      <c r="F296" s="14" t="str">
        <f>VLOOKUP(C296,skill_list!B:C,2)</f>
        <v>赤面スティグマ</v>
      </c>
      <c r="G296" s="11"/>
      <c r="H296" s="15">
        <v>0</v>
      </c>
      <c r="I296" s="15">
        <v>0</v>
      </c>
      <c r="J296" s="15">
        <v>0</v>
      </c>
      <c r="K296" s="15">
        <v>0</v>
      </c>
      <c r="L296" s="15">
        <v>7</v>
      </c>
      <c r="M296" s="15">
        <v>0</v>
      </c>
      <c r="N296" s="15">
        <v>1</v>
      </c>
      <c r="O296" s="15">
        <v>0</v>
      </c>
      <c r="P296" s="15"/>
    </row>
    <row r="297" spans="1:16">
      <c r="A297" s="8"/>
      <c r="B297" s="15">
        <v>3606</v>
      </c>
      <c r="C297" s="15">
        <v>380</v>
      </c>
      <c r="D297" s="15">
        <v>26</v>
      </c>
      <c r="E297" s="15">
        <v>0</v>
      </c>
      <c r="F297" s="14" t="str">
        <f>VLOOKUP(C297,skill_list!B:C,2)</f>
        <v>天変の相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</row>
    <row r="298" spans="1:16">
      <c r="A298" s="8"/>
      <c r="B298" s="15">
        <v>3607</v>
      </c>
      <c r="C298" s="15">
        <v>404</v>
      </c>
      <c r="D298" s="15">
        <v>26</v>
      </c>
      <c r="E298" s="15">
        <v>0</v>
      </c>
      <c r="F298" s="14" t="str">
        <f>VLOOKUP(C298,skill_list!B:C,2)</f>
        <v>とある衝撃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</row>
    <row r="299" spans="1:16">
      <c r="A299" s="8"/>
      <c r="B299" s="15">
        <v>3608</v>
      </c>
      <c r="C299" s="15">
        <v>471</v>
      </c>
      <c r="D299" s="15">
        <v>26</v>
      </c>
      <c r="E299" s="15">
        <v>0</v>
      </c>
      <c r="F299" s="14" t="str">
        <f>VLOOKUP(C299,skill_list!B:C,2)</f>
        <v>おしおき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</row>
    <row r="300" spans="1:16">
      <c r="A300" s="8"/>
      <c r="B300" s="15">
        <v>3609</v>
      </c>
      <c r="C300" s="15">
        <v>494</v>
      </c>
      <c r="D300" s="15">
        <v>26</v>
      </c>
      <c r="E300" s="15">
        <v>0</v>
      </c>
      <c r="F300" s="14" t="str">
        <f>VLOOKUP(C300,skill_list!B:C,2)</f>
        <v>夜醒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4</v>
      </c>
      <c r="M300" s="15">
        <v>0</v>
      </c>
      <c r="N300" s="15">
        <v>1</v>
      </c>
      <c r="O300" s="15">
        <v>0</v>
      </c>
      <c r="P300" s="15"/>
    </row>
    <row r="301" spans="1:16">
      <c r="A301" s="8"/>
      <c r="B301" s="15">
        <v>3701</v>
      </c>
      <c r="C301" s="15">
        <v>486</v>
      </c>
      <c r="D301" s="15">
        <v>27</v>
      </c>
      <c r="E301" s="15">
        <v>0</v>
      </c>
      <c r="F301" s="14" t="str">
        <f>VLOOKUP(C301,skill_list!B:C,2)</f>
        <v>聖女の守護</v>
      </c>
      <c r="G301" s="11"/>
      <c r="H301" s="15">
        <v>2</v>
      </c>
      <c r="I301" s="15">
        <v>3</v>
      </c>
      <c r="J301" s="15">
        <v>160</v>
      </c>
      <c r="K301" s="15">
        <v>1</v>
      </c>
      <c r="L301" s="15">
        <v>7</v>
      </c>
      <c r="M301" s="15">
        <v>0</v>
      </c>
      <c r="N301" s="15">
        <v>0</v>
      </c>
      <c r="O301" s="15">
        <v>0</v>
      </c>
      <c r="P301" s="15"/>
    </row>
    <row r="302" spans="1:16">
      <c r="A302" s="8"/>
      <c r="B302" s="15">
        <v>4001</v>
      </c>
      <c r="C302" s="15">
        <v>469</v>
      </c>
      <c r="D302" s="15">
        <v>30</v>
      </c>
      <c r="E302" s="15">
        <v>0</v>
      </c>
      <c r="F302" s="14" t="str">
        <f>VLOOKUP(C302,skill_list!B:C,2)</f>
        <v>ひらり落桜</v>
      </c>
      <c r="G302" s="11"/>
      <c r="H302" s="15">
        <v>0</v>
      </c>
      <c r="I302" s="15">
        <v>0</v>
      </c>
      <c r="J302" s="15">
        <v>0</v>
      </c>
      <c r="K302" s="15">
        <v>1</v>
      </c>
      <c r="L302" s="15">
        <v>7</v>
      </c>
      <c r="M302" s="15">
        <v>0</v>
      </c>
      <c r="N302" s="15">
        <v>0</v>
      </c>
      <c r="O302" s="15">
        <v>0</v>
      </c>
      <c r="P302" s="15"/>
    </row>
  </sheetData>
  <autoFilter ref="B6:P302" xr:uid="{401BDCFC-C7C7-426C-A276-7FBF75833C9C}"/>
  <phoneticPr fontId="1"/>
  <dataValidations count="1">
    <dataValidation type="list" allowBlank="1" showInputMessage="1" showErrorMessage="1" sqref="A7:A302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topLeftCell="A13" zoomScale="85" zoomScaleNormal="85" workbookViewId="0">
      <selection activeCell="K13" sqref="K13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2082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2083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</row>
    <row r="135" spans="1:16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</row>
    <row r="136" spans="1:16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</row>
    <row r="137" spans="1:16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</row>
    <row r="138" spans="1:16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</row>
    <row r="139" spans="1:16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</row>
    <row r="140" spans="1:16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</row>
    <row r="141" spans="1:16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</row>
    <row r="142" spans="1:16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</row>
    <row r="143" spans="1:16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</row>
    <row r="144" spans="1:16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</row>
    <row r="145" spans="1:16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</row>
    <row r="146" spans="1:16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</row>
    <row r="147" spans="1:16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</row>
    <row r="148" spans="1:16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</row>
    <row r="149" spans="1:16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</row>
    <row r="150" spans="1:16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</row>
    <row r="151" spans="1:16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</row>
    <row r="152" spans="1:16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</row>
    <row r="153" spans="1:16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</row>
    <row r="154" spans="1:16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</row>
    <row r="155" spans="1:16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</row>
    <row r="156" spans="1:16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</row>
    <row r="157" spans="1:16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</row>
    <row r="158" spans="1:16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</row>
    <row r="159" spans="1:16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</row>
    <row r="160" spans="1:16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</row>
    <row r="161" spans="1:16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</row>
    <row r="162" spans="1:16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</row>
    <row r="163" spans="1:16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</row>
    <row r="164" spans="1:16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</row>
    <row r="165" spans="1:16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</row>
    <row r="166" spans="1:16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</row>
    <row r="167" spans="1:16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</row>
    <row r="168" spans="1:16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</row>
    <row r="169" spans="1:16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</row>
    <row r="170" spans="1:16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</row>
    <row r="171" spans="1:16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</row>
    <row r="172" spans="1:16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</row>
    <row r="173" spans="1:16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</row>
    <row r="174" spans="1:16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</row>
    <row r="175" spans="1:16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</row>
    <row r="177" spans="1:16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</row>
    <row r="179" spans="1:16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</row>
    <row r="180" spans="1:16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</row>
    <row r="181" spans="1:16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</row>
    <row r="182" spans="1:16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</row>
    <row r="183" spans="1:16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</row>
    <row r="184" spans="1:16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</row>
    <row r="185" spans="1:16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</row>
    <row r="186" spans="1:16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</row>
    <row r="187" spans="1:16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</row>
    <row r="188" spans="1:16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</row>
    <row r="189" spans="1:16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</row>
    <row r="190" spans="1:16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</row>
    <row r="191" spans="1:16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</row>
    <row r="192" spans="1:16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</row>
    <row r="193" spans="1:16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</row>
    <row r="194" spans="1:16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</row>
    <row r="195" spans="1:16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</row>
    <row r="196" spans="1:16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</row>
    <row r="197" spans="1:16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</row>
    <row r="198" spans="1:16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</row>
    <row r="199" spans="1:16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</row>
    <row r="200" spans="1:16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</row>
    <row r="201" spans="1:16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</row>
    <row r="202" spans="1:16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</row>
    <row r="203" spans="1:16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</row>
    <row r="204" spans="1:16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</row>
    <row r="205" spans="1:16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</row>
    <row r="206" spans="1:16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2084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</row>
    <row r="207" spans="1:16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</row>
    <row r="208" spans="1:16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</row>
    <row r="209" spans="1:16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</row>
    <row r="210" spans="1:16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</row>
    <row r="211" spans="1:16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</row>
    <row r="212" spans="1:16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</row>
    <row r="213" spans="1:16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</row>
    <row r="214" spans="1:16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</row>
    <row r="215" spans="1:16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</row>
    <row r="216" spans="1:16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</row>
    <row r="217" spans="1:16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</row>
    <row r="218" spans="1:16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</row>
    <row r="219" spans="1:16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</row>
    <row r="220" spans="1:16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</row>
    <row r="221" spans="1:16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</row>
    <row r="222" spans="1:16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</row>
    <row r="223" spans="1:16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</row>
    <row r="224" spans="1:16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</row>
    <row r="225" spans="1:16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</row>
    <row r="226" spans="1:16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</row>
    <row r="227" spans="1:16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</row>
    <row r="228" spans="1:16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</row>
    <row r="229" spans="1:16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</row>
    <row r="230" spans="1:16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</row>
    <row r="231" spans="1:16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</row>
    <row r="232" spans="1:16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</row>
    <row r="233" spans="1:16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</row>
    <row r="234" spans="1:16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</row>
    <row r="235" spans="1:16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</row>
    <row r="236" spans="1:16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</row>
    <row r="237" spans="1:16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</row>
    <row r="238" spans="1:16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</row>
    <row r="239" spans="1:16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</row>
    <row r="240" spans="1:16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</row>
    <row r="241" spans="1:16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</row>
    <row r="242" spans="1:16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</row>
    <row r="243" spans="1:16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</row>
    <row r="244" spans="1:16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</row>
    <row r="245" spans="1:16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</row>
    <row r="246" spans="1:16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</row>
    <row r="249" spans="1:16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</row>
    <row r="252" spans="1:16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</row>
    <row r="253" spans="1:16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</row>
    <row r="254" spans="1:16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</row>
  </sheetData>
  <phoneticPr fontId="1"/>
  <dataValidations count="1">
    <dataValidation type="list" allowBlank="1" showInputMessage="1" showErrorMessage="1" sqref="A7:A254" xr:uid="{CF7B8089-EE4A-4773-A228-1FA38221951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100" activePane="bottomLeft" state="frozen"/>
      <selection pane="bottomLeft" activeCell="A106" sqref="A106:XFD10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605</v>
      </c>
      <c r="D92" s="11" t="s">
        <v>1780</v>
      </c>
      <c r="E92" s="11" t="s">
        <v>1160</v>
      </c>
      <c r="F92" s="15">
        <v>1</v>
      </c>
      <c r="G92" s="15">
        <v>1</v>
      </c>
      <c r="H92" s="15" t="s">
        <v>1595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1781</v>
      </c>
      <c r="D93" s="11" t="s">
        <v>1782</v>
      </c>
      <c r="E93" s="11" t="s">
        <v>1783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379</v>
      </c>
      <c r="D94" s="11" t="s">
        <v>1224</v>
      </c>
      <c r="E94" s="11" t="s">
        <v>734</v>
      </c>
      <c r="F94" s="15">
        <v>0</v>
      </c>
      <c r="G94" s="15">
        <v>1</v>
      </c>
      <c r="H94" s="15" t="s">
        <v>1596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380</v>
      </c>
      <c r="D95" s="11" t="s">
        <v>1225</v>
      </c>
      <c r="E95" s="11" t="s">
        <v>734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381</v>
      </c>
      <c r="D96" s="11" t="s">
        <v>1226</v>
      </c>
      <c r="E96" s="11" t="s">
        <v>734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1597</v>
      </c>
      <c r="D97" s="11" t="s">
        <v>1550</v>
      </c>
      <c r="E97" s="11" t="s">
        <v>734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1598</v>
      </c>
      <c r="D98" s="11" t="s">
        <v>1227</v>
      </c>
      <c r="E98" s="11" t="s">
        <v>734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1277</v>
      </c>
      <c r="D99" s="11" t="s">
        <v>1228</v>
      </c>
      <c r="E99" s="11" t="s">
        <v>734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1278</v>
      </c>
      <c r="D100" s="11" t="s">
        <v>1229</v>
      </c>
      <c r="E100" s="11" t="s">
        <v>734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1279</v>
      </c>
      <c r="D101" s="11" t="s">
        <v>1230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1599</v>
      </c>
      <c r="D102" s="11" t="s">
        <v>1551</v>
      </c>
      <c r="E102" s="11" t="s">
        <v>734</v>
      </c>
      <c r="F102" s="15">
        <v>0</v>
      </c>
      <c r="G102" s="15">
        <v>3</v>
      </c>
      <c r="H102" s="15" t="s">
        <v>1600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1622</v>
      </c>
      <c r="D103" s="11" t="s">
        <v>1632</v>
      </c>
      <c r="E103" s="11" t="s">
        <v>734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2043</v>
      </c>
      <c r="D104" s="11" t="s">
        <v>2045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2044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1601</v>
      </c>
      <c r="D106" s="11" t="s">
        <v>382</v>
      </c>
      <c r="E106" s="11" t="s">
        <v>734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383</v>
      </c>
      <c r="D107" s="11" t="s">
        <v>1231</v>
      </c>
      <c r="E107" s="11" t="s">
        <v>734</v>
      </c>
      <c r="F107" s="15">
        <v>1</v>
      </c>
      <c r="G107" s="15">
        <v>1</v>
      </c>
      <c r="H107" s="15" t="s">
        <v>1206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384</v>
      </c>
      <c r="D108" s="11" t="s">
        <v>1232</v>
      </c>
      <c r="E108" s="11" t="s">
        <v>734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385</v>
      </c>
      <c r="D109" s="11" t="s">
        <v>1233</v>
      </c>
      <c r="E109" s="11" t="s">
        <v>734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386</v>
      </c>
      <c r="D110" s="11" t="s">
        <v>1234</v>
      </c>
      <c r="E110" s="11" t="s">
        <v>734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387</v>
      </c>
      <c r="D111" s="11" t="s">
        <v>1235</v>
      </c>
      <c r="E111" s="11" t="s">
        <v>734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1602</v>
      </c>
      <c r="D112" s="11" t="s">
        <v>1552</v>
      </c>
      <c r="E112" s="11" t="s">
        <v>734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1603</v>
      </c>
      <c r="D113" s="11" t="s">
        <v>1553</v>
      </c>
      <c r="E113" s="11" t="s">
        <v>734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1161</v>
      </c>
      <c r="D114" s="11" t="s">
        <v>1236</v>
      </c>
      <c r="E114" s="11" t="s">
        <v>734</v>
      </c>
      <c r="F114" s="15">
        <v>1</v>
      </c>
      <c r="G114" s="15">
        <v>1</v>
      </c>
      <c r="H114" s="15" t="s">
        <v>1561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1604</v>
      </c>
      <c r="D115" s="11" t="s">
        <v>1237</v>
      </c>
      <c r="E115" s="11" t="s">
        <v>734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1829</v>
      </c>
      <c r="D116" s="11" t="s">
        <v>1238</v>
      </c>
      <c r="E116" s="11" t="s">
        <v>734</v>
      </c>
      <c r="F116" s="15">
        <v>1</v>
      </c>
      <c r="G116" s="15">
        <v>1</v>
      </c>
      <c r="H116" s="15" t="s">
        <v>1605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1280</v>
      </c>
      <c r="D117" s="11" t="s">
        <v>1239</v>
      </c>
      <c r="E117" s="11" t="s">
        <v>734</v>
      </c>
      <c r="F117" s="15">
        <v>1</v>
      </c>
      <c r="G117" s="15">
        <v>1</v>
      </c>
      <c r="H117" s="15" t="s">
        <v>1240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1281</v>
      </c>
      <c r="D118" s="11" t="s">
        <v>1241</v>
      </c>
      <c r="E118" s="11" t="s">
        <v>734</v>
      </c>
      <c r="F118" s="15">
        <v>1</v>
      </c>
      <c r="G118" s="15">
        <v>1</v>
      </c>
      <c r="H118" s="15" t="s">
        <v>1242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1282</v>
      </c>
      <c r="D119" s="11" t="s">
        <v>1243</v>
      </c>
      <c r="E119" s="11" t="s">
        <v>734</v>
      </c>
      <c r="F119" s="15">
        <v>1</v>
      </c>
      <c r="G119" s="15">
        <v>1</v>
      </c>
      <c r="H119" s="15" t="s">
        <v>1561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1283</v>
      </c>
      <c r="D120" s="11" t="s">
        <v>1244</v>
      </c>
      <c r="E120" s="11" t="s">
        <v>734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1284</v>
      </c>
      <c r="D121" s="11" t="s">
        <v>1245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1619</v>
      </c>
      <c r="D122" s="11" t="s">
        <v>1620</v>
      </c>
      <c r="E122" s="11" t="s">
        <v>734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1784</v>
      </c>
      <c r="D123" s="11" t="s">
        <v>1785</v>
      </c>
      <c r="E123" s="11" t="s">
        <v>734</v>
      </c>
      <c r="F123" s="15">
        <v>1</v>
      </c>
      <c r="G123" s="15">
        <v>3</v>
      </c>
      <c r="H123" s="15" t="s">
        <v>1786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1787</v>
      </c>
      <c r="D124" s="11" t="s">
        <v>1788</v>
      </c>
      <c r="E124" s="11" t="s">
        <v>734</v>
      </c>
      <c r="F124" s="15">
        <v>1</v>
      </c>
      <c r="G124" s="15">
        <v>3</v>
      </c>
      <c r="H124" s="15" t="s">
        <v>1789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814</v>
      </c>
      <c r="D125" s="11" t="s">
        <v>1246</v>
      </c>
      <c r="E125" s="11" t="s">
        <v>734</v>
      </c>
      <c r="F125" s="15">
        <v>2</v>
      </c>
      <c r="G125" s="15">
        <v>1</v>
      </c>
      <c r="H125" s="15" t="s">
        <v>1562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1879</v>
      </c>
      <c r="D126" s="11" t="s">
        <v>1846</v>
      </c>
      <c r="E126" s="11"/>
      <c r="F126" s="15">
        <v>1</v>
      </c>
      <c r="G126" s="15">
        <v>1</v>
      </c>
      <c r="H126" s="15" t="s">
        <v>1848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1845</v>
      </c>
      <c r="D127" s="11" t="s">
        <v>1847</v>
      </c>
      <c r="E127" s="11"/>
      <c r="F127" s="15">
        <v>2</v>
      </c>
      <c r="G127" s="15">
        <v>3</v>
      </c>
      <c r="H127" s="15" t="s">
        <v>1848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390</v>
      </c>
      <c r="D128" s="11" t="s">
        <v>391</v>
      </c>
      <c r="E128" s="11" t="s">
        <v>734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392</v>
      </c>
      <c r="D129" s="11" t="s">
        <v>1247</v>
      </c>
      <c r="E129" s="11" t="s">
        <v>734</v>
      </c>
      <c r="F129" s="15">
        <v>3</v>
      </c>
      <c r="G129" s="15">
        <v>1</v>
      </c>
      <c r="H129" s="15" t="s">
        <v>1248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1162</v>
      </c>
      <c r="D130" s="11" t="s">
        <v>1163</v>
      </c>
      <c r="E130" s="11" t="s">
        <v>734</v>
      </c>
      <c r="F130" s="15">
        <v>0</v>
      </c>
      <c r="G130" s="15">
        <v>0</v>
      </c>
      <c r="H130" s="15" t="s">
        <v>1606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575</v>
      </c>
      <c r="D131" s="11" t="s">
        <v>1607</v>
      </c>
      <c r="E131" s="11" t="s">
        <v>734</v>
      </c>
      <c r="F131" s="15">
        <v>0</v>
      </c>
      <c r="G131" s="15">
        <v>0</v>
      </c>
      <c r="H131" s="15" t="s">
        <v>1608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1609</v>
      </c>
      <c r="D132" s="11" t="s">
        <v>1610</v>
      </c>
      <c r="E132" s="11" t="s">
        <v>734</v>
      </c>
      <c r="F132" s="15">
        <v>6</v>
      </c>
      <c r="G132" s="15">
        <v>0</v>
      </c>
      <c r="H132" s="15" t="s">
        <v>1594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1834</v>
      </c>
      <c r="D133" s="11" t="s">
        <v>1611</v>
      </c>
      <c r="E133" s="11" t="s">
        <v>734</v>
      </c>
      <c r="F133" s="15">
        <v>6</v>
      </c>
      <c r="G133" s="15">
        <v>3</v>
      </c>
      <c r="H133" s="15" t="s">
        <v>1612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1285</v>
      </c>
      <c r="D134" s="11" t="s">
        <v>1249</v>
      </c>
      <c r="E134" s="11" t="s">
        <v>734</v>
      </c>
      <c r="F134" s="15">
        <v>3</v>
      </c>
      <c r="G134" s="15">
        <v>1</v>
      </c>
      <c r="H134" s="15" t="s">
        <v>1242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1286</v>
      </c>
      <c r="D135" s="11" t="s">
        <v>1250</v>
      </c>
      <c r="E135" s="11" t="s">
        <v>734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1820</v>
      </c>
      <c r="D136" s="11" t="s">
        <v>1830</v>
      </c>
      <c r="E136" s="11" t="s">
        <v>734</v>
      </c>
      <c r="F136" s="15">
        <v>6</v>
      </c>
      <c r="G136" s="15">
        <v>0</v>
      </c>
      <c r="H136" s="15" t="s">
        <v>1831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1832</v>
      </c>
      <c r="D137" s="11" t="s">
        <v>1833</v>
      </c>
      <c r="E137" s="11" t="s">
        <v>734</v>
      </c>
      <c r="F137" s="15">
        <v>0</v>
      </c>
      <c r="G137" s="15">
        <v>1</v>
      </c>
      <c r="H137" s="15" t="s">
        <v>1562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1839</v>
      </c>
      <c r="D138" s="11" t="s">
        <v>391</v>
      </c>
      <c r="E138" s="11" t="s">
        <v>734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2035</v>
      </c>
      <c r="D139" s="11" t="s">
        <v>1611</v>
      </c>
      <c r="E139" s="11" t="s">
        <v>734</v>
      </c>
      <c r="F139" s="15">
        <v>6</v>
      </c>
      <c r="G139" s="15">
        <v>3</v>
      </c>
      <c r="H139" s="15" t="s">
        <v>1612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2129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2130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2131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2132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2133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2134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O17" sqref="O17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2102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2108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2095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2107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2091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2106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2109</v>
      </c>
      <c r="C85" s="15">
        <v>1</v>
      </c>
      <c r="D85" s="15">
        <v>6</v>
      </c>
      <c r="E85" s="11" t="s">
        <v>2099</v>
      </c>
    </row>
    <row r="86" spans="1:5">
      <c r="A86" s="8"/>
      <c r="B86" s="11" t="s">
        <v>2109</v>
      </c>
      <c r="C86" s="15">
        <v>2</v>
      </c>
      <c r="D86" s="15">
        <v>6</v>
      </c>
      <c r="E86" s="11" t="s">
        <v>2100</v>
      </c>
    </row>
    <row r="87" spans="1:5">
      <c r="A87" s="8"/>
      <c r="B87" s="11" t="s">
        <v>2109</v>
      </c>
      <c r="C87" s="15">
        <v>3</v>
      </c>
      <c r="D87" s="15">
        <v>6</v>
      </c>
      <c r="E87" s="11" t="s">
        <v>2101</v>
      </c>
    </row>
    <row r="88" spans="1:5">
      <c r="A88" s="8"/>
      <c r="B88" s="11" t="s">
        <v>2109</v>
      </c>
      <c r="C88" s="15">
        <v>1</v>
      </c>
      <c r="D88" s="15">
        <v>6</v>
      </c>
      <c r="E88" s="11" t="s">
        <v>2092</v>
      </c>
    </row>
    <row r="89" spans="1:5">
      <c r="A89" s="8"/>
      <c r="B89" s="11" t="s">
        <v>2109</v>
      </c>
      <c r="C89" s="15">
        <v>2</v>
      </c>
      <c r="D89" s="15">
        <v>6</v>
      </c>
      <c r="E89" s="11" t="s">
        <v>2093</v>
      </c>
    </row>
    <row r="90" spans="1:5">
      <c r="A90" s="8"/>
      <c r="B90" s="11" t="s">
        <v>2109</v>
      </c>
      <c r="C90" s="15">
        <v>3</v>
      </c>
      <c r="D90" s="15">
        <v>6</v>
      </c>
      <c r="E90" s="11" t="s">
        <v>2094</v>
      </c>
    </row>
    <row r="91" spans="1:5">
      <c r="A91" s="8"/>
      <c r="B91" s="11" t="s">
        <v>2109</v>
      </c>
      <c r="C91" s="15">
        <v>1</v>
      </c>
      <c r="D91" s="15">
        <v>6</v>
      </c>
      <c r="E91" s="11" t="s">
        <v>2103</v>
      </c>
    </row>
    <row r="92" spans="1:5">
      <c r="A92" s="8"/>
      <c r="B92" s="11" t="s">
        <v>2109</v>
      </c>
      <c r="C92" s="15">
        <v>2</v>
      </c>
      <c r="D92" s="15">
        <v>6</v>
      </c>
      <c r="E92" s="11" t="s">
        <v>2104</v>
      </c>
    </row>
    <row r="93" spans="1:5">
      <c r="A93" s="8"/>
      <c r="B93" s="11" t="s">
        <v>2109</v>
      </c>
      <c r="C93" s="15">
        <v>3</v>
      </c>
      <c r="D93" s="15">
        <v>6</v>
      </c>
      <c r="E93" s="11" t="s">
        <v>2105</v>
      </c>
    </row>
    <row r="94" spans="1:5">
      <c r="A94" s="8"/>
      <c r="B94" s="11" t="s">
        <v>2109</v>
      </c>
      <c r="C94" s="15">
        <v>1</v>
      </c>
      <c r="D94" s="15">
        <v>6</v>
      </c>
      <c r="E94" s="11" t="s">
        <v>2085</v>
      </c>
    </row>
    <row r="95" spans="1:5">
      <c r="A95" s="8"/>
      <c r="B95" s="11" t="s">
        <v>2109</v>
      </c>
      <c r="C95" s="15">
        <v>2</v>
      </c>
      <c r="D95" s="15">
        <v>6</v>
      </c>
      <c r="E95" s="11" t="s">
        <v>2086</v>
      </c>
    </row>
    <row r="96" spans="1:5">
      <c r="A96" s="8"/>
      <c r="B96" s="11" t="s">
        <v>2109</v>
      </c>
      <c r="C96" s="15">
        <v>3</v>
      </c>
      <c r="D96" s="15">
        <v>6</v>
      </c>
      <c r="E96" s="11" t="s">
        <v>2087</v>
      </c>
    </row>
    <row r="97" spans="1:5">
      <c r="A97" s="8"/>
      <c r="B97" s="11" t="s">
        <v>2109</v>
      </c>
      <c r="C97" s="15">
        <v>1</v>
      </c>
      <c r="D97" s="15">
        <v>6</v>
      </c>
      <c r="E97" s="11" t="s">
        <v>2088</v>
      </c>
    </row>
    <row r="98" spans="1:5">
      <c r="A98" s="8"/>
      <c r="B98" s="11" t="s">
        <v>2109</v>
      </c>
      <c r="C98" s="15">
        <v>2</v>
      </c>
      <c r="D98" s="15">
        <v>6</v>
      </c>
      <c r="E98" s="11" t="s">
        <v>2089</v>
      </c>
    </row>
    <row r="99" spans="1:5">
      <c r="A99" s="8"/>
      <c r="B99" s="11" t="s">
        <v>2109</v>
      </c>
      <c r="C99" s="15">
        <v>3</v>
      </c>
      <c r="D99" s="15">
        <v>6</v>
      </c>
      <c r="E99" s="11" t="s">
        <v>2090</v>
      </c>
    </row>
    <row r="100" spans="1:5">
      <c r="A100" s="8"/>
      <c r="B100" s="11" t="s">
        <v>2109</v>
      </c>
      <c r="C100" s="15">
        <v>1</v>
      </c>
      <c r="D100" s="15">
        <v>6</v>
      </c>
      <c r="E100" s="11" t="s">
        <v>2096</v>
      </c>
    </row>
    <row r="101" spans="1:5">
      <c r="A101" s="8"/>
      <c r="B101" s="11" t="s">
        <v>2109</v>
      </c>
      <c r="C101" s="15">
        <v>2</v>
      </c>
      <c r="D101" s="15">
        <v>6</v>
      </c>
      <c r="E101" s="11" t="s">
        <v>2097</v>
      </c>
    </row>
    <row r="102" spans="1:5">
      <c r="A102" s="8"/>
      <c r="B102" s="11" t="s">
        <v>2109</v>
      </c>
      <c r="C102" s="15">
        <v>3</v>
      </c>
      <c r="D102" s="15">
        <v>6</v>
      </c>
      <c r="E102" s="11" t="s">
        <v>2098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2024-07-21T08:08:55Z</dcterms:modified>
</cp:coreProperties>
</file>