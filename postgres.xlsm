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0159679-B227-4A8D-BD43-B3E1E4C8F3CF}" xr6:coauthVersionLast="47" xr6:coauthVersionMax="47" xr10:uidLastSave="{00000000-0000-0000-0000-000000000000}"/>
  <bookViews>
    <workbookView xWindow="28680" yWindow="-120" windowWidth="29040" windowHeight="15840" firstSheet="3" activeTab="3"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skill_buff!$B$6:$R$327</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F325" i="67"/>
  <c r="F324" i="67"/>
  <c r="F323" i="67"/>
  <c r="F322" i="67"/>
  <c r="F321" i="67"/>
  <c r="F320" i="67"/>
  <c r="F319" i="67"/>
  <c r="F318" i="67"/>
  <c r="F317" i="67"/>
  <c r="F316" i="67"/>
  <c r="F315" i="67"/>
  <c r="F314" i="67"/>
  <c r="F313" i="67"/>
  <c r="F312" i="67"/>
  <c r="F311" i="67"/>
  <c r="F310" i="67"/>
  <c r="F309" i="67"/>
  <c r="F308" i="67"/>
  <c r="F307" i="67"/>
  <c r="F306" i="67"/>
  <c r="F305" i="67"/>
  <c r="F304" i="67"/>
  <c r="F303" i="67"/>
  <c r="F302" i="67"/>
  <c r="F301" i="67"/>
  <c r="F300" i="67"/>
  <c r="F299" i="67"/>
  <c r="F298" i="67"/>
  <c r="F297" i="67"/>
  <c r="F296" i="67"/>
  <c r="F294" i="67"/>
  <c r="F293" i="67"/>
  <c r="F292" i="67"/>
  <c r="F291" i="67"/>
  <c r="F290" i="67"/>
  <c r="F289" i="67"/>
  <c r="F288" i="67"/>
  <c r="F287" i="67"/>
  <c r="F286" i="67"/>
  <c r="F285" i="67"/>
  <c r="F284" i="67"/>
  <c r="F283" i="67"/>
  <c r="F282" i="67"/>
  <c r="F281" i="67"/>
  <c r="F280" i="67"/>
  <c r="F279" i="67"/>
  <c r="F278" i="67"/>
  <c r="F277" i="67"/>
  <c r="F276" i="67"/>
  <c r="F275" i="67"/>
  <c r="F274" i="67"/>
  <c r="F273" i="67"/>
  <c r="F272" i="67"/>
  <c r="F271" i="67"/>
  <c r="F270" i="67"/>
  <c r="F269" i="67"/>
  <c r="F268" i="67"/>
  <c r="F267" i="67"/>
  <c r="F266" i="67"/>
  <c r="F265" i="67"/>
  <c r="F264" i="67"/>
  <c r="F263" i="67"/>
  <c r="F262" i="67"/>
  <c r="F261" i="67"/>
  <c r="F260" i="67"/>
  <c r="F259" i="67"/>
  <c r="F258" i="67"/>
  <c r="F257" i="67"/>
  <c r="F256" i="67"/>
  <c r="F255" i="67"/>
  <c r="F254" i="67"/>
  <c r="F253" i="67"/>
  <c r="F252" i="67"/>
  <c r="F251" i="67"/>
  <c r="F250" i="67"/>
  <c r="F249" i="67"/>
  <c r="F248" i="67"/>
  <c r="F247" i="67"/>
  <c r="F246" i="67"/>
  <c r="F245" i="67"/>
  <c r="F244" i="67"/>
  <c r="F243" i="67"/>
  <c r="F242" i="67"/>
  <c r="F241" i="67"/>
  <c r="F240" i="67"/>
  <c r="F238" i="67"/>
  <c r="F237" i="67"/>
  <c r="F236" i="67"/>
  <c r="F235" i="67"/>
  <c r="F234" i="67"/>
  <c r="F233" i="67"/>
  <c r="F232" i="67"/>
  <c r="F231" i="67"/>
  <c r="F230" i="67"/>
  <c r="F229" i="67"/>
  <c r="F228" i="67"/>
  <c r="F227" i="67"/>
  <c r="F226" i="67"/>
  <c r="F225" i="67"/>
  <c r="F224" i="67"/>
  <c r="F223" i="67"/>
  <c r="F222" i="67"/>
  <c r="F221" i="67"/>
  <c r="F220" i="67"/>
  <c r="F219" i="67"/>
  <c r="F218" i="67"/>
  <c r="F217" i="67"/>
  <c r="F216" i="67"/>
  <c r="F215" i="67"/>
  <c r="F214" i="67"/>
  <c r="F213" i="67"/>
  <c r="F212" i="67"/>
  <c r="F211" i="67"/>
  <c r="F210" i="67"/>
  <c r="F209" i="67"/>
  <c r="F208" i="67"/>
  <c r="F207" i="67"/>
  <c r="F206" i="67"/>
  <c r="F205" i="67"/>
  <c r="F204" i="67"/>
  <c r="F203" i="67"/>
  <c r="F202" i="67"/>
  <c r="F201" i="67"/>
  <c r="F200" i="67"/>
  <c r="F199" i="67"/>
  <c r="F198" i="67"/>
  <c r="F197" i="67"/>
  <c r="F196" i="67"/>
  <c r="F195" i="67"/>
  <c r="F194" i="67"/>
  <c r="F193" i="67"/>
  <c r="F192" i="67"/>
  <c r="F191" i="67"/>
  <c r="F190" i="67"/>
  <c r="F189" i="67"/>
  <c r="F188" i="67"/>
  <c r="F187" i="67"/>
  <c r="F186" i="67"/>
  <c r="F185" i="67"/>
  <c r="F184" i="67"/>
  <c r="F183" i="67"/>
  <c r="F182" i="67"/>
  <c r="F181" i="67"/>
  <c r="F180" i="67"/>
  <c r="F179" i="67"/>
  <c r="F178" i="67"/>
  <c r="F177" i="67"/>
  <c r="F176" i="67"/>
  <c r="F175" i="67"/>
  <c r="F174" i="67"/>
  <c r="F173" i="67"/>
  <c r="F172" i="67"/>
  <c r="F171" i="67"/>
  <c r="F170" i="67"/>
  <c r="F169" i="67"/>
  <c r="F160" i="67"/>
  <c r="F159" i="67"/>
  <c r="F158" i="67"/>
  <c r="F157" i="67"/>
  <c r="F156" i="67"/>
  <c r="F155" i="67"/>
  <c r="F154" i="67"/>
  <c r="F153" i="67"/>
  <c r="F152" i="67"/>
  <c r="F151" i="67"/>
  <c r="F150" i="67"/>
  <c r="F149" i="67"/>
  <c r="F148" i="67"/>
  <c r="F147" i="67"/>
  <c r="F146" i="67"/>
  <c r="F145" i="67"/>
  <c r="F144" i="67"/>
  <c r="F143" i="67"/>
  <c r="F142" i="67"/>
  <c r="F141" i="67"/>
  <c r="F140" i="67"/>
  <c r="F139" i="67"/>
  <c r="F138" i="67"/>
  <c r="F137" i="67"/>
  <c r="F136" i="67"/>
  <c r="F135" i="67"/>
  <c r="F134" i="67"/>
  <c r="F133" i="67"/>
  <c r="F132" i="67"/>
  <c r="F131" i="67"/>
  <c r="F130" i="67"/>
  <c r="F129" i="67"/>
  <c r="F128" i="67"/>
  <c r="F127" i="67"/>
  <c r="F126" i="67"/>
  <c r="F125" i="67"/>
  <c r="F124" i="67"/>
  <c r="F123" i="67"/>
  <c r="F122" i="67"/>
  <c r="F121" i="67"/>
  <c r="F120" i="67"/>
  <c r="F119" i="67"/>
  <c r="F118" i="67"/>
  <c r="F117" i="67"/>
  <c r="F116" i="67"/>
  <c r="F115" i="67"/>
  <c r="F114" i="67"/>
  <c r="F113" i="67"/>
  <c r="F112" i="67"/>
  <c r="F111" i="67"/>
  <c r="F110" i="67"/>
  <c r="F109" i="67"/>
  <c r="F108" i="67"/>
  <c r="F107" i="67"/>
  <c r="F106" i="67"/>
  <c r="F105" i="67"/>
  <c r="F104" i="67"/>
  <c r="F103" i="67"/>
  <c r="F102" i="67"/>
  <c r="F101" i="67"/>
  <c r="F100" i="67"/>
  <c r="F99" i="67"/>
  <c r="F98" i="67"/>
  <c r="F97" i="67"/>
  <c r="F96" i="67"/>
  <c r="F95" i="67"/>
  <c r="F94" i="67"/>
  <c r="F93" i="67"/>
  <c r="F92" i="67"/>
  <c r="F91" i="67"/>
  <c r="F90" i="67"/>
  <c r="F89" i="67"/>
  <c r="F88" i="67"/>
  <c r="F87" i="67"/>
  <c r="F86" i="67"/>
  <c r="F85" i="67"/>
  <c r="F84" i="67"/>
  <c r="F83" i="67"/>
  <c r="F82" i="67"/>
  <c r="F81" i="67"/>
  <c r="F80" i="67"/>
  <c r="F79" i="67"/>
  <c r="F78" i="67"/>
  <c r="F77" i="67"/>
  <c r="F76" i="67"/>
  <c r="F75" i="67"/>
  <c r="F74" i="67"/>
  <c r="F73" i="67"/>
  <c r="F72" i="67"/>
  <c r="F71" i="67"/>
  <c r="F70" i="67"/>
  <c r="F69" i="67"/>
  <c r="F68" i="67"/>
  <c r="F67" i="67"/>
  <c r="F66" i="67"/>
  <c r="F65" i="67"/>
  <c r="F64" i="67"/>
  <c r="F63" i="67"/>
  <c r="F62" i="67"/>
  <c r="F61" i="67"/>
  <c r="F60" i="67"/>
  <c r="F59" i="67"/>
  <c r="F58" i="67"/>
  <c r="F57" i="67"/>
  <c r="F56" i="67"/>
  <c r="F55" i="67"/>
  <c r="F54" i="67"/>
  <c r="F53" i="67"/>
  <c r="F52" i="67"/>
  <c r="F51" i="67"/>
  <c r="F50" i="67"/>
  <c r="F49" i="67"/>
  <c r="F48" i="67"/>
  <c r="F47" i="67"/>
  <c r="F46" i="67"/>
  <c r="F45" i="67"/>
  <c r="F44" i="67"/>
  <c r="F43" i="67"/>
  <c r="F42" i="67"/>
  <c r="F41" i="67"/>
  <c r="F40" i="67"/>
  <c r="F39" i="67"/>
  <c r="F38" i="67"/>
  <c r="F37" i="67"/>
  <c r="F36" i="67"/>
  <c r="F35" i="67"/>
  <c r="F34" i="67"/>
  <c r="F33" i="67"/>
  <c r="F32" i="67"/>
  <c r="F31" i="67"/>
  <c r="F30" i="67"/>
  <c r="F29" i="67"/>
  <c r="F28" i="67"/>
  <c r="F27" i="67"/>
  <c r="F26" i="67"/>
  <c r="F25" i="67"/>
  <c r="F24" i="67"/>
  <c r="F23" i="67"/>
  <c r="F22" i="67"/>
  <c r="F21" i="67"/>
  <c r="F20" i="67"/>
  <c r="F19" i="67"/>
  <c r="F18" i="67"/>
  <c r="F17" i="67"/>
  <c r="F16" i="67"/>
  <c r="F15" i="67"/>
  <c r="F14" i="67"/>
  <c r="F13" i="67"/>
  <c r="F12" i="67"/>
  <c r="F11" i="67"/>
  <c r="F10" i="67"/>
  <c r="F9" i="67"/>
  <c r="F8" i="67"/>
  <c r="F7" i="67"/>
  <c r="F326" i="67"/>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<sst xmlns="http://schemas.openxmlformats.org/spreadsheetml/2006/main" count="4950" uniqueCount="2259">
  <si>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</si>
  <si>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</si>
  <si>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</si>
  <si>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</si>
  <si>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</si>
  <si>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</si>
  <si>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</si>
  <si>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</si>
  <si>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</si>
  <si>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</si>
  <si>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</si>
  <si>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</si>
  <si>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</si>
  <si>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</si>
  <si>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</si>
  <si>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</si>
  <si>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</si>
  <si>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</si>
  <si>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</si>
  <si>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</si>
  <si>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</si>
  <si>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</si>
  <si>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</si>
  <si>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</si>
  <si>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</si>
  <si>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</si>
  <si>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</si>
  <si>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</si>
  <si>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</si>
  <si>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</si>
  <si>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</si>
  <si>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</si>
  <si>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</si>
  <si>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</si>
  <si>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</si>
  <si>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</si>
  <si>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</si>
  <si>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</si>
  <si>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</si>
  <si>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</si>
  <si>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</si>
  <si>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</si>
  <si>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</si>
  <si>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</si>
  <si>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</si>
  <si>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</si>
  <si>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</si>
  <si>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</si>
  <si>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</si>
  <si>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</si>
  <si>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</si>
  <si>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</si>
  <si>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</si>
  <si>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</si>
  <si>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</si>
  <si>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</si>
  <si>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</si>
  <si>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</si>
  <si>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</si>
  <si>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</si>
  <si>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</si>
  <si>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</si>
  <si>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</si>
  <si>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</si>
  <si>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</si>
  <si>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</si>
  <si>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</si>
  <si>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</si>
  <si>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</si>
  <si>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</si>
  <si>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</si>
  <si>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</si>
  <si>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</si>
  <si>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</si>
  <si>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</si>
  <si>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</si>
  <si>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</si>
  <si>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</si>
  <si>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</si>
  <si>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</si>
  <si>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</si>
  <si>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</si>
  <si>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</si>
  <si>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</si>
  <si>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</si>
  <si>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</si>
  <si>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</si>
  <si>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</si>
  <si>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</si>
  <si>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</si>
  <si>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</si>
  <si>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</si>
  <si>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</si>
  <si>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</si>
  <si>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</si>
  <si>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</si>
  <si>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</si>
  <si>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</si>
  <si>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</si>
  <si>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</si>
  <si>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</si>
  <si>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</si>
  <si>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</si>
  <si>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</si>
  <si>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</si>
  <si>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</si>
  <si>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</si>
  <si>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</si>
  <si>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</si>
  <si>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</si>
  <si>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</si>
  <si>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</si>
  <si>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</si>
  <si>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</si>
  <si>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</si>
  <si>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</si>
  <si>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</si>
  <si>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</si>
  <si>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</si>
  <si>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</si>
  <si>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</si>
  <si>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</si>
  <si>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</si>
  <si>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</si>
  <si>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</si>
  <si>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</si>
  <si>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</si>
  <si>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</si>
  <si>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</si>
  <si>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</si>
  <si>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</si>
  <si>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</si>
  <si>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</si>
  <si>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</si>
  <si>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</si>
  <si>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</si>
  <si>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</si>
  <si>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</si>
  <si>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</si>
  <si>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</si>
  <si>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</si>
  <si>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</si>
  <si>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</si>
  <si>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</si>
  <si>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</si>
  <si>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</si>
  <si>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</si>
  <si>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</si>
  <si>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</si>
  <si>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</si>
  <si>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</si>
  <si>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</si>
  <si>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</si>
  <si>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</si>
  <si>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</si>
  <si>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</si>
  <si>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</si>
  <si>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</si>
  <si>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</si>
  <si>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</si>
  <si>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</si>
  <si>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</si>
  <si>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</si>
  <si>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</si>
  <si>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</si>
  <si>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</si>
  <si>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</si>
  <si>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</si>
  <si>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</si>
  <si>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</si>
  <si>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</si>
  <si>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</si>
  <si>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</si>
  <si>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</si>
  <si>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</si>
  <si>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</si>
  <si>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</si>
  <si>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</si>
  <si>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</si>
  <si>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</si>
  <si>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</si>
  <si>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</si>
  <si>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</si>
  <si>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</si>
  <si>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</si>
  <si>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</si>
  <si>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</si>
  <si>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</si>
  <si>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</si>
  <si>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</si>
  <si>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</si>
  <si>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</si>
  <si>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</si>
  <si>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</si>
  <si>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</si>
  <si>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</si>
  <si>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</si>
  <si>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</si>
  <si>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</si>
  <si>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</si>
  <si>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</si>
  <si>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</si>
  <si>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</si>
  <si>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</si>
  <si>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</si>
  <si>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</si>
  <si>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</si>
  <si>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</si>
  <si>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</si>
  <si>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</si>
  <si>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</si>
  <si>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</si>
  <si>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</si>
  <si>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</si>
  <si>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</si>
  <si>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</si>
  <si>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</si>
  <si>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</si>
  <si>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</si>
  <si>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</si>
  <si>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</si>
  <si>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</si>
  <si>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</si>
  <si>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</si>
  <si>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</si>
  <si>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</si>
  <si>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</si>
  <si>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</si>
  <si>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</si>
  <si>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</si>
  <si>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</si>
  <si>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</si>
  <si>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</si>
  <si>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</si>
  <si>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</si>
  <si>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</si>
  <si>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</si>
  <si>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</si>
  <si>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</si>
  <si>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</si>
  <si>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</si>
  <si>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</si>
  <si>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</si>
  <si>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</si>
  <si>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</si>
  <si>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</si>
  <si>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</si>
  <si>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</si>
  <si>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</si>
  <si>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</si>
  <si>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</si>
  <si>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</si>
  <si>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</si>
  <si>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</si>
  <si>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</si>
  <si>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</si>
  <si>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</si>
  <si>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</si>
  <si>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</si>
  <si>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</si>
  <si>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</si>
  <si>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</si>
  <si>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</si>
  <si>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</si>
  <si>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</si>
  <si>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</si>
  <si>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</si>
  <si>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</si>
  <si>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</si>
  <si>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</si>
  <si>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</si>
  <si>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</si>
  <si>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</si>
  <si>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</si>
  <si>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</si>
  <si>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</si>
  <si>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</si>
  <si>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</si>
  <si>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</si>
  <si>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</si>
  <si>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</si>
  <si>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</si>
  <si>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</si>
  <si>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</si>
  <si>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</si>
  <si>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</si>
  <si>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</si>
  <si>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</si>
  <si>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</si>
  <si>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</si>
  <si>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</si>
  <si>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</si>
  <si>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</si>
  <si>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</si>
  <si>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</si>
  <si>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</si>
  <si>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</si>
  <si>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</si>
  <si>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</si>
  <si>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</si>
  <si>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</si>
  <si>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</si>
  <si>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</si>
  <si>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</si>
  <si>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</si>
  <si>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</si>
  <si>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</si>
  <si>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</si>
  <si>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</si>
  <si>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</si>
  <si>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</si>
  <si>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</si>
  <si>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</si>
  <si>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</si>
  <si>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</si>
  <si>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</si>
  <si>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</si>
  <si>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</si>
  <si>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</si>
  <si>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</si>
  <si>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</si>
  <si>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</si>
  <si>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</si>
  <si>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</si>
  <si>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</si>
  <si>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</si>
  <si>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</si>
  <si>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</si>
  <si>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</si>
  <si>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</si>
  <si>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</si>
  <si>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</si>
  <si>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</si>
  <si>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</si>
  <si>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</si>
  <si>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</si>
  <si>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</si>
  <si>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</si>
  <si>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</si>
  <si>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</si>
  <si>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</si>
  <si>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</si>
  <si>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</si>
  <si>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</si>
  <si>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</si>
  <si>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</si>
  <si>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</si>
  <si>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</si>
  <si>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</si>
  <si>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</si>
  <si>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</si>
  <si>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</si>
  <si>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</si>
  <si>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</si>
  <si>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</si>
  <si>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</si>
  <si>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</si>
  <si>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</si>
  <si>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</si>
  <si>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</si>
  <si>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</si>
  <si>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</si>
  <si>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</si>
  <si>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</si>
  <si>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</si>
  <si>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</si>
  <si>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</si>
  <si>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</si>
  <si>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</si>
  <si>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</si>
  <si>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</si>
  <si>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</si>
  <si>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</si>
  <si>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</si>
  <si>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</si>
  <si>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</si>
  <si>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</si>
  <si>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</si>
  <si>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</si>
  <si>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</si>
  <si>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</si>
  <si>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</si>
  <si>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</si>
  <si>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</si>
  <si>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</si>
  <si>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</si>
  <si>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</si>
  <si>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</si>
  <si>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</si>
  <si>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</si>
  <si>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</si>
  <si>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</si>
  <si>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</si>
  <si>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</si>
  <si>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</si>
  <si>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</si>
  <si>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</si>
  <si>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</si>
  <si>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</si>
  <si>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</si>
  <si>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</si>
  <si>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</si>
  <si>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</si>
  <si>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</si>
  <si>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</si>
  <si>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</si>
  <si>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</si>
  <si>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</si>
  <si>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</si>
  <si>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</si>
  <si>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</si>
  <si>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</si>
  <si>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</si>
  <si>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</si>
  <si>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</si>
  <si>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</si>
  <si>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</si>
  <si>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</si>
  <si>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</si>
  <si>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</si>
  <si>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</si>
  <si>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</si>
  <si>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</si>
  <si>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</si>
  <si>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</si>
  <si>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</si>
  <si>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</si>
  <si>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</si>
  <si>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</si>
  <si>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</si>
  <si>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</si>
  <si>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</si>
  <si>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</si>
  <si>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</si>
  <si>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</si>
  <si>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</si>
  <si>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</si>
  <si>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</si>
  <si>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</si>
  <si>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</si>
  <si>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</si>
  <si>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</si>
  <si>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</si>
  <si>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</si>
  <si>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</si>
  <si>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</si>
  <si>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</si>
  <si>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</si>
  <si>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</si>
  <si>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</si>
  <si>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</si>
  <si>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</si>
  <si>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</si>
  <si>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</si>
  <si>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</si>
  <si>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</si>
  <si>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</si>
  <si>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</si>
  <si>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</si>
  <si>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</si>
  <si>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</si>
  <si>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</si>
  <si>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</si>
  <si>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</si>
  <si>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</si>
  <si>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</si>
  <si>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</si>
  <si>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</si>
  <si>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</si>
  <si>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</si>
  <si>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</si>
  <si>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</si>
  <si>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</si>
  <si>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</si>
  <si>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</si>
  <si>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</si>
  <si>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</si>
  <si>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</si>
  <si>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</si>
  <si>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</si>
  <si>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</si>
  <si>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</si>
  <si>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</si>
  <si>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</si>
  <si>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</si>
  <si>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</si>
  <si>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</si>
  <si>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</si>
  <si>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</si>
  <si>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</si>
  <si>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</si>
  <si>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</si>
  <si>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</si>
  <si>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</si>
  <si>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</si>
  <si>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</si>
  <si>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</si>
  <si>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</si>
  <si>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</si>
  <si>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</si>
  <si>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</si>
  <si>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</si>
  <si>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</si>
  <si>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</si>
  <si>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</si>
  <si>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</si>
  <si>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</si>
  <si>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</si>
  <si>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</si>
  <si>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</si>
  <si>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</si>
  <si>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</si>
  <si>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</si>
  <si>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</si>
  <si>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</si>
  <si>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</si>
  <si>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</si>
  <si>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</si>
  <si>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</si>
  <si>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</si>
  <si>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</si>
  <si>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</si>
  <si>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</si>
  <si>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</si>
  <si>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</si>
  <si>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</si>
  <si>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</si>
  <si>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</si>
  <si>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</si>
  <si>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</si>
  <si>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</si>
  <si>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</si>
  <si>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</si>
  <si>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</si>
  <si>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</si>
  <si>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</si>
  <si>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</si>
  <si>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</si>
  <si>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</si>
  <si>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</si>
  <si>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</si>
  <si>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</si>
  <si>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</si>
  <si>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</si>
  <si>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</si>
  <si>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</si>
  <si>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</si>
  <si>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</si>
  <si>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</si>
  <si>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</si>
  <si>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</si>
  <si>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</si>
  <si>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</si>
  <si>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</si>
  <si>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</si>
  <si>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</si>
  <si>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</si>
  <si>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</si>
  <si>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</si>
  <si>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</si>
  <si>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</si>
  <si>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</si>
  <si>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</si>
  <si>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</si>
  <si>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</si>
  <si>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</si>
  <si>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</si>
  <si>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</si>
  <si>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</si>
  <si>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</si>
  <si>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</si>
  <si>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</si>
  <si>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</si>
  <si>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</si>
  <si>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</si>
  <si>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</si>
  <si>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</si>
  <si>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</si>
  <si>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</si>
  <si>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</si>
  <si>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</si>
  <si>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</si>
  <si>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</si>
  <si>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</si>
  <si>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</si>
  <si>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</si>
  <si>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</si>
  <si>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</si>
  <si>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</si>
  <si>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</si>
  <si>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</si>
  <si>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</si>
  <si>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</si>
  <si>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</si>
  <si>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</si>
  <si>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</si>
  <si>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</si>
  <si>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</si>
  <si>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</si>
  <si>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</si>
  <si>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</si>
  <si>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</si>
  <si>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</si>
  <si>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</si>
  <si>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</si>
  <si>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</si>
  <si>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</si>
  <si>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</si>
  <si>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</si>
  <si>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</si>
  <si>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</si>
  <si>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</si>
  <si>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</si>
  <si>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</si>
  <si>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</si>
  <si>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</si>
  <si>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</si>
  <si>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</si>
  <si>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</si>
  <si>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</si>
  <si>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</si>
  <si>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</si>
  <si>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</si>
  <si>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</si>
  <si>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</si>
  <si>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</si>
  <si>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</si>
  <si>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</si>
  <si>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</si>
  <si>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</si>
  <si>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</si>
  <si>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</si>
  <si>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</si>
  <si>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</si>
  <si>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</si>
  <si>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</si>
  <si>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</si>
  <si>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</si>
  <si>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</si>
  <si>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</si>
  <si>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</si>
  <si>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</si>
  <si>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</si>
  <si>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</si>
  <si>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</si>
  <si>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</si>
  <si>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</si>
  <si>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</si>
  <si>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</si>
  <si>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</si>
  <si>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</si>
  <si>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</si>
  <si>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</si>
  <si>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</si>
  <si>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</si>
  <si>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</si>
  <si>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</si>
  <si>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</si>
  <si>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</si>
  <si>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</si>
  <si>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</si>
  <si>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</si>
  <si>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</si>
  <si>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</si>
  <si>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</si>
  <si>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</si>
  <si>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</si>
  <si>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</si>
  <si>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</si>
  <si>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</si>
  <si>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</si>
  <si>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</si>
  <si>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</si>
  <si>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</si>
  <si>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</si>
  <si>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</si>
  <si>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</si>
  <si>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</si>
  <si>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</si>
  <si>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</si>
  <si>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</si>
  <si>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</si>
  <si>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</si>
  <si>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</si>
  <si>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</si>
  <si>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</si>
  <si>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</si>
  <si>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</si>
  <si>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</si>
  <si>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</si>
  <si>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</si>
  <si>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</si>
  <si>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</si>
  <si>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</si>
  <si>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</si>
  <si>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</si>
  <si>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</si>
  <si>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</si>
  <si>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</si>
  <si>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</si>
  <si>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</si>
  <si>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</si>
  <si>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</si>
  <si>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</si>
  <si>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</si>
  <si>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</si>
  <si>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</si>
  <si>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</si>
  <si>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</si>
  <si>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</si>
  <si>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</si>
  <si>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</si>
  <si>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</si>
  <si>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</si>
  <si>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</si>
  <si>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</si>
  <si>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</si>
  <si>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</si>
  <si>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</si>
  <si>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</si>
  <si>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</si>
  <si>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</si>
  <si>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</si>
  <si>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</si>
  <si>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</si>
  <si>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</si>
  <si>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</si>
  <si>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</si>
  <si>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</si>
  <si>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</si>
  <si>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</si>
  <si>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</si>
  <si>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</si>
  <si>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</si>
  <si>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</si>
  <si>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</si>
  <si>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</si>
  <si>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</si>
  <si>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</si>
  <si>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</si>
  <si>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</si>
  <si>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</si>
  <si>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</si>
  <si>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</si>
  <si>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</si>
  <si>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</si>
  <si>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</si>
  <si>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</si>
  <si>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</si>
  <si>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</si>
  <si>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</si>
  <si>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</si>
  <si>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</si>
  <si>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</si>
  <si>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</si>
  <si>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</si>
  <si>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</si>
  <si>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</si>
  <si>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</si>
  <si>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</si>
  <si>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</si>
  <si>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</si>
  <si>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</si>
  <si>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</si>
  <si>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</si>
  <si>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</si>
  <si>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</si>
  <si>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</si>
  <si>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</si>
  <si>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</si>
  <si>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</si>
  <si>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</si>
  <si>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</si>
  <si>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</si>
  <si>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</si>
  <si>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</si>
  <si>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</si>
  <si>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</si>
  <si>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</si>
  <si>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</si>
  <si>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</si>
  <si>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</si>
  <si>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</si>
  <si>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</si>
  <si>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</si>
  <si>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</si>
  <si>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</si>
  <si>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</si>
  <si>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</si>
  <si>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</si>
  <si>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</si>
  <si>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</si>
  <si>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</si>
  <si>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</si>
  <si>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</si>
  <si>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</si>
  <si>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</si>
  <si>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</si>
  <si>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</si>
  <si>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</si>
  <si>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</si>
  <si>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</si>
  <si>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</si>
  <si>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</si>
  <si>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</si>
  <si>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</si>
  <si>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</si>
  <si>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</si>
  <si>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</si>
  <si>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</si>
  <si>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</si>
  <si>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</si>
  <si>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</si>
  <si>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</si>
  <si>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</si>
  <si>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</si>
  <si>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</si>
  <si>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</si>
  <si>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</si>
  <si>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</si>
  <si>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</si>
  <si>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</si>
  <si>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</si>
  <si>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</si>
  <si>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</si>
  <si>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</si>
  <si>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</si>
  <si>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</si>
  <si>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</si>
  <si>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</si>
  <si>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</si>
  <si>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</si>
  <si>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</si>
  <si>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</si>
  <si>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</si>
  <si>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</si>
  <si>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</si>
  <si>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</si>
  <si>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</si>
  <si>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</si>
  <si>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</si>
  <si>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</si>
  <si>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</si>
  <si>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</si>
  <si>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</si>
  <si>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</si>
  <si>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</si>
  <si>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</si>
  <si>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</si>
  <si>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</si>
  <si>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</si>
  <si>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</si>
  <si>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</si>
  <si>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</si>
  <si>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</si>
  <si>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</si>
  <si>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</si>
  <si>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</si>
  <si>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</si>
  <si>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</si>
  <si>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</si>
  <si>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</si>
  <si>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</si>
  <si>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</si>
  <si>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</si>
  <si>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</si>
  <si>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</si>
  <si>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</si>
  <si>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</si>
  <si>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</si>
  <si>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</si>
  <si>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</si>
  <si>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</si>
  <si>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</si>
  <si>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</si>
  <si>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</si>
  <si>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</si>
  <si>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</si>
  <si>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</si>
  <si>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</si>
  <si>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</si>
  <si>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</si>
  <si>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</si>
  <si>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</si>
  <si>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</si>
  <si>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</si>
  <si>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</si>
  <si>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</si>
  <si>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</si>
  <si>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</si>
  <si>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</si>
  <si>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</si>
  <si>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</si>
  <si>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</si>
  <si>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</si>
  <si>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</si>
  <si>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</si>
  <si>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</si>
  <si>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</si>
  <si>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</si>
  <si>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</si>
  <si>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</si>
  <si>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</si>
  <si>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</si>
  <si>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</si>
  <si>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</si>
  <si>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</si>
  <si>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</si>
  <si>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</si>
  <si>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</si>
  <si>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</si>
  <si>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</si>
  <si>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</si>
  <si>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</si>
  <si>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</si>
  <si>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</si>
  <si>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</si>
  <si>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</si>
  <si>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</si>
  <si>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</si>
  <si>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</si>
  <si>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</si>
  <si>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</si>
  <si>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</si>
  <si>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</si>
  <si>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</si>
  <si>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</si>
  <si>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</si>
  <si>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</si>
  <si>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</si>
  <si>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</si>
  <si>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</si>
  <si>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</si>
  <si>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</si>
  <si>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</si>
  <si>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</si>
  <si>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</si>
  <si>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</si>
  <si>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</si>
  <si>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</si>
  <si>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</si>
  <si>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</si>
  <si>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</si>
  <si>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</si>
  <si>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</si>
  <si>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</si>
  <si>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</si>
  <si>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</si>
  <si>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</si>
  <si>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</si>
  <si>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</si>
  <si>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</si>
  <si>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</si>
  <si>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</si>
  <si>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</si>
  <si>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</si>
  <si>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</si>
  <si>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</si>
  <si>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</si>
  <si>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</si>
  <si>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</si>
  <si>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</si>
  <si>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</si>
  <si>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</si>
  <si>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</si>
  <si>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</si>
  <si>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</si>
  <si>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</si>
  <si>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</si>
  <si>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</si>
  <si>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</si>
  <si>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</si>
  <si>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</si>
  <si>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</si>
  <si>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</si>
  <si>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</si>
  <si>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</si>
  <si>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</si>
  <si>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</si>
  <si>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</si>
  <si>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</si>
  <si>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</si>
  <si>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</si>
  <si>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</si>
  <si>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</si>
  <si>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</si>
  <si>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</si>
  <si>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</si>
  <si>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</si>
  <si>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</si>
  <si>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</si>
  <si>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</si>
  <si>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</si>
  <si>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</si>
  <si>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</si>
  <si>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</si>
  <si>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</si>
  <si>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</si>
  <si>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</si>
  <si>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</si>
  <si>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</si>
  <si>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</si>
  <si>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</si>
  <si>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</si>
  <si>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</si>
  <si>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</si>
  <si>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</si>
  <si>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</si>
  <si>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</si>
  <si>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</si>
  <si>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</si>
  <si>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</si>
  <si>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</si>
  <si>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</si>
  <si>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</si>
  <si>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</si>
  <si>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</si>
  <si>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</si>
  <si>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</si>
  <si>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</si>
  <si>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</si>
  <si>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</si>
  <si>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</si>
  <si>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</si>
  <si>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</si>
  <si>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</si>
  <si>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</si>
  <si>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</si>
  <si>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</si>
  <si>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</si>
  <si>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</si>
  <si>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</si>
  <si>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</si>
  <si>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</si>
  <si>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</si>
  <si>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</si>
  <si>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</si>
  <si>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</si>
  <si>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</si>
  <si>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</si>
  <si>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</si>
  <si>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</si>
  <si>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</si>
  <si>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</si>
  <si>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</si>
  <si>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</si>
  <si>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</si>
  <si>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</si>
  <si>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</si>
  <si>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</si>
  <si>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</si>
  <si>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</si>
  <si>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</si>
  <si>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</si>
  <si>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</si>
  <si>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</si>
  <si>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</si>
  <si>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</si>
  <si>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</si>
  <si>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</si>
  <si>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</si>
  <si>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</si>
  <si>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</si>
  <si>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</si>
  <si>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</si>
  <si>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</si>
  <si>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</si>
  <si>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</si>
  <si>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</si>
  <si>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</si>
  <si>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</si>
  <si>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</si>
  <si>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</si>
  <si>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</si>
  <si>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</si>
  <si>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</si>
  <si>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</si>
  <si>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</si>
  <si>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</si>
  <si>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</si>
  <si>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</si>
  <si>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</si>
  <si>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</si>
  <si>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</si>
  <si>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</si>
  <si>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</si>
  <si>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</si>
  <si>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</si>
  <si>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</si>
  <si>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</si>
  <si>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</si>
  <si>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</si>
  <si>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</si>
  <si>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</si>
  <si>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</si>
  <si>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</si>
  <si>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</si>
  <si>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</si>
  <si>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</si>
  <si>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</si>
  <si>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</si>
  <si>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</si>
  <si>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</si>
  <si>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</si>
  <si>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</si>
  <si>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</si>
  <si>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</si>
  <si>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</si>
  <si>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</si>
  <si>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</si>
  <si>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</si>
  <si>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</si>
  <si>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</si>
  <si>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</si>
  <si>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</si>
  <si>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</si>
  <si>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</si>
  <si>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</si>
  <si>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</si>
  <si>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</si>
  <si>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</si>
  <si>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</si>
  <si>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</si>
  <si>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</si>
  <si>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</si>
  <si>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</si>
  <si>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</si>
  <si>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</si>
  <si>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</si>
  <si>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</si>
  <si>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</si>
  <si>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</si>
  <si>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</si>
  <si>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</si>
  <si>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</si>
  <si>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</si>
  <si>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</si>
  <si>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</si>
  <si>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</si>
  <si>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</si>
  <si>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</si>
  <si>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</si>
  <si>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</si>
  <si>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</si>
  <si>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</si>
  <si>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</si>
  <si>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</si>
  <si>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</si>
  <si>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</si>
  <si>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</si>
  <si>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</si>
  <si>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</si>
  <si>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</si>
  <si>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</si>
  <si>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</si>
  <si>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</si>
  <si>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</si>
  <si>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</si>
  <si>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</si>
  <si>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</si>
  <si>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</si>
  <si>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</si>
  <si>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</si>
  <si>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</si>
  <si>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</si>
  <si>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</si>
  <si>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</si>
  <si>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</si>
  <si>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</si>
  <si>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</si>
  <si>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</si>
  <si>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</si>
  <si>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</si>
  <si>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</si>
  <si>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</si>
  <si>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</si>
  <si>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</si>
  <si>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</si>
  <si>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</si>
  <si>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</si>
  <si>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</si>
  <si>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</si>
  <si>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</si>
  <si>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</si>
  <si>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</si>
  <si>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</si>
  <si>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</si>
  <si>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</si>
  <si>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</si>
  <si>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</si>
  <si>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</si>
  <si>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</si>
  <si>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</si>
  <si>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</si>
  <si>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</si>
  <si>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</si>
  <si>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</si>
  <si>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</si>
  <si>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</si>
  <si>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</si>
  <si>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</si>
  <si>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</si>
  <si>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</si>
  <si>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</si>
  <si>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</si>
  <si>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</si>
  <si>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</si>
  <si>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</si>
  <si>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</si>
  <si>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</si>
  <si>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</si>
  <si>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</si>
  <si>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</si>
  <si>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</si>
  <si>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</si>
  <si>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</si>
  <si>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</si>
  <si>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</si>
  <si>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</si>
  <si>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</si>
  <si>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</si>
  <si>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</si>
  <si>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</si>
  <si>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</si>
  <si>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</si>
  <si>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</si>
  <si>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</si>
  <si>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</si>
  <si>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</si>
  <si>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</si>
  <si>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</si>
  <si>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</si>
  <si>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</si>
  <si>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</si>
  <si>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</si>
  <si>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</si>
  <si>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</si>
  <si>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</si>
  <si>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</si>
  <si>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</si>
  <si>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</si>
  <si>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</si>
  <si>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</si>
  <si>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</si>
  <si>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</si>
  <si>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</si>
  <si>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</si>
  <si>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</si>
  <si>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</si>
  <si>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</si>
  <si>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</si>
  <si>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</si>
  <si>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</si>
  <si>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</si>
  <si>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</si>
  <si>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</si>
  <si>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</si>
  <si>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</si>
  <si>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</si>
  <si>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</si>
  <si>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</si>
  <si>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</si>
  <si>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</si>
  <si>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</si>
  <si>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</si>
  <si>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</si>
  <si>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</si>
  <si>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</si>
  <si>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</si>
  <si>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</si>
  <si>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</si>
  <si>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</si>
  <si>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</si>
  <si>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</si>
  <si>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</si>
  <si>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</si>
  <si>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</si>
  <si>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</si>
  <si>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</si>
  <si>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</si>
  <si>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</si>
  <si>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</si>
  <si>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</si>
  <si>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</si>
  <si>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</si>
  <si>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</si>
  <si>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</si>
  <si>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</si>
  <si>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</si>
  <si>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</si>
  <si>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</si>
  <si>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</si>
  <si>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</si>
  <si>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</si>
  <si>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</si>
  <si>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</si>
  <si>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</si>
  <si>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</si>
  <si>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</si>
  <si>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</si>
  <si>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</si>
  <si>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</si>
  <si>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</si>
  <si>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</si>
  <si>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</si>
  <si>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</si>
  <si>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</si>
  <si>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</si>
  <si>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</si>
  <si>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</si>
  <si>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</si>
  <si>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</si>
  <si>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</si>
  <si>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</si>
  <si>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</si>
  <si>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</si>
  <si>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</si>
  <si>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</si>
  <si>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</si>
  <si>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</si>
  <si>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</si>
  <si>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</si>
  <si>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</si>
  <si>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</si>
  <si>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</si>
  <si>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</si>
  <si>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</si>
  <si>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</si>
  <si>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</si>
  <si>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</si>
  <si>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</si>
  <si>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</si>
  <si>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</si>
  <si>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</si>
  <si>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</si>
  <si>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</si>
  <si>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</si>
  <si>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</si>
  <si>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</si>
  <si>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</si>
  <si>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</si>
  <si>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</si>
  <si>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</si>
  <si>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</si>
  <si>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</si>
  <si>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</si>
  <si>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</si>
  <si>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</si>
  <si>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</si>
  <si>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</si>
  <si>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</si>
  <si>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</si>
  <si>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</si>
  <si>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</si>
  <si>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</si>
  <si>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</si>
  <si>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</si>
  <si>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</si>
  <si>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</si>
  <si>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</si>
  <si>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</si>
  <si>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</si>
  <si>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</si>
  <si>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</si>
  <si>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</si>
  <si>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</si>
  <si>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</si>
  <si>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</si>
  <si>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</si>
  <si>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</si>
  <si>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</si>
  <si>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</si>
  <si>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</si>
  <si>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</si>
  <si>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</si>
  <si>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</si>
  <si>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</si>
  <si>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</si>
  <si>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</si>
  <si>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</si>
  <si>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</si>
  <si>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</si>
  <si>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</si>
  <si>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</si>
  <si>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</si>
  <si>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</si>
  <si>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</si>
  <si>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</si>
  <si>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</si>
  <si>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</si>
  <si>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</si>
  <si>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</si>
  <si>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</si>
  <si>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</si>
  <si>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</si>
  <si>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</si>
  <si>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</si>
  <si>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</si>
  <si>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</si>
  <si>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</si>
  <si>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</si>
  <si>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</si>
  <si>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</si>
  <si>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</si>
  <si>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</si>
  <si>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</si>
  <si>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</si>
  <si>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</si>
  <si>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</si>
  <si>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</si>
  <si>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</si>
  <si>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</si>
  <si>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</si>
  <si>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</si>
  <si>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</si>
  <si>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</si>
  <si>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</si>
  <si>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</si>
  <si>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</si>
  <si>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</si>
  <si>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</si>
  <si>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</si>
  <si>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</si>
  <si>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</si>
  <si>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</si>
  <si>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</si>
  <si>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</si>
  <si>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</si>
  <si>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</si>
  <si>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</si>
  <si>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</si>
  <si>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</si>
  <si>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</si>
  <si>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</si>
  <si>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</si>
  <si>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</si>
  <si>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</si>
  <si>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</si>
  <si>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</si>
  <si>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</si>
  <si>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</si>
  <si>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</si>
  <si>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</si>
  <si>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</si>
  <si>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</si>
  <si>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</si>
  <si>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</si>
  <si>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</si>
  <si>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</si>
  <si>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</si>
  <si>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</si>
  <si>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</si>
  <si>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</si>
  <si>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</si>
  <si>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</si>
  <si>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</si>
  <si>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</si>
  <si>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</si>
  <si>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</si>
  <si>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</si>
  <si>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</si>
  <si>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</si>
  <si>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</si>
  <si>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</si>
  <si>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</si>
  <si>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</si>
  <si>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</si>
  <si>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</si>
  <si>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</si>
  <si>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</si>
  <si>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</si>
  <si>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</si>
  <si>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</si>
  <si>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</si>
  <si>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</si>
  <si>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</si>
  <si>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</si>
  <si>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</si>
  <si>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</si>
  <si>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</si>
  <si>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</si>
  <si>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</si>
  <si>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</si>
  <si>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</si>
  <si>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</si>
  <si>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</si>
  <si>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</si>
  <si>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</si>
  <si>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</si>
  <si>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</si>
  <si>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</si>
  <si>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</si>
  <si>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</si>
  <si>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</si>
  <si>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</si>
  <si>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</si>
  <si>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</si>
  <si>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</si>
  <si>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</si>
  <si>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</si>
  <si>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</si>
  <si>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</si>
  <si>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</si>
  <si>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</si>
  <si>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</si>
  <si>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</si>
  <si>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</si>
  <si>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</si>
  <si>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</si>
  <si>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</si>
  <si>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</si>
  <si>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</si>
  <si>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</si>
  <si>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</si>
  <si>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</si>
  <si>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</si>
  <si>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</si>
  <si>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</si>
  <si>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</si>
  <si>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</si>
  <si>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</si>
  <si>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</si>
  <si>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</si>
  <si>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</si>
  <si>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</si>
  <si>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</si>
  <si>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</si>
  <si>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</si>
  <si>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</si>
  <si>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</si>
  <si>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</si>
  <si>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</si>
  <si>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</si>
  <si>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</si>
  <si>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</si>
  <si>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</si>
  <si>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</si>
  <si>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</si>
  <si>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</si>
  <si>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</si>
  <si>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</si>
  <si>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</si>
  <si>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</si>
  <si>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</si>
  <si>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</si>
  <si>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</si>
  <si>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</si>
  <si>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</si>
  <si>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</si>
  <si>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</si>
  <si>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</si>
  <si>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</si>
  <si>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</si>
  <si>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</si>
  <si>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</si>
  <si>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</si>
  <si>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</si>
  <si>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</si>
  <si>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</si>
  <si>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</si>
  <si>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</si>
  <si>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</si>
  <si>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</si>
  <si>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</si>
  <si>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</si>
  <si>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</si>
  <si>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</si>
  <si>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</si>
  <si>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</si>
  <si>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</si>
  <si>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</si>
  <si>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</si>
  <si>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</si>
  <si>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</si>
  <si>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</si>
  <si>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</si>
  <si>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</si>
  <si>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</si>
  <si>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</si>
  <si>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</si>
  <si>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</si>
  <si>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</si>
  <si>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</si>
  <si>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</si>
  <si>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</si>
  <si>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</si>
  <si>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</si>
  <si>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</si>
  <si>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</si>
  <si>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</si>
  <si>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</si>
  <si>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</si>
  <si>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</si>
  <si>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</si>
  <si>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</si>
  <si>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</si>
  <si>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</si>
  <si>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</si>
  <si>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</si>
  <si>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</si>
  <si>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</si>
  <si>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</si>
  <si>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</si>
  <si>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</si>
  <si>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</si>
  <si>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</si>
  <si>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</si>
  <si>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</si>
  <si>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</si>
  <si>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</si>
  <si>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</si>
  <si>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</si>
  <si>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</si>
  <si>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</si>
  <si>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</si>
  <si>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</si>
  <si>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</si>
  <si>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</si>
  <si>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</si>
  <si>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</si>
  <si>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</si>
  <si>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</si>
  <si>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</si>
  <si>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</si>
  <si>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</si>
  <si>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</si>
  <si>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</si>
  <si>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</si>
  <si>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</si>
  <si>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</si>
  <si>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</si>
  <si>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</si>
  <si>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</si>
  <si>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</si>
  <si>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</si>
  <si>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</si>
  <si>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</si>
  <si>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</si>
  <si>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</si>
  <si>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</si>
  <si>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</si>
  <si>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</si>
  <si>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</si>
  <si>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</si>
  <si>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</si>
  <si>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</si>
  <si>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</si>
  <si>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</si>
  <si>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</si>
  <si>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</si>
  <si>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</si>
  <si>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</si>
  <si>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</si>
  <si>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</si>
  <si>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</si>
  <si>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</si>
  <si>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</si>
  <si>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</si>
  <si>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</si>
  <si>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</si>
  <si>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</si>
  <si>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</si>
  <si>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</si>
  <si>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</si>
  <si>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</si>
  <si>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</si>
  <si>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</si>
  <si>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</si>
  <si>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</si>
  <si>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</si>
  <si>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</si>
  <si>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</si>
  <si>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</si>
  <si>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</si>
  <si>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</si>
  <si>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</si>
  <si>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</si>
  <si>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</si>
  <si>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</si>
  <si>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</si>
  <si>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</si>
  <si>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</si>
  <si>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</si>
  <si>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</si>
  <si>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</si>
  <si>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</si>
  <si>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</si>
  <si>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</si>
  <si>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</si>
  <si>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</si>
  <si>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</si>
  <si>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</si>
  <si>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</si>
  <si>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</si>
  <si>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</si>
  <si>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</si>
  <si>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</si>
  <si>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</si>
  <si>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</si>
  <si>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</si>
  <si>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</si>
  <si>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</si>
  <si>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</si>
  <si>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</si>
  <si>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</si>
  <si>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</si>
  <si>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</si>
  <si>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</si>
  <si>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</si>
  <si>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</si>
  <si>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</si>
  <si>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</si>
  <si>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</si>
  <si>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</si>
  <si>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</si>
  <si>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</si>
  <si>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</si>
  <si>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</si>
  <si>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</si>
  <si>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</si>
  <si>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</si>
  <si>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</si>
  <si>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</si>
  <si>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</si>
  <si>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</si>
  <si>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</si>
  <si>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</si>
  <si>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</si>
  <si>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</si>
  <si>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</si>
  <si>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</si>
  <si>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</si>
  <si>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</si>
  <si>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</si>
  <si>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</si>
  <si>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</si>
  <si>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</si>
  <si>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</si>
  <si>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</si>
  <si>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</si>
  <si>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</si>
  <si>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</si>
  <si>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</si>
  <si>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</si>
  <si>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</si>
  <si>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</si>
  <si>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</si>
  <si>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</si>
  <si>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</si>
  <si>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</si>
  <si>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</si>
  <si>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</si>
  <si>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</si>
  <si>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</si>
  <si>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</si>
  <si>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</si>
  <si>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</si>
  <si>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</si>
  <si>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</si>
  <si>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</si>
  <si>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</si>
  <si>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</si>
  <si>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</si>
  <si>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</si>
  <si>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</si>
  <si>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</si>
  <si>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</si>
  <si>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</si>
  <si>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</si>
  <si>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</si>
  <si>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</si>
  <si>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</si>
  <si>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</si>
  <si>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</si>
  <si>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</si>
  <si>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</si>
  <si>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</si>
  <si>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</si>
  <si>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</si>
  <si>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</si>
  <si>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</si>
  <si>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</si>
  <si>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</si>
  <si>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</si>
  <si>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</si>
  <si>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</si>
  <si>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</si>
  <si>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</si>
  <si>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</si>
  <si>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</si>
  <si>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</si>
  <si>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</si>
  <si>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</si>
  <si>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</si>
  <si>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</si>
  <si>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</si>
  <si>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</si>
  <si>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</si>
  <si>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</si>
  <si>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</si>
  <si>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</si>
  <si>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</si>
  <si>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</si>
  <si>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</si>
  <si>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</si>
  <si>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</si>
  <si>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</si>
  <si>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</si>
  <si>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</si>
  <si>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</si>
  <si>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</si>
  <si>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</si>
  <si>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</si>
  <si>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</si>
  <si>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</si>
  <si>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</si>
  <si>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</si>
  <si>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</si>
  <si>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</si>
  <si>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</si>
  <si>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</si>
  <si>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</si>
  <si>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</si>
  <si>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</si>
  <si>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</si>
  <si>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</si>
  <si>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</si>
  <si>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</si>
  <si>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</si>
  <si>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</si>
  <si>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</si>
  <si>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</si>
  <si>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</si>
  <si>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</si>
  <si>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</si>
  <si>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</si>
  <si>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</si>
  <si>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</si>
  <si>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</si>
  <si>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</si>
  <si>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</si>
  <si>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</si>
  <si>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</si>
  <si>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</si>
  <si>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</si>
  <si>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</si>
  <si>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</si>
  <si>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</si>
  <si>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</si>
  <si>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</si>
  <si>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</si>
  <si>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</si>
  <si>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</si>
  <si>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</si>
  <si>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</si>
  <si>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</si>
  <si>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</si>
  <si>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</si>
  <si>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</si>
  <si>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</si>
  <si>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</si>
  <si>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</si>
  <si>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</si>
  <si>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</si>
  <si>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</si>
  <si>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</si>
  <si>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</si>
  <si>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</si>
  <si>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</si>
  <si>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</si>
  <si>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</si>
  <si>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</si>
  <si>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</si>
  <si>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</si>
  <si>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</si>
  <si>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</si>
  <si>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</si>
  <si>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</si>
  <si>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</si>
  <si>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</si>
  <si>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</si>
  <si>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</si>
  <si>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</si>
  <si>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</si>
  <si>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</si>
  <si>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</si>
  <si>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</si>
  <si>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</si>
  <si>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</si>
  <si>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</si>
  <si>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</si>
  <si>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</si>
  <si>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</si>
  <si>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</si>
  <si>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</si>
  <si>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</si>
  <si>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</si>
  <si>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</si>
  <si>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</si>
  <si>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</si>
  <si>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</si>
  <si>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</si>
  <si>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</si>
  <si>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</si>
  <si>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</si>
  <si>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</si>
  <si>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</si>
  <si>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</si>
  <si>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</si>
  <si>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</si>
  <si>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</si>
  <si>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</si>
  <si>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</si>
  <si>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</si>
  <si>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</si>
  <si>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</si>
  <si>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</si>
  <si>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</si>
  <si>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</si>
  <si>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</si>
  <si>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</si>
  <si>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</si>
  <si>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</si>
  <si>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</si>
  <si>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</si>
  <si>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</si>
  <si>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</si>
  <si>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</si>
  <si>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</si>
  <si>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</si>
  <si>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</si>
  <si>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</si>
  <si>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</si>
  <si>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</si>
  <si>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</si>
  <si>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</si>
  <si>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</si>
  <si>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</si>
  <si>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</si>
  <si>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</si>
  <si>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</si>
  <si>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</si>
  <si>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</si>
  <si>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</si>
  <si>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</si>
  <si>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</si>
  <si>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</si>
  <si>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</si>
  <si>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</si>
  <si>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</si>
  <si>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</si>
  <si>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</si>
  <si>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</si>
  <si>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</si>
  <si>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</si>
  <si>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</si>
  <si>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</si>
  <si>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</si>
  <si>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</si>
  <si>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</si>
  <si>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</si>
  <si>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</si>
  <si>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</si>
  <si>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</si>
  <si>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</si>
  <si>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</si>
  <si>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</si>
  <si>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</si>
  <si>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</si>
  <si>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</si>
  <si>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</si>
  <si>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</si>
  <si>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</si>
  <si>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</si>
  <si>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</si>
  <si>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</si>
  <si>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</si>
  <si>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</si>
  <si>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</si>
  <si>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</si>
  <si>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</si>
  <si>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</si>
  <si>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</si>
  <si>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</si>
  <si>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</si>
  <si>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</si>
  <si>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</si>
  <si>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</si>
  <si>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</si>
  <si>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</si>
  <si>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</si>
  <si>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</si>
  <si>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</si>
  <si>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</si>
  <si>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</si>
  <si>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</si>
  <si>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</si>
  <si>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</si>
  <si>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</si>
  <si>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</si>
  <si>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</si>
  <si>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</si>
  <si>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</si>
  <si>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</si>
  <si>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</si>
  <si>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</si>
  <si>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</si>
  <si>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</si>
  <si>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</si>
  <si>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</si>
  <si>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</si>
  <si>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</si>
  <si>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</si>
  <si>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</si>
  <si>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</si>
  <si>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</si>
  <si>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</si>
  <si>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</si>
  <si>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</si>
  <si>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</si>
  <si>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</si>
  <si>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</si>
  <si>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</si>
  <si>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</si>
  <si>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</si>
  <si>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</si>
  <si>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</si>
  <si>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</si>
  <si>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</si>
  <si>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</si>
  <si>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</si>
  <si>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</si>
  <si>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</si>
  <si>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</si>
  <si>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</si>
  <si>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</si>
  <si>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</si>
  <si>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</si>
  <si>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</si>
  <si>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</si>
  <si>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</si>
  <si>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</si>
  <si>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</si>
  <si>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</si>
  <si>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</si>
  <si>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</si>
  <si>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</si>
  <si>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</si>
  <si>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</si>
  <si>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</si>
  <si>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</si>
  <si>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</si>
  <si>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</si>
  <si>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</si>
  <si>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</si>
  <si>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</si>
  <si>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</si>
  <si>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</si>
  <si>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</si>
  <si>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</si>
  <si>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</si>
  <si>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</si>
  <si>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</si>
  <si>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</si>
  <si>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</si>
  <si>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</si>
  <si>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</si>
  <si>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</si>
  <si>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</si>
  <si>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</si>
  <si>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</si>
  <si>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</si>
  <si>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</si>
  <si>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</si>
  <si>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</si>
  <si>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</si>
  <si>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</si>
  <si>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</si>
  <si>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</si>
  <si>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</si>
  <si>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</si>
  <si>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</si>
  <si>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</si>
  <si>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</si>
  <si>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</si>
  <si>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</si>
  <si>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</si>
  <si>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</si>
  <si>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</si>
  <si>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</si>
  <si>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</si>
  <si>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</si>
  <si>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</si>
  <si>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</si>
  <si>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</si>
  <si>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</si>
  <si>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</si>
  <si>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</si>
  <si>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</si>
  <si>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</si>
  <si>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</si>
  <si>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</si>
  <si>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</si>
  <si>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</si>
  <si>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</si>
  <si>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</si>
  <si>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</si>
  <si>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</si>
  <si>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</si>
  <si>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</si>
  <si>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</si>
  <si>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</si>
  <si>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</si>
  <si>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</si>
  <si>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</si>
  <si>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</si>
  <si>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</si>
  <si>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</si>
  <si>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</si>
  <si>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</si>
  <si>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</si>
  <si>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</si>
  <si>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</si>
  <si>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</si>
  <si>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</si>
  <si>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</si>
  <si>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</si>
  <si>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</si>
  <si>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</si>
  <si>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</si>
  <si>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</si>
  <si>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</si>
  <si>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</si>
  <si>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</si>
  <si>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</si>
  <si>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</si>
  <si>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</si>
  <si>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</si>
  <si>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</si>
  <si>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</si>
  <si>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</si>
  <si>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</si>
  <si>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</si>
  <si>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</si>
  <si>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</si>
  <si>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</si>
  <si>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</si>
  <si>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</si>
  <si>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</si>
  <si>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</si>
  <si>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</si>
  <si>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</si>
  <si>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</si>
  <si>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</si>
  <si>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</si>
  <si>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</si>
  <si>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</si>
  <si>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</si>
  <si>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</si>
  <si>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</si>
  <si>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</si>
  <si>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</si>
  <si>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</si>
  <si>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</si>
  <si>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</si>
  <si>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</si>
  <si>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</si>
  <si>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</si>
  <si>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</si>
  <si>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</si>
  <si>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</si>
  <si>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</si>
  <si>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</si>
  <si>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</si>
  <si>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</si>
  <si>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</si>
  <si>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</si>
  <si>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</si>
  <si>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</si>
  <si>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</si>
  <si>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</si>
  <si>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</si>
  <si>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</si>
  <si>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</si>
  <si>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</si>
  <si>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</si>
  <si>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</si>
  <si>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</si>
  <si>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</si>
  <si>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</si>
  <si>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</si>
  <si>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</si>
  <si>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</si>
  <si>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</si>
  <si>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</si>
  <si>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</si>
  <si>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</si>
  <si>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</si>
  <si>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</si>
  <si>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</si>
  <si>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</si>
  <si>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</si>
  <si>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</si>
  <si>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</si>
  <si>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</si>
  <si>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</si>
  <si>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</si>
  <si>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</si>
  <si>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</si>
  <si>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</si>
  <si>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</si>
  <si>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</si>
  <si>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</si>
  <si>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</si>
  <si>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</si>
  <si>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</si>
  <si>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</si>
  <si>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</si>
  <si>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</si>
  <si>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</si>
  <si>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</si>
  <si>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</si>
  <si>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</si>
  <si>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</si>
  <si>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</si>
  <si>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</si>
  <si>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</si>
  <si>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</si>
  <si>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</si>
  <si>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</si>
  <si>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</si>
  <si>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</si>
  <si>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</si>
  <si>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</si>
  <si>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</si>
  <si>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</si>
  <si>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</si>
  <si>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</si>
  <si>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</si>
  <si>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</si>
  <si>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</si>
  <si>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</si>
  <si>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</si>
  <si>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</si>
  <si>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</si>
  <si>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</si>
  <si>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</si>
  <si>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</si>
  <si>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</si>
  <si>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</si>
  <si>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</si>
  <si>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</si>
  <si>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Pi</t>
  </si>
  <si>
    <t>ヘフティーガーディアン</t>
  </si>
  <si>
    <t>レクタス/シニスター・ニールB : Lv.4</t>
  </si>
  <si>
    <t>レクタス/シニスター・ニールP : Lv.4</t>
  </si>
  <si>
    <t>敵の攻撃力アップ(解除不可)、火弱点が氷弱点に変更</t>
    <phoneticPr fontId="1"/>
  </si>
  <si>
    <t>敵の防御力アップ(解除不可)、光弱点が火弱点に変更</t>
    <rPh sb="2" eb="4">
      <t>ボウギョ</t>
    </rPh>
    <rPh sb="15" eb="16">
      <t>ヒカリ</t>
    </rPh>
    <rPh sb="16" eb="18">
      <t>ジャクテン</t>
    </rPh>
    <rPh sb="20" eb="22">
      <t>ジャクテン</t>
    </rPh>
    <rPh sb="23" eb="25">
      <t>ヘンコウ</t>
    </rPh>
    <phoneticPr fontId="1"/>
  </si>
  <si>
    <t>Bufferのスキル使用回数2回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</si>
</sst>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49" fontId="0" fillId="0" borderId="1" xfId="0" applyNumberFormat="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2218</v>
      </c>
      <c r="B3" s="14"/>
      <c r="C3" s="14"/>
      <c r="D3" s="14" t="s">
        <v>2214</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2226</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2227</v>
      </c>
      <c r="E3" s="18" t="s">
        <v>2228</v>
      </c>
      <c r="F3" s="18" t="s">
        <v>2229</v>
      </c>
      <c r="G3" s="14" t="s">
        <v>1859</v>
      </c>
      <c r="H3" s="14" t="s">
        <v>1868</v>
      </c>
      <c r="I3" s="14"/>
      <c r="J3" s="14" t="s">
        <v>1864</v>
      </c>
      <c r="K3" s="14"/>
      <c r="L3" s="14"/>
      <c r="M3" s="14" t="s">
        <v>2230</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2204</v>
      </c>
      <c r="J8" s="9" t="s">
        <v>2205</v>
      </c>
    </row>
    <row r="9" spans="1:20">
      <c r="B9" s="14" cm="1">
        <f t="array" ref="B9">MAX(IF(skill_list!B:B&lt;=1000, skill_list!B:B))+1</f>
        <v>533</v>
      </c>
      <c r="C9" s="19" t="s">
        <v>2231</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2214</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tabSelected="1"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row r="7" spans="1:18">
      <c r="A7" t="s">
        <v>2252</v>
      </c>
      <c r="B7" s="21"/>
      <c r="C7" s="21"/>
      <c r="D7" s="21" t="s">
        <v>2253</v>
      </c>
      <c r="E7" s="21">
        <v>250</v>
      </c>
      <c r="F7" s="21">
        <v>47690</v>
      </c>
      <c r="G7" s="21">
        <v>57350</v>
      </c>
      <c r="H7" s="21">
        <v>5</v>
      </c>
      <c r="I7" s="21">
        <v>300</v>
      </c>
      <c r="J7" s="21">
        <v>100</v>
      </c>
      <c r="K7" s="21">
        <v>100</v>
      </c>
      <c r="L7" s="21">
        <v>100</v>
      </c>
      <c r="M7" s="21">
        <v>250</v>
      </c>
      <c r="N7" s="21">
        <v>100</v>
      </c>
      <c r="O7" s="21">
        <v>100</v>
      </c>
      <c r="P7" s="21">
        <v>100</v>
      </c>
      <c r="Q7" s="21">
        <v>100</v>
      </c>
      <c r="R7" s="21">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28"/>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2254</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2255</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2235</v>
      </c>
      <c r="E100" s="15">
        <v>390</v>
      </c>
      <c r="F100" s="11" t="s">
        <v>2241</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2236</v>
      </c>
      <c r="E101" s="15">
        <v>390</v>
      </c>
      <c r="F101" s="11" t="s">
        <v>2242</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2237</v>
      </c>
      <c r="E102" s="15">
        <v>390</v>
      </c>
      <c r="F102" s="11" t="s">
        <v>2243</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2240</v>
      </c>
      <c r="E103" s="15">
        <v>390</v>
      </c>
      <c r="F103" s="11" t="s">
        <v>2244</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2239</v>
      </c>
      <c r="E104" s="15">
        <v>390</v>
      </c>
      <c r="F104" s="11" t="s">
        <v>2249</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2238</v>
      </c>
      <c r="E105" s="15">
        <v>390</v>
      </c>
      <c r="F105" s="11" t="s">
        <v>2245</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2235</v>
      </c>
      <c r="E164" s="15">
        <v>430</v>
      </c>
      <c r="F164" s="11" t="s">
        <v>2246</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2236</v>
      </c>
      <c r="E165" s="15">
        <v>430</v>
      </c>
      <c r="F165" s="11" t="s">
        <v>2247</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2237</v>
      </c>
      <c r="E166" s="15">
        <v>430</v>
      </c>
      <c r="F166" s="11" t="s">
        <v>2248</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2240</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2239</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2238</v>
      </c>
      <c r="E169" s="15">
        <v>430</v>
      </c>
      <c r="F169" s="11" t="s">
        <v>2250</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2251</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2253</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2090</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2091</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2086</v>
      </c>
      <c r="E217" s="15">
        <v>649</v>
      </c>
      <c r="F217" s="11" t="s">
        <v>2087</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2088</v>
      </c>
      <c r="E218" s="15">
        <v>673</v>
      </c>
      <c r="F218" s="11" t="s">
        <v>2089</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99</v>
      </c>
      <c r="C219" s="15">
        <v>1</v>
      </c>
      <c r="D219" s="11" t="s">
        <v>872</v>
      </c>
      <c r="E219" s="15">
        <v>360</v>
      </c>
      <c r="F219" s="11" t="s">
        <v>873</v>
      </c>
      <c r="G219" s="15">
        <v>10000000</v>
      </c>
      <c r="H219" s="15">
        <v>8</v>
      </c>
      <c r="I219" s="15">
        <v>999</v>
      </c>
      <c r="J219" s="15">
        <v>100</v>
      </c>
      <c r="K219" s="15">
        <v>100</v>
      </c>
      <c r="L219" s="15">
        <v>100</v>
      </c>
      <c r="M219" s="15">
        <v>100</v>
      </c>
      <c r="N219" s="15">
        <v>100</v>
      </c>
      <c r="O219" s="15">
        <v>100</v>
      </c>
      <c r="P219" s="15">
        <v>100</v>
      </c>
      <c r="Q219" s="15">
        <v>100</v>
      </c>
      <c r="R219" s="15">
        <v>100</v>
      </c>
      <c r="S219" s="15">
        <v>1</v>
      </c>
      <c r="T219" s="15"/>
    </row>
    <row r="220" spans="1:20">
      <c r="A220" s="8"/>
      <c r="B220" s="15">
        <v>99</v>
      </c>
      <c r="C220" s="15">
        <v>2</v>
      </c>
      <c r="D220" s="11" t="s">
        <v>872</v>
      </c>
      <c r="E220" s="15">
        <v>360</v>
      </c>
      <c r="F220" s="11" t="s">
        <v>873</v>
      </c>
      <c r="G220" s="15">
        <v>10000000</v>
      </c>
      <c r="H220" s="15">
        <v>8</v>
      </c>
      <c r="I220" s="15">
        <v>999</v>
      </c>
      <c r="J220" s="15">
        <v>100</v>
      </c>
      <c r="K220" s="15">
        <v>100</v>
      </c>
      <c r="L220" s="15">
        <v>100</v>
      </c>
      <c r="M220" s="15">
        <v>100</v>
      </c>
      <c r="N220" s="15">
        <v>100</v>
      </c>
      <c r="O220" s="15">
        <v>100</v>
      </c>
      <c r="P220" s="15">
        <v>100</v>
      </c>
      <c r="Q220" s="15">
        <v>100</v>
      </c>
      <c r="R220" s="15">
        <v>100</v>
      </c>
      <c r="S220" s="15">
        <v>1</v>
      </c>
      <c r="T220" s="15"/>
    </row>
    <row r="221" spans="1:20">
      <c r="A221" s="8"/>
      <c r="B221" s="15">
        <v>99</v>
      </c>
      <c r="C221" s="15">
        <v>3</v>
      </c>
      <c r="D221" s="11" t="s">
        <v>872</v>
      </c>
      <c r="E221" s="15">
        <v>360</v>
      </c>
      <c r="F221" s="11" t="s">
        <v>873</v>
      </c>
      <c r="G221" s="15">
        <v>10000000</v>
      </c>
      <c r="H221" s="15">
        <v>8</v>
      </c>
      <c r="I221" s="15">
        <v>999</v>
      </c>
      <c r="J221" s="15">
        <v>100</v>
      </c>
      <c r="K221" s="15">
        <v>100</v>
      </c>
      <c r="L221" s="15">
        <v>100</v>
      </c>
      <c r="M221" s="15">
        <v>100</v>
      </c>
      <c r="N221" s="15">
        <v>100</v>
      </c>
      <c r="O221" s="15">
        <v>100</v>
      </c>
      <c r="P221" s="15">
        <v>100</v>
      </c>
      <c r="Q221" s="15">
        <v>100</v>
      </c>
      <c r="R221" s="15">
        <v>100</v>
      </c>
      <c r="S221" s="15">
        <v>1</v>
      </c>
      <c r="T221" s="15"/>
    </row>
    <row r="222" spans="1:20">
      <c r="A222" s="8"/>
      <c r="B222" s="15">
        <v>99</v>
      </c>
      <c r="C222" s="15">
        <v>4</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5</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6</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7</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8</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9</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10</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sheetData>
  <phoneticPr fontId="1"/>
  <dataValidations count="1">
    <dataValidation type="list" allowBlank="1" showInputMessage="1" showErrorMessage="1" sqref="A7:A228" xr:uid="{50FDF1DB-7E86-4483-846C-69140452D96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2203</v>
      </c>
      <c r="M1">
        <v>0</v>
      </c>
      <c r="N1" t="s">
        <v>2193</v>
      </c>
      <c r="P1">
        <v>0</v>
      </c>
      <c r="Q1" t="s">
        <v>2206</v>
      </c>
    </row>
    <row r="2" spans="1:17">
      <c r="A2" t="s">
        <v>1466</v>
      </c>
      <c r="B2" s="9" t="s">
        <v>1464</v>
      </c>
      <c r="C2" s="9" t="s">
        <v>1465</v>
      </c>
      <c r="D2" s="9" t="s">
        <v>29</v>
      </c>
      <c r="E2" s="9" t="s">
        <v>42</v>
      </c>
      <c r="F2" s="9" t="s">
        <v>51</v>
      </c>
      <c r="G2" s="9" t="s">
        <v>53</v>
      </c>
      <c r="H2" s="9" t="s">
        <v>56</v>
      </c>
      <c r="I2" s="9" t="s">
        <v>2204</v>
      </c>
      <c r="J2" s="9" t="s">
        <v>2205</v>
      </c>
      <c r="M2">
        <v>1</v>
      </c>
      <c r="N2" t="s">
        <v>2194</v>
      </c>
      <c r="P2">
        <v>1</v>
      </c>
      <c r="Q2" t="s">
        <v>2170</v>
      </c>
    </row>
    <row r="3" spans="1:17">
      <c r="B3" s="9" t="s">
        <v>25</v>
      </c>
      <c r="C3" s="9" t="s">
        <v>28</v>
      </c>
      <c r="D3" s="9" t="s">
        <v>25</v>
      </c>
      <c r="E3" s="9" t="s">
        <v>25</v>
      </c>
      <c r="F3" s="9" t="s">
        <v>25</v>
      </c>
      <c r="G3" s="9" t="s">
        <v>25</v>
      </c>
      <c r="H3" s="9" t="s">
        <v>25</v>
      </c>
      <c r="I3" s="9" t="s">
        <v>25</v>
      </c>
      <c r="J3" s="9" t="s">
        <v>25</v>
      </c>
      <c r="P3">
        <v>2</v>
      </c>
      <c r="Q3" t="s">
        <v>2171</v>
      </c>
    </row>
    <row r="4" spans="1:17">
      <c r="B4" s="9" t="s">
        <v>41</v>
      </c>
      <c r="C4" s="9">
        <v>20</v>
      </c>
      <c r="D4" s="9" t="s">
        <v>38</v>
      </c>
      <c r="E4" s="9" t="s">
        <v>26</v>
      </c>
      <c r="F4" s="9" t="s">
        <v>52</v>
      </c>
      <c r="G4" s="9" t="s">
        <v>38</v>
      </c>
      <c r="H4" s="9" t="s">
        <v>30</v>
      </c>
      <c r="I4" s="9" t="s">
        <v>30</v>
      </c>
      <c r="J4" s="9" t="s">
        <v>30</v>
      </c>
      <c r="P4">
        <v>5</v>
      </c>
      <c r="Q4" t="s">
        <v>2207</v>
      </c>
    </row>
    <row r="5" spans="1:17">
      <c r="B5" s="9">
        <v>1</v>
      </c>
      <c r="C5" s="9"/>
      <c r="D5" s="9"/>
      <c r="E5" s="9"/>
      <c r="F5" s="9"/>
      <c r="G5" s="9"/>
      <c r="H5" s="9"/>
      <c r="I5" s="9"/>
      <c r="J5" s="9"/>
      <c r="P5">
        <v>7</v>
      </c>
      <c r="Q5" t="s">
        <v>2172</v>
      </c>
    </row>
    <row r="6" spans="1:17">
      <c r="B6" s="9" t="s">
        <v>27</v>
      </c>
      <c r="C6" s="9" t="s">
        <v>27</v>
      </c>
      <c r="D6" s="9" t="s">
        <v>27</v>
      </c>
      <c r="E6" s="9" t="s">
        <v>27</v>
      </c>
      <c r="F6" s="9" t="s">
        <v>27</v>
      </c>
      <c r="G6" s="9" t="s">
        <v>27</v>
      </c>
      <c r="H6" s="9" t="s">
        <v>27</v>
      </c>
      <c r="I6" s="9" t="s">
        <v>27</v>
      </c>
      <c r="J6" s="9" t="s">
        <v>27</v>
      </c>
      <c r="P6">
        <v>9</v>
      </c>
      <c r="Q6" t="s">
        <v>2173</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2208</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2095</v>
      </c>
      <c r="D521" s="15">
        <v>47</v>
      </c>
      <c r="E521" s="15">
        <v>0</v>
      </c>
      <c r="F521" s="15">
        <v>8</v>
      </c>
      <c r="G521" s="15">
        <v>126</v>
      </c>
      <c r="H521" s="15">
        <v>10</v>
      </c>
      <c r="I521" s="15">
        <v>0</v>
      </c>
      <c r="J521" s="15">
        <v>0</v>
      </c>
    </row>
    <row r="522" spans="1:10">
      <c r="A522" s="8"/>
      <c r="B522" s="15">
        <v>516</v>
      </c>
      <c r="C522" s="15" t="s">
        <v>2094</v>
      </c>
      <c r="D522" s="15">
        <v>47</v>
      </c>
      <c r="E522" s="15">
        <v>131</v>
      </c>
      <c r="F522" s="15">
        <v>14</v>
      </c>
      <c r="G522" s="15">
        <v>140</v>
      </c>
      <c r="H522" s="15">
        <v>10</v>
      </c>
      <c r="I522" s="15">
        <v>0</v>
      </c>
      <c r="J522" s="15">
        <v>1</v>
      </c>
    </row>
    <row r="523" spans="1:10">
      <c r="A523" s="8"/>
      <c r="B523" s="15">
        <v>517</v>
      </c>
      <c r="C523" s="15" t="s">
        <v>2093</v>
      </c>
      <c r="D523" s="15">
        <v>35</v>
      </c>
      <c r="E523" s="15">
        <v>0</v>
      </c>
      <c r="F523" s="15">
        <v>0</v>
      </c>
      <c r="G523" s="15">
        <v>208</v>
      </c>
      <c r="H523" s="15">
        <v>10</v>
      </c>
      <c r="I523" s="15">
        <v>0</v>
      </c>
      <c r="J523" s="15">
        <v>0</v>
      </c>
    </row>
    <row r="524" spans="1:10">
      <c r="A524" s="8"/>
      <c r="B524" s="15">
        <v>518</v>
      </c>
      <c r="C524" s="15" t="s">
        <v>2092</v>
      </c>
      <c r="D524" s="15">
        <v>35</v>
      </c>
      <c r="E524" s="15">
        <v>132</v>
      </c>
      <c r="F524" s="15">
        <v>99</v>
      </c>
      <c r="G524" s="15">
        <v>138</v>
      </c>
      <c r="H524" s="15">
        <v>10</v>
      </c>
      <c r="I524" s="15">
        <v>0</v>
      </c>
      <c r="J524" s="15">
        <v>1</v>
      </c>
    </row>
    <row r="525" spans="1:10">
      <c r="A525" s="8"/>
      <c r="B525" s="15">
        <v>519</v>
      </c>
      <c r="C525" s="15" t="s">
        <v>2195</v>
      </c>
      <c r="D525" s="15">
        <v>0</v>
      </c>
      <c r="E525" s="15">
        <v>0</v>
      </c>
      <c r="F525" s="15">
        <v>0</v>
      </c>
      <c r="G525" s="15">
        <v>0</v>
      </c>
      <c r="H525" s="15">
        <v>1</v>
      </c>
      <c r="I525" s="15">
        <v>1</v>
      </c>
      <c r="J525" s="15">
        <v>1</v>
      </c>
    </row>
    <row r="526" spans="1:10">
      <c r="A526" s="8"/>
      <c r="B526" s="15">
        <v>520</v>
      </c>
      <c r="C526" s="15" t="s">
        <v>2196</v>
      </c>
      <c r="D526" s="15">
        <v>3</v>
      </c>
      <c r="E526" s="15">
        <v>0</v>
      </c>
      <c r="F526" s="15">
        <v>1</v>
      </c>
      <c r="G526" s="15">
        <v>0</v>
      </c>
      <c r="H526" s="15">
        <v>1</v>
      </c>
      <c r="I526" s="15">
        <v>0</v>
      </c>
      <c r="J526" s="15">
        <v>1</v>
      </c>
    </row>
    <row r="527" spans="1:10">
      <c r="A527" s="8"/>
      <c r="B527" s="15">
        <v>521</v>
      </c>
      <c r="C527" s="15" t="s">
        <v>2197</v>
      </c>
      <c r="D527" s="15">
        <v>8</v>
      </c>
      <c r="E527" s="15">
        <v>0</v>
      </c>
      <c r="F527" s="15">
        <v>0</v>
      </c>
      <c r="G527" s="15">
        <v>0</v>
      </c>
      <c r="H527" s="15">
        <v>1</v>
      </c>
      <c r="I527" s="15">
        <v>0</v>
      </c>
      <c r="J527" s="15">
        <v>1</v>
      </c>
    </row>
    <row r="528" spans="1:10">
      <c r="A528" s="8"/>
      <c r="B528" s="15">
        <v>522</v>
      </c>
      <c r="C528" s="15" t="s">
        <v>2198</v>
      </c>
      <c r="D528" s="15">
        <v>16</v>
      </c>
      <c r="E528" s="15">
        <v>0</v>
      </c>
      <c r="F528" s="15">
        <v>12</v>
      </c>
      <c r="G528" s="15">
        <v>150</v>
      </c>
      <c r="H528" s="15">
        <v>1</v>
      </c>
      <c r="I528" s="15">
        <v>0</v>
      </c>
      <c r="J528" s="15">
        <v>1</v>
      </c>
    </row>
    <row r="529" spans="1:10">
      <c r="A529" s="8"/>
      <c r="B529" s="15">
        <v>523</v>
      </c>
      <c r="C529" s="15" t="s">
        <v>2199</v>
      </c>
      <c r="D529" s="15">
        <v>22</v>
      </c>
      <c r="E529" s="15">
        <v>0</v>
      </c>
      <c r="F529" s="15">
        <v>6</v>
      </c>
      <c r="G529" s="15">
        <v>0</v>
      </c>
      <c r="H529" s="15">
        <v>1</v>
      </c>
      <c r="I529" s="15">
        <v>0</v>
      </c>
      <c r="J529" s="15">
        <v>1</v>
      </c>
    </row>
    <row r="530" spans="1:10">
      <c r="A530" s="8"/>
      <c r="B530" s="15">
        <v>524</v>
      </c>
      <c r="C530" s="15" t="s">
        <v>2209</v>
      </c>
      <c r="D530" s="15">
        <v>30</v>
      </c>
      <c r="E530" s="15">
        <v>0</v>
      </c>
      <c r="F530" s="15">
        <v>0</v>
      </c>
      <c r="G530" s="15">
        <v>0</v>
      </c>
      <c r="H530" s="15">
        <v>1</v>
      </c>
      <c r="I530" s="15">
        <v>1</v>
      </c>
      <c r="J530" s="15">
        <v>1</v>
      </c>
    </row>
    <row r="531" spans="1:10">
      <c r="A531" s="8"/>
      <c r="B531" s="15">
        <v>525</v>
      </c>
      <c r="C531" s="15" t="s">
        <v>2200</v>
      </c>
      <c r="D531" s="15">
        <v>48</v>
      </c>
      <c r="E531" s="15">
        <v>0</v>
      </c>
      <c r="F531" s="15">
        <v>0</v>
      </c>
      <c r="G531" s="15">
        <v>0</v>
      </c>
      <c r="H531" s="15">
        <v>1</v>
      </c>
      <c r="I531" s="15">
        <v>1</v>
      </c>
      <c r="J531" s="15">
        <v>1</v>
      </c>
    </row>
    <row r="532" spans="1:10">
      <c r="A532" s="8"/>
      <c r="B532" s="15">
        <v>526</v>
      </c>
      <c r="C532" s="15" t="s">
        <v>2217</v>
      </c>
      <c r="D532" s="15">
        <v>27</v>
      </c>
      <c r="E532" s="15">
        <v>0</v>
      </c>
      <c r="F532" s="15">
        <v>6</v>
      </c>
      <c r="G532" s="15">
        <v>160</v>
      </c>
      <c r="H532" s="15">
        <v>10</v>
      </c>
      <c r="I532" s="15">
        <v>0</v>
      </c>
      <c r="J532" s="15">
        <v>0</v>
      </c>
    </row>
    <row r="533" spans="1:10">
      <c r="A533" s="8"/>
      <c r="B533" s="15">
        <v>527</v>
      </c>
      <c r="C533" s="15" t="s">
        <v>2216</v>
      </c>
      <c r="D533" s="15">
        <v>27</v>
      </c>
      <c r="E533" s="15">
        <v>133</v>
      </c>
      <c r="F533" s="15">
        <v>0</v>
      </c>
      <c r="G533" s="15">
        <v>0</v>
      </c>
      <c r="H533" s="15">
        <v>10</v>
      </c>
      <c r="I533" s="15">
        <v>0</v>
      </c>
      <c r="J533" s="15">
        <v>1</v>
      </c>
    </row>
    <row r="534" spans="1:10">
      <c r="A534" s="8"/>
      <c r="B534" s="15">
        <v>528</v>
      </c>
      <c r="C534" s="15" t="s">
        <v>2214</v>
      </c>
      <c r="D534" s="15">
        <v>29</v>
      </c>
      <c r="E534" s="15">
        <v>0</v>
      </c>
      <c r="F534" s="15">
        <v>8</v>
      </c>
      <c r="G534" s="15">
        <v>141</v>
      </c>
      <c r="H534" s="15">
        <v>10</v>
      </c>
      <c r="I534" s="15">
        <v>0</v>
      </c>
      <c r="J534" s="15">
        <v>0</v>
      </c>
    </row>
    <row r="535" spans="1:10">
      <c r="A535" s="8"/>
      <c r="B535" s="15">
        <v>529</v>
      </c>
      <c r="C535" s="15" t="s">
        <v>2213</v>
      </c>
      <c r="D535" s="15">
        <v>29</v>
      </c>
      <c r="E535" s="15">
        <v>134</v>
      </c>
      <c r="F535" s="15">
        <v>12</v>
      </c>
      <c r="G535" s="15">
        <v>129</v>
      </c>
      <c r="H535" s="15">
        <v>10</v>
      </c>
      <c r="I535" s="15">
        <v>0</v>
      </c>
      <c r="J535" s="15">
        <v>1</v>
      </c>
    </row>
    <row r="536" spans="1:10">
      <c r="A536" s="8"/>
      <c r="B536" s="15">
        <v>530</v>
      </c>
      <c r="C536" s="15" t="s">
        <v>2215</v>
      </c>
      <c r="D536" s="15">
        <v>27</v>
      </c>
      <c r="E536" s="15">
        <v>0</v>
      </c>
      <c r="F536" s="15">
        <v>14</v>
      </c>
      <c r="G536" s="15">
        <v>147</v>
      </c>
      <c r="H536" s="15">
        <v>10</v>
      </c>
      <c r="I536" s="15">
        <v>0</v>
      </c>
      <c r="J536" s="15">
        <v>2</v>
      </c>
    </row>
    <row r="537" spans="1:10">
      <c r="A537" s="8"/>
      <c r="B537" s="15">
        <v>531</v>
      </c>
      <c r="C537" s="15" t="s">
        <v>2212</v>
      </c>
      <c r="D537" s="15">
        <v>29</v>
      </c>
      <c r="E537" s="15">
        <v>0</v>
      </c>
      <c r="F537" s="15">
        <v>14</v>
      </c>
      <c r="G537" s="15">
        <v>147</v>
      </c>
      <c r="H537" s="15">
        <v>10</v>
      </c>
      <c r="I537" s="15">
        <v>0</v>
      </c>
      <c r="J537" s="15">
        <v>2</v>
      </c>
    </row>
    <row r="538" spans="1:10">
      <c r="A538" s="8"/>
      <c r="B538" s="15">
        <v>532</v>
      </c>
      <c r="C538" s="15" t="s">
        <v>2231</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2102</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2103</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2104</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2105</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2106</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2107</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2108</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2108</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2109</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2110</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2106</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2106</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2111</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2107</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2108</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2112</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2113</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2105</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2114</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2115</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2116</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2106</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2117</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2114</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2106</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2106</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2106</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2106</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2112</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2112</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2112</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2114</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2104</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2118</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2118</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2119</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2109</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2109</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2119</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2119</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2106</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2106</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2104</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2106</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2106</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2120</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2121</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2121</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2115</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2115</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2122</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2113</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2120</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2112</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2112</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2115</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2120</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2123</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2124</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2124</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2104</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2118</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2118</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2115</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2115</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2114</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2125</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2117</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2117</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2112</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2112</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2112</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2112</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2114</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2117</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2107</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2126</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2114</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2127</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2127</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2128</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2113</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2108</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2114</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2107</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2115</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2113</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2103</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2103</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2129</v>
      </c>
      <c r="R126" s="15"/>
      <c r="S126" s="15"/>
      <c r="T126" s="15"/>
      <c r="U126" s="1"/>
    </row>
    <row r="127" spans="1:21">
      <c r="A127" s="8"/>
      <c r="B127" s="15">
        <v>123</v>
      </c>
      <c r="C127" s="15">
        <v>452</v>
      </c>
      <c r="D127" s="15" t="s">
        <v>846</v>
      </c>
      <c r="E127" s="11" t="s">
        <v>2130</v>
      </c>
      <c r="F127" s="15">
        <v>1</v>
      </c>
      <c r="G127" s="15">
        <v>2</v>
      </c>
      <c r="H127" s="15">
        <v>0</v>
      </c>
      <c r="I127" s="15">
        <v>1</v>
      </c>
      <c r="J127" s="15">
        <v>2673</v>
      </c>
      <c r="K127" s="15">
        <v>13365</v>
      </c>
      <c r="L127" s="15">
        <v>10</v>
      </c>
      <c r="M127" s="15">
        <v>3.125</v>
      </c>
      <c r="N127" s="15">
        <v>50</v>
      </c>
      <c r="O127" s="15">
        <v>0</v>
      </c>
      <c r="P127" s="14">
        <v>1</v>
      </c>
      <c r="Q127" s="11" t="s">
        <v>2129</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2129</v>
      </c>
      <c r="R128" s="15"/>
      <c r="S128" s="15"/>
      <c r="T128" s="15"/>
      <c r="U128" s="1"/>
    </row>
    <row r="129" spans="1:21">
      <c r="A129" s="8"/>
      <c r="B129" s="15">
        <v>125</v>
      </c>
      <c r="C129" s="15">
        <v>453</v>
      </c>
      <c r="D129" s="15" t="s">
        <v>846</v>
      </c>
      <c r="E129" s="11" t="s">
        <v>2131</v>
      </c>
      <c r="F129" s="15">
        <v>1</v>
      </c>
      <c r="G129" s="15">
        <v>2</v>
      </c>
      <c r="H129" s="15">
        <v>0</v>
      </c>
      <c r="I129" s="15">
        <v>5</v>
      </c>
      <c r="J129" s="15">
        <v>2673</v>
      </c>
      <c r="K129" s="15">
        <v>13365</v>
      </c>
      <c r="L129" s="15">
        <v>10</v>
      </c>
      <c r="M129" s="15">
        <v>3.125</v>
      </c>
      <c r="N129" s="15">
        <v>50</v>
      </c>
      <c r="O129" s="15">
        <v>0</v>
      </c>
      <c r="P129" s="14">
        <v>1</v>
      </c>
      <c r="Q129" s="11" t="s">
        <v>2129</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2132</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2132</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2133</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2106</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2108</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2108</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2115</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2112</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2108</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2134</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2134</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2113</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2110</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2110</v>
      </c>
      <c r="R146" s="15"/>
      <c r="S146" s="15"/>
      <c r="T146" s="15"/>
      <c r="U146" s="1"/>
    </row>
    <row r="147" spans="1:21">
      <c r="A147" s="8"/>
      <c r="B147" s="15">
        <v>143</v>
      </c>
      <c r="C147" s="15">
        <v>498</v>
      </c>
      <c r="D147" s="15" t="s">
        <v>1981</v>
      </c>
      <c r="E147" s="11" t="s">
        <v>2135</v>
      </c>
      <c r="F147" s="15">
        <v>1</v>
      </c>
      <c r="G147" s="15">
        <v>2</v>
      </c>
      <c r="H147" s="15">
        <v>0</v>
      </c>
      <c r="I147" s="15">
        <v>1</v>
      </c>
      <c r="J147" s="15">
        <v>2673</v>
      </c>
      <c r="K147" s="15">
        <v>13365</v>
      </c>
      <c r="L147" s="15">
        <v>6</v>
      </c>
      <c r="M147" s="15">
        <v>3.625</v>
      </c>
      <c r="N147" s="15">
        <v>50</v>
      </c>
      <c r="O147" s="15">
        <v>0</v>
      </c>
      <c r="P147" s="14">
        <v>1</v>
      </c>
      <c r="Q147" s="11" t="s">
        <v>2110</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2108</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2136</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2136</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2110</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2117</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2112</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2106</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2106</v>
      </c>
      <c r="R156" s="15"/>
      <c r="S156" s="15"/>
      <c r="T156" s="15"/>
      <c r="U156" s="1"/>
    </row>
    <row r="157" spans="1:21">
      <c r="A157" s="8"/>
      <c r="B157" s="15">
        <v>153</v>
      </c>
      <c r="C157" s="15">
        <v>516</v>
      </c>
      <c r="D157" s="15" t="s">
        <v>2094</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2092</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2092</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2198</v>
      </c>
      <c r="E160" s="11" t="s">
        <v>732</v>
      </c>
      <c r="F160" s="15">
        <v>2</v>
      </c>
      <c r="G160" s="15">
        <v>1</v>
      </c>
      <c r="H160" s="15">
        <v>0</v>
      </c>
      <c r="I160" s="15">
        <v>0</v>
      </c>
      <c r="J160" s="15">
        <v>2850</v>
      </c>
      <c r="K160" s="15">
        <v>14250</v>
      </c>
      <c r="L160" s="15">
        <v>4</v>
      </c>
      <c r="M160" s="15">
        <v>3.75</v>
      </c>
      <c r="N160" s="15">
        <v>0</v>
      </c>
      <c r="O160" s="15">
        <v>50</v>
      </c>
      <c r="P160" s="14">
        <v>1</v>
      </c>
      <c r="Q160" s="11" t="s">
        <v>2107</v>
      </c>
      <c r="R160" s="15"/>
      <c r="S160" s="15"/>
      <c r="T160" s="15"/>
      <c r="U160" s="1"/>
    </row>
    <row r="161" spans="1:21">
      <c r="A161" s="8"/>
      <c r="B161" s="15">
        <v>157</v>
      </c>
      <c r="C161" s="15">
        <v>530</v>
      </c>
      <c r="D161" s="14" t="s">
        <v>2215</v>
      </c>
      <c r="E161" s="14"/>
      <c r="F161" s="14">
        <v>0</v>
      </c>
      <c r="G161" s="14">
        <v>2</v>
      </c>
      <c r="H161" s="14">
        <v>2</v>
      </c>
      <c r="I161" s="14">
        <v>1</v>
      </c>
      <c r="J161" s="14">
        <v>1914</v>
      </c>
      <c r="K161" s="14">
        <v>9570</v>
      </c>
      <c r="L161" s="14">
        <v>3</v>
      </c>
      <c r="M161" s="14">
        <v>2.8</v>
      </c>
      <c r="N161" s="14">
        <v>30</v>
      </c>
      <c r="O161" s="14">
        <v>0</v>
      </c>
      <c r="P161" s="14">
        <v>2</v>
      </c>
      <c r="Q161" s="14" t="s">
        <v>2232</v>
      </c>
      <c r="R161" s="14"/>
      <c r="S161" s="14"/>
      <c r="T161" s="14"/>
    </row>
    <row r="162" spans="1:21">
      <c r="A162" s="8"/>
      <c r="B162" s="15">
        <v>158</v>
      </c>
      <c r="C162" s="15">
        <v>531</v>
      </c>
      <c r="D162" s="14" t="s">
        <v>2212</v>
      </c>
      <c r="E162" s="14"/>
      <c r="F162" s="14">
        <v>0</v>
      </c>
      <c r="G162" s="14">
        <v>1</v>
      </c>
      <c r="H162" s="14">
        <v>2</v>
      </c>
      <c r="I162" s="14">
        <v>1</v>
      </c>
      <c r="J162" s="14">
        <v>2502</v>
      </c>
      <c r="K162" s="14">
        <v>12510</v>
      </c>
      <c r="L162" s="14">
        <v>6</v>
      </c>
      <c r="M162" s="14">
        <v>3.5</v>
      </c>
      <c r="N162" s="14">
        <v>0</v>
      </c>
      <c r="O162" s="14">
        <v>0</v>
      </c>
      <c r="P162" s="14">
        <v>1</v>
      </c>
      <c r="Q162" s="11" t="s">
        <v>2106</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2095</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2214</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3"/>
  <sheetViews>
    <sheetView zoomScale="85" zoomScaleNormal="85" workbookViewId="0">
      <pane ySplit="6" topLeftCell="A7" activePane="bottomLeft" state="frozen"/>
      <selection pane="bottomLeft" activeCell="A7" sqref="A7"/>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2096</v>
      </c>
      <c r="P2" s="9" t="s">
        <v>2097</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tr">
        <f>VLOOKUP(C7,skill_list!B:C,2)</f>
        <v>メメント・モリ</v>
      </c>
      <c r="G7" s="15" t="s">
        <v>732</v>
      </c>
      <c r="H7" s="15">
        <v>50</v>
      </c>
      <c r="I7" s="15">
        <v>50</v>
      </c>
      <c r="J7" s="15">
        <v>0</v>
      </c>
      <c r="K7" s="15">
        <v>1</v>
      </c>
      <c r="L7" s="15">
        <v>0</v>
      </c>
      <c r="M7" s="15">
        <v>0</v>
      </c>
      <c r="N7" s="15">
        <v>0</v>
      </c>
      <c r="O7" s="15">
        <v>7</v>
      </c>
      <c r="P7" s="15"/>
      <c r="Q7" s="15"/>
      <c r="R7" s="15"/>
    </row>
    <row r="8" spans="1:18">
      <c r="A8" s="8"/>
      <c r="B8" s="15">
        <v>2</v>
      </c>
      <c r="C8" s="15">
        <v>50</v>
      </c>
      <c r="D8" s="15">
        <v>3</v>
      </c>
      <c r="E8" s="15">
        <v>0</v>
      </c>
      <c r="F8" s="15" t="str">
        <f>VLOOKUP(C8,skill_list!B:C,2)</f>
        <v>トリック・カノン</v>
      </c>
      <c r="G8" s="15" t="s">
        <v>732</v>
      </c>
      <c r="H8" s="15">
        <v>30</v>
      </c>
      <c r="I8" s="15">
        <v>45</v>
      </c>
      <c r="J8" s="15">
        <v>138</v>
      </c>
      <c r="K8" s="15">
        <v>1</v>
      </c>
      <c r="L8" s="15">
        <v>1</v>
      </c>
      <c r="M8" s="15">
        <v>0</v>
      </c>
      <c r="N8" s="15">
        <v>1</v>
      </c>
      <c r="O8" s="15">
        <v>9</v>
      </c>
      <c r="P8" s="15"/>
      <c r="Q8" s="15"/>
      <c r="R8" s="15"/>
    </row>
    <row r="9" spans="1:18">
      <c r="A9" s="8"/>
      <c r="B9" s="15">
        <v>3</v>
      </c>
      <c r="C9" s="15">
        <v>50</v>
      </c>
      <c r="D9" s="15">
        <v>11</v>
      </c>
      <c r="E9" s="15">
        <v>3</v>
      </c>
      <c r="F9" s="15" t="str">
        <f>VLOOKUP(C9,skill_list!B:C,2)</f>
        <v>トリック・カノン</v>
      </c>
      <c r="G9" s="15" t="s">
        <v>732</v>
      </c>
      <c r="H9" s="15">
        <v>50</v>
      </c>
      <c r="I9" s="15">
        <v>50</v>
      </c>
      <c r="J9" s="15">
        <v>0</v>
      </c>
      <c r="K9" s="15">
        <v>1</v>
      </c>
      <c r="L9" s="15">
        <v>0</v>
      </c>
      <c r="M9" s="15">
        <v>0</v>
      </c>
      <c r="N9" s="15">
        <v>0</v>
      </c>
      <c r="O9" s="15">
        <v>9</v>
      </c>
      <c r="P9" s="15"/>
      <c r="Q9" s="15"/>
      <c r="R9" s="15"/>
    </row>
    <row r="10" spans="1:18">
      <c r="A10" s="8"/>
      <c r="B10" s="15">
        <v>4</v>
      </c>
      <c r="C10" s="15">
        <v>67</v>
      </c>
      <c r="D10" s="15">
        <v>6</v>
      </c>
      <c r="E10" s="15">
        <v>0</v>
      </c>
      <c r="F10" s="15" t="str">
        <f>VLOOKUP(C10,skill_list!B:C,2)</f>
        <v>星屑の航路</v>
      </c>
      <c r="G10" s="15" t="s">
        <v>732</v>
      </c>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tr">
        <f>VLOOKUP(C11,skill_list!B:C,2)</f>
        <v>デストロイ</v>
      </c>
      <c r="G11" s="15" t="s">
        <v>732</v>
      </c>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tr">
        <f>VLOOKUP(C12,skill_list!B:C,2)</f>
        <v>ダイヤモンド・ダスト</v>
      </c>
      <c r="G12" s="15" t="s">
        <v>732</v>
      </c>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tr">
        <f>VLOOKUP(C13,skill_list!B:C,2)</f>
        <v>リバイブ・ヴェール</v>
      </c>
      <c r="G13" s="15" t="s">
        <v>732</v>
      </c>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tr">
        <f>VLOOKUP(C14,skill_list!B:C,2)</f>
        <v>エレガンス・シェル</v>
      </c>
      <c r="G14" s="15" t="s">
        <v>732</v>
      </c>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tr">
        <f>VLOOKUP(C15,skill_list!B:C,2)</f>
        <v>慈愛の波動</v>
      </c>
      <c r="G15" s="15" t="s">
        <v>732</v>
      </c>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tr">
        <f>VLOOKUP(C16,skill_list!B:C,2)</f>
        <v>魔炎閃獄門</v>
      </c>
      <c r="G16" s="15" t="s">
        <v>732</v>
      </c>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tr">
        <f>VLOOKUP(C17,skill_list!B:C,2)</f>
        <v>ウィッシュカムトゥルー</v>
      </c>
      <c r="G17" s="15" t="s">
        <v>732</v>
      </c>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tr">
        <f>VLOOKUP(C18,skill_list!B:C,2)</f>
        <v>小鳥たちへのシンフォニー</v>
      </c>
      <c r="G18" s="15" t="s">
        <v>732</v>
      </c>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tr">
        <f>VLOOKUP(C19,skill_list!B:C,2)</f>
        <v>必滅！ヴェインキック</v>
      </c>
      <c r="G19" s="15" t="s">
        <v>732</v>
      </c>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tr">
        <f>VLOOKUP(C20,skill_list!B:C,2)</f>
        <v>光芒一閃</v>
      </c>
      <c r="G20" s="15" t="s">
        <v>732</v>
      </c>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tr">
        <f>VLOOKUP(C21,skill_list!B:C,2)</f>
        <v>アクロマティックバレット</v>
      </c>
      <c r="G21" s="15" t="s">
        <v>732</v>
      </c>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tr">
        <f>VLOOKUP(C22,skill_list!B:C,2)</f>
        <v>ハートフル・ボマー</v>
      </c>
      <c r="G22" s="15" t="s">
        <v>732</v>
      </c>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tr">
        <f>VLOOKUP(C23,skill_list!B:C,2)</f>
        <v>アブソリュートフェノメノン</v>
      </c>
      <c r="G23" s="15" t="s">
        <v>732</v>
      </c>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tr">
        <f>VLOOKUP(C24,skill_list!B:C,2)</f>
        <v>アブソリュートフェノメノン</v>
      </c>
      <c r="G24" s="15" t="s">
        <v>732</v>
      </c>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tr">
        <f>VLOOKUP(C25,skill_list!B:C,2)</f>
        <v>アブソリュートフェノメノン</v>
      </c>
      <c r="G25" s="15" t="s">
        <v>732</v>
      </c>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tr">
        <f>VLOOKUP(C26,skill_list!B:C,2)</f>
        <v>フリージング・スペル</v>
      </c>
      <c r="G26" s="15" t="s">
        <v>732</v>
      </c>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tr">
        <f>VLOOKUP(C27,skill_list!B:C,2)</f>
        <v>宙舞うハイテンション</v>
      </c>
      <c r="G27" s="15" t="s">
        <v>732</v>
      </c>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tr">
        <f>VLOOKUP(C28,skill_list!B:C,2)</f>
        <v>覇道妄執我突邁進</v>
      </c>
      <c r="G28" s="15" t="s">
        <v>732</v>
      </c>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tr">
        <f>VLOOKUP(C29,skill_list!B:C,2)</f>
        <v>レイジング・レインディア</v>
      </c>
      <c r="G29" s="15" t="s">
        <v>732</v>
      </c>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tr">
        <f>VLOOKUP(C30,skill_list!B:C,2)</f>
        <v>二律背反スパークピッキング</v>
      </c>
      <c r="G30" s="15" t="s">
        <v>732</v>
      </c>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tr">
        <f>VLOOKUP(C31,skill_list!B:C,2)</f>
        <v>フローズン・スペクタクル</v>
      </c>
      <c r="G31" s="15" t="s">
        <v>732</v>
      </c>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tr">
        <f>VLOOKUP(C32,skill_list!B:C,2)</f>
        <v>第七計 無中生有</v>
      </c>
      <c r="G32" s="15" t="s">
        <v>732</v>
      </c>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tr">
        <f>VLOOKUP(C33,skill_list!B:C,2)</f>
        <v>第七計 無中生有</v>
      </c>
      <c r="G33" s="15" t="s">
        <v>732</v>
      </c>
      <c r="H33" s="15">
        <v>5</v>
      </c>
      <c r="I33" s="15">
        <v>5</v>
      </c>
      <c r="J33" s="15">
        <v>0</v>
      </c>
      <c r="K33" s="15">
        <v>1</v>
      </c>
      <c r="L33" s="15">
        <v>3</v>
      </c>
      <c r="M33" s="15">
        <v>0</v>
      </c>
      <c r="N33" s="15">
        <v>1</v>
      </c>
      <c r="O33" s="15"/>
      <c r="P33" s="15"/>
      <c r="Q33" s="15"/>
      <c r="R33" s="15"/>
    </row>
    <row r="34" spans="1:18">
      <c r="A34" s="8"/>
      <c r="B34" s="15">
        <v>28</v>
      </c>
      <c r="C34" s="15">
        <v>304</v>
      </c>
      <c r="D34" s="15">
        <v>3</v>
      </c>
      <c r="E34" s="15">
        <v>0</v>
      </c>
      <c r="F34" s="15" t="str">
        <f>VLOOKUP(C34,skill_list!B:C,2)</f>
        <v>迅雷風烈</v>
      </c>
      <c r="G34" s="15" t="s">
        <v>732</v>
      </c>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tr">
        <f>VLOOKUP(C35,skill_list!B:C,2)</f>
        <v>スーパーセル</v>
      </c>
      <c r="G35" s="15" t="s">
        <v>732</v>
      </c>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tr">
        <f>VLOOKUP(C36,skill_list!B:C,2)</f>
        <v>エンジェルズ・レイ</v>
      </c>
      <c r="G36" s="15" t="s">
        <v>732</v>
      </c>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tr">
        <f>VLOOKUP(C37,skill_list!B:C,2)</f>
        <v>夢見る幻想覚醒</v>
      </c>
      <c r="G37" s="15" t="s">
        <v>732</v>
      </c>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tr">
        <f>VLOOKUP(C38,skill_list!B:C,2)</f>
        <v>夢見る幻想覚醒</v>
      </c>
      <c r="G38" s="15" t="s">
        <v>732</v>
      </c>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tr">
        <f>VLOOKUP(C39,skill_list!B:C,2)</f>
        <v>夢見る幻想覚醒</v>
      </c>
      <c r="G39" s="15" t="s">
        <v>732</v>
      </c>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tr">
        <f>VLOOKUP(C40,skill_list!B:C,2)</f>
        <v>快感・スプリント！</v>
      </c>
      <c r="G40" s="15" t="s">
        <v>732</v>
      </c>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tr">
        <f>VLOOKUP(C41,skill_list!B:C,2)</f>
        <v>破滅でおやすみ</v>
      </c>
      <c r="G41" s="15" t="s">
        <v>732</v>
      </c>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tr">
        <f>VLOOKUP(C42,skill_list!B:C,2)</f>
        <v>破滅でおやすみ</v>
      </c>
      <c r="G42" s="15" t="s">
        <v>732</v>
      </c>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tr">
        <f>VLOOKUP(C43,skill_list!B:C,2)</f>
        <v>ルーイン・イリュージョン</v>
      </c>
      <c r="G43" s="15" t="s">
        <v>732</v>
      </c>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tr">
        <f>VLOOKUP(C44,skill_list!B:C,2)</f>
        <v>ルーイン・イリュージョン</v>
      </c>
      <c r="G44" s="15" t="s">
        <v>732</v>
      </c>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tr">
        <f>VLOOKUP(C45,skill_list!B:C,2)</f>
        <v>ルーイン・イリュージョン</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tr">
        <f>VLOOKUP(C46,skill_list!B:C,2)</f>
        <v>ルーイン・イリュージョン</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tr">
        <f>VLOOKUP(C47,skill_list!B:C,2)</f>
        <v>神楽浄火・閃</v>
      </c>
      <c r="G47" s="15" t="s">
        <v>732</v>
      </c>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tr">
        <f>VLOOKUP(C48,skill_list!B:C,2)</f>
        <v>神楽浄火・閃</v>
      </c>
      <c r="G48" s="15" t="s">
        <v>732</v>
      </c>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tr">
        <f>VLOOKUP(C49,skill_list!B:C,2)</f>
        <v>狂気乱舞のカーリー</v>
      </c>
      <c r="G49" s="15" t="s">
        <v>732</v>
      </c>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tr">
        <f>VLOOKUP(C50,skill_list!B:C,2)</f>
        <v>君に咲くグラナータ</v>
      </c>
      <c r="G50" s="15" t="s">
        <v>732</v>
      </c>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tr">
        <f>VLOOKUP(C51,skill_list!B:C,2)</f>
        <v>君に咲くグラナータ</v>
      </c>
      <c r="G51" s="15" t="s">
        <v>732</v>
      </c>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tr">
        <f>VLOOKUP(C52,skill_list!B:C,2)</f>
        <v>次の主役はあなた</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tr">
        <f>VLOOKUP(C53,skill_list!B:C,2)</f>
        <v>とどけ！ 誓いのしるし</v>
      </c>
      <c r="G53" s="15" t="s">
        <v>732</v>
      </c>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tr">
        <f>VLOOKUP(C54,skill_list!B:C,2)</f>
        <v>にゃんこ大魔法</v>
      </c>
      <c r="G54" s="15" t="s">
        <v>732</v>
      </c>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tr">
        <f>VLOOKUP(C55,skill_list!B:C,2)</f>
        <v>漆黒トランスサーブ</v>
      </c>
      <c r="G55" s="15" t="s">
        <v>732</v>
      </c>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tr">
        <f>VLOOKUP(C56,skill_list!B:C,2)</f>
        <v>シーサイドベルセルク</v>
      </c>
      <c r="G56" s="15" t="s">
        <v>732</v>
      </c>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tr">
        <f>VLOOKUP(C57,skill_list!B:C,2)</f>
        <v>レディ・イン・ミラージュ</v>
      </c>
      <c r="G57" s="15" t="s">
        <v>732</v>
      </c>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tr">
        <f>VLOOKUP(C58,skill_list!B:C,2)</f>
        <v>レディ・イン・ミラージュ</v>
      </c>
      <c r="G58" s="15" t="s">
        <v>732</v>
      </c>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tr">
        <f>VLOOKUP(C59,skill_list!B:C,2)</f>
        <v>レディ・イン・ミラージュ</v>
      </c>
      <c r="G59" s="15" t="s">
        <v>732</v>
      </c>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tr">
        <f>VLOOKUP(C60,skill_list!B:C,2)</f>
        <v>破壊のシニシズム</v>
      </c>
      <c r="G60" s="15" t="s">
        <v>732</v>
      </c>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tr">
        <f>VLOOKUP(C61,skill_list!B:C,2)</f>
        <v>唯雅粛正</v>
      </c>
      <c r="G61" s="15" t="s">
        <v>732</v>
      </c>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tr">
        <f>VLOOKUP(C62,skill_list!B:C,2)</f>
        <v>御稲荷神話</v>
      </c>
      <c r="G62" s="15" t="s">
        <v>732</v>
      </c>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tr">
        <f>VLOOKUP(C63,skill_list!B:C,2)</f>
        <v>御稲荷神話</v>
      </c>
      <c r="G63" s="15" t="s">
        <v>732</v>
      </c>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tr">
        <f>VLOOKUP(C64,skill_list!B:C,2)</f>
        <v>光輝の夜明け</v>
      </c>
      <c r="G64" s="15" t="s">
        <v>732</v>
      </c>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tr">
        <f>VLOOKUP(C65,skill_list!B:C,2)</f>
        <v>爽籟に舞う仁慈</v>
      </c>
      <c r="G65" s="15" t="s">
        <v>732</v>
      </c>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tr">
        <f>VLOOKUP(C66,skill_list!B:C,2)</f>
        <v>ほてるししむら</v>
      </c>
      <c r="G66" s="15" t="s">
        <v>732</v>
      </c>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tr">
        <f>VLOOKUP(C67,skill_list!B:C,2)</f>
        <v>ほてるししむら</v>
      </c>
      <c r="G67" s="15" t="s">
        <v>732</v>
      </c>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tr">
        <f>VLOOKUP(C68,skill_list!B:C,2)</f>
        <v>神崎流忍術・散華</v>
      </c>
      <c r="G68" s="15" t="s">
        <v>732</v>
      </c>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tr">
        <f>VLOOKUP(C69,skill_list!B:C,2)</f>
        <v>霓裳羽衣ノ舞・霹靂</v>
      </c>
      <c r="G69" s="15" t="s">
        <v>732</v>
      </c>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tr">
        <f>VLOOKUP(C70,skill_list!B:C,2)</f>
        <v>霓裳羽衣ノ舞・霹靂</v>
      </c>
      <c r="G70" s="15" t="s">
        <v>732</v>
      </c>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tr">
        <f>VLOOKUP(C71,skill_list!B:C,2)</f>
        <v>純愛アンビシャス</v>
      </c>
      <c r="G71" s="15" t="s">
        <v>732</v>
      </c>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tr">
        <f>VLOOKUP(C72,skill_list!B:C,2)</f>
        <v>純愛アンビシャス+</v>
      </c>
      <c r="G72" s="15" t="s">
        <v>732</v>
      </c>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tr">
        <f>VLOOKUP(C73,skill_list!B:C,2)</f>
        <v>三日月宗近+</v>
      </c>
      <c r="G73" s="15" t="s">
        <v>732</v>
      </c>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tr">
        <f>VLOOKUP(C74,skill_list!B:C,2)</f>
        <v>石塔の手筋+</v>
      </c>
      <c r="G74" s="15" t="s">
        <v>732</v>
      </c>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tr">
        <f>VLOOKUP(C75,skill_list!B:C,2)</f>
        <v>純潔のパツィルーイ</v>
      </c>
      <c r="G75" s="15" t="s">
        <v>732</v>
      </c>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tr">
        <f>VLOOKUP(C76,skill_list!B:C,2)</f>
        <v>純潔のパツィルーイ</v>
      </c>
      <c r="G76" s="15" t="s">
        <v>732</v>
      </c>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tr">
        <f>VLOOKUP(C77,skill_list!B:C,2)</f>
        <v>フローズン・ワルツ</v>
      </c>
      <c r="G77" s="15" t="s">
        <v>732</v>
      </c>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tr">
        <f>VLOOKUP(C78,skill_list!B:C,2)</f>
        <v>必滅！ヴェインキック+</v>
      </c>
      <c r="G78" s="15" t="s">
        <v>732</v>
      </c>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tr">
        <f>VLOOKUP(C79,skill_list!B:C,2)</f>
        <v>ヒットチャートからの一閃</v>
      </c>
      <c r="G79" s="15" t="s">
        <v>732</v>
      </c>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tr">
        <f>VLOOKUP(C80,skill_list!B:C,2)</f>
        <v>ヒットチャートからの一閃</v>
      </c>
      <c r="G80" s="15" t="s">
        <v>732</v>
      </c>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tr">
        <f>VLOOKUP(C81,skill_list!B:C,2)</f>
        <v>オープン・ザ・ロード</v>
      </c>
      <c r="G81" s="15" t="s">
        <v>732</v>
      </c>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tr">
        <f>VLOOKUP(C82,skill_list!B:C,2)</f>
        <v>オープン・ザ・ロード</v>
      </c>
      <c r="G82" s="15" t="s">
        <v>732</v>
      </c>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tr">
        <f>VLOOKUP(C83,skill_list!B:C,2)</f>
        <v>オープン・ザ・ロード</v>
      </c>
      <c r="G83" s="15" t="s">
        <v>732</v>
      </c>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tr">
        <f>VLOOKUP(C84,skill_list!B:C,2)</f>
        <v>狂騒のヨスガ</v>
      </c>
      <c r="G84" s="15" t="s">
        <v>732</v>
      </c>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tr">
        <f>VLOOKUP(C85,skill_list!B:C,2)</f>
        <v>ポッピング・バブル</v>
      </c>
      <c r="G85" s="15" t="s">
        <v>732</v>
      </c>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tr">
        <f>VLOOKUP(C86,skill_list!B:C,2)</f>
        <v>ポッピング・バブル</v>
      </c>
      <c r="G86" s="15" t="s">
        <v>732</v>
      </c>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tr">
        <f>VLOOKUP(C87,skill_list!B:C,2)</f>
        <v>ポッピング・バブル</v>
      </c>
      <c r="G87" s="15" t="s">
        <v>732</v>
      </c>
      <c r="H87" s="15">
        <v>3</v>
      </c>
      <c r="I87" s="15">
        <v>3</v>
      </c>
      <c r="J87" s="15">
        <v>0</v>
      </c>
      <c r="K87" s="15">
        <v>1</v>
      </c>
      <c r="L87" s="15">
        <v>5</v>
      </c>
      <c r="M87" s="15">
        <v>4</v>
      </c>
      <c r="N87" s="15">
        <v>1</v>
      </c>
      <c r="O87" s="15"/>
      <c r="P87" s="15"/>
      <c r="Q87" s="15"/>
      <c r="R87" s="15"/>
    </row>
    <row r="88" spans="1:18">
      <c r="A88" s="8"/>
      <c r="B88" s="15">
        <v>87</v>
      </c>
      <c r="C88" s="15">
        <v>432</v>
      </c>
      <c r="D88" s="15">
        <v>1</v>
      </c>
      <c r="E88" s="15">
        <v>3</v>
      </c>
      <c r="F88" s="15" t="str">
        <f>VLOOKUP(C88,skill_list!B:C,2)</f>
        <v>スパークル・トライショット+</v>
      </c>
      <c r="G88" s="15" t="s">
        <v>732</v>
      </c>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tr">
        <f>VLOOKUP(C89,skill_list!B:C,2)</f>
        <v>スパークル・トライエッジ+</v>
      </c>
      <c r="G89" s="15" t="s">
        <v>732</v>
      </c>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tr">
        <f>VLOOKUP(C90,skill_list!B:C,2)</f>
        <v>乙女の秘め事</v>
      </c>
      <c r="G90" s="15" t="s">
        <v>732</v>
      </c>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tr">
        <f>VLOOKUP(C91,skill_list!B:C,2)</f>
        <v>醒めたる思い</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tr">
        <f>VLOOKUP(C92,skill_list!B:C,2)</f>
        <v>星火燎原+</v>
      </c>
      <c r="G92" s="15" t="s">
        <v>732</v>
      </c>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tr">
        <f>VLOOKUP(C93,skill_list!B:C,2)</f>
        <v>絶対零度+</v>
      </c>
      <c r="G93" s="15" t="s">
        <v>732</v>
      </c>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tr">
        <f>VLOOKUP(C94,skill_list!B:C,2)</f>
        <v>黒曜のオーバーロード</v>
      </c>
      <c r="G94" s="15" t="s">
        <v>732</v>
      </c>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tr">
        <f>VLOOKUP(C95,skill_list!B:C,2)</f>
        <v>黒曜のオーバーロード</v>
      </c>
      <c r="G95" s="15" t="s">
        <v>732</v>
      </c>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tr">
        <f>VLOOKUP(C96,skill_list!B:C,2)</f>
        <v>流星+</v>
      </c>
      <c r="G96" s="15" t="s">
        <v>732</v>
      </c>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tr">
        <f>VLOOKUP(C97,skill_list!B:C,2)</f>
        <v>ウィッチ・オブ・カーマイン</v>
      </c>
      <c r="G97" s="15" t="s">
        <v>732</v>
      </c>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tr">
        <f>VLOOKUP(C98,skill_list!B:C,2)</f>
        <v>ウィッチ・オブ・カーマイン</v>
      </c>
      <c r="G98" s="15" t="s">
        <v>732</v>
      </c>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tr">
        <f>VLOOKUP(C99,skill_list!B:C,2)</f>
        <v>メメント・モリ+</v>
      </c>
      <c r="G99" s="15" t="s">
        <v>732</v>
      </c>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tr">
        <f>VLOOKUP(C100,skill_list!B:C,2)</f>
        <v>クレール・ド・リュンヌ+</v>
      </c>
      <c r="G100" s="15" t="s">
        <v>732</v>
      </c>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tr">
        <f>VLOOKUP(C101,skill_list!B:C,2)</f>
        <v>今宵、快楽ナイトメア</v>
      </c>
      <c r="G101" s="15" t="s">
        <v>732</v>
      </c>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tr">
        <f>VLOOKUP(C102,skill_list!B:C,2)</f>
        <v>今宵、快楽ナイトメア</v>
      </c>
      <c r="G102" s="15" t="s">
        <v>732</v>
      </c>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tr">
        <f>VLOOKUP(C103,skill_list!B:C,2)</f>
        <v>春の宵の塵に同じ</v>
      </c>
      <c r="G103" s="15" t="s">
        <v>732</v>
      </c>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tr">
        <f>VLOOKUP(C104,skill_list!B:C,2)</f>
        <v>氷華、千射万箭</v>
      </c>
      <c r="G104" s="15" t="s">
        <v>732</v>
      </c>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tr">
        <f>VLOOKUP(C105,skill_list!B:C,2)</f>
        <v>氷華、千射万箭</v>
      </c>
      <c r="G105" s="15" t="s">
        <v>732</v>
      </c>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tr">
        <f>VLOOKUP(C106,skill_list!B:C,2)</f>
        <v>ロリータフルバースト</v>
      </c>
      <c r="G106" s="15" t="s">
        <v>732</v>
      </c>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tr">
        <f>VLOOKUP(C107,skill_list!B:C,2)</f>
        <v>ロリータフルバースト</v>
      </c>
      <c r="G107" s="15" t="s">
        <v>732</v>
      </c>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tr">
        <f>VLOOKUP(C108,skill_list!B:C,2)</f>
        <v>豪快！パイレーツキャノン</v>
      </c>
      <c r="G108" s="15" t="s">
        <v>2098</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tr">
        <f>VLOOKUP(C109,skill_list!B:C,2)</f>
        <v>豪快！パイレーツキャノン</v>
      </c>
      <c r="G109" s="15" t="s">
        <v>2099</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tr">
        <f>VLOOKUP(C110,skill_list!B:C,2)</f>
        <v>豪快！パイレーツキャノン</v>
      </c>
      <c r="G110" s="15" t="s">
        <v>2100</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tr">
        <f>VLOOKUP(C111,skill_list!B:C,2)</f>
        <v>豪快！パイレーツキャノン</v>
      </c>
      <c r="G111" s="15" t="s">
        <v>732</v>
      </c>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tr">
        <f>VLOOKUP(C112,skill_list!B:C,2)</f>
        <v>エレガンス・シェル+</v>
      </c>
      <c r="G112" s="15" t="s">
        <v>732</v>
      </c>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tr">
        <f>VLOOKUP(C113,skill_list!B:C,2)</f>
        <v>回る！ぽんぽこ花吹雪</v>
      </c>
      <c r="G113" s="15" t="s">
        <v>732</v>
      </c>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tr">
        <f>VLOOKUP(C114,skill_list!B:C,2)</f>
        <v>ヴォイドストーム+</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tr">
        <f>VLOOKUP(C115,skill_list!B:C,2)</f>
        <v>スペシャルオーダー！</v>
      </c>
      <c r="G115" s="15" t="s">
        <v>732</v>
      </c>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tr">
        <f>VLOOKUP(C116,skill_list!B:C,2)</f>
        <v>海のギャング</v>
      </c>
      <c r="G116" s="15" t="s">
        <v>732</v>
      </c>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tr">
        <f>VLOOKUP(C117,skill_list!B:C,2)</f>
        <v>クレール・ド・リュンヌ</v>
      </c>
      <c r="G117" s="15" t="s">
        <v>732</v>
      </c>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tr">
        <f>VLOOKUP(C118,skill_list!B:C,2)</f>
        <v>クレール・ド・リュンヌ+</v>
      </c>
      <c r="G118" s="15" t="s">
        <v>732</v>
      </c>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5" t="str">
        <f>VLOOKUP(C119,skill_list!B:C,2)</f>
        <v>夢の際</v>
      </c>
      <c r="G119" s="15" t="s">
        <v>732</v>
      </c>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5" t="str">
        <f>VLOOKUP(C120,skill_list!B:C,2)</f>
        <v>哀のスノードロップ</v>
      </c>
      <c r="G120" s="15" t="s">
        <v>732</v>
      </c>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5" t="str">
        <f>VLOOKUP(C121,skill_list!B:C,2)</f>
        <v>流星</v>
      </c>
      <c r="G121" s="15" t="s">
        <v>732</v>
      </c>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5" t="str">
        <f>VLOOKUP(C122,skill_list!B:C,2)</f>
        <v>流星+</v>
      </c>
      <c r="G122" s="15" t="s">
        <v>732</v>
      </c>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5" t="str">
        <f>VLOOKUP(C123,skill_list!B:C,2)</f>
        <v>ブラッディ・ダンス</v>
      </c>
      <c r="G123" s="15" t="s">
        <v>732</v>
      </c>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5" t="str">
        <f>VLOOKUP(C124,skill_list!B:C,2)</f>
        <v>三日月宗近</v>
      </c>
      <c r="G124" s="15" t="s">
        <v>732</v>
      </c>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5" t="str">
        <f>VLOOKUP(C125,skill_list!B:C,2)</f>
        <v>狂騒のヨスガ</v>
      </c>
      <c r="G125" s="15" t="s">
        <v>732</v>
      </c>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5" t="str">
        <f>VLOOKUP(C126,skill_list!B:C,2)</f>
        <v>イノセントワイルド</v>
      </c>
      <c r="G126" s="15" t="s">
        <v>732</v>
      </c>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5" t="str">
        <f>VLOOKUP(C127,skill_list!B:C,2)</f>
        <v>イノセントワイルド+</v>
      </c>
      <c r="G127" s="15" t="s">
        <v>732</v>
      </c>
      <c r="H127" s="15">
        <v>2</v>
      </c>
      <c r="I127" s="15">
        <v>3</v>
      </c>
      <c r="J127" s="15">
        <v>141</v>
      </c>
      <c r="K127" s="15">
        <v>0</v>
      </c>
      <c r="L127" s="15">
        <v>7</v>
      </c>
      <c r="M127" s="15">
        <v>0</v>
      </c>
      <c r="N127" s="15">
        <v>3</v>
      </c>
      <c r="O127" s="15">
        <v>98</v>
      </c>
      <c r="P127" s="15"/>
      <c r="Q127" s="15"/>
      <c r="R127" s="15"/>
    </row>
    <row r="128" spans="1:18">
      <c r="A128" s="8"/>
      <c r="B128" s="15">
        <v>132</v>
      </c>
      <c r="C128" s="15">
        <v>458</v>
      </c>
      <c r="D128" s="15">
        <v>26</v>
      </c>
      <c r="E128" s="15">
        <v>0</v>
      </c>
      <c r="F128" s="15" t="str">
        <f>VLOOKUP(C128,skill_list!B:C,2)</f>
        <v>ウィッチ・オブ・カーマイン</v>
      </c>
      <c r="G128" s="15" t="s">
        <v>732</v>
      </c>
      <c r="H128" s="15">
        <v>0</v>
      </c>
      <c r="I128" s="15">
        <v>0</v>
      </c>
      <c r="J128" s="15">
        <v>0</v>
      </c>
      <c r="K128" s="15">
        <v>0</v>
      </c>
      <c r="L128" s="15">
        <v>7</v>
      </c>
      <c r="M128" s="15">
        <v>0</v>
      </c>
      <c r="N128" s="15">
        <v>1</v>
      </c>
      <c r="O128" s="15"/>
      <c r="P128" s="15"/>
      <c r="Q128" s="15"/>
      <c r="R128" s="15"/>
    </row>
    <row r="129" spans="1:18">
      <c r="A129" s="8"/>
      <c r="B129" s="15">
        <v>133</v>
      </c>
      <c r="C129" s="15">
        <v>491</v>
      </c>
      <c r="D129" s="15">
        <v>6</v>
      </c>
      <c r="E129" s="15">
        <v>0</v>
      </c>
      <c r="F129" s="15" t="str">
        <f>VLOOKUP(C129,skill_list!B:C,2)</f>
        <v>星屑の航路+</v>
      </c>
      <c r="G129" s="15" t="s">
        <v>2101</v>
      </c>
      <c r="H129" s="15">
        <v>40</v>
      </c>
      <c r="I129" s="15">
        <v>70</v>
      </c>
      <c r="J129" s="15">
        <v>264</v>
      </c>
      <c r="K129" s="15">
        <v>17</v>
      </c>
      <c r="L129" s="15">
        <v>6</v>
      </c>
      <c r="M129" s="15">
        <v>0</v>
      </c>
      <c r="N129" s="15">
        <v>3</v>
      </c>
      <c r="O129" s="15"/>
      <c r="P129" s="15"/>
      <c r="Q129" s="15"/>
      <c r="R129" s="15"/>
    </row>
    <row r="130" spans="1:18">
      <c r="A130" s="8"/>
      <c r="B130" s="15">
        <v>135</v>
      </c>
      <c r="C130" s="15">
        <v>490</v>
      </c>
      <c r="D130" s="15">
        <v>23</v>
      </c>
      <c r="E130" s="15">
        <v>0</v>
      </c>
      <c r="F130" s="15" t="str">
        <f>VLOOKUP(C130,skill_list!B:C,2)</f>
        <v>恍惚のヴァージンロード</v>
      </c>
      <c r="G130" s="15" t="s">
        <v>732</v>
      </c>
      <c r="H130" s="15">
        <v>5</v>
      </c>
      <c r="I130" s="15">
        <v>5</v>
      </c>
      <c r="J130" s="15">
        <v>0</v>
      </c>
      <c r="K130" s="15">
        <v>1</v>
      </c>
      <c r="L130" s="15">
        <v>9</v>
      </c>
      <c r="M130" s="15">
        <v>0</v>
      </c>
      <c r="N130" s="15">
        <v>0</v>
      </c>
      <c r="O130" s="15"/>
      <c r="P130" s="15"/>
      <c r="Q130" s="15"/>
      <c r="R130" s="15"/>
    </row>
    <row r="131" spans="1:18">
      <c r="A131" s="8"/>
      <c r="B131" s="15">
        <v>136</v>
      </c>
      <c r="C131" s="15">
        <v>490</v>
      </c>
      <c r="D131" s="15">
        <v>31</v>
      </c>
      <c r="E131" s="15">
        <v>0</v>
      </c>
      <c r="F131" s="15" t="str">
        <f>VLOOKUP(C131,skill_list!B:C,2)</f>
        <v>恍惚のヴァージンロード</v>
      </c>
      <c r="G131" s="15" t="s">
        <v>732</v>
      </c>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5" t="str">
        <f>VLOOKUP(C132,skill_list!B:C,2)</f>
        <v>エンジェルズ・ウィング</v>
      </c>
      <c r="G132" s="15" t="s">
        <v>732</v>
      </c>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5" t="str">
        <f>VLOOKUP(C133,skill_list!B:C,2)</f>
        <v>ダンスインザブルー</v>
      </c>
      <c r="G133" s="15" t="s">
        <v>732</v>
      </c>
      <c r="H133" s="15">
        <v>5</v>
      </c>
      <c r="I133" s="15">
        <v>5</v>
      </c>
      <c r="J133" s="15">
        <v>0</v>
      </c>
      <c r="K133" s="15">
        <v>1</v>
      </c>
      <c r="L133" s="15">
        <v>8</v>
      </c>
      <c r="M133" s="15">
        <v>1</v>
      </c>
      <c r="N133" s="15">
        <v>0</v>
      </c>
      <c r="O133" s="15"/>
      <c r="P133" s="15"/>
      <c r="Q133" s="15"/>
      <c r="R133" s="15"/>
    </row>
    <row r="134" spans="1:18">
      <c r="A134" s="8"/>
      <c r="B134" s="15">
        <v>139</v>
      </c>
      <c r="C134" s="15">
        <v>461</v>
      </c>
      <c r="D134" s="15">
        <v>28</v>
      </c>
      <c r="E134" s="15">
        <v>0</v>
      </c>
      <c r="F134" s="15" t="str">
        <f>VLOOKUP(C134,skill_list!B:C,2)</f>
        <v>メメント・モリ+</v>
      </c>
      <c r="G134" s="15" t="s">
        <v>732</v>
      </c>
      <c r="H134" s="15">
        <v>20</v>
      </c>
      <c r="I134" s="15">
        <v>20</v>
      </c>
      <c r="J134" s="15">
        <v>0</v>
      </c>
      <c r="K134" s="15">
        <v>1</v>
      </c>
      <c r="L134" s="15">
        <v>6</v>
      </c>
      <c r="M134" s="15">
        <v>0</v>
      </c>
      <c r="N134" s="15">
        <v>0</v>
      </c>
      <c r="O134" s="15">
        <v>128</v>
      </c>
      <c r="P134" s="15"/>
      <c r="Q134" s="15"/>
      <c r="R134" s="15"/>
    </row>
    <row r="135" spans="1:18">
      <c r="A135" s="8"/>
      <c r="B135" s="15">
        <v>140</v>
      </c>
      <c r="C135" s="15">
        <v>465</v>
      </c>
      <c r="D135" s="15">
        <v>29</v>
      </c>
      <c r="E135" s="15">
        <v>0</v>
      </c>
      <c r="F135" s="15" t="str">
        <f>VLOOKUP(C135,skill_list!B:C,2)</f>
        <v>クレール・ド・リュンヌ+</v>
      </c>
      <c r="G135" s="15" t="s">
        <v>732</v>
      </c>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5" t="str">
        <f>VLOOKUP(C136,skill_list!B:C,2)</f>
        <v>夢視るデザイア</v>
      </c>
      <c r="G136" s="15" t="s">
        <v>732</v>
      </c>
      <c r="H136" s="15">
        <v>8</v>
      </c>
      <c r="I136" s="15">
        <v>8</v>
      </c>
      <c r="J136" s="15">
        <v>0</v>
      </c>
      <c r="K136" s="15">
        <v>1</v>
      </c>
      <c r="L136" s="15">
        <v>6</v>
      </c>
      <c r="M136" s="15">
        <v>0</v>
      </c>
      <c r="N136" s="15">
        <v>0</v>
      </c>
      <c r="O136" s="15"/>
      <c r="P136" s="15"/>
      <c r="Q136" s="15"/>
      <c r="R136" s="15"/>
    </row>
    <row r="137" spans="1:18">
      <c r="A137" s="8"/>
      <c r="B137" s="15">
        <v>146</v>
      </c>
      <c r="C137" s="15">
        <v>493</v>
      </c>
      <c r="D137" s="15">
        <v>17</v>
      </c>
      <c r="E137" s="15">
        <v>0</v>
      </c>
      <c r="F137" s="15" t="str">
        <f>VLOOKUP(C137,skill_list!B:C,2)</f>
        <v>蒼焔ノ迷宮</v>
      </c>
      <c r="G137" s="15" t="s">
        <v>1641</v>
      </c>
      <c r="H137" s="15">
        <v>3</v>
      </c>
      <c r="I137" s="15">
        <v>3</v>
      </c>
      <c r="J137" s="15">
        <v>0</v>
      </c>
      <c r="K137" s="15">
        <v>1</v>
      </c>
      <c r="L137" s="15">
        <v>7</v>
      </c>
      <c r="M137" s="15">
        <v>0</v>
      </c>
      <c r="N137" s="15">
        <v>1</v>
      </c>
      <c r="O137" s="15">
        <v>139</v>
      </c>
      <c r="P137" s="15"/>
      <c r="Q137" s="15"/>
      <c r="R137" s="15"/>
    </row>
    <row r="138" spans="1:18">
      <c r="A138" s="8"/>
      <c r="B138" s="15">
        <v>147</v>
      </c>
      <c r="C138" s="15">
        <v>496</v>
      </c>
      <c r="D138" s="15">
        <v>1</v>
      </c>
      <c r="E138" s="15">
        <v>1</v>
      </c>
      <c r="F138" s="15" t="str">
        <f>VLOOKUP(C138,skill_list!B:C,2)</f>
        <v>レッドラウンドイリュージョン</v>
      </c>
      <c r="G138" s="15" t="s">
        <v>732</v>
      </c>
      <c r="H138" s="15">
        <v>65</v>
      </c>
      <c r="I138" s="15">
        <v>80</v>
      </c>
      <c r="J138" s="15">
        <v>135</v>
      </c>
      <c r="K138" s="15">
        <v>1</v>
      </c>
      <c r="L138" s="15">
        <v>6</v>
      </c>
      <c r="M138" s="15">
        <v>0</v>
      </c>
      <c r="N138" s="15">
        <v>1</v>
      </c>
      <c r="O138" s="15">
        <v>141</v>
      </c>
      <c r="P138" s="15"/>
      <c r="Q138" s="15"/>
      <c r="R138" s="15"/>
    </row>
    <row r="139" spans="1:18">
      <c r="A139" s="8"/>
      <c r="B139" s="15">
        <v>148</v>
      </c>
      <c r="C139" s="15">
        <v>496</v>
      </c>
      <c r="D139" s="15">
        <v>9</v>
      </c>
      <c r="E139" s="15">
        <v>1</v>
      </c>
      <c r="F139" s="15" t="str">
        <f>VLOOKUP(C139,skill_list!B:C,2)</f>
        <v>レッドラウンドイリュージョン</v>
      </c>
      <c r="G139" s="15" t="s">
        <v>732</v>
      </c>
      <c r="H139" s="15">
        <v>45</v>
      </c>
      <c r="I139" s="15">
        <v>45</v>
      </c>
      <c r="J139" s="15">
        <v>0</v>
      </c>
      <c r="K139" s="15">
        <v>1</v>
      </c>
      <c r="L139" s="15">
        <v>6</v>
      </c>
      <c r="M139" s="15">
        <v>0</v>
      </c>
      <c r="N139" s="15">
        <v>1</v>
      </c>
      <c r="O139" s="15">
        <v>141</v>
      </c>
      <c r="P139" s="15"/>
      <c r="Q139" s="15"/>
      <c r="R139" s="15"/>
    </row>
    <row r="140" spans="1:18">
      <c r="A140" s="8"/>
      <c r="B140" s="15">
        <v>149</v>
      </c>
      <c r="C140" s="15">
        <v>498</v>
      </c>
      <c r="D140" s="15">
        <v>6</v>
      </c>
      <c r="E140" s="15">
        <v>0</v>
      </c>
      <c r="F140" s="15" t="str">
        <f>VLOOKUP(C140,skill_list!B:C,2)</f>
        <v>浮き浮きサニー・ボマー</v>
      </c>
      <c r="G140" s="15" t="s">
        <v>732</v>
      </c>
      <c r="H140" s="15">
        <v>70</v>
      </c>
      <c r="I140" s="15">
        <v>70</v>
      </c>
      <c r="J140" s="15">
        <v>0</v>
      </c>
      <c r="K140" s="15">
        <v>1</v>
      </c>
      <c r="L140" s="15">
        <v>7</v>
      </c>
      <c r="M140" s="15">
        <v>0</v>
      </c>
      <c r="N140" s="15">
        <v>1</v>
      </c>
      <c r="O140" s="15">
        <v>143</v>
      </c>
      <c r="P140" s="15"/>
      <c r="Q140" s="15"/>
      <c r="R140" s="15"/>
    </row>
    <row r="141" spans="1:18">
      <c r="A141" s="8"/>
      <c r="B141" s="15">
        <v>150</v>
      </c>
      <c r="C141" s="15">
        <v>498</v>
      </c>
      <c r="D141" s="15">
        <v>7</v>
      </c>
      <c r="E141" s="15">
        <v>0</v>
      </c>
      <c r="F141" s="15" t="str">
        <f>VLOOKUP(C141,skill_list!B:C,2)</f>
        <v>浮き浮きサニー・ボマー</v>
      </c>
      <c r="G141" s="15" t="s">
        <v>732</v>
      </c>
      <c r="H141" s="15">
        <v>30</v>
      </c>
      <c r="I141" s="15">
        <v>30</v>
      </c>
      <c r="J141" s="15">
        <v>0</v>
      </c>
      <c r="K141" s="15">
        <v>1</v>
      </c>
      <c r="L141" s="15">
        <v>7</v>
      </c>
      <c r="M141" s="15">
        <v>0</v>
      </c>
      <c r="N141" s="15">
        <v>1</v>
      </c>
      <c r="O141" s="15">
        <v>143</v>
      </c>
      <c r="P141" s="15"/>
      <c r="Q141" s="15"/>
      <c r="R141" s="15"/>
    </row>
    <row r="142" spans="1:18">
      <c r="A142" s="8"/>
      <c r="B142" s="15">
        <v>151</v>
      </c>
      <c r="C142" s="15">
        <v>498</v>
      </c>
      <c r="D142" s="15">
        <v>2</v>
      </c>
      <c r="E142" s="15">
        <v>0</v>
      </c>
      <c r="F142" s="15" t="str">
        <f>VLOOKUP(C142,skill_list!B:C,2)</f>
        <v>浮き浮きサニー・ボマー</v>
      </c>
      <c r="G142" s="15" t="s">
        <v>732</v>
      </c>
      <c r="H142" s="15">
        <v>35</v>
      </c>
      <c r="I142" s="15">
        <v>50</v>
      </c>
      <c r="J142" s="15">
        <v>149</v>
      </c>
      <c r="K142" s="15">
        <v>1</v>
      </c>
      <c r="L142" s="15">
        <v>7</v>
      </c>
      <c r="M142" s="15">
        <v>0</v>
      </c>
      <c r="N142" s="15">
        <v>1</v>
      </c>
      <c r="O142" s="15">
        <v>143</v>
      </c>
      <c r="P142" s="15"/>
      <c r="Q142" s="15"/>
      <c r="R142" s="15"/>
    </row>
    <row r="143" spans="1:18">
      <c r="A143" s="8"/>
      <c r="B143" s="15">
        <v>152</v>
      </c>
      <c r="C143" s="15">
        <v>502</v>
      </c>
      <c r="D143" s="15">
        <v>4</v>
      </c>
      <c r="E143" s="15">
        <v>3</v>
      </c>
      <c r="F143" s="15" t="str">
        <f>VLOOKUP(C143,skill_list!B:C,2)</f>
        <v>潮風ハイボルテージ</v>
      </c>
      <c r="G143" s="15" t="s">
        <v>732</v>
      </c>
      <c r="H143" s="15">
        <v>30</v>
      </c>
      <c r="I143" s="15">
        <v>45</v>
      </c>
      <c r="J143" s="15">
        <v>144</v>
      </c>
      <c r="K143" s="15">
        <v>1</v>
      </c>
      <c r="L143" s="15">
        <v>2</v>
      </c>
      <c r="M143" s="15">
        <v>0</v>
      </c>
      <c r="N143" s="15">
        <v>2</v>
      </c>
      <c r="O143" s="15">
        <v>144</v>
      </c>
      <c r="P143" s="15"/>
      <c r="Q143" s="15"/>
      <c r="R143" s="15"/>
    </row>
    <row r="144" spans="1:18">
      <c r="A144" s="8"/>
      <c r="B144" s="15">
        <v>153</v>
      </c>
      <c r="C144" s="15">
        <v>502</v>
      </c>
      <c r="D144" s="15">
        <v>11</v>
      </c>
      <c r="E144" s="15">
        <v>3</v>
      </c>
      <c r="F144" s="15" t="str">
        <f>VLOOKUP(C144,skill_list!B:C,2)</f>
        <v>潮風ハイボルテージ</v>
      </c>
      <c r="G144" s="15" t="s">
        <v>732</v>
      </c>
      <c r="H144" s="15">
        <v>65</v>
      </c>
      <c r="I144" s="15">
        <v>65</v>
      </c>
      <c r="J144" s="15">
        <v>0</v>
      </c>
      <c r="K144" s="15">
        <v>1</v>
      </c>
      <c r="L144" s="15">
        <v>0</v>
      </c>
      <c r="M144" s="15">
        <v>0</v>
      </c>
      <c r="N144" s="15">
        <v>8</v>
      </c>
      <c r="O144" s="15">
        <v>144</v>
      </c>
      <c r="P144" s="15"/>
      <c r="Q144" s="15"/>
      <c r="R144" s="15"/>
    </row>
    <row r="145" spans="1:18">
      <c r="A145" s="8"/>
      <c r="B145" s="15">
        <v>154</v>
      </c>
      <c r="C145" s="15">
        <v>504</v>
      </c>
      <c r="D145" s="15">
        <v>6</v>
      </c>
      <c r="E145" s="15">
        <v>5</v>
      </c>
      <c r="F145" s="15" t="str">
        <f>VLOOKUP(C145,skill_list!B:C,2)</f>
        <v>フグリングクラッシュ</v>
      </c>
      <c r="G145" s="15" t="s">
        <v>732</v>
      </c>
      <c r="H145" s="15">
        <v>70</v>
      </c>
      <c r="I145" s="15">
        <v>70</v>
      </c>
      <c r="J145" s="15">
        <v>0</v>
      </c>
      <c r="K145" s="15">
        <v>1</v>
      </c>
      <c r="L145" s="15">
        <v>6</v>
      </c>
      <c r="M145" s="15">
        <v>0</v>
      </c>
      <c r="N145" s="15">
        <v>1</v>
      </c>
      <c r="O145" s="15">
        <v>145</v>
      </c>
      <c r="P145" s="15">
        <v>146</v>
      </c>
      <c r="Q145" s="15"/>
      <c r="R145" s="15"/>
    </row>
    <row r="146" spans="1:18">
      <c r="A146" s="8"/>
      <c r="B146" s="15">
        <v>155</v>
      </c>
      <c r="C146" s="15">
        <v>504</v>
      </c>
      <c r="D146" s="15">
        <v>9</v>
      </c>
      <c r="E146" s="15">
        <v>5</v>
      </c>
      <c r="F146" s="15" t="str">
        <f>VLOOKUP(C146,skill_list!B:C,2)</f>
        <v>フグリングクラッシュ</v>
      </c>
      <c r="G146" s="15" t="s">
        <v>732</v>
      </c>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5" t="str">
        <f>VLOOKUP(C147,skill_list!B:C,2)</f>
        <v>セイクリッド・クワイア</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5" t="str">
        <f>VLOOKUP(C148,skill_list!B:C,2)</f>
        <v>ウィッシュカムトゥルー</v>
      </c>
      <c r="G148" s="15" t="s">
        <v>732</v>
      </c>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5" t="str">
        <f>VLOOKUP(C149,skill_list!B:C,2)</f>
        <v>サンダーストーム</v>
      </c>
      <c r="G149" s="15" t="s">
        <v>732</v>
      </c>
      <c r="H149" s="15">
        <v>60</v>
      </c>
      <c r="I149" s="15">
        <v>70</v>
      </c>
      <c r="J149" s="15">
        <v>146</v>
      </c>
      <c r="K149" s="15">
        <v>1</v>
      </c>
      <c r="L149" s="15">
        <v>7</v>
      </c>
      <c r="M149" s="15">
        <v>0</v>
      </c>
      <c r="N149" s="15">
        <v>1</v>
      </c>
      <c r="O149" s="15">
        <v>33</v>
      </c>
      <c r="P149" s="15"/>
      <c r="Q149" s="15"/>
      <c r="R149" s="15"/>
    </row>
    <row r="150" spans="1:18">
      <c r="A150" s="8"/>
      <c r="B150" s="15">
        <v>161</v>
      </c>
      <c r="C150" s="15">
        <v>509</v>
      </c>
      <c r="D150" s="15">
        <v>10</v>
      </c>
      <c r="E150" s="15">
        <v>0</v>
      </c>
      <c r="F150" s="15" t="str">
        <f>VLOOKUP(C150,skill_list!B:C,2)</f>
        <v>リフレッシング・チアーズ！</v>
      </c>
      <c r="G150" s="15" t="s">
        <v>732</v>
      </c>
      <c r="H150" s="15">
        <v>20</v>
      </c>
      <c r="I150" s="15">
        <v>30</v>
      </c>
      <c r="J150" s="15">
        <v>256</v>
      </c>
      <c r="K150" s="15">
        <v>10</v>
      </c>
      <c r="L150" s="15">
        <v>6</v>
      </c>
      <c r="M150" s="15">
        <v>0</v>
      </c>
      <c r="N150" s="15">
        <v>1</v>
      </c>
      <c r="O150" s="15"/>
      <c r="P150" s="15"/>
      <c r="Q150" s="15"/>
      <c r="R150" s="15"/>
    </row>
    <row r="151" spans="1:18">
      <c r="A151" s="8"/>
      <c r="B151" s="15">
        <v>162</v>
      </c>
      <c r="C151" s="15">
        <v>511</v>
      </c>
      <c r="D151" s="15">
        <v>3</v>
      </c>
      <c r="E151" s="15">
        <v>0</v>
      </c>
      <c r="F151" s="15" t="str">
        <f>VLOOKUP(C151,skill_list!B:C,2)</f>
        <v>走り屋に夜露死苦</v>
      </c>
      <c r="G151" s="15" t="s">
        <v>732</v>
      </c>
      <c r="H151" s="15">
        <v>30</v>
      </c>
      <c r="I151" s="15">
        <v>45</v>
      </c>
      <c r="J151" s="15">
        <v>153</v>
      </c>
      <c r="K151" s="15">
        <v>1</v>
      </c>
      <c r="L151" s="15">
        <v>1</v>
      </c>
      <c r="M151" s="15">
        <v>0</v>
      </c>
      <c r="N151" s="15">
        <v>2</v>
      </c>
      <c r="O151" s="15">
        <v>149</v>
      </c>
      <c r="P151" s="15"/>
      <c r="Q151" s="15"/>
      <c r="R151" s="15"/>
    </row>
    <row r="152" spans="1:18">
      <c r="A152" s="8"/>
      <c r="B152" s="15">
        <v>163</v>
      </c>
      <c r="C152" s="15">
        <v>511</v>
      </c>
      <c r="D152" s="15">
        <v>19</v>
      </c>
      <c r="E152" s="15">
        <v>0</v>
      </c>
      <c r="F152" s="15" t="str">
        <f>VLOOKUP(C152,skill_list!B:C,2)</f>
        <v>走り屋に夜露死苦</v>
      </c>
      <c r="G152" s="15" t="s">
        <v>732</v>
      </c>
      <c r="H152" s="15">
        <v>60</v>
      </c>
      <c r="I152" s="15">
        <v>100</v>
      </c>
      <c r="J152" s="15">
        <v>153</v>
      </c>
      <c r="K152" s="15">
        <v>1</v>
      </c>
      <c r="L152" s="15">
        <v>1</v>
      </c>
      <c r="M152" s="15">
        <v>0</v>
      </c>
      <c r="N152" s="15">
        <v>2</v>
      </c>
      <c r="O152" s="15">
        <v>149</v>
      </c>
      <c r="P152" s="15"/>
      <c r="Q152" s="15"/>
      <c r="R152" s="15"/>
    </row>
    <row r="153" spans="1:18">
      <c r="A153" s="8"/>
      <c r="B153" s="15">
        <v>164</v>
      </c>
      <c r="C153" s="15">
        <v>511</v>
      </c>
      <c r="D153" s="15">
        <v>4</v>
      </c>
      <c r="E153" s="15">
        <v>3</v>
      </c>
      <c r="F153" s="15" t="str">
        <f>VLOOKUP(C153,skill_list!B:C,2)</f>
        <v>走り屋に夜露死苦</v>
      </c>
      <c r="G153" s="15" t="s">
        <v>732</v>
      </c>
      <c r="H153" s="15">
        <v>45</v>
      </c>
      <c r="I153" s="15">
        <v>60</v>
      </c>
      <c r="J153" s="15">
        <v>153</v>
      </c>
      <c r="K153" s="15">
        <v>1</v>
      </c>
      <c r="L153" s="15">
        <v>1</v>
      </c>
      <c r="M153" s="15">
        <v>0</v>
      </c>
      <c r="N153" s="15">
        <v>2</v>
      </c>
      <c r="O153" s="15">
        <v>149</v>
      </c>
      <c r="P153" s="15"/>
      <c r="Q153" s="15"/>
      <c r="R153" s="15"/>
    </row>
    <row r="154" spans="1:18">
      <c r="A154" s="8"/>
      <c r="B154" s="15">
        <v>165</v>
      </c>
      <c r="C154" s="15">
        <v>513</v>
      </c>
      <c r="D154" s="15">
        <v>1</v>
      </c>
      <c r="E154" s="15">
        <v>5</v>
      </c>
      <c r="F154" s="15" t="str">
        <f>VLOOKUP(C154,skill_list!B:C,2)</f>
        <v>小鳥たちへのシンフォニー+</v>
      </c>
      <c r="G154" s="15" t="s">
        <v>732</v>
      </c>
      <c r="H154" s="15">
        <v>65</v>
      </c>
      <c r="I154" s="15">
        <v>80</v>
      </c>
      <c r="J154" s="15">
        <v>135</v>
      </c>
      <c r="K154" s="15">
        <v>1</v>
      </c>
      <c r="L154" s="15">
        <v>6</v>
      </c>
      <c r="M154" s="15">
        <v>0</v>
      </c>
      <c r="N154" s="15">
        <v>1</v>
      </c>
      <c r="O154" s="15">
        <v>150</v>
      </c>
      <c r="P154" s="15"/>
      <c r="Q154" s="15"/>
      <c r="R154" s="15"/>
    </row>
    <row r="155" spans="1:18">
      <c r="A155" s="8"/>
      <c r="B155" s="15">
        <v>166</v>
      </c>
      <c r="C155" s="15">
        <v>513</v>
      </c>
      <c r="D155" s="15">
        <v>10</v>
      </c>
      <c r="E155" s="15">
        <v>0</v>
      </c>
      <c r="F155" s="15" t="str">
        <f>VLOOKUP(C155,skill_list!B:C,2)</f>
        <v>小鳥たちへのシンフォニー+</v>
      </c>
      <c r="G155" s="15" t="s">
        <v>732</v>
      </c>
      <c r="H155" s="15">
        <v>20</v>
      </c>
      <c r="I155" s="15">
        <v>30</v>
      </c>
      <c r="J155" s="15">
        <v>135</v>
      </c>
      <c r="K155" s="15">
        <v>1</v>
      </c>
      <c r="L155" s="15">
        <v>6</v>
      </c>
      <c r="M155" s="15">
        <v>0</v>
      </c>
      <c r="N155" s="15">
        <v>1</v>
      </c>
      <c r="O155" s="15">
        <v>150</v>
      </c>
      <c r="P155" s="15"/>
      <c r="Q155" s="15"/>
      <c r="R155" s="15"/>
    </row>
    <row r="156" spans="1:18">
      <c r="A156" s="8"/>
      <c r="B156" s="15">
        <v>167</v>
      </c>
      <c r="C156" s="15">
        <v>514</v>
      </c>
      <c r="D156" s="15">
        <v>3</v>
      </c>
      <c r="E156" s="15">
        <v>0</v>
      </c>
      <c r="F156" s="15" t="str">
        <f>VLOOKUP(C156,skill_list!B:C,2)</f>
        <v>覇道妄執我突邁進+</v>
      </c>
      <c r="G156" s="15" t="s">
        <v>732</v>
      </c>
      <c r="H156" s="15">
        <v>30</v>
      </c>
      <c r="I156" s="15">
        <v>45</v>
      </c>
      <c r="J156" s="15">
        <v>149</v>
      </c>
      <c r="K156" s="15">
        <v>1</v>
      </c>
      <c r="L156" s="15">
        <v>1</v>
      </c>
      <c r="M156" s="15">
        <v>0</v>
      </c>
      <c r="N156" s="15">
        <v>2</v>
      </c>
      <c r="O156" s="15">
        <v>151</v>
      </c>
      <c r="P156" s="15">
        <v>152</v>
      </c>
      <c r="Q156" s="15"/>
      <c r="R156" s="15"/>
    </row>
    <row r="157" spans="1:18">
      <c r="A157" s="8"/>
      <c r="B157" s="15">
        <v>168</v>
      </c>
      <c r="C157" s="15">
        <v>514</v>
      </c>
      <c r="D157" s="15">
        <v>5</v>
      </c>
      <c r="E157" s="15">
        <v>0</v>
      </c>
      <c r="F157" s="15" t="str">
        <f>VLOOKUP(C157,skill_list!B:C,2)</f>
        <v>覇道妄執我突邁進+</v>
      </c>
      <c r="G157" s="15" t="s">
        <v>732</v>
      </c>
      <c r="H157" s="15">
        <v>35</v>
      </c>
      <c r="I157" s="15">
        <v>50</v>
      </c>
      <c r="J157" s="15">
        <v>149</v>
      </c>
      <c r="K157" s="15">
        <v>1</v>
      </c>
      <c r="L157" s="15">
        <v>1</v>
      </c>
      <c r="M157" s="15">
        <v>0</v>
      </c>
      <c r="N157" s="15">
        <v>2</v>
      </c>
      <c r="O157" s="15">
        <v>151</v>
      </c>
      <c r="P157" s="15">
        <v>152</v>
      </c>
      <c r="Q157" s="15"/>
      <c r="R157" s="15"/>
    </row>
    <row r="158" spans="1:18">
      <c r="A158" s="8"/>
      <c r="B158" s="15">
        <v>169</v>
      </c>
      <c r="C158" s="15">
        <v>516</v>
      </c>
      <c r="D158" s="15">
        <v>3</v>
      </c>
      <c r="E158" s="15">
        <v>0</v>
      </c>
      <c r="F158" s="15" t="str">
        <f>VLOOKUP(C158,skill_list!B:C,2)</f>
        <v>放課後の淡いスリル</v>
      </c>
      <c r="G158" s="15" t="s">
        <v>732</v>
      </c>
      <c r="H158" s="15">
        <v>20</v>
      </c>
      <c r="I158" s="15">
        <v>30</v>
      </c>
      <c r="J158" s="15">
        <v>140</v>
      </c>
      <c r="K158" s="15">
        <v>1</v>
      </c>
      <c r="L158" s="15">
        <v>2</v>
      </c>
      <c r="M158" s="15">
        <v>0</v>
      </c>
      <c r="N158" s="15">
        <v>0</v>
      </c>
      <c r="O158" s="15">
        <v>153</v>
      </c>
      <c r="P158" s="15"/>
      <c r="Q158" s="15"/>
      <c r="R158" s="15"/>
    </row>
    <row r="159" spans="1:18">
      <c r="A159" s="8"/>
      <c r="B159" s="15">
        <v>170</v>
      </c>
      <c r="C159" s="15">
        <v>516</v>
      </c>
      <c r="D159" s="15">
        <v>20</v>
      </c>
      <c r="E159" s="15">
        <v>2</v>
      </c>
      <c r="F159" s="15" t="str">
        <f>VLOOKUP(C159,skill_list!B:C,2)</f>
        <v>放課後の淡いスリル</v>
      </c>
      <c r="G159" s="15" t="s">
        <v>732</v>
      </c>
      <c r="H159" s="15">
        <v>45</v>
      </c>
      <c r="I159" s="15">
        <v>60</v>
      </c>
      <c r="J159" s="15">
        <v>140</v>
      </c>
      <c r="K159" s="15">
        <v>1</v>
      </c>
      <c r="L159" s="15">
        <v>2</v>
      </c>
      <c r="M159" s="15">
        <v>0</v>
      </c>
      <c r="N159" s="15">
        <v>0</v>
      </c>
      <c r="O159" s="15">
        <v>153</v>
      </c>
      <c r="P159" s="15"/>
      <c r="Q159" s="15"/>
      <c r="R159" s="15"/>
    </row>
    <row r="160" spans="1:18">
      <c r="A160" s="8"/>
      <c r="B160" s="15">
        <v>171</v>
      </c>
      <c r="C160" s="15">
        <v>525</v>
      </c>
      <c r="D160" s="15">
        <v>11</v>
      </c>
      <c r="E160" s="15">
        <v>0</v>
      </c>
      <c r="F160" s="15" t="str">
        <f>VLOOKUP(C160,skill_list!B:C,2)</f>
        <v>いつの日かここで</v>
      </c>
      <c r="G160" s="15" t="s">
        <v>732</v>
      </c>
      <c r="H160" s="15">
        <v>40</v>
      </c>
      <c r="I160" s="15">
        <v>40</v>
      </c>
      <c r="J160" s="15">
        <v>0</v>
      </c>
      <c r="K160" s="15">
        <v>1</v>
      </c>
      <c r="L160" s="15">
        <v>0</v>
      </c>
      <c r="M160" s="15">
        <v>0</v>
      </c>
      <c r="N160" s="15">
        <v>0</v>
      </c>
      <c r="O160" s="15"/>
      <c r="P160" s="15"/>
      <c r="Q160" s="15"/>
      <c r="R160" s="15"/>
    </row>
    <row r="161" spans="1:18">
      <c r="A161" s="8"/>
      <c r="B161" s="15">
        <v>172</v>
      </c>
      <c r="C161" s="15">
        <v>530</v>
      </c>
      <c r="D161" s="14">
        <v>2</v>
      </c>
      <c r="E161" s="14">
        <v>4</v>
      </c>
      <c r="F161" s="14" t="s">
        <v>2215</v>
      </c>
      <c r="G161" s="14"/>
      <c r="H161" s="14">
        <v>35</v>
      </c>
      <c r="I161" s="14">
        <v>50</v>
      </c>
      <c r="J161" s="14">
        <v>147</v>
      </c>
      <c r="K161" s="14">
        <v>1</v>
      </c>
      <c r="L161" s="14">
        <v>6</v>
      </c>
      <c r="M161" s="14">
        <v>0</v>
      </c>
      <c r="N161" s="14">
        <v>1</v>
      </c>
      <c r="O161" s="14"/>
      <c r="P161" s="14"/>
      <c r="Q161" s="14"/>
      <c r="R161" s="15"/>
    </row>
    <row r="162" spans="1:18">
      <c r="A162" s="8"/>
      <c r="B162" s="15">
        <v>173</v>
      </c>
      <c r="C162" s="15">
        <v>531</v>
      </c>
      <c r="D162" s="14">
        <v>3</v>
      </c>
      <c r="E162" s="14">
        <v>0</v>
      </c>
      <c r="F162" s="14" t="s">
        <v>2212</v>
      </c>
      <c r="G162" s="14"/>
      <c r="H162" s="14">
        <v>30</v>
      </c>
      <c r="I162" s="14">
        <v>45</v>
      </c>
      <c r="J162" s="14">
        <v>147</v>
      </c>
      <c r="K162" s="14">
        <v>1</v>
      </c>
      <c r="L162" s="14">
        <v>1</v>
      </c>
      <c r="M162" s="14">
        <v>0</v>
      </c>
      <c r="N162" s="14">
        <v>2</v>
      </c>
      <c r="O162" s="14"/>
      <c r="P162" s="14"/>
      <c r="Q162" s="14"/>
      <c r="R162" s="15"/>
    </row>
    <row r="163" spans="1:18">
      <c r="A163" s="8"/>
      <c r="B163" s="15">
        <v>174</v>
      </c>
      <c r="C163" s="15">
        <v>527</v>
      </c>
      <c r="D163" s="14">
        <v>13</v>
      </c>
      <c r="E163" s="14">
        <v>0</v>
      </c>
      <c r="F163" s="14" t="s">
        <v>2216</v>
      </c>
      <c r="G163" s="14"/>
      <c r="H163" s="14">
        <v>50</v>
      </c>
      <c r="I163" s="14">
        <v>50</v>
      </c>
      <c r="J163" s="14">
        <v>0</v>
      </c>
      <c r="K163" s="14">
        <v>1</v>
      </c>
      <c r="L163" s="14">
        <v>0</v>
      </c>
      <c r="M163" s="14">
        <v>0</v>
      </c>
      <c r="N163" s="14">
        <v>0</v>
      </c>
      <c r="O163" s="14"/>
      <c r="P163" s="14"/>
      <c r="Q163" s="14"/>
      <c r="R163" s="15"/>
    </row>
    <row r="164" spans="1:18">
      <c r="A164" s="8"/>
      <c r="B164" s="15">
        <v>175</v>
      </c>
      <c r="C164" s="15">
        <v>527</v>
      </c>
      <c r="D164" s="14">
        <v>6</v>
      </c>
      <c r="E164" s="14">
        <v>0</v>
      </c>
      <c r="F164" s="14" t="s">
        <v>2216</v>
      </c>
      <c r="G164" s="14"/>
      <c r="H164" s="14">
        <v>40</v>
      </c>
      <c r="I164" s="14">
        <v>70</v>
      </c>
      <c r="J164" s="14">
        <v>160</v>
      </c>
      <c r="K164" s="14">
        <v>10</v>
      </c>
      <c r="L164" s="14">
        <v>6</v>
      </c>
      <c r="M164" s="14">
        <v>0</v>
      </c>
      <c r="N164" s="14">
        <v>0</v>
      </c>
      <c r="O164" s="14"/>
      <c r="P164" s="14"/>
      <c r="Q164" s="14"/>
      <c r="R164" s="15"/>
    </row>
    <row r="165" spans="1:18">
      <c r="A165" s="8"/>
      <c r="B165" s="15">
        <v>176</v>
      </c>
      <c r="C165" s="15">
        <v>527</v>
      </c>
      <c r="D165" s="14">
        <v>7</v>
      </c>
      <c r="E165" s="14">
        <v>0</v>
      </c>
      <c r="F165" s="14" t="s">
        <v>2216</v>
      </c>
      <c r="G165" s="14"/>
      <c r="H165" s="14">
        <v>50</v>
      </c>
      <c r="I165" s="14">
        <v>50</v>
      </c>
      <c r="J165" s="14">
        <v>0</v>
      </c>
      <c r="K165" s="14">
        <v>1</v>
      </c>
      <c r="L165" s="14">
        <v>6</v>
      </c>
      <c r="M165" s="14">
        <v>0</v>
      </c>
      <c r="N165" s="14">
        <v>0</v>
      </c>
      <c r="O165" s="14"/>
      <c r="P165" s="14"/>
      <c r="Q165" s="14"/>
      <c r="R165" s="15"/>
    </row>
    <row r="166" spans="1:18">
      <c r="A166" s="8"/>
      <c r="B166" s="15">
        <v>177</v>
      </c>
      <c r="C166" s="14">
        <v>529</v>
      </c>
      <c r="D166" s="14">
        <v>11</v>
      </c>
      <c r="E166" s="14">
        <v>4</v>
      </c>
      <c r="F166" s="14" t="s">
        <v>2213</v>
      </c>
      <c r="G166" s="14"/>
      <c r="H166" s="14">
        <v>65</v>
      </c>
      <c r="I166" s="14">
        <v>65</v>
      </c>
      <c r="J166" s="14">
        <v>0</v>
      </c>
      <c r="K166" s="14">
        <v>1</v>
      </c>
      <c r="L166" s="14">
        <v>0</v>
      </c>
      <c r="M166" s="14">
        <v>0</v>
      </c>
      <c r="N166" s="14">
        <v>0</v>
      </c>
      <c r="O166" s="14"/>
      <c r="P166" s="14"/>
      <c r="Q166" s="14"/>
      <c r="R166" s="15"/>
    </row>
    <row r="167" spans="1:18">
      <c r="A167" s="8"/>
      <c r="B167" s="15">
        <v>178</v>
      </c>
      <c r="C167" s="14">
        <v>529</v>
      </c>
      <c r="D167" s="14">
        <v>3</v>
      </c>
      <c r="E167" s="14">
        <v>0</v>
      </c>
      <c r="F167" s="14" t="s">
        <v>2213</v>
      </c>
      <c r="G167" s="14"/>
      <c r="H167" s="14">
        <v>20</v>
      </c>
      <c r="I167" s="14">
        <v>30</v>
      </c>
      <c r="J167" s="14">
        <v>141</v>
      </c>
      <c r="K167" s="14">
        <v>1</v>
      </c>
      <c r="L167" s="14">
        <v>2</v>
      </c>
      <c r="M167" s="14">
        <v>0</v>
      </c>
      <c r="N167" s="14">
        <v>0</v>
      </c>
      <c r="O167" s="14"/>
      <c r="P167" s="14"/>
      <c r="Q167" s="14"/>
      <c r="R167" s="15"/>
    </row>
    <row r="168" spans="1:18">
      <c r="A168" s="8"/>
      <c r="B168" s="15">
        <v>179</v>
      </c>
      <c r="C168" s="14">
        <v>529</v>
      </c>
      <c r="D168" s="14">
        <v>4</v>
      </c>
      <c r="E168" s="14">
        <v>0</v>
      </c>
      <c r="F168" s="14" t="s">
        <v>2213</v>
      </c>
      <c r="G168" s="14"/>
      <c r="H168" s="14">
        <v>30</v>
      </c>
      <c r="I168" s="14">
        <v>45</v>
      </c>
      <c r="J168" s="14">
        <v>141</v>
      </c>
      <c r="K168" s="14">
        <v>10</v>
      </c>
      <c r="L168" s="14">
        <v>2</v>
      </c>
      <c r="M168" s="14">
        <v>0</v>
      </c>
      <c r="N168" s="14">
        <v>0</v>
      </c>
      <c r="O168" s="14"/>
      <c r="P168" s="14"/>
      <c r="Q168" s="14"/>
      <c r="R168" s="15"/>
    </row>
    <row r="169" spans="1:18">
      <c r="A169" s="8"/>
      <c r="B169" s="15">
        <v>1000</v>
      </c>
      <c r="C169" s="15">
        <v>9005</v>
      </c>
      <c r="D169" s="15">
        <v>0</v>
      </c>
      <c r="E169" s="15">
        <v>0</v>
      </c>
      <c r="F169" s="15" t="str">
        <f>VLOOKUP(C169,skill_list!B:C,2)</f>
        <v>アタックライズ</v>
      </c>
      <c r="G169" s="15" t="s">
        <v>732</v>
      </c>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tr">
        <f>VLOOKUP(C170,skill_list!B:C,2)</f>
        <v>エンハンス</v>
      </c>
      <c r="G170" s="15" t="s">
        <v>732</v>
      </c>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tr">
        <f>VLOOKUP(C171,skill_list!B:C,2)</f>
        <v>エンハンス</v>
      </c>
      <c r="G171" s="15" t="s">
        <v>732</v>
      </c>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tr">
        <f>VLOOKUP(C172,skill_list!B:C,2)</f>
        <v>エンハンス</v>
      </c>
      <c r="G172" s="15" t="s">
        <v>732</v>
      </c>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tr">
        <f>VLOOKUP(C173,skill_list!B:C,2)</f>
        <v>エンハンス</v>
      </c>
      <c r="G173" s="15" t="s">
        <v>732</v>
      </c>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tr">
        <f>VLOOKUP(C174,skill_list!B:C,2)</f>
        <v>エンハンス</v>
      </c>
      <c r="G174" s="15" t="s">
        <v>732</v>
      </c>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tr">
        <f>VLOOKUP(C175,skill_list!B:C,2)</f>
        <v>エンハンス</v>
      </c>
      <c r="G175" s="15" t="s">
        <v>732</v>
      </c>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tr">
        <f>VLOOKUP(C176,skill_list!B:C,2)</f>
        <v>エンハンス</v>
      </c>
      <c r="G176" s="15" t="s">
        <v>732</v>
      </c>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tr">
        <f>VLOOKUP(C177,skill_list!B:C,2)</f>
        <v>導きの号令</v>
      </c>
      <c r="G177" s="15" t="s">
        <v>732</v>
      </c>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tr">
        <f>VLOOKUP(C178,skill_list!B:C,2)</f>
        <v>クールダウン</v>
      </c>
      <c r="G178" s="15" t="s">
        <v>732</v>
      </c>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tr">
        <f>VLOOKUP(C179,skill_list!B:C,2)</f>
        <v>クールダウン</v>
      </c>
      <c r="G179" s="15" t="s">
        <v>732</v>
      </c>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tr">
        <f>VLOOKUP(C180,skill_list!B:C,2)</f>
        <v>クールダウン</v>
      </c>
      <c r="G180" s="15" t="s">
        <v>732</v>
      </c>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tr">
        <f>VLOOKUP(C181,skill_list!B:C,2)</f>
        <v>クールダウン</v>
      </c>
      <c r="G181" s="15" t="s">
        <v>732</v>
      </c>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tr">
        <f>VLOOKUP(C182,skill_list!B:C,2)</f>
        <v>ドーピング</v>
      </c>
      <c r="G182" s="15" t="s">
        <v>732</v>
      </c>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tr">
        <f>VLOOKUP(C183,skill_list!B:C,2)</f>
        <v>臥龍天命</v>
      </c>
      <c r="G183" s="15" t="s">
        <v>732</v>
      </c>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tr">
        <f>VLOOKUP(C184,skill_list!B:C,2)</f>
        <v>決戦前夜</v>
      </c>
      <c r="G184" s="15" t="s">
        <v>732</v>
      </c>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tr">
        <f>VLOOKUP(C185,skill_list!B:C,2)</f>
        <v>フィルエンハンス</v>
      </c>
      <c r="G185" s="15" t="s">
        <v>732</v>
      </c>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tr">
        <f>VLOOKUP(C186,skill_list!B:C,2)</f>
        <v>フィルエンハンス</v>
      </c>
      <c r="G186" s="15" t="s">
        <v>732</v>
      </c>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tr">
        <f>VLOOKUP(C187,skill_list!B:C,2)</f>
        <v>フィルエンハンス</v>
      </c>
      <c r="G187" s="15" t="s">
        <v>732</v>
      </c>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tr">
        <f>VLOOKUP(C188,skill_list!B:C,2)</f>
        <v>フィルエンハンス</v>
      </c>
      <c r="G188" s="15" t="s">
        <v>732</v>
      </c>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15" t="str">
        <f>VLOOKUP(C189,skill_list!B:C,2)</f>
        <v>キリングエッジ</v>
      </c>
      <c r="G189" s="15" t="s">
        <v>732</v>
      </c>
      <c r="H189" s="15">
        <v>35</v>
      </c>
      <c r="I189" s="15">
        <v>50</v>
      </c>
      <c r="J189" s="15">
        <v>129</v>
      </c>
      <c r="K189" s="15">
        <v>1</v>
      </c>
      <c r="L189" s="15">
        <v>7</v>
      </c>
      <c r="M189" s="15">
        <v>0</v>
      </c>
      <c r="N189" s="15">
        <v>1</v>
      </c>
      <c r="O189" s="15"/>
      <c r="P189" s="15"/>
      <c r="Q189" s="15"/>
      <c r="R189" s="15"/>
    </row>
    <row r="190" spans="1:18">
      <c r="A190" s="8"/>
      <c r="B190" s="15">
        <v>1021</v>
      </c>
      <c r="C190" s="15">
        <v>109</v>
      </c>
      <c r="D190" s="15">
        <v>0</v>
      </c>
      <c r="E190" s="15">
        <v>0</v>
      </c>
      <c r="F190" s="15" t="str">
        <f>VLOOKUP(C190,skill_list!B:C,2)</f>
        <v>ハネ殺し</v>
      </c>
      <c r="G190" s="15" t="s">
        <v>732</v>
      </c>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tr">
        <f>VLOOKUP(C191,skill_list!B:C,2)</f>
        <v>デディケイトギフト</v>
      </c>
      <c r="G191" s="15" t="s">
        <v>732</v>
      </c>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tr">
        <f>VLOOKUP(C192,skill_list!B:C,2)</f>
        <v>空</v>
      </c>
      <c r="G192" s="15" t="s">
        <v>732</v>
      </c>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tr">
        <f>VLOOKUP(C193,skill_list!B:C,2)</f>
        <v>細雪</v>
      </c>
      <c r="G193" s="15" t="s">
        <v>732</v>
      </c>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15" t="str">
        <f>VLOOKUP(C194,skill_list!B:C,2)</f>
        <v>残心撃</v>
      </c>
      <c r="G194" s="15" t="s">
        <v>732</v>
      </c>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tr">
        <f>VLOOKUP(C195,skill_list!B:C,2)</f>
        <v>デヴォーション</v>
      </c>
      <c r="G195" s="15" t="s">
        <v>732</v>
      </c>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tr">
        <f>VLOOKUP(C196,skill_list!B:C,2)</f>
        <v>セルフパッション</v>
      </c>
      <c r="G196" s="15" t="s">
        <v>732</v>
      </c>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tr">
        <f>VLOOKUP(C197,skill_list!B:C,2)</f>
        <v>解けない謎はない</v>
      </c>
      <c r="G197" s="15" t="s">
        <v>732</v>
      </c>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tr">
        <f>VLOOKUP(C198,skill_list!B:C,2)</f>
        <v>クリャートヴァ</v>
      </c>
      <c r="G198" s="15" t="s">
        <v>732</v>
      </c>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tr">
        <f>VLOOKUP(C199,skill_list!B:C,2)</f>
        <v>アクセル全開</v>
      </c>
      <c r="G199" s="15" t="s">
        <v>732</v>
      </c>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tr">
        <f>VLOOKUP(C200,skill_list!B:C,2)</f>
        <v>ホーリーエンハンス</v>
      </c>
      <c r="G200" s="15" t="s">
        <v>732</v>
      </c>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tr">
        <f>VLOOKUP(C201,skill_list!B:C,2)</f>
        <v>赤面スティグマ</v>
      </c>
      <c r="G201" s="15" t="s">
        <v>732</v>
      </c>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tr">
        <f>VLOOKUP(C202,skill_list!B:C,2)</f>
        <v>淡雪</v>
      </c>
      <c r="G202" s="15" t="s">
        <v>732</v>
      </c>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tr">
        <f>VLOOKUP(C203,skill_list!B:C,2)</f>
        <v>被害妄想</v>
      </c>
      <c r="G203" s="15" t="s">
        <v>732</v>
      </c>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15" t="str">
        <f>VLOOKUP(C204,skill_list!B:C,2)</f>
        <v>ライトニングロア</v>
      </c>
      <c r="G204" s="15" t="s">
        <v>732</v>
      </c>
      <c r="H204" s="15">
        <v>40</v>
      </c>
      <c r="I204" s="15">
        <v>55</v>
      </c>
      <c r="J204" s="15">
        <v>129</v>
      </c>
      <c r="K204" s="15">
        <v>1</v>
      </c>
      <c r="L204" s="15">
        <v>7</v>
      </c>
      <c r="M204" s="15">
        <v>0</v>
      </c>
      <c r="N204" s="15">
        <v>1</v>
      </c>
      <c r="O204" s="15"/>
      <c r="P204" s="15"/>
      <c r="Q204" s="15"/>
      <c r="R204" s="15"/>
    </row>
    <row r="205" spans="1:18">
      <c r="A205" s="8"/>
      <c r="B205" s="15">
        <v>1106</v>
      </c>
      <c r="C205" s="15">
        <v>219</v>
      </c>
      <c r="D205" s="15">
        <v>1</v>
      </c>
      <c r="E205" s="15">
        <v>4</v>
      </c>
      <c r="F205" s="15" t="str">
        <f>VLOOKUP(C205,skill_list!B:C,2)</f>
        <v>夢十夜</v>
      </c>
      <c r="G205" s="15" t="s">
        <v>732</v>
      </c>
      <c r="H205" s="15">
        <v>40</v>
      </c>
      <c r="I205" s="15">
        <v>55</v>
      </c>
      <c r="J205" s="15">
        <v>132</v>
      </c>
      <c r="K205" s="15">
        <v>1</v>
      </c>
      <c r="L205" s="15">
        <v>7</v>
      </c>
      <c r="M205" s="15">
        <v>0</v>
      </c>
      <c r="N205" s="15">
        <v>1</v>
      </c>
      <c r="O205" s="15"/>
      <c r="P205" s="15"/>
      <c r="Q205" s="15"/>
      <c r="R205" s="15"/>
    </row>
    <row r="206" spans="1:18">
      <c r="A206" s="8"/>
      <c r="B206" s="15">
        <v>1107</v>
      </c>
      <c r="C206" s="15">
        <v>339</v>
      </c>
      <c r="D206" s="15">
        <v>1</v>
      </c>
      <c r="E206" s="15">
        <v>5</v>
      </c>
      <c r="F206" s="15" t="str">
        <f>VLOOKUP(C206,skill_list!B:C,2)</f>
        <v>大切り盛り</v>
      </c>
      <c r="G206" s="15" t="s">
        <v>732</v>
      </c>
      <c r="H206" s="15">
        <v>40</v>
      </c>
      <c r="I206" s="15">
        <v>55</v>
      </c>
      <c r="J206" s="15">
        <v>123</v>
      </c>
      <c r="K206" s="15">
        <v>1</v>
      </c>
      <c r="L206" s="15">
        <v>7</v>
      </c>
      <c r="M206" s="15">
        <v>0</v>
      </c>
      <c r="N206" s="15">
        <v>1</v>
      </c>
      <c r="O206" s="15"/>
      <c r="P206" s="15"/>
      <c r="Q206" s="15"/>
      <c r="R206" s="15"/>
    </row>
    <row r="207" spans="1:18">
      <c r="A207" s="8"/>
      <c r="B207" s="15">
        <v>1108</v>
      </c>
      <c r="C207" s="15">
        <v>404</v>
      </c>
      <c r="D207" s="15">
        <v>1</v>
      </c>
      <c r="E207" s="15">
        <v>3</v>
      </c>
      <c r="F207" s="15" t="str">
        <f>VLOOKUP(C207,skill_list!B:C,2)</f>
        <v>とある衝撃</v>
      </c>
      <c r="G207" s="15" t="s">
        <v>732</v>
      </c>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tr">
        <f>VLOOKUP(C208,skill_list!B:C,2)</f>
        <v>北風のスバル</v>
      </c>
      <c r="G208" s="15" t="s">
        <v>732</v>
      </c>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tr">
        <f>VLOOKUP(C209,skill_list!B:C,2)</f>
        <v>ねこじゃらし</v>
      </c>
      <c r="G209" s="15" t="s">
        <v>732</v>
      </c>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tr">
        <f>VLOOKUP(C210,skill_list!B:C,2)</f>
        <v>ピクシースマイル</v>
      </c>
      <c r="G210" s="15" t="s">
        <v>732</v>
      </c>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tr">
        <f>VLOOKUP(C211,skill_list!B:C,2)</f>
        <v>クリャートヴァ</v>
      </c>
      <c r="G211" s="15" t="s">
        <v>732</v>
      </c>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tr">
        <f>VLOOKUP(C212,skill_list!B:C,2)</f>
        <v>インサイト</v>
      </c>
      <c r="G212" s="15" t="s">
        <v>732</v>
      </c>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tr">
        <f>VLOOKUP(C213,skill_list!B:C,2)</f>
        <v>炯眼の構え</v>
      </c>
      <c r="G213" s="15" t="s">
        <v>732</v>
      </c>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tr">
        <f>VLOOKUP(C214,skill_list!B:C,2)</f>
        <v>心眼</v>
      </c>
      <c r="G214" s="15" t="s">
        <v>732</v>
      </c>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tr">
        <f>VLOOKUP(C215,skill_list!B:C,2)</f>
        <v>ソフニング</v>
      </c>
      <c r="G215" s="15" t="s">
        <v>732</v>
      </c>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tr">
        <f>VLOOKUP(C216,skill_list!B:C,2)</f>
        <v>臥龍演舞斬</v>
      </c>
      <c r="G216" s="15" t="s">
        <v>732</v>
      </c>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tr">
        <f>VLOOKUP(C217,skill_list!B:C,2)</f>
        <v>ハードブレード</v>
      </c>
      <c r="G217" s="15" t="s">
        <v>732</v>
      </c>
      <c r="H217" s="15">
        <v>30</v>
      </c>
      <c r="I217" s="15">
        <v>45</v>
      </c>
      <c r="J217" s="15">
        <v>129</v>
      </c>
      <c r="K217" s="15">
        <v>1</v>
      </c>
      <c r="L217" s="15">
        <v>1</v>
      </c>
      <c r="M217" s="15">
        <v>0</v>
      </c>
      <c r="N217" s="15">
        <v>1</v>
      </c>
      <c r="O217" s="15"/>
      <c r="P217" s="15"/>
      <c r="Q217" s="15"/>
      <c r="R217" s="15"/>
    </row>
    <row r="218" spans="1:18">
      <c r="A218" s="8"/>
      <c r="B218" s="15">
        <v>1303</v>
      </c>
      <c r="C218" s="15">
        <v>70</v>
      </c>
      <c r="D218" s="15">
        <v>3</v>
      </c>
      <c r="E218" s="15">
        <v>0</v>
      </c>
      <c r="F218" s="15" t="str">
        <f>VLOOKUP(C218,skill_list!B:C,2)</f>
        <v>ウィザードショット</v>
      </c>
      <c r="G218" s="15" t="s">
        <v>732</v>
      </c>
      <c r="H218" s="15">
        <v>30</v>
      </c>
      <c r="I218" s="15">
        <v>45</v>
      </c>
      <c r="J218" s="15">
        <v>117</v>
      </c>
      <c r="K218" s="15">
        <v>1</v>
      </c>
      <c r="L218" s="15">
        <v>1</v>
      </c>
      <c r="M218" s="15">
        <v>0</v>
      </c>
      <c r="N218" s="15">
        <v>1</v>
      </c>
      <c r="O218" s="15"/>
      <c r="P218" s="15"/>
      <c r="Q218" s="15"/>
      <c r="R218" s="15"/>
    </row>
    <row r="219" spans="1:18">
      <c r="A219" s="8"/>
      <c r="B219" s="15">
        <v>1304</v>
      </c>
      <c r="C219" s="15">
        <v>468</v>
      </c>
      <c r="D219" s="15">
        <v>3</v>
      </c>
      <c r="E219" s="15">
        <v>0</v>
      </c>
      <c r="F219" s="15" t="str">
        <f>VLOOKUP(C219,skill_list!B:C,2)</f>
        <v>螳螂之斧</v>
      </c>
      <c r="G219" s="15" t="s">
        <v>732</v>
      </c>
      <c r="H219" s="15">
        <v>20</v>
      </c>
      <c r="I219" s="15">
        <v>30</v>
      </c>
      <c r="J219" s="15">
        <v>134</v>
      </c>
      <c r="K219" s="15">
        <v>1</v>
      </c>
      <c r="L219" s="15">
        <v>2</v>
      </c>
      <c r="M219" s="15">
        <v>0</v>
      </c>
      <c r="N219" s="15">
        <v>1</v>
      </c>
      <c r="O219" s="15"/>
      <c r="P219" s="15"/>
      <c r="Q219" s="15"/>
      <c r="R219" s="15"/>
    </row>
    <row r="220" spans="1:18">
      <c r="A220" s="8"/>
      <c r="B220" s="15">
        <v>1351</v>
      </c>
      <c r="C220" s="15">
        <v>116</v>
      </c>
      <c r="D220" s="15">
        <v>3</v>
      </c>
      <c r="E220" s="15">
        <v>0</v>
      </c>
      <c r="F220" s="15" t="str">
        <f>VLOOKUP(C220,skill_list!B:C,2)</f>
        <v>レイジングシャウト</v>
      </c>
      <c r="G220" s="15" t="s">
        <v>732</v>
      </c>
      <c r="H220" s="15">
        <v>20</v>
      </c>
      <c r="I220" s="15">
        <v>30</v>
      </c>
      <c r="J220" s="15">
        <v>120</v>
      </c>
      <c r="K220" s="15">
        <v>1</v>
      </c>
      <c r="L220" s="15">
        <v>2</v>
      </c>
      <c r="M220" s="15">
        <v>0</v>
      </c>
      <c r="N220" s="15">
        <v>1</v>
      </c>
      <c r="O220" s="15"/>
      <c r="P220" s="15"/>
      <c r="Q220" s="15"/>
      <c r="R220" s="15"/>
    </row>
    <row r="221" spans="1:18">
      <c r="A221" s="8"/>
      <c r="B221" s="15">
        <v>1352</v>
      </c>
      <c r="C221" s="15">
        <v>126</v>
      </c>
      <c r="D221" s="15">
        <v>3</v>
      </c>
      <c r="E221" s="15">
        <v>0</v>
      </c>
      <c r="F221" s="15" t="str">
        <f>VLOOKUP(C221,skill_list!B:C,2)</f>
        <v>ラブカ・ブレード</v>
      </c>
      <c r="G221" s="15" t="s">
        <v>732</v>
      </c>
      <c r="H221" s="15">
        <v>20</v>
      </c>
      <c r="I221" s="15">
        <v>30</v>
      </c>
      <c r="J221" s="15">
        <v>123</v>
      </c>
      <c r="K221" s="15">
        <v>1</v>
      </c>
      <c r="L221" s="15">
        <v>2</v>
      </c>
      <c r="M221" s="15">
        <v>0</v>
      </c>
      <c r="N221" s="15">
        <v>1</v>
      </c>
      <c r="O221" s="15"/>
      <c r="P221" s="15"/>
      <c r="Q221" s="15"/>
      <c r="R221" s="15"/>
    </row>
    <row r="222" spans="1:18">
      <c r="A222" s="8"/>
      <c r="B222" s="15">
        <v>1401</v>
      </c>
      <c r="C222" s="15">
        <v>204</v>
      </c>
      <c r="D222" s="15">
        <v>4</v>
      </c>
      <c r="E222" s="15">
        <v>3</v>
      </c>
      <c r="F222" s="15" t="str">
        <f>VLOOKUP(C222,skill_list!B:C,2)</f>
        <v>ミストイングレイブ</v>
      </c>
      <c r="G222" s="15" t="s">
        <v>732</v>
      </c>
      <c r="H222" s="15">
        <v>45</v>
      </c>
      <c r="I222" s="15">
        <v>60</v>
      </c>
      <c r="J222" s="15">
        <v>126</v>
      </c>
      <c r="K222" s="15">
        <v>1</v>
      </c>
      <c r="L222" s="15">
        <v>1</v>
      </c>
      <c r="M222" s="15">
        <v>0</v>
      </c>
      <c r="N222" s="15">
        <v>1</v>
      </c>
      <c r="O222" s="15"/>
      <c r="P222" s="15"/>
      <c r="Q222" s="15"/>
      <c r="R222" s="15"/>
    </row>
    <row r="223" spans="1:18">
      <c r="A223" s="8"/>
      <c r="B223" s="15">
        <v>1402</v>
      </c>
      <c r="C223" s="15">
        <v>328</v>
      </c>
      <c r="D223" s="15">
        <v>4</v>
      </c>
      <c r="E223" s="15">
        <v>5</v>
      </c>
      <c r="F223" s="15" t="str">
        <f>VLOOKUP(C223,skill_list!B:C,2)</f>
        <v>先に逝くなよ</v>
      </c>
      <c r="G223" s="15" t="s">
        <v>732</v>
      </c>
      <c r="H223" s="15">
        <v>45</v>
      </c>
      <c r="I223" s="15">
        <v>60</v>
      </c>
      <c r="J223" s="15">
        <v>123</v>
      </c>
      <c r="K223" s="15">
        <v>1</v>
      </c>
      <c r="L223" s="15">
        <v>1</v>
      </c>
      <c r="M223" s="15">
        <v>0</v>
      </c>
      <c r="N223" s="15">
        <v>1</v>
      </c>
      <c r="O223" s="15"/>
      <c r="P223" s="15"/>
      <c r="Q223" s="15"/>
      <c r="R223" s="15"/>
    </row>
    <row r="224" spans="1:18">
      <c r="A224" s="8"/>
      <c r="B224" s="15">
        <v>1403</v>
      </c>
      <c r="C224" s="15">
        <v>282</v>
      </c>
      <c r="D224" s="15">
        <v>4</v>
      </c>
      <c r="E224" s="15">
        <v>1</v>
      </c>
      <c r="F224" s="15" t="str">
        <f>VLOOKUP(C224,skill_list!B:C,2)</f>
        <v>ヴィクタープラクティス</v>
      </c>
      <c r="G224" s="15" t="s">
        <v>732</v>
      </c>
      <c r="H224" s="15">
        <v>45</v>
      </c>
      <c r="I224" s="15">
        <v>60</v>
      </c>
      <c r="J224" s="15">
        <v>123</v>
      </c>
      <c r="K224" s="15">
        <v>1</v>
      </c>
      <c r="L224" s="15">
        <v>1</v>
      </c>
      <c r="M224" s="15">
        <v>0</v>
      </c>
      <c r="N224" s="15">
        <v>1</v>
      </c>
      <c r="O224" s="15"/>
      <c r="P224" s="15"/>
      <c r="Q224" s="15"/>
      <c r="R224" s="15"/>
    </row>
    <row r="225" spans="1:18">
      <c r="A225" s="8"/>
      <c r="B225" s="15">
        <v>1404</v>
      </c>
      <c r="C225" s="15">
        <v>222</v>
      </c>
      <c r="D225" s="15">
        <v>4</v>
      </c>
      <c r="E225" s="15">
        <v>4</v>
      </c>
      <c r="F225" s="15" t="str">
        <f>VLOOKUP(C225,skill_list!B:C,2)</f>
        <v>夜雨</v>
      </c>
      <c r="G225" s="15" t="s">
        <v>732</v>
      </c>
      <c r="H225" s="15">
        <v>45</v>
      </c>
      <c r="I225" s="15">
        <v>60</v>
      </c>
      <c r="J225" s="15">
        <v>131</v>
      </c>
      <c r="K225" s="15">
        <v>1</v>
      </c>
      <c r="L225" s="15">
        <v>1</v>
      </c>
      <c r="M225" s="15">
        <v>0</v>
      </c>
      <c r="N225" s="15">
        <v>1</v>
      </c>
      <c r="O225" s="15"/>
      <c r="P225" s="15"/>
      <c r="Q225" s="15"/>
      <c r="R225" s="15"/>
    </row>
    <row r="226" spans="1:18">
      <c r="A226" s="8"/>
      <c r="B226" s="15">
        <v>1405</v>
      </c>
      <c r="C226" s="15">
        <v>222</v>
      </c>
      <c r="D226" s="15">
        <v>4</v>
      </c>
      <c r="E226" s="15">
        <v>5</v>
      </c>
      <c r="F226" s="15" t="str">
        <f>VLOOKUP(C226,skill_list!B:C,2)</f>
        <v>夜雨</v>
      </c>
      <c r="G226" s="15" t="s">
        <v>732</v>
      </c>
      <c r="H226" s="15">
        <v>45</v>
      </c>
      <c r="I226" s="15">
        <v>60</v>
      </c>
      <c r="J226" s="15">
        <v>131</v>
      </c>
      <c r="K226" s="15">
        <v>1</v>
      </c>
      <c r="L226" s="15">
        <v>1</v>
      </c>
      <c r="M226" s="15">
        <v>0</v>
      </c>
      <c r="N226" s="15">
        <v>1</v>
      </c>
      <c r="O226" s="15"/>
      <c r="P226" s="15"/>
      <c r="Q226" s="15"/>
      <c r="R226" s="15"/>
    </row>
    <row r="227" spans="1:18">
      <c r="A227" s="8"/>
      <c r="B227" s="15">
        <v>1406</v>
      </c>
      <c r="C227" s="15">
        <v>446</v>
      </c>
      <c r="D227" s="15">
        <v>4</v>
      </c>
      <c r="E227" s="15">
        <v>2</v>
      </c>
      <c r="F227" s="15" t="str">
        <f>VLOOKUP(C227,skill_list!B:C,2)</f>
        <v>コールドクラッシュ</v>
      </c>
      <c r="G227" s="15" t="s">
        <v>732</v>
      </c>
      <c r="H227" s="15">
        <v>45</v>
      </c>
      <c r="I227" s="15">
        <v>60</v>
      </c>
      <c r="J227" s="15">
        <v>132</v>
      </c>
      <c r="K227" s="15">
        <v>1</v>
      </c>
      <c r="L227" s="15">
        <v>1</v>
      </c>
      <c r="M227" s="15">
        <v>0</v>
      </c>
      <c r="N227" s="15">
        <v>1</v>
      </c>
      <c r="O227" s="15"/>
      <c r="P227" s="15"/>
      <c r="Q227" s="15"/>
      <c r="R227" s="15"/>
    </row>
    <row r="228" spans="1:18">
      <c r="A228" s="8"/>
      <c r="B228" s="15">
        <v>1451</v>
      </c>
      <c r="C228" s="15">
        <v>241</v>
      </c>
      <c r="D228" s="15">
        <v>4</v>
      </c>
      <c r="E228" s="15">
        <v>1</v>
      </c>
      <c r="F228" s="15" t="str">
        <f>VLOOKUP(C228,skill_list!B:C,2)</f>
        <v>怒裂昂</v>
      </c>
      <c r="G228" s="15" t="s">
        <v>732</v>
      </c>
      <c r="H228" s="15">
        <v>30</v>
      </c>
      <c r="I228" s="15">
        <v>45</v>
      </c>
      <c r="J228" s="15">
        <v>129</v>
      </c>
      <c r="K228" s="15">
        <v>1</v>
      </c>
      <c r="L228" s="15">
        <v>2</v>
      </c>
      <c r="M228" s="15">
        <v>0</v>
      </c>
      <c r="N228" s="15">
        <v>1</v>
      </c>
      <c r="O228" s="15"/>
      <c r="P228" s="15"/>
      <c r="Q228" s="15"/>
      <c r="R228" s="15"/>
    </row>
    <row r="229" spans="1:18">
      <c r="A229" s="8"/>
      <c r="B229" s="15">
        <v>1452</v>
      </c>
      <c r="C229" s="15">
        <v>77</v>
      </c>
      <c r="D229" s="15">
        <v>4</v>
      </c>
      <c r="E229" s="15">
        <v>2</v>
      </c>
      <c r="F229" s="15" t="str">
        <f>VLOOKUP(C229,skill_list!B:C,2)</f>
        <v>ビスコッティ</v>
      </c>
      <c r="G229" s="15" t="s">
        <v>732</v>
      </c>
      <c r="H229" s="15">
        <v>30</v>
      </c>
      <c r="I229" s="15">
        <v>45</v>
      </c>
      <c r="J229" s="15">
        <v>129</v>
      </c>
      <c r="K229" s="15">
        <v>1</v>
      </c>
      <c r="L229" s="15">
        <v>2</v>
      </c>
      <c r="M229" s="15">
        <v>0</v>
      </c>
      <c r="N229" s="15">
        <v>1</v>
      </c>
      <c r="O229" s="15"/>
      <c r="P229" s="15"/>
      <c r="Q229" s="15"/>
      <c r="R229" s="15"/>
    </row>
    <row r="230" spans="1:18">
      <c r="A230" s="8"/>
      <c r="B230" s="15">
        <v>1453</v>
      </c>
      <c r="C230" s="15">
        <v>410</v>
      </c>
      <c r="D230" s="15">
        <v>4</v>
      </c>
      <c r="E230" s="15">
        <v>3</v>
      </c>
      <c r="F230" s="15" t="str">
        <f>VLOOKUP(C230,skill_list!B:C,2)</f>
        <v>ザヴィーシマスチ</v>
      </c>
      <c r="G230" s="15" t="s">
        <v>732</v>
      </c>
      <c r="H230" s="15">
        <v>30</v>
      </c>
      <c r="I230" s="15">
        <v>45</v>
      </c>
      <c r="J230" s="15">
        <v>129</v>
      </c>
      <c r="K230" s="15">
        <v>1</v>
      </c>
      <c r="L230" s="15">
        <v>2</v>
      </c>
      <c r="M230" s="15">
        <v>0</v>
      </c>
      <c r="N230" s="15">
        <v>1</v>
      </c>
      <c r="O230" s="15"/>
      <c r="P230" s="15"/>
      <c r="Q230" s="15"/>
      <c r="R230" s="15"/>
    </row>
    <row r="231" spans="1:18">
      <c r="A231" s="8"/>
      <c r="B231" s="15">
        <v>1454</v>
      </c>
      <c r="C231" s="15">
        <v>477</v>
      </c>
      <c r="D231" s="15">
        <v>4</v>
      </c>
      <c r="E231" s="15">
        <v>5</v>
      </c>
      <c r="F231" s="15" t="str">
        <f>VLOOKUP(C231,skill_list!B:C,2)</f>
        <v>ヌラルジャ</v>
      </c>
      <c r="G231" s="15" t="s">
        <v>732</v>
      </c>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tr">
        <f>VLOOKUP(C232,skill_list!B:C,2)</f>
        <v>シルキーフレア</v>
      </c>
      <c r="G232" s="15" t="s">
        <v>732</v>
      </c>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tr">
        <f>VLOOKUP(C233,skill_list!B:C,2)</f>
        <v>目覚まし見て氷結</v>
      </c>
      <c r="G233" s="15" t="s">
        <v>732</v>
      </c>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tr">
        <f>VLOOKUP(C234,skill_list!B:C,2)</f>
        <v>呪怨の矢</v>
      </c>
      <c r="G234" s="15" t="s">
        <v>732</v>
      </c>
      <c r="H234" s="15">
        <v>35</v>
      </c>
      <c r="I234" s="15">
        <v>50</v>
      </c>
      <c r="J234" s="15">
        <v>120</v>
      </c>
      <c r="K234" s="15">
        <v>1</v>
      </c>
      <c r="L234" s="15">
        <v>1</v>
      </c>
      <c r="M234" s="15">
        <v>0</v>
      </c>
      <c r="N234" s="15">
        <v>1</v>
      </c>
      <c r="O234" s="15"/>
      <c r="P234" s="15"/>
      <c r="Q234" s="15"/>
      <c r="R234" s="15"/>
    </row>
    <row r="235" spans="1:18">
      <c r="A235" s="8"/>
      <c r="B235" s="15">
        <v>1502</v>
      </c>
      <c r="C235" s="15">
        <v>272</v>
      </c>
      <c r="D235" s="15">
        <v>5</v>
      </c>
      <c r="E235" s="15">
        <v>0</v>
      </c>
      <c r="F235" s="15" t="str">
        <f>VLOOKUP(C235,skill_list!B:C,2)</f>
        <v>ディープブロー</v>
      </c>
      <c r="G235" s="15" t="s">
        <v>732</v>
      </c>
      <c r="H235" s="15">
        <v>35</v>
      </c>
      <c r="I235" s="15">
        <v>50</v>
      </c>
      <c r="J235" s="15">
        <v>120</v>
      </c>
      <c r="K235" s="15">
        <v>1</v>
      </c>
      <c r="L235" s="15">
        <v>1</v>
      </c>
      <c r="M235" s="15">
        <v>0</v>
      </c>
      <c r="N235" s="15">
        <v>1</v>
      </c>
      <c r="O235" s="15"/>
      <c r="P235" s="15"/>
      <c r="Q235" s="15"/>
      <c r="R235" s="15"/>
    </row>
    <row r="236" spans="1:18">
      <c r="A236" s="8"/>
      <c r="B236" s="15">
        <v>1551</v>
      </c>
      <c r="C236" s="15">
        <v>195</v>
      </c>
      <c r="D236" s="15">
        <v>5</v>
      </c>
      <c r="E236" s="15">
        <v>0</v>
      </c>
      <c r="F236" s="15" t="str">
        <f>VLOOKUP(C236,skill_list!B:C,2)</f>
        <v>ネイキッドイレイザー</v>
      </c>
      <c r="G236" s="15" t="s">
        <v>732</v>
      </c>
      <c r="H236" s="15">
        <v>35</v>
      </c>
      <c r="I236" s="15">
        <v>50</v>
      </c>
      <c r="J236" s="15">
        <v>132</v>
      </c>
      <c r="K236" s="15">
        <v>1</v>
      </c>
      <c r="L236" s="15">
        <v>2</v>
      </c>
      <c r="M236" s="15">
        <v>0</v>
      </c>
      <c r="N236" s="15">
        <v>1</v>
      </c>
      <c r="O236" s="15"/>
      <c r="P236" s="15"/>
      <c r="Q236" s="15"/>
      <c r="R236" s="15"/>
    </row>
    <row r="237" spans="1:18">
      <c r="A237" s="8"/>
      <c r="B237" s="15">
        <v>1552</v>
      </c>
      <c r="C237" s="15">
        <v>218</v>
      </c>
      <c r="D237" s="15">
        <v>5</v>
      </c>
      <c r="E237" s="15">
        <v>0</v>
      </c>
      <c r="F237" s="15" t="str">
        <f>VLOOKUP(C237,skill_list!B:C,2)</f>
        <v>薙の矢</v>
      </c>
      <c r="G237" s="15" t="s">
        <v>732</v>
      </c>
      <c r="H237" s="15">
        <v>35</v>
      </c>
      <c r="I237" s="15">
        <v>50</v>
      </c>
      <c r="J237" s="15">
        <v>126</v>
      </c>
      <c r="K237" s="15">
        <v>1</v>
      </c>
      <c r="L237" s="15">
        <v>2</v>
      </c>
      <c r="M237" s="15">
        <v>0</v>
      </c>
      <c r="N237" s="15">
        <v>1</v>
      </c>
      <c r="O237" s="15"/>
      <c r="P237" s="15"/>
      <c r="Q237" s="15"/>
      <c r="R237" s="15"/>
    </row>
    <row r="238" spans="1:18">
      <c r="A238" s="8"/>
      <c r="B238" s="15">
        <v>1553</v>
      </c>
      <c r="C238" s="15">
        <v>349</v>
      </c>
      <c r="D238" s="15">
        <v>5</v>
      </c>
      <c r="E238" s="15">
        <v>0</v>
      </c>
      <c r="F238" s="15" t="str">
        <f>VLOOKUP(C238,skill_list!B:C,2)</f>
        <v>大海原</v>
      </c>
      <c r="G238" s="15" t="s">
        <v>732</v>
      </c>
      <c r="H238" s="15">
        <v>35</v>
      </c>
      <c r="I238" s="15">
        <v>50</v>
      </c>
      <c r="J238" s="15">
        <v>129</v>
      </c>
      <c r="K238" s="15">
        <v>1</v>
      </c>
      <c r="L238" s="15">
        <v>2</v>
      </c>
      <c r="M238" s="15">
        <v>0</v>
      </c>
      <c r="N238" s="15">
        <v>1</v>
      </c>
      <c r="O238" s="15"/>
      <c r="P238" s="15"/>
      <c r="Q238" s="15"/>
      <c r="R238" s="15"/>
    </row>
    <row r="239" spans="1:18">
      <c r="A239" s="8"/>
      <c r="B239" s="14">
        <v>1554</v>
      </c>
      <c r="C239" s="14">
        <v>528</v>
      </c>
      <c r="D239" s="14">
        <v>5</v>
      </c>
      <c r="E239" s="14">
        <v>0</v>
      </c>
      <c r="F239" s="14" t="s">
        <v>2214</v>
      </c>
      <c r="G239" s="14"/>
      <c r="H239" s="14">
        <v>35</v>
      </c>
      <c r="I239" s="14">
        <v>50</v>
      </c>
      <c r="J239" s="14">
        <v>129</v>
      </c>
      <c r="K239" s="14">
        <v>1</v>
      </c>
      <c r="L239" s="14">
        <v>2</v>
      </c>
      <c r="M239" s="14">
        <v>0</v>
      </c>
      <c r="N239" s="14">
        <v>0</v>
      </c>
      <c r="O239" s="14"/>
      <c r="P239" s="14"/>
      <c r="Q239" s="14"/>
    </row>
    <row r="240" spans="1:18">
      <c r="A240" s="8"/>
      <c r="B240" s="15">
        <v>1600</v>
      </c>
      <c r="C240" s="15">
        <v>9001</v>
      </c>
      <c r="D240" s="15">
        <v>6</v>
      </c>
      <c r="E240" s="15">
        <v>0</v>
      </c>
      <c r="F240" s="15" t="str">
        <f>VLOOKUP(C240,skill_list!B:C,2)</f>
        <v>クリティカルシンキング</v>
      </c>
      <c r="G240" s="15" t="s">
        <v>732</v>
      </c>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15" t="str">
        <f>VLOOKUP(C241,skill_list!B:C,2)</f>
        <v>ルーンバースト</v>
      </c>
      <c r="G241" s="15" t="s">
        <v>732</v>
      </c>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tr">
        <f>VLOOKUP(C242,skill_list!B:C,2)</f>
        <v>ホールドアップマインド</v>
      </c>
      <c r="G242" s="15" t="s">
        <v>732</v>
      </c>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tr">
        <f>VLOOKUP(C243,skill_list!B:C,2)</f>
        <v>冀望</v>
      </c>
      <c r="G243" s="15" t="s">
        <v>732</v>
      </c>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tr">
        <f>VLOOKUP(C244,skill_list!B:C,2)</f>
        <v>一途なスマイル</v>
      </c>
      <c r="G244" s="15" t="s">
        <v>732</v>
      </c>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tr">
        <f>VLOOKUP(C245,skill_list!B:C,2)</f>
        <v>おしおき</v>
      </c>
      <c r="G245" s="15" t="s">
        <v>732</v>
      </c>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tr">
        <f>VLOOKUP(C246,skill_list!B:C,2)</f>
        <v>コンセントレーション</v>
      </c>
      <c r="G246" s="15" t="s">
        <v>732</v>
      </c>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tr">
        <f>VLOOKUP(C247,skill_list!B:C,2)</f>
        <v>一途なスマイル</v>
      </c>
      <c r="G247" s="15" t="s">
        <v>732</v>
      </c>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tr">
        <f>VLOOKUP(C248,skill_list!B:C,2)</f>
        <v>解けない謎はない</v>
      </c>
      <c r="G248" s="15" t="s">
        <v>732</v>
      </c>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tr">
        <f>VLOOKUP(C249,skill_list!B:C,2)</f>
        <v>冀望</v>
      </c>
      <c r="G249" s="15" t="s">
        <v>732</v>
      </c>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tr">
        <f>VLOOKUP(C250,skill_list!B:C,2)</f>
        <v>聖域のカンタータ</v>
      </c>
      <c r="G250" s="15" t="s">
        <v>732</v>
      </c>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tr">
        <f>VLOOKUP(C251,skill_list!B:C,2)</f>
        <v>メイドの嗜み</v>
      </c>
      <c r="G251" s="15" t="s">
        <v>732</v>
      </c>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tr">
        <f>VLOOKUP(C252,skill_list!B:C,2)</f>
        <v>春爛漫</v>
      </c>
      <c r="G252" s="15" t="s">
        <v>732</v>
      </c>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tr">
        <f>VLOOKUP(C253,skill_list!B:C,2)</f>
        <v>チャージ</v>
      </c>
      <c r="G253" s="15" t="s">
        <v>732</v>
      </c>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tr">
        <f>VLOOKUP(C254,skill_list!B:C,2)</f>
        <v>アクセル全開</v>
      </c>
      <c r="G254" s="15" t="s">
        <v>732</v>
      </c>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tr">
        <f>VLOOKUP(C255,skill_list!B:C,2)</f>
        <v>アオナツの夢</v>
      </c>
      <c r="G255" s="15" t="s">
        <v>732</v>
      </c>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15" t="str">
        <f>VLOOKUP(C256,skill_list!B:C,2)</f>
        <v>ハイセンス・ショット</v>
      </c>
      <c r="G256" s="15" t="s">
        <v>732</v>
      </c>
      <c r="H256" s="15">
        <v>20</v>
      </c>
      <c r="I256" s="15">
        <v>30</v>
      </c>
      <c r="J256" s="15">
        <v>123</v>
      </c>
      <c r="K256" s="15">
        <v>1</v>
      </c>
      <c r="L256" s="15">
        <v>7</v>
      </c>
      <c r="M256" s="15">
        <v>0</v>
      </c>
      <c r="N256" s="15">
        <v>1</v>
      </c>
      <c r="O256" s="15"/>
      <c r="P256" s="15"/>
      <c r="Q256" s="15"/>
      <c r="R256" s="15"/>
    </row>
    <row r="257" spans="1:18">
      <c r="A257" s="8"/>
      <c r="B257" s="15">
        <v>2052</v>
      </c>
      <c r="C257" s="15">
        <v>163</v>
      </c>
      <c r="D257" s="15">
        <v>10</v>
      </c>
      <c r="E257" s="15">
        <v>0</v>
      </c>
      <c r="F257" s="15" t="str">
        <f>VLOOKUP(C257,skill_list!B:C,2)</f>
        <v>残心</v>
      </c>
      <c r="G257" s="15" t="s">
        <v>732</v>
      </c>
      <c r="H257" s="15">
        <v>20</v>
      </c>
      <c r="I257" s="15">
        <v>30</v>
      </c>
      <c r="J257" s="15">
        <v>123</v>
      </c>
      <c r="K257" s="15">
        <v>1</v>
      </c>
      <c r="L257" s="15">
        <v>7</v>
      </c>
      <c r="M257" s="15">
        <v>0</v>
      </c>
      <c r="N257" s="15">
        <v>1</v>
      </c>
      <c r="O257" s="15"/>
      <c r="P257" s="15"/>
      <c r="Q257" s="15"/>
      <c r="R257" s="15"/>
    </row>
    <row r="258" spans="1:18">
      <c r="A258" s="8"/>
      <c r="B258" s="15">
        <v>2053</v>
      </c>
      <c r="C258" s="15">
        <v>228</v>
      </c>
      <c r="D258" s="15">
        <v>10</v>
      </c>
      <c r="E258" s="15">
        <v>0</v>
      </c>
      <c r="F258" s="15" t="str">
        <f>VLOOKUP(C258,skill_list!B:C,2)</f>
        <v>喧嘩上等！！</v>
      </c>
      <c r="G258" s="15" t="s">
        <v>732</v>
      </c>
      <c r="H258" s="15">
        <v>20</v>
      </c>
      <c r="I258" s="15">
        <v>30</v>
      </c>
      <c r="J258" s="15">
        <v>132</v>
      </c>
      <c r="K258" s="15">
        <v>1</v>
      </c>
      <c r="L258" s="15">
        <v>7</v>
      </c>
      <c r="M258" s="15">
        <v>0</v>
      </c>
      <c r="N258" s="15">
        <v>1</v>
      </c>
      <c r="O258" s="15"/>
      <c r="P258" s="15"/>
      <c r="Q258" s="15"/>
      <c r="R258" s="15"/>
    </row>
    <row r="259" spans="1:18">
      <c r="A259" s="8"/>
      <c r="B259" s="15">
        <v>2201</v>
      </c>
      <c r="C259" s="15">
        <v>321</v>
      </c>
      <c r="D259" s="15">
        <v>12</v>
      </c>
      <c r="E259" s="15">
        <v>0</v>
      </c>
      <c r="F259" s="15" t="str">
        <f>VLOOKUP(C259,skill_list!B:C,2)</f>
        <v>ファーストラヴ</v>
      </c>
      <c r="G259" s="15" t="s">
        <v>732</v>
      </c>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tr">
        <f>VLOOKUP(C260,skill_list!B:C,2)</f>
        <v>ドライブゲイン</v>
      </c>
      <c r="G260" s="15" t="s">
        <v>732</v>
      </c>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tr">
        <f>VLOOKUP(C261,skill_list!B:C,2)</f>
        <v>サービス・エース</v>
      </c>
      <c r="G261" s="15" t="s">
        <v>732</v>
      </c>
      <c r="H261" s="15">
        <v>10</v>
      </c>
      <c r="I261" s="15">
        <v>15</v>
      </c>
      <c r="J261" s="15">
        <v>117</v>
      </c>
      <c r="K261" s="15">
        <v>1</v>
      </c>
      <c r="L261" s="15">
        <v>0</v>
      </c>
      <c r="M261" s="15">
        <v>0</v>
      </c>
      <c r="N261" s="15">
        <v>0</v>
      </c>
      <c r="O261" s="15"/>
      <c r="P261" s="15"/>
      <c r="Q261" s="15"/>
      <c r="R261" s="15"/>
    </row>
    <row r="262" spans="1:18">
      <c r="A262" s="8"/>
      <c r="B262" s="15">
        <v>2302</v>
      </c>
      <c r="C262" s="15">
        <v>194</v>
      </c>
      <c r="D262" s="15">
        <v>13</v>
      </c>
      <c r="E262" s="15">
        <v>0</v>
      </c>
      <c r="F262" s="15" t="str">
        <f>VLOOKUP(C262,skill_list!B:C,2)</f>
        <v>渾身銃撃</v>
      </c>
      <c r="G262" s="15" t="s">
        <v>732</v>
      </c>
      <c r="H262" s="15">
        <v>10</v>
      </c>
      <c r="I262" s="15">
        <v>15</v>
      </c>
      <c r="J262" s="15">
        <v>117</v>
      </c>
      <c r="K262" s="15">
        <v>1</v>
      </c>
      <c r="L262" s="15">
        <v>0</v>
      </c>
      <c r="M262" s="15">
        <v>0</v>
      </c>
      <c r="N262" s="15">
        <v>0</v>
      </c>
      <c r="O262" s="15"/>
      <c r="P262" s="15"/>
      <c r="Q262" s="15"/>
      <c r="R262" s="15"/>
    </row>
    <row r="263" spans="1:18">
      <c r="A263" s="8"/>
      <c r="B263" s="15">
        <v>2401</v>
      </c>
      <c r="C263" s="15">
        <v>293</v>
      </c>
      <c r="D263" s="15">
        <v>14</v>
      </c>
      <c r="E263" s="15">
        <v>0</v>
      </c>
      <c r="F263" s="15" t="str">
        <f>VLOOKUP(C263,skill_list!B:C,2)</f>
        <v>きらめきのエール</v>
      </c>
      <c r="G263" s="15" t="s">
        <v>732</v>
      </c>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tr">
        <f>VLOOKUP(C264,skill_list!B:C,2)</f>
        <v>カースサイス</v>
      </c>
      <c r="G264" s="15" t="s">
        <v>732</v>
      </c>
      <c r="H264" s="15">
        <v>0</v>
      </c>
      <c r="I264" s="15">
        <v>0</v>
      </c>
      <c r="J264" s="15">
        <v>0</v>
      </c>
      <c r="K264" s="15">
        <v>1</v>
      </c>
      <c r="L264" s="15">
        <v>1</v>
      </c>
      <c r="M264" s="15">
        <v>0</v>
      </c>
      <c r="N264" s="15">
        <v>2</v>
      </c>
      <c r="O264" s="15"/>
      <c r="P264" s="15"/>
      <c r="Q264" s="15"/>
      <c r="R264" s="15"/>
    </row>
    <row r="265" spans="1:18">
      <c r="A265" s="8"/>
      <c r="B265" s="15">
        <v>2502</v>
      </c>
      <c r="C265" s="15">
        <v>380</v>
      </c>
      <c r="D265" s="15">
        <v>15</v>
      </c>
      <c r="E265" s="15">
        <v>0</v>
      </c>
      <c r="F265" s="15" t="str">
        <f>VLOOKUP(C265,skill_list!B:C,2)</f>
        <v>天変の相</v>
      </c>
      <c r="G265" s="15" t="s">
        <v>732</v>
      </c>
      <c r="H265" s="15">
        <v>0</v>
      </c>
      <c r="I265" s="15">
        <v>0</v>
      </c>
      <c r="J265" s="15">
        <v>0</v>
      </c>
      <c r="K265" s="15">
        <v>1</v>
      </c>
      <c r="L265" s="15">
        <v>1</v>
      </c>
      <c r="M265" s="15">
        <v>0</v>
      </c>
      <c r="N265" s="15">
        <v>2</v>
      </c>
      <c r="O265" s="15"/>
      <c r="P265" s="15"/>
      <c r="Q265" s="15"/>
      <c r="R265" s="15"/>
    </row>
    <row r="266" spans="1:18">
      <c r="A266" s="8"/>
      <c r="B266" s="15">
        <v>2503</v>
      </c>
      <c r="C266" s="15">
        <v>265</v>
      </c>
      <c r="D266" s="15">
        <v>15</v>
      </c>
      <c r="E266" s="15">
        <v>0</v>
      </c>
      <c r="F266" s="15" t="str">
        <f>VLOOKUP(C266,skill_list!B:C,2)</f>
        <v>神妙</v>
      </c>
      <c r="G266" s="15" t="s">
        <v>732</v>
      </c>
      <c r="H266" s="15">
        <v>0</v>
      </c>
      <c r="I266" s="15">
        <v>0</v>
      </c>
      <c r="J266" s="15">
        <v>0</v>
      </c>
      <c r="K266" s="15">
        <v>1</v>
      </c>
      <c r="L266" s="15">
        <v>2</v>
      </c>
      <c r="M266" s="15">
        <v>0</v>
      </c>
      <c r="N266" s="15">
        <v>2</v>
      </c>
      <c r="O266" s="15"/>
      <c r="P266" s="15"/>
      <c r="Q266" s="15"/>
      <c r="R266" s="15"/>
    </row>
    <row r="267" spans="1:18">
      <c r="A267" s="8"/>
      <c r="B267" s="15">
        <v>2504</v>
      </c>
      <c r="C267" s="15">
        <v>417</v>
      </c>
      <c r="D267" s="15">
        <v>15</v>
      </c>
      <c r="E267" s="15">
        <v>0</v>
      </c>
      <c r="F267" s="15" t="str">
        <f>VLOOKUP(C267,skill_list!B:C,2)</f>
        <v>ナイトフォール</v>
      </c>
      <c r="G267" s="15" t="s">
        <v>732</v>
      </c>
      <c r="H267" s="15">
        <v>0</v>
      </c>
      <c r="I267" s="15">
        <v>0</v>
      </c>
      <c r="J267" s="15">
        <v>0</v>
      </c>
      <c r="K267" s="15">
        <v>1</v>
      </c>
      <c r="L267" s="15">
        <v>1</v>
      </c>
      <c r="M267" s="15">
        <v>0</v>
      </c>
      <c r="N267" s="15">
        <v>2</v>
      </c>
      <c r="O267" s="15"/>
      <c r="P267" s="15"/>
      <c r="Q267" s="15"/>
      <c r="R267" s="15"/>
    </row>
    <row r="268" spans="1:18">
      <c r="A268" s="8"/>
      <c r="B268" s="15">
        <v>2601</v>
      </c>
      <c r="C268" s="15">
        <v>331</v>
      </c>
      <c r="D268" s="15">
        <v>16</v>
      </c>
      <c r="E268" s="15">
        <v>0</v>
      </c>
      <c r="F268" s="15" t="str">
        <f>VLOOKUP(C268,skill_list!B:C,2)</f>
        <v>イチコロスマイル</v>
      </c>
      <c r="G268" s="15" t="s">
        <v>732</v>
      </c>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tr">
        <f>VLOOKUP(C269,skill_list!B:C,2)</f>
        <v>バックラッシュ</v>
      </c>
      <c r="G269" s="15" t="s">
        <v>732</v>
      </c>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tr">
        <f>VLOOKUP(C270,skill_list!B:C,2)</f>
        <v>セルフパッション</v>
      </c>
      <c r="G270" s="15" t="s">
        <v>732</v>
      </c>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tr">
        <f>VLOOKUP(C271,skill_list!B:C,2)</f>
        <v>連撃＋</v>
      </c>
      <c r="G271" s="15" t="s">
        <v>732</v>
      </c>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tr">
        <f>VLOOKUP(C272,skill_list!B:C,2)</f>
        <v>心意活性</v>
      </c>
      <c r="G272" s="15" t="s">
        <v>732</v>
      </c>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tr">
        <f>VLOOKUP(C273,skill_list!B:C,2)</f>
        <v>ホールドアップマインド</v>
      </c>
      <c r="G273" s="15" t="s">
        <v>732</v>
      </c>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tr">
        <f>VLOOKUP(C274,skill_list!B:C,2)</f>
        <v>ブリリアント・グローリー</v>
      </c>
      <c r="G274" s="15" t="s">
        <v>732</v>
      </c>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tr">
        <f>VLOOKUP(C275,skill_list!B:C,2)</f>
        <v>ポイントケア</v>
      </c>
      <c r="G275" s="15" t="s">
        <v>732</v>
      </c>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tr">
        <f>VLOOKUP(C276,skill_list!B:C,2)</f>
        <v>ブレスショット</v>
      </c>
      <c r="G276" s="15" t="s">
        <v>732</v>
      </c>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tr">
        <f>VLOOKUP(C277,skill_list!B:C,2)</f>
        <v>闘気斬</v>
      </c>
      <c r="G277" s="15" t="s">
        <v>732</v>
      </c>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tr">
        <f>VLOOKUP(C278,skill_list!B:C,2)</f>
        <v>ヴィヴィットシュート</v>
      </c>
      <c r="G278" s="15" t="s">
        <v>732</v>
      </c>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tr">
        <f>VLOOKUP(C279,skill_list!B:C,2)</f>
        <v>リバースショット</v>
      </c>
      <c r="G279" s="15" t="s">
        <v>732</v>
      </c>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tr">
        <f>VLOOKUP(C280,skill_list!B:C,2)</f>
        <v>砕華</v>
      </c>
      <c r="G280" s="15" t="s">
        <v>732</v>
      </c>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tr">
        <f>VLOOKUP(C281,skill_list!B:C,2)</f>
        <v>ゲインカノン</v>
      </c>
      <c r="G281" s="15" t="s">
        <v>732</v>
      </c>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tr">
        <f>VLOOKUP(C282,skill_list!B:C,2)</f>
        <v>粛正</v>
      </c>
      <c r="G282" s="15" t="s">
        <v>732</v>
      </c>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tr">
        <f>VLOOKUP(C283,skill_list!B:C,2)</f>
        <v>キャンディ・バースト</v>
      </c>
      <c r="G283" s="15" t="s">
        <v>732</v>
      </c>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tr">
        <f>VLOOKUP(C284,skill_list!B:C,2)</f>
        <v>不純なアリア</v>
      </c>
      <c r="G284" s="15" t="s">
        <v>732</v>
      </c>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tr">
        <f>VLOOKUP(C285,skill_list!B:C,2)</f>
        <v>フォーチュンスラッシュ</v>
      </c>
      <c r="G285" s="15" t="s">
        <v>732</v>
      </c>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tr">
        <f>VLOOKUP(C286,skill_list!B:C,2)</f>
        <v>トランスペイン</v>
      </c>
      <c r="G286" s="15" t="s">
        <v>732</v>
      </c>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tr">
        <f>VLOOKUP(C287,skill_list!B:C,2)</f>
        <v>エキゾーストノート</v>
      </c>
      <c r="G287" s="15" t="s">
        <v>732</v>
      </c>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tr">
        <f>VLOOKUP(C288,skill_list!B:C,2)</f>
        <v>春雷</v>
      </c>
      <c r="G288" s="15" t="s">
        <v>732</v>
      </c>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tr">
        <f>VLOOKUP(C289,skill_list!B:C,2)</f>
        <v>ファンタズム</v>
      </c>
      <c r="G289" s="15" t="s">
        <v>732</v>
      </c>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tr">
        <f>VLOOKUP(C290,skill_list!B:C,2)</f>
        <v>スイーツチャージ！</v>
      </c>
      <c r="G290" s="15" t="s">
        <v>732</v>
      </c>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tr">
        <f>VLOOKUP(C291,skill_list!B:C,2)</f>
        <v>エリミネイト・ポッシブル</v>
      </c>
      <c r="G291" s="15" t="s">
        <v>732</v>
      </c>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tr">
        <f>VLOOKUP(C292,skill_list!B:C,2)</f>
        <v>リバイブ・ヴェール</v>
      </c>
      <c r="G292" s="15" t="s">
        <v>732</v>
      </c>
      <c r="H292" s="15">
        <v>3</v>
      </c>
      <c r="I292" s="15">
        <v>3</v>
      </c>
      <c r="J292" s="15">
        <v>0</v>
      </c>
      <c r="K292" s="15">
        <v>1</v>
      </c>
      <c r="L292" s="15">
        <v>8</v>
      </c>
      <c r="M292" s="15">
        <v>1</v>
      </c>
      <c r="N292" s="15">
        <v>1</v>
      </c>
      <c r="O292" s="15"/>
      <c r="P292" s="15"/>
      <c r="Q292" s="15"/>
      <c r="R292" s="15"/>
    </row>
    <row r="293" spans="1:18">
      <c r="A293" s="8"/>
      <c r="B293" s="15">
        <v>3318</v>
      </c>
      <c r="C293" s="15">
        <v>517</v>
      </c>
      <c r="D293">
        <v>23</v>
      </c>
      <c r="E293" s="15">
        <v>0</v>
      </c>
      <c r="F293" s="15" t="str">
        <f>VLOOKUP(C293,skill_list!B:C,2)</f>
        <v>アオナツの夢</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tr">
        <f>VLOOKUP(C294,skill_list!B:C,2)</f>
        <v>サイキックチャージ</v>
      </c>
      <c r="G294" s="15" t="s">
        <v>732</v>
      </c>
      <c r="H294" s="15">
        <v>3</v>
      </c>
      <c r="I294" s="15">
        <v>3</v>
      </c>
      <c r="J294" s="15">
        <v>0</v>
      </c>
      <c r="K294" s="15">
        <v>1</v>
      </c>
      <c r="L294" s="15">
        <v>3</v>
      </c>
      <c r="M294" s="15">
        <v>0</v>
      </c>
      <c r="N294" s="15">
        <v>1</v>
      </c>
      <c r="O294" s="15"/>
      <c r="P294" s="15"/>
      <c r="Q294" s="15"/>
      <c r="R294" s="15"/>
    </row>
    <row r="295" spans="1:18">
      <c r="A295" s="8"/>
      <c r="B295" s="15">
        <v>3320</v>
      </c>
      <c r="C295" s="15">
        <v>526</v>
      </c>
      <c r="D295" s="14">
        <v>23</v>
      </c>
      <c r="E295" s="14">
        <v>4</v>
      </c>
      <c r="F295" s="14" t="s">
        <v>2217</v>
      </c>
      <c r="G295" s="14"/>
      <c r="H295" s="14">
        <v>6</v>
      </c>
      <c r="I295" s="14">
        <v>6</v>
      </c>
      <c r="J295" s="14">
        <v>0</v>
      </c>
      <c r="K295" s="14">
        <v>1</v>
      </c>
      <c r="L295" s="14">
        <v>3</v>
      </c>
      <c r="M295" s="14">
        <v>0</v>
      </c>
      <c r="N295" s="14">
        <v>1</v>
      </c>
      <c r="O295" s="14"/>
      <c r="P295" s="14"/>
      <c r="Q295" s="14"/>
      <c r="R295" s="15"/>
    </row>
    <row r="296" spans="1:18">
      <c r="A296" s="8"/>
      <c r="B296" s="15">
        <v>3401</v>
      </c>
      <c r="C296" s="15">
        <v>137</v>
      </c>
      <c r="D296" s="15">
        <v>24</v>
      </c>
      <c r="E296" s="15">
        <v>0</v>
      </c>
      <c r="F296" s="15" t="str">
        <f>VLOOKUP(C296,skill_list!B:C,2)</f>
        <v>サイクロンブレード</v>
      </c>
      <c r="G296" s="15" t="s">
        <v>732</v>
      </c>
      <c r="H296" s="15">
        <v>0</v>
      </c>
      <c r="I296" s="15">
        <v>0</v>
      </c>
      <c r="J296" s="15">
        <v>0</v>
      </c>
      <c r="K296" s="15">
        <v>0</v>
      </c>
      <c r="L296" s="15">
        <v>7</v>
      </c>
      <c r="M296" s="15">
        <v>0</v>
      </c>
      <c r="N296" s="15">
        <v>2</v>
      </c>
      <c r="O296" s="15">
        <v>999</v>
      </c>
      <c r="P296" s="15"/>
      <c r="Q296" s="15"/>
      <c r="R296" s="15"/>
    </row>
    <row r="297" spans="1:18">
      <c r="A297" s="8"/>
      <c r="B297" s="15">
        <v>3402</v>
      </c>
      <c r="C297" s="15">
        <v>211</v>
      </c>
      <c r="D297" s="15">
        <v>24</v>
      </c>
      <c r="E297" s="15">
        <v>0</v>
      </c>
      <c r="F297" s="15" t="str">
        <f>VLOOKUP(C297,skill_list!B:C,2)</f>
        <v>我忘恍惚</v>
      </c>
      <c r="G297" s="15" t="s">
        <v>732</v>
      </c>
      <c r="H297" s="15">
        <v>0</v>
      </c>
      <c r="I297" s="15">
        <v>0</v>
      </c>
      <c r="J297" s="15">
        <v>0</v>
      </c>
      <c r="K297" s="15">
        <v>0</v>
      </c>
      <c r="L297" s="15">
        <v>7</v>
      </c>
      <c r="M297" s="15">
        <v>0</v>
      </c>
      <c r="N297" s="15">
        <v>2</v>
      </c>
      <c r="O297" s="15"/>
      <c r="P297" s="15"/>
      <c r="Q297" s="15"/>
      <c r="R297" s="15"/>
    </row>
    <row r="298" spans="1:18">
      <c r="A298" s="8"/>
      <c r="B298" s="15">
        <v>3403</v>
      </c>
      <c r="C298" s="15">
        <v>229</v>
      </c>
      <c r="D298" s="15">
        <v>24</v>
      </c>
      <c r="E298" s="15">
        <v>0</v>
      </c>
      <c r="F298" s="15" t="str">
        <f>VLOOKUP(C298,skill_list!B:C,2)</f>
        <v>フューリーインパルス</v>
      </c>
      <c r="G298" s="15" t="s">
        <v>732</v>
      </c>
      <c r="H298" s="15">
        <v>0</v>
      </c>
      <c r="I298" s="15">
        <v>0</v>
      </c>
      <c r="J298" s="15">
        <v>0</v>
      </c>
      <c r="K298" s="15">
        <v>0</v>
      </c>
      <c r="L298" s="15">
        <v>7</v>
      </c>
      <c r="M298" s="15">
        <v>0</v>
      </c>
      <c r="N298" s="15">
        <v>2</v>
      </c>
      <c r="O298" s="15">
        <v>999</v>
      </c>
      <c r="P298" s="15"/>
      <c r="Q298" s="15"/>
      <c r="R298" s="15"/>
    </row>
    <row r="299" spans="1:18">
      <c r="A299" s="8"/>
      <c r="B299" s="15">
        <v>3404</v>
      </c>
      <c r="C299" s="15">
        <v>243</v>
      </c>
      <c r="D299" s="15">
        <v>24</v>
      </c>
      <c r="E299" s="15">
        <v>0</v>
      </c>
      <c r="F299" s="15" t="str">
        <f>VLOOKUP(C299,skill_list!B:C,2)</f>
        <v>銀蜂</v>
      </c>
      <c r="G299" s="15" t="s">
        <v>732</v>
      </c>
      <c r="H299" s="15">
        <v>0</v>
      </c>
      <c r="I299" s="15">
        <v>0</v>
      </c>
      <c r="J299" s="15">
        <v>0</v>
      </c>
      <c r="K299" s="15">
        <v>0</v>
      </c>
      <c r="L299" s="15">
        <v>7</v>
      </c>
      <c r="M299" s="15">
        <v>0</v>
      </c>
      <c r="N299" s="15">
        <v>2</v>
      </c>
      <c r="O299" s="15">
        <v>999</v>
      </c>
      <c r="P299" s="15"/>
      <c r="Q299" s="15"/>
      <c r="R299" s="15"/>
    </row>
    <row r="300" spans="1:18">
      <c r="A300" s="8"/>
      <c r="B300" s="15">
        <v>3405</v>
      </c>
      <c r="C300" s="15">
        <v>322</v>
      </c>
      <c r="D300" s="15">
        <v>24</v>
      </c>
      <c r="E300" s="15">
        <v>0</v>
      </c>
      <c r="F300" s="15" t="str">
        <f>VLOOKUP(C300,skill_list!B:C,2)</f>
        <v>決戦前夜</v>
      </c>
      <c r="G300" s="15" t="s">
        <v>732</v>
      </c>
      <c r="H300" s="15">
        <v>0</v>
      </c>
      <c r="I300" s="15">
        <v>0</v>
      </c>
      <c r="J300" s="15">
        <v>0</v>
      </c>
      <c r="K300" s="15">
        <v>0</v>
      </c>
      <c r="L300" s="15">
        <v>7</v>
      </c>
      <c r="M300" s="15">
        <v>0</v>
      </c>
      <c r="N300" s="15">
        <v>2</v>
      </c>
      <c r="O300" s="15"/>
      <c r="P300" s="15"/>
      <c r="Q300" s="15"/>
      <c r="R300" s="15"/>
    </row>
    <row r="301" spans="1:18">
      <c r="A301" s="8"/>
      <c r="B301" s="15">
        <v>3406</v>
      </c>
      <c r="C301" s="15">
        <v>474</v>
      </c>
      <c r="D301" s="15">
        <v>24</v>
      </c>
      <c r="E301" s="15">
        <v>0</v>
      </c>
      <c r="F301" s="15" t="str">
        <f>VLOOKUP(C301,skill_list!B:C,2)</f>
        <v>朝霜</v>
      </c>
      <c r="G301" s="15" t="s">
        <v>732</v>
      </c>
      <c r="H301" s="15">
        <v>0</v>
      </c>
      <c r="I301" s="15">
        <v>0</v>
      </c>
      <c r="J301" s="15">
        <v>0</v>
      </c>
      <c r="K301" s="15">
        <v>0</v>
      </c>
      <c r="L301" s="15">
        <v>7</v>
      </c>
      <c r="M301" s="15">
        <v>0</v>
      </c>
      <c r="N301" s="15">
        <v>2</v>
      </c>
      <c r="O301" s="15">
        <v>999</v>
      </c>
      <c r="P301" s="15"/>
      <c r="Q301" s="15"/>
      <c r="R301" s="15"/>
    </row>
    <row r="302" spans="1:18">
      <c r="A302" s="8"/>
      <c r="B302" s="15">
        <v>3501</v>
      </c>
      <c r="C302" s="15">
        <v>38</v>
      </c>
      <c r="D302" s="15">
        <v>25</v>
      </c>
      <c r="E302" s="15">
        <v>0</v>
      </c>
      <c r="F302" s="15" t="str">
        <f>VLOOKUP(C302,skill_list!B:C,2)</f>
        <v>プロヴォーク</v>
      </c>
      <c r="G302" s="15" t="s">
        <v>732</v>
      </c>
      <c r="H302" s="15">
        <v>2</v>
      </c>
      <c r="I302" s="15">
        <v>3</v>
      </c>
      <c r="J302" s="15">
        <v>208</v>
      </c>
      <c r="K302" s="15">
        <v>0</v>
      </c>
      <c r="L302" s="15">
        <v>7</v>
      </c>
      <c r="M302" s="15">
        <v>0</v>
      </c>
      <c r="N302" s="15">
        <v>3</v>
      </c>
      <c r="O302" s="15"/>
      <c r="P302" s="15"/>
      <c r="Q302" s="15"/>
      <c r="R302" s="15"/>
    </row>
    <row r="303" spans="1:18">
      <c r="A303" s="8"/>
      <c r="B303" s="15">
        <v>3502</v>
      </c>
      <c r="C303" s="15">
        <v>65</v>
      </c>
      <c r="D303" s="15">
        <v>25</v>
      </c>
      <c r="E303" s="15">
        <v>0</v>
      </c>
      <c r="F303" s="15" t="str">
        <f>VLOOKUP(C303,skill_list!B:C,2)</f>
        <v>ポラリスの輝き</v>
      </c>
      <c r="G303" s="15" t="s">
        <v>732</v>
      </c>
      <c r="H303" s="15">
        <v>2</v>
      </c>
      <c r="I303" s="15">
        <v>3</v>
      </c>
      <c r="J303" s="15">
        <v>129</v>
      </c>
      <c r="K303" s="15">
        <v>0</v>
      </c>
      <c r="L303" s="15">
        <v>7</v>
      </c>
      <c r="M303" s="15">
        <v>0</v>
      </c>
      <c r="N303" s="15">
        <v>3</v>
      </c>
      <c r="O303" s="15">
        <v>999</v>
      </c>
      <c r="P303" s="15"/>
      <c r="Q303" s="15"/>
      <c r="R303" s="15"/>
    </row>
    <row r="304" spans="1:18">
      <c r="A304" s="8"/>
      <c r="B304" s="15">
        <v>3503</v>
      </c>
      <c r="C304" s="15">
        <v>129</v>
      </c>
      <c r="D304" s="15">
        <v>25</v>
      </c>
      <c r="E304" s="15">
        <v>0</v>
      </c>
      <c r="F304" s="15" t="str">
        <f>VLOOKUP(C304,skill_list!B:C,2)</f>
        <v>ライオンハート</v>
      </c>
      <c r="G304" s="15" t="s">
        <v>732</v>
      </c>
      <c r="H304" s="15">
        <v>2</v>
      </c>
      <c r="I304" s="15">
        <v>3</v>
      </c>
      <c r="J304" s="15">
        <v>184</v>
      </c>
      <c r="K304" s="15">
        <v>0</v>
      </c>
      <c r="L304" s="15">
        <v>7</v>
      </c>
      <c r="M304" s="15">
        <v>0</v>
      </c>
      <c r="N304" s="15">
        <v>3</v>
      </c>
      <c r="O304" s="15"/>
      <c r="P304" s="15"/>
      <c r="Q304" s="15"/>
      <c r="R304" s="15"/>
    </row>
    <row r="305" spans="1:18">
      <c r="A305" s="8"/>
      <c r="B305" s="15">
        <v>3504</v>
      </c>
      <c r="C305" s="15">
        <v>160</v>
      </c>
      <c r="D305" s="15">
        <v>25</v>
      </c>
      <c r="E305" s="15">
        <v>0</v>
      </c>
      <c r="F305" s="15" t="str">
        <f>VLOOKUP(C305,skill_list!B:C,2)</f>
        <v>ギャザー・バッシュ</v>
      </c>
      <c r="G305" s="15" t="s">
        <v>732</v>
      </c>
      <c r="H305" s="15">
        <v>2</v>
      </c>
      <c r="I305" s="15">
        <v>3</v>
      </c>
      <c r="J305" s="15">
        <v>117</v>
      </c>
      <c r="K305" s="15">
        <v>0</v>
      </c>
      <c r="L305" s="15">
        <v>7</v>
      </c>
      <c r="M305" s="15">
        <v>0</v>
      </c>
      <c r="N305" s="15">
        <v>3</v>
      </c>
      <c r="O305" s="15">
        <v>999</v>
      </c>
      <c r="P305" s="15"/>
      <c r="Q305" s="15"/>
      <c r="R305" s="15"/>
    </row>
    <row r="306" spans="1:18">
      <c r="A306" s="8"/>
      <c r="B306" s="15">
        <v>3505</v>
      </c>
      <c r="C306" s="15">
        <v>233</v>
      </c>
      <c r="D306" s="15">
        <v>25</v>
      </c>
      <c r="E306" s="15">
        <v>0</v>
      </c>
      <c r="F306" s="15" t="str">
        <f>VLOOKUP(C306,skill_list!B:C,2)</f>
        <v>プロヴォーク</v>
      </c>
      <c r="G306" s="15" t="s">
        <v>732</v>
      </c>
      <c r="H306" s="15">
        <v>2</v>
      </c>
      <c r="I306" s="15">
        <v>3</v>
      </c>
      <c r="J306" s="15">
        <v>208</v>
      </c>
      <c r="K306" s="15">
        <v>0</v>
      </c>
      <c r="L306" s="15">
        <v>7</v>
      </c>
      <c r="M306" s="15">
        <v>0</v>
      </c>
      <c r="N306" s="15">
        <v>3</v>
      </c>
      <c r="O306" s="15"/>
      <c r="P306" s="15"/>
      <c r="Q306" s="15"/>
      <c r="R306" s="15"/>
    </row>
    <row r="307" spans="1:18">
      <c r="A307" s="8"/>
      <c r="B307" s="15">
        <v>3506</v>
      </c>
      <c r="C307" s="15">
        <v>257</v>
      </c>
      <c r="D307" s="15">
        <v>25</v>
      </c>
      <c r="E307" s="15">
        <v>0</v>
      </c>
      <c r="F307" s="15" t="str">
        <f>VLOOKUP(C307,skill_list!B:C,2)</f>
        <v>プリンシプルチャンダス</v>
      </c>
      <c r="G307" s="15" t="s">
        <v>732</v>
      </c>
      <c r="H307" s="15">
        <v>2</v>
      </c>
      <c r="I307" s="15">
        <v>3</v>
      </c>
      <c r="J307" s="15">
        <v>131</v>
      </c>
      <c r="K307" s="15">
        <v>0</v>
      </c>
      <c r="L307" s="15">
        <v>7</v>
      </c>
      <c r="M307" s="15">
        <v>0</v>
      </c>
      <c r="N307" s="15">
        <v>3</v>
      </c>
      <c r="O307" s="15">
        <v>999</v>
      </c>
      <c r="P307" s="15"/>
      <c r="Q307" s="15"/>
      <c r="R307" s="15"/>
    </row>
    <row r="308" spans="1:18">
      <c r="A308" s="8"/>
      <c r="B308" s="15">
        <v>3507</v>
      </c>
      <c r="C308" s="15">
        <v>326</v>
      </c>
      <c r="D308" s="15">
        <v>25</v>
      </c>
      <c r="E308" s="15">
        <v>0</v>
      </c>
      <c r="F308" s="15" t="str">
        <f>VLOOKUP(C308,skill_list!B:C,2)</f>
        <v>籠の鳥</v>
      </c>
      <c r="G308" s="15" t="s">
        <v>732</v>
      </c>
      <c r="H308" s="15">
        <v>2</v>
      </c>
      <c r="I308" s="15">
        <v>3</v>
      </c>
      <c r="J308" s="15">
        <v>184</v>
      </c>
      <c r="K308" s="15">
        <v>0</v>
      </c>
      <c r="L308" s="15">
        <v>7</v>
      </c>
      <c r="M308" s="15">
        <v>0</v>
      </c>
      <c r="N308" s="15">
        <v>3</v>
      </c>
      <c r="O308" s="15"/>
      <c r="P308" s="15"/>
      <c r="Q308" s="15"/>
      <c r="R308" s="15"/>
    </row>
    <row r="309" spans="1:18">
      <c r="A309" s="8"/>
      <c r="B309" s="15">
        <v>3508</v>
      </c>
      <c r="C309" s="15">
        <v>341</v>
      </c>
      <c r="D309" s="15">
        <v>25</v>
      </c>
      <c r="E309" s="15">
        <v>0</v>
      </c>
      <c r="F309" s="15" t="str">
        <f>VLOOKUP(C309,skill_list!B:C,2)</f>
        <v>ご注文を伺います</v>
      </c>
      <c r="G309" s="15" t="s">
        <v>732</v>
      </c>
      <c r="H309" s="15">
        <v>2</v>
      </c>
      <c r="I309" s="15">
        <v>3</v>
      </c>
      <c r="J309" s="15">
        <v>192</v>
      </c>
      <c r="K309" s="15">
        <v>0</v>
      </c>
      <c r="L309" s="15">
        <v>7</v>
      </c>
      <c r="M309" s="15">
        <v>0</v>
      </c>
      <c r="N309" s="15">
        <v>3</v>
      </c>
      <c r="O309" s="15"/>
      <c r="P309" s="15"/>
      <c r="Q309" s="15"/>
      <c r="R309" s="15"/>
    </row>
    <row r="310" spans="1:18">
      <c r="A310" s="8"/>
      <c r="B310" s="15">
        <v>3509</v>
      </c>
      <c r="C310" s="15">
        <v>358</v>
      </c>
      <c r="D310" s="15">
        <v>25</v>
      </c>
      <c r="E310" s="15">
        <v>0</v>
      </c>
      <c r="F310" s="15" t="str">
        <f>VLOOKUP(C310,skill_list!B:C,2)</f>
        <v>決意の夜</v>
      </c>
      <c r="G310" s="15" t="s">
        <v>732</v>
      </c>
      <c r="H310" s="15">
        <v>2</v>
      </c>
      <c r="I310" s="15">
        <v>3</v>
      </c>
      <c r="J310" s="15">
        <v>184</v>
      </c>
      <c r="K310" s="15">
        <v>0</v>
      </c>
      <c r="L310" s="15">
        <v>7</v>
      </c>
      <c r="M310" s="15">
        <v>0</v>
      </c>
      <c r="N310" s="15">
        <v>3</v>
      </c>
      <c r="O310" s="15"/>
      <c r="P310" s="15"/>
      <c r="Q310" s="15"/>
      <c r="R310" s="15"/>
    </row>
    <row r="311" spans="1:18">
      <c r="A311" s="8"/>
      <c r="B311" s="15">
        <v>3510</v>
      </c>
      <c r="C311" s="15">
        <v>434</v>
      </c>
      <c r="D311" s="15">
        <v>25</v>
      </c>
      <c r="E311" s="15">
        <v>0</v>
      </c>
      <c r="F311" s="15" t="str">
        <f>VLOOKUP(C311,skill_list!B:C,2)</f>
        <v>シンコペーション</v>
      </c>
      <c r="G311" s="15" t="s">
        <v>732</v>
      </c>
      <c r="H311" s="15">
        <v>2</v>
      </c>
      <c r="I311" s="15">
        <v>3</v>
      </c>
      <c r="J311" s="15">
        <v>184</v>
      </c>
      <c r="K311" s="15">
        <v>0</v>
      </c>
      <c r="L311" s="15">
        <v>7</v>
      </c>
      <c r="M311" s="15">
        <v>0</v>
      </c>
      <c r="N311" s="15">
        <v>3</v>
      </c>
      <c r="O311" s="15"/>
      <c r="P311" s="15"/>
      <c r="Q311" s="15"/>
      <c r="R311" s="15"/>
    </row>
    <row r="312" spans="1:18">
      <c r="A312" s="8"/>
      <c r="B312" s="15">
        <v>3511</v>
      </c>
      <c r="C312" s="15">
        <v>462</v>
      </c>
      <c r="D312" s="15">
        <v>25</v>
      </c>
      <c r="E312" s="15">
        <v>0</v>
      </c>
      <c r="F312" s="15" t="str">
        <f>VLOOKUP(C312,skill_list!B:C,2)</f>
        <v>ねこじゃらし</v>
      </c>
      <c r="G312" s="15" t="s">
        <v>732</v>
      </c>
      <c r="H312" s="15">
        <v>2</v>
      </c>
      <c r="I312" s="15">
        <v>3</v>
      </c>
      <c r="J312" s="15">
        <v>200</v>
      </c>
      <c r="K312" s="15">
        <v>0</v>
      </c>
      <c r="L312" s="15">
        <v>7</v>
      </c>
      <c r="M312" s="15">
        <v>0</v>
      </c>
      <c r="N312" s="15">
        <v>3</v>
      </c>
      <c r="O312" s="15"/>
      <c r="P312" s="15"/>
      <c r="Q312" s="15"/>
      <c r="R312" s="15"/>
    </row>
    <row r="313" spans="1:18">
      <c r="A313" s="8"/>
      <c r="B313" s="15">
        <v>3601</v>
      </c>
      <c r="C313" s="15">
        <v>88</v>
      </c>
      <c r="D313" s="15">
        <v>26</v>
      </c>
      <c r="E313" s="15">
        <v>0</v>
      </c>
      <c r="F313" s="15" t="str">
        <f>VLOOKUP(C313,skill_list!B:C,2)</f>
        <v>導きの号令</v>
      </c>
      <c r="G313" s="15" t="s">
        <v>732</v>
      </c>
      <c r="H313" s="15">
        <v>0</v>
      </c>
      <c r="I313" s="15">
        <v>0</v>
      </c>
      <c r="J313" s="15">
        <v>0</v>
      </c>
      <c r="K313" s="15">
        <v>0</v>
      </c>
      <c r="L313" s="15">
        <v>7</v>
      </c>
      <c r="M313" s="15">
        <v>0</v>
      </c>
      <c r="N313" s="15">
        <v>1</v>
      </c>
      <c r="O313" s="15"/>
      <c r="P313" s="15"/>
      <c r="Q313" s="15"/>
      <c r="R313" s="15"/>
    </row>
    <row r="314" spans="1:18">
      <c r="A314" s="8"/>
      <c r="B314" s="15">
        <v>3602</v>
      </c>
      <c r="C314" s="15">
        <v>217</v>
      </c>
      <c r="D314" s="15">
        <v>26</v>
      </c>
      <c r="E314" s="15">
        <v>0</v>
      </c>
      <c r="F314" s="15" t="str">
        <f>VLOOKUP(C314,skill_list!B:C,2)</f>
        <v>空</v>
      </c>
      <c r="G314" s="15" t="s">
        <v>732</v>
      </c>
      <c r="H314" s="15">
        <v>0</v>
      </c>
      <c r="I314" s="15">
        <v>0</v>
      </c>
      <c r="J314" s="15">
        <v>0</v>
      </c>
      <c r="K314" s="15">
        <v>0</v>
      </c>
      <c r="L314" s="15">
        <v>7</v>
      </c>
      <c r="M314" s="15">
        <v>0</v>
      </c>
      <c r="N314" s="15">
        <v>1</v>
      </c>
      <c r="O314" s="15"/>
      <c r="P314" s="15"/>
      <c r="Q314" s="15"/>
      <c r="R314" s="15"/>
    </row>
    <row r="315" spans="1:18">
      <c r="A315" s="8"/>
      <c r="B315" s="15">
        <v>3603</v>
      </c>
      <c r="C315" s="15">
        <v>267</v>
      </c>
      <c r="D315" s="15">
        <v>26</v>
      </c>
      <c r="E315" s="15">
        <v>0</v>
      </c>
      <c r="F315" s="15" t="str">
        <f>VLOOKUP(C315,skill_list!B:C,2)</f>
        <v>細雪</v>
      </c>
      <c r="G315" s="15" t="s">
        <v>732</v>
      </c>
      <c r="H315" s="15">
        <v>0</v>
      </c>
      <c r="I315" s="15">
        <v>0</v>
      </c>
      <c r="J315" s="15">
        <v>0</v>
      </c>
      <c r="K315" s="15">
        <v>0</v>
      </c>
      <c r="L315" s="15">
        <v>7</v>
      </c>
      <c r="M315" s="15">
        <v>0</v>
      </c>
      <c r="N315" s="15">
        <v>1</v>
      </c>
      <c r="O315" s="15"/>
      <c r="P315" s="15"/>
      <c r="Q315" s="15"/>
      <c r="R315" s="15"/>
    </row>
    <row r="316" spans="1:18">
      <c r="A316" s="8"/>
      <c r="B316" s="15">
        <v>3604</v>
      </c>
      <c r="C316" s="15">
        <v>346</v>
      </c>
      <c r="D316" s="15">
        <v>26</v>
      </c>
      <c r="E316" s="15">
        <v>0</v>
      </c>
      <c r="F316" s="15" t="str">
        <f>VLOOKUP(C316,skill_list!B:C,2)</f>
        <v>メイドの嗜み</v>
      </c>
      <c r="G316" s="15" t="s">
        <v>732</v>
      </c>
      <c r="H316" s="15">
        <v>0</v>
      </c>
      <c r="I316" s="15">
        <v>0</v>
      </c>
      <c r="J316" s="15">
        <v>0</v>
      </c>
      <c r="K316" s="15">
        <v>0</v>
      </c>
      <c r="L316" s="15">
        <v>7</v>
      </c>
      <c r="M316" s="15">
        <v>0</v>
      </c>
      <c r="N316" s="15">
        <v>1</v>
      </c>
      <c r="O316" s="15"/>
      <c r="P316" s="15"/>
      <c r="Q316" s="15"/>
      <c r="R316" s="15"/>
    </row>
    <row r="317" spans="1:18">
      <c r="A317" s="8"/>
      <c r="B317" s="15">
        <v>3605</v>
      </c>
      <c r="C317" s="15">
        <v>371</v>
      </c>
      <c r="D317" s="15">
        <v>26</v>
      </c>
      <c r="E317" s="15">
        <v>0</v>
      </c>
      <c r="F317" s="15" t="str">
        <f>VLOOKUP(C317,skill_list!B:C,2)</f>
        <v>赤面スティグマ</v>
      </c>
      <c r="G317" s="15" t="s">
        <v>732</v>
      </c>
      <c r="H317" s="15">
        <v>0</v>
      </c>
      <c r="I317" s="15">
        <v>0</v>
      </c>
      <c r="J317" s="15">
        <v>0</v>
      </c>
      <c r="K317" s="15">
        <v>0</v>
      </c>
      <c r="L317" s="15">
        <v>7</v>
      </c>
      <c r="M317" s="15">
        <v>0</v>
      </c>
      <c r="N317" s="15">
        <v>1</v>
      </c>
      <c r="O317" s="15"/>
      <c r="P317" s="15"/>
      <c r="Q317" s="15"/>
      <c r="R317" s="15"/>
    </row>
    <row r="318" spans="1:18">
      <c r="A318" s="8"/>
      <c r="B318" s="15">
        <v>3606</v>
      </c>
      <c r="C318" s="15">
        <v>380</v>
      </c>
      <c r="D318" s="15">
        <v>26</v>
      </c>
      <c r="E318" s="15">
        <v>0</v>
      </c>
      <c r="F318" s="15" t="str">
        <f>VLOOKUP(C318,skill_list!B:C,2)</f>
        <v>天変の相</v>
      </c>
      <c r="G318" s="15" t="s">
        <v>732</v>
      </c>
      <c r="H318" s="15">
        <v>0</v>
      </c>
      <c r="I318" s="15">
        <v>0</v>
      </c>
      <c r="J318" s="15">
        <v>0</v>
      </c>
      <c r="K318" s="15">
        <v>0</v>
      </c>
      <c r="L318" s="15">
        <v>7</v>
      </c>
      <c r="M318" s="15">
        <v>0</v>
      </c>
      <c r="N318" s="15">
        <v>1</v>
      </c>
      <c r="O318" s="15"/>
      <c r="P318" s="15"/>
      <c r="Q318" s="15"/>
      <c r="R318" s="15"/>
    </row>
    <row r="319" spans="1:18">
      <c r="A319" s="8"/>
      <c r="B319" s="15">
        <v>3607</v>
      </c>
      <c r="C319" s="15">
        <v>404</v>
      </c>
      <c r="D319" s="15">
        <v>26</v>
      </c>
      <c r="E319" s="15">
        <v>0</v>
      </c>
      <c r="F319" s="15" t="str">
        <f>VLOOKUP(C319,skill_list!B:C,2)</f>
        <v>とある衝撃</v>
      </c>
      <c r="G319" s="15" t="s">
        <v>732</v>
      </c>
      <c r="H319" s="15">
        <v>0</v>
      </c>
      <c r="I319" s="15">
        <v>0</v>
      </c>
      <c r="J319" s="15">
        <v>0</v>
      </c>
      <c r="K319" s="15">
        <v>0</v>
      </c>
      <c r="L319" s="15">
        <v>7</v>
      </c>
      <c r="M319" s="15">
        <v>0</v>
      </c>
      <c r="N319" s="15">
        <v>1</v>
      </c>
      <c r="O319" s="15"/>
      <c r="P319" s="15"/>
      <c r="Q319" s="15"/>
      <c r="R319" s="15"/>
    </row>
    <row r="320" spans="1:18">
      <c r="A320" s="8"/>
      <c r="B320" s="15">
        <v>3608</v>
      </c>
      <c r="C320" s="15">
        <v>472</v>
      </c>
      <c r="D320" s="15">
        <v>26</v>
      </c>
      <c r="E320" s="15">
        <v>0</v>
      </c>
      <c r="F320" s="15" t="str">
        <f>VLOOKUP(C320,skill_list!B:C,2)</f>
        <v>おしおき</v>
      </c>
      <c r="G320" s="15" t="s">
        <v>732</v>
      </c>
      <c r="H320" s="15">
        <v>0</v>
      </c>
      <c r="I320" s="15">
        <v>0</v>
      </c>
      <c r="J320" s="15">
        <v>0</v>
      </c>
      <c r="K320" s="15">
        <v>0</v>
      </c>
      <c r="L320" s="15">
        <v>7</v>
      </c>
      <c r="M320" s="15">
        <v>0</v>
      </c>
      <c r="N320" s="15">
        <v>1</v>
      </c>
      <c r="O320" s="15"/>
      <c r="P320" s="15"/>
      <c r="Q320" s="15"/>
      <c r="R320" s="15"/>
    </row>
    <row r="321" spans="1:18">
      <c r="A321" s="8"/>
      <c r="B321" s="15">
        <v>3609</v>
      </c>
      <c r="C321" s="15">
        <v>495</v>
      </c>
      <c r="D321" s="15">
        <v>26</v>
      </c>
      <c r="E321" s="15">
        <v>0</v>
      </c>
      <c r="F321" s="15" t="str">
        <f>VLOOKUP(C321,skill_list!B:C,2)</f>
        <v>夜醒</v>
      </c>
      <c r="G321" s="15" t="s">
        <v>732</v>
      </c>
      <c r="H321" s="15">
        <v>0</v>
      </c>
      <c r="I321" s="15">
        <v>0</v>
      </c>
      <c r="J321" s="15">
        <v>0</v>
      </c>
      <c r="K321" s="15">
        <v>0</v>
      </c>
      <c r="L321" s="15">
        <v>4</v>
      </c>
      <c r="M321" s="15">
        <v>0</v>
      </c>
      <c r="N321" s="15">
        <v>1</v>
      </c>
      <c r="O321" s="15"/>
      <c r="P321" s="15"/>
      <c r="Q321" s="15"/>
      <c r="R321" s="15"/>
    </row>
    <row r="322" spans="1:18">
      <c r="A322" s="8"/>
      <c r="B322" s="15">
        <v>3610</v>
      </c>
      <c r="C322" s="15">
        <v>515</v>
      </c>
      <c r="D322" s="15">
        <v>26</v>
      </c>
      <c r="E322" s="15">
        <v>0</v>
      </c>
      <c r="F322" s="15" t="str">
        <f>VLOOKUP(C322,skill_list!B:C,2)</f>
        <v>目覚まし見て氷結</v>
      </c>
      <c r="G322" s="15" t="s">
        <v>732</v>
      </c>
      <c r="H322" s="15">
        <v>0</v>
      </c>
      <c r="I322" s="15">
        <v>0</v>
      </c>
      <c r="J322" s="15">
        <v>0</v>
      </c>
      <c r="K322" s="15">
        <v>0</v>
      </c>
      <c r="L322" s="15">
        <v>7</v>
      </c>
      <c r="M322" s="15">
        <v>0</v>
      </c>
      <c r="N322" s="15">
        <v>1</v>
      </c>
      <c r="O322" s="15"/>
      <c r="P322" s="15"/>
      <c r="Q322" s="15"/>
      <c r="R322" s="15"/>
    </row>
    <row r="323" spans="1:18">
      <c r="A323" s="8"/>
      <c r="B323" s="15">
        <v>3701</v>
      </c>
      <c r="C323" s="15">
        <v>487</v>
      </c>
      <c r="D323" s="15">
        <v>27</v>
      </c>
      <c r="E323" s="15">
        <v>0</v>
      </c>
      <c r="F323" s="15" t="str">
        <f>VLOOKUP(C323,skill_list!B:C,2)</f>
        <v>聖女の守護</v>
      </c>
      <c r="G323" s="15" t="s">
        <v>732</v>
      </c>
      <c r="H323" s="15">
        <v>2</v>
      </c>
      <c r="I323" s="15">
        <v>3</v>
      </c>
      <c r="J323" s="15">
        <v>160</v>
      </c>
      <c r="K323" s="15">
        <v>1</v>
      </c>
      <c r="L323" s="15">
        <v>7</v>
      </c>
      <c r="M323" s="15">
        <v>0</v>
      </c>
      <c r="N323" s="15">
        <v>0</v>
      </c>
      <c r="O323" s="15"/>
      <c r="P323" s="15"/>
      <c r="Q323" s="15"/>
      <c r="R323" s="15"/>
    </row>
    <row r="324" spans="1:18">
      <c r="A324" s="8"/>
      <c r="B324" s="15">
        <v>4001</v>
      </c>
      <c r="C324" s="15">
        <v>470</v>
      </c>
      <c r="D324" s="15">
        <v>30</v>
      </c>
      <c r="E324" s="15">
        <v>0</v>
      </c>
      <c r="F324" s="15" t="str">
        <f>VLOOKUP(C324,skill_list!B:C,2)</f>
        <v>ひらり落桜</v>
      </c>
      <c r="G324" s="15" t="s">
        <v>732</v>
      </c>
      <c r="H324" s="15">
        <v>0</v>
      </c>
      <c r="I324" s="15">
        <v>0</v>
      </c>
      <c r="J324" s="15">
        <v>0</v>
      </c>
      <c r="K324" s="15">
        <v>1</v>
      </c>
      <c r="L324" s="15">
        <v>7</v>
      </c>
      <c r="M324" s="15">
        <v>0</v>
      </c>
      <c r="N324" s="15">
        <v>0</v>
      </c>
      <c r="O324" s="15"/>
      <c r="P324" s="15"/>
      <c r="Q324" s="15"/>
      <c r="R324" s="15"/>
    </row>
    <row r="325" spans="1:18">
      <c r="A325" s="8"/>
      <c r="B325" s="15">
        <v>4201</v>
      </c>
      <c r="C325" s="15">
        <v>503</v>
      </c>
      <c r="D325" s="15">
        <v>32</v>
      </c>
      <c r="E325" s="15">
        <v>0</v>
      </c>
      <c r="F325" s="15" t="str">
        <f>VLOOKUP(C325,skill_list!B:C,2)</f>
        <v>意気揚々</v>
      </c>
      <c r="G325" s="15" t="s">
        <v>732</v>
      </c>
      <c r="H325" s="15">
        <v>0</v>
      </c>
      <c r="I325" s="15">
        <v>0</v>
      </c>
      <c r="J325" s="15">
        <v>0</v>
      </c>
      <c r="K325" s="15">
        <v>1</v>
      </c>
      <c r="L325" s="15">
        <v>7</v>
      </c>
      <c r="M325" s="15">
        <v>0</v>
      </c>
      <c r="N325" s="15">
        <v>1</v>
      </c>
      <c r="O325" s="15"/>
      <c r="P325" s="15"/>
      <c r="Q325" s="15"/>
      <c r="R325" s="15"/>
    </row>
    <row r="326" spans="1:18">
      <c r="A326" s="8"/>
      <c r="B326" s="15">
        <v>4301</v>
      </c>
      <c r="C326" s="15">
        <v>523</v>
      </c>
      <c r="D326" s="15">
        <v>33</v>
      </c>
      <c r="E326" s="15">
        <v>0</v>
      </c>
      <c r="F326" s="15" t="str">
        <f>VLOOKUP(C326,skill_list!B:C,2)</f>
        <v>バウンシー・ブルーミー</v>
      </c>
      <c r="G326" s="15" t="s">
        <v>732</v>
      </c>
      <c r="H326" s="15">
        <v>30</v>
      </c>
      <c r="I326" s="15">
        <v>30</v>
      </c>
      <c r="J326" s="15">
        <v>0</v>
      </c>
      <c r="K326" s="15">
        <v>1</v>
      </c>
      <c r="L326" s="15">
        <v>8</v>
      </c>
      <c r="M326" s="15">
        <v>0</v>
      </c>
      <c r="N326" s="15">
        <v>3</v>
      </c>
      <c r="O326" s="15"/>
      <c r="P326" s="15"/>
      <c r="Q326" s="15"/>
      <c r="R326" s="15"/>
    </row>
    <row r="333" spans="1:18">
      <c r="D333">
        <v>1</v>
      </c>
    </row>
  </sheetData>
  <autoFilter ref="B6:R327" xr:uid="{912709C0-2233-4DB6-B07B-7541D7A38096}"/>
  <phoneticPr fontId="1"/>
  <dataValidations count="1">
    <dataValidation type="list" allowBlank="1" showInputMessage="1" showErrorMessage="1" sqref="A7:A326" xr:uid="{75CBEA3A-9D6D-4C77-BFD0-163E1DDA20E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2201</v>
      </c>
    </row>
    <row r="40" spans="1:6">
      <c r="A40" s="8"/>
      <c r="B40" s="15">
        <v>33</v>
      </c>
      <c r="C40" s="15">
        <v>0</v>
      </c>
      <c r="D40" s="15">
        <v>0</v>
      </c>
      <c r="F40" t="s">
        <v>2202</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2161</v>
      </c>
      <c r="F134" s="11" t="s">
        <v>2162</v>
      </c>
      <c r="G134" s="15">
        <v>7</v>
      </c>
      <c r="H134" s="15">
        <v>4</v>
      </c>
      <c r="I134" s="15"/>
      <c r="J134" s="15">
        <v>2</v>
      </c>
      <c r="K134" s="15">
        <v>1513</v>
      </c>
      <c r="L134" s="15"/>
      <c r="M134" s="15">
        <v>1101</v>
      </c>
      <c r="N134" s="15">
        <v>1104</v>
      </c>
      <c r="O134" s="15"/>
      <c r="P134" s="15"/>
    </row>
    <row r="135" spans="1:16">
      <c r="A135" s="8"/>
      <c r="B135" s="15">
        <v>130</v>
      </c>
      <c r="C135" s="15">
        <v>36</v>
      </c>
      <c r="D135" s="15">
        <v>1</v>
      </c>
      <c r="E135" s="11" t="s">
        <v>2163</v>
      </c>
      <c r="F135" s="11" t="s">
        <v>2164</v>
      </c>
      <c r="G135" s="15">
        <v>2</v>
      </c>
      <c r="H135" s="15">
        <v>3</v>
      </c>
      <c r="I135" s="15"/>
      <c r="J135" s="15">
        <v>1</v>
      </c>
      <c r="K135" s="15">
        <v>1118</v>
      </c>
      <c r="L135" s="15"/>
      <c r="M135" s="15">
        <v>1101</v>
      </c>
      <c r="N135" s="15">
        <v>1514</v>
      </c>
      <c r="O135" s="15"/>
      <c r="P135" s="15"/>
    </row>
    <row r="136" spans="1:16">
      <c r="A136" s="8"/>
      <c r="B136" s="15">
        <v>131</v>
      </c>
      <c r="C136" s="15">
        <v>47</v>
      </c>
      <c r="D136" s="15">
        <v>1</v>
      </c>
      <c r="E136" s="11" t="s">
        <v>2137</v>
      </c>
      <c r="F136" s="11" t="s">
        <v>2167</v>
      </c>
      <c r="G136" s="15">
        <v>6</v>
      </c>
      <c r="H136" s="15">
        <v>2</v>
      </c>
      <c r="I136" s="15"/>
      <c r="J136" s="15">
        <v>4</v>
      </c>
      <c r="K136" s="15">
        <v>402</v>
      </c>
      <c r="L136" s="15"/>
      <c r="M136" s="15">
        <v>1101</v>
      </c>
      <c r="N136" s="15">
        <v>1515</v>
      </c>
      <c r="O136" s="15"/>
      <c r="P136" s="15"/>
    </row>
    <row r="137" spans="1:16">
      <c r="A137" s="8"/>
      <c r="B137" s="15">
        <v>132</v>
      </c>
      <c r="C137" s="15">
        <v>35</v>
      </c>
      <c r="D137" s="15">
        <v>1</v>
      </c>
      <c r="E137" s="11" t="s">
        <v>2168</v>
      </c>
      <c r="F137" s="11" t="s">
        <v>2169</v>
      </c>
      <c r="G137" s="15">
        <v>3</v>
      </c>
      <c r="H137" s="15">
        <v>3</v>
      </c>
      <c r="I137" s="15"/>
      <c r="J137" s="15">
        <v>1</v>
      </c>
      <c r="K137" s="15">
        <v>1118</v>
      </c>
      <c r="L137" s="15"/>
      <c r="M137" s="15">
        <v>1101</v>
      </c>
      <c r="N137" s="15">
        <v>1015</v>
      </c>
      <c r="O137" s="15"/>
      <c r="P137" s="15"/>
    </row>
    <row r="138" spans="1:16">
      <c r="A138" s="8"/>
      <c r="B138" s="15">
        <v>133</v>
      </c>
      <c r="C138" s="15">
        <v>27</v>
      </c>
      <c r="D138" s="15">
        <v>1</v>
      </c>
      <c r="E138" s="11" t="s">
        <v>2219</v>
      </c>
      <c r="F138" s="11" t="s">
        <v>2233</v>
      </c>
      <c r="G138" s="15">
        <v>5</v>
      </c>
      <c r="H138" s="15">
        <v>0</v>
      </c>
      <c r="I138" s="15"/>
      <c r="J138" s="15">
        <v>5</v>
      </c>
      <c r="K138" s="15">
        <v>1006</v>
      </c>
      <c r="L138" s="15"/>
      <c r="M138" s="15">
        <v>1101</v>
      </c>
      <c r="N138" s="15">
        <v>1103</v>
      </c>
      <c r="O138" s="15"/>
      <c r="P138" s="15"/>
    </row>
    <row r="139" spans="1:16">
      <c r="A139" s="8"/>
      <c r="B139" s="15">
        <v>134</v>
      </c>
      <c r="C139" s="15">
        <v>29</v>
      </c>
      <c r="D139" s="15">
        <v>1</v>
      </c>
      <c r="E139" s="11" t="s">
        <v>2225</v>
      </c>
      <c r="F139" s="11" t="s">
        <v>2234</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2165</v>
      </c>
      <c r="F213" s="11" t="s">
        <v>2166</v>
      </c>
      <c r="G213" s="15">
        <v>4</v>
      </c>
      <c r="H213" s="15">
        <v>0</v>
      </c>
      <c r="I213" s="15"/>
      <c r="J213" s="15">
        <v>2</v>
      </c>
      <c r="K213" s="15"/>
      <c r="L213" s="15"/>
      <c r="M213" s="15"/>
      <c r="N213" s="15">
        <v>1112</v>
      </c>
      <c r="O213" s="15"/>
      <c r="P213" s="15">
        <v>1511</v>
      </c>
    </row>
    <row r="214" spans="1:16">
      <c r="A214" s="8"/>
      <c r="B214" s="15">
        <v>5075</v>
      </c>
      <c r="C214" s="15">
        <v>25</v>
      </c>
      <c r="D214" s="15">
        <v>2</v>
      </c>
      <c r="E214" s="11" t="s">
        <v>2228</v>
      </c>
      <c r="F214" s="11" t="s">
        <v>2229</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2139</v>
      </c>
      <c r="E76" s="11" t="s">
        <v>2140</v>
      </c>
      <c r="F76" s="15">
        <v>1</v>
      </c>
      <c r="G76" s="15">
        <v>1</v>
      </c>
      <c r="H76" s="15" t="s">
        <v>2141</v>
      </c>
      <c r="I76" s="15">
        <v>1</v>
      </c>
      <c r="J76" s="15">
        <v>0</v>
      </c>
      <c r="K76" s="15">
        <v>0</v>
      </c>
      <c r="L76" s="15">
        <v>1</v>
      </c>
      <c r="M76" s="15">
        <v>50</v>
      </c>
      <c r="N76" s="15">
        <v>1</v>
      </c>
    </row>
    <row r="77" spans="1:14">
      <c r="A77" s="8"/>
      <c r="B77" s="15">
        <v>301</v>
      </c>
      <c r="C77" s="11" t="s">
        <v>2142</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2210</v>
      </c>
      <c r="F84" s="15">
        <v>0</v>
      </c>
      <c r="G84" s="15">
        <v>0</v>
      </c>
      <c r="H84" s="15" t="s">
        <v>1589</v>
      </c>
      <c r="I84" s="15">
        <v>4</v>
      </c>
      <c r="J84" s="15">
        <v>0</v>
      </c>
      <c r="K84" s="15">
        <v>0</v>
      </c>
      <c r="L84" s="15">
        <v>1</v>
      </c>
      <c r="M84" s="15">
        <v>30</v>
      </c>
      <c r="N84" s="15">
        <v>8</v>
      </c>
    </row>
    <row r="85" spans="1:14">
      <c r="A85" s="8"/>
      <c r="B85" s="15">
        <v>408</v>
      </c>
      <c r="C85" s="11" t="s">
        <v>840</v>
      </c>
      <c r="D85" s="11" t="s">
        <v>1219</v>
      </c>
      <c r="E85" s="11" t="s">
        <v>2211</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2143</v>
      </c>
      <c r="D92" s="11" t="s">
        <v>2144</v>
      </c>
      <c r="E92" s="11" t="s">
        <v>2145</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2146</v>
      </c>
      <c r="D105" s="11" t="s">
        <v>2147</v>
      </c>
      <c r="E105" s="11" t="s">
        <v>732</v>
      </c>
      <c r="F105" s="15">
        <v>0</v>
      </c>
      <c r="G105" s="15">
        <v>3</v>
      </c>
      <c r="H105" s="15"/>
      <c r="I105" s="15">
        <v>1</v>
      </c>
      <c r="J105" s="15">
        <v>0</v>
      </c>
      <c r="K105" s="15">
        <v>0</v>
      </c>
      <c r="L105" s="15">
        <v>24</v>
      </c>
      <c r="M105" s="15"/>
      <c r="N105" s="15">
        <v>2</v>
      </c>
    </row>
    <row r="106" spans="1:14">
      <c r="A106" s="8"/>
      <c r="B106" s="15">
        <v>1014</v>
      </c>
      <c r="C106" s="11" t="s">
        <v>1975</v>
      </c>
      <c r="D106" s="11" t="s">
        <v>2147</v>
      </c>
      <c r="E106" s="11" t="s">
        <v>732</v>
      </c>
      <c r="F106" s="15">
        <v>0</v>
      </c>
      <c r="G106" s="15">
        <v>3</v>
      </c>
      <c r="H106" s="15"/>
      <c r="I106" s="15">
        <v>1</v>
      </c>
      <c r="J106" s="15">
        <v>0</v>
      </c>
      <c r="K106" s="15">
        <v>0</v>
      </c>
      <c r="L106" s="15">
        <v>24</v>
      </c>
      <c r="M106" s="15"/>
      <c r="N106" s="15">
        <v>2</v>
      </c>
    </row>
    <row r="107" spans="1:14">
      <c r="A107" s="8"/>
      <c r="B107" s="15">
        <v>1015</v>
      </c>
      <c r="C107" s="11" t="s">
        <v>2159</v>
      </c>
      <c r="D107" s="11" t="s">
        <v>2160</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2222</v>
      </c>
      <c r="D127" s="11" t="s">
        <v>2223</v>
      </c>
      <c r="E127" s="11"/>
      <c r="F127" s="15">
        <v>1</v>
      </c>
      <c r="G127" s="15">
        <v>3</v>
      </c>
      <c r="H127" s="15" t="s">
        <v>2224</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2148</v>
      </c>
      <c r="D129" s="11" t="s">
        <v>2149</v>
      </c>
      <c r="E129" s="11" t="s">
        <v>732</v>
      </c>
      <c r="F129" s="15">
        <v>1</v>
      </c>
      <c r="G129" s="15">
        <v>1</v>
      </c>
      <c r="H129" s="15" t="s">
        <v>2150</v>
      </c>
      <c r="I129" s="15">
        <v>4</v>
      </c>
      <c r="J129" s="15">
        <v>0</v>
      </c>
      <c r="K129" s="15">
        <v>0</v>
      </c>
      <c r="L129" s="15">
        <v>12</v>
      </c>
      <c r="M129" s="15">
        <v>1</v>
      </c>
      <c r="N129" s="15"/>
    </row>
    <row r="130" spans="1:14">
      <c r="A130" s="8"/>
      <c r="B130" s="15">
        <v>1205</v>
      </c>
      <c r="C130" s="11" t="s">
        <v>1822</v>
      </c>
      <c r="D130" s="11" t="s">
        <v>2151</v>
      </c>
      <c r="E130" s="11" t="s">
        <v>732</v>
      </c>
      <c r="F130" s="15">
        <v>2</v>
      </c>
      <c r="G130" s="15">
        <v>3</v>
      </c>
      <c r="H130" s="15" t="s">
        <v>2150</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2152</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2153</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2154</v>
      </c>
      <c r="D143" s="11" t="s">
        <v>2155</v>
      </c>
      <c r="E143" s="11" t="s">
        <v>732</v>
      </c>
      <c r="F143" s="15">
        <v>6</v>
      </c>
      <c r="G143" s="15">
        <v>0</v>
      </c>
      <c r="H143" s="15" t="s">
        <v>2156</v>
      </c>
      <c r="I143" s="15">
        <v>4</v>
      </c>
      <c r="J143" s="15">
        <v>0</v>
      </c>
      <c r="K143" s="15">
        <v>5</v>
      </c>
      <c r="L143" s="15">
        <v>12</v>
      </c>
      <c r="M143" s="15">
        <v>25</v>
      </c>
      <c r="N143" s="15"/>
    </row>
    <row r="144" spans="1:14">
      <c r="A144" s="8"/>
      <c r="B144" s="15">
        <v>1514</v>
      </c>
      <c r="C144" s="11" t="s">
        <v>2157</v>
      </c>
      <c r="D144" s="11" t="s">
        <v>2158</v>
      </c>
      <c r="E144" s="11" t="s">
        <v>732</v>
      </c>
      <c r="F144" s="15">
        <v>6</v>
      </c>
      <c r="G144" s="15">
        <v>0</v>
      </c>
      <c r="H144" s="15" t="s">
        <v>1590</v>
      </c>
      <c r="I144" s="15">
        <v>1</v>
      </c>
      <c r="J144" s="15">
        <v>0</v>
      </c>
      <c r="K144" s="15">
        <v>0</v>
      </c>
      <c r="L144" s="15">
        <v>12</v>
      </c>
      <c r="M144" s="15">
        <v>8</v>
      </c>
      <c r="N144" s="15"/>
    </row>
    <row r="145" spans="1:14">
      <c r="A145" s="8"/>
      <c r="B145" s="15">
        <v>1515</v>
      </c>
      <c r="C145" s="11" t="s">
        <v>2138</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2220</v>
      </c>
      <c r="D146" s="11" t="s">
        <v>2221</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2174</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2175</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2176</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2177</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2178</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2179</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2176</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2178</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2180</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2181</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2182</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2183</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2184</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2185</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2186</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2187</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2188</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2189</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2190</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2187</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2187</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2191</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2192</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2256</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2184</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1701</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2257</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2258</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2024-09-19T17:22:34Z</dcterms:modified>
</cp:coreProperties>
</file>