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A2CB430-86AB-499C-88E8-D938C3A145EE}" xr6:coauthVersionLast="47" xr6:coauthVersionMax="47" xr10:uidLastSave="{00000000-0000-0000-0000-000000000000}"/>
  <bookViews>
    <workbookView xWindow="28680" yWindow="-120" windowWidth="29040" windowHeight="15840" firstSheet="6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4" i="58" l="1"/>
  <c r="D323" i="58"/>
  <c r="D322" i="58"/>
  <c r="D321" i="58"/>
  <c r="D320" i="58"/>
  <c r="D319" i="58"/>
  <c r="D318" i="58"/>
  <c r="D317" i="58"/>
  <c r="D316" i="58"/>
  <c r="D315" i="58"/>
  <c r="D314" i="58"/>
  <c r="D313" i="58"/>
  <c r="D312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F245" i="65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<sst xmlns="http://schemas.openxmlformats.org/spreadsheetml/2006/main" count="4138" uniqueCount="2196">
  <si>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</si>
  <si>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</si>
  <si>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</si>
  <si>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</si>
  <si>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</si>
  <si>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</si>
  <si>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</si>
  <si>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</si>
  <si>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</si>
  <si>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</si>
  <si>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</si>
  <si>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</si>
  <si>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</si>
  <si>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</si>
  <si>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</si>
  <si>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</si>
  <si>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</si>
  <si>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</si>
  <si>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</si>
  <si>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</si>
  <si>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</si>
  <si>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</si>
  <si>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</si>
  <si>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</si>
  <si>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</si>
  <si>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</si>
  <si>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</si>
  <si>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</si>
  <si>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</si>
  <si>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</si>
  <si>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</si>
  <si>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</si>
  <si>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</si>
  <si>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</si>
  <si>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</si>
  <si>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</si>
  <si>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</si>
  <si>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</si>
  <si>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</si>
  <si>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</si>
  <si>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</si>
  <si>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</si>
  <si>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</si>
  <si>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</si>
  <si>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</si>
  <si>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</si>
  <si>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</si>
  <si>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</si>
  <si>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</si>
  <si>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</si>
  <si>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</si>
  <si>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</si>
  <si>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</si>
  <si>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</si>
  <si>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</si>
  <si>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</si>
  <si>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</si>
  <si>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</si>
  <si>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</si>
  <si>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</si>
  <si>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</si>
  <si>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</si>
  <si>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</si>
  <si>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</si>
  <si>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</si>
  <si>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</si>
  <si>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</si>
  <si>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</si>
  <si>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</si>
  <si>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</si>
  <si>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</si>
  <si>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</si>
  <si>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</si>
  <si>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</si>
  <si>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</si>
  <si>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</si>
  <si>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</si>
  <si>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</si>
  <si>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</si>
  <si>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</si>
  <si>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</si>
  <si>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</si>
  <si>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</si>
  <si>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</si>
  <si>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</si>
  <si>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</si>
  <si>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</si>
  <si>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</si>
  <si>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</si>
  <si>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</si>
  <si>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</si>
  <si>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</si>
  <si>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</si>
  <si>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</si>
  <si>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</si>
  <si>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</si>
  <si>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</si>
  <si>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</si>
  <si>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</si>
  <si>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</si>
  <si>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</si>
  <si>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</si>
  <si>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</si>
  <si>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</si>
  <si>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</si>
  <si>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</si>
  <si>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</si>
  <si>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</si>
  <si>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</si>
  <si>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</si>
  <si>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</si>
  <si>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</si>
  <si>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</si>
  <si>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</si>
  <si>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</si>
  <si>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</si>
  <si>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</si>
  <si>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</si>
  <si>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</si>
  <si>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</si>
  <si>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</si>
  <si>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</si>
  <si>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</si>
  <si>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</si>
  <si>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</si>
  <si>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</si>
  <si>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</si>
  <si>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</si>
  <si>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</si>
  <si>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</si>
  <si>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</si>
  <si>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</si>
  <si>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</si>
  <si>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</si>
  <si>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</si>
  <si>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</si>
  <si>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</si>
  <si>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</si>
  <si>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</si>
  <si>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</si>
  <si>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</si>
  <si>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</si>
  <si>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</si>
  <si>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</si>
  <si>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</si>
  <si>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</si>
  <si>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</si>
  <si>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</si>
  <si>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</si>
  <si>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</si>
  <si>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</si>
  <si>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</si>
  <si>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</si>
  <si>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</si>
  <si>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</si>
  <si>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</si>
  <si>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</si>
  <si>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</si>
  <si>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</si>
  <si>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</si>
  <si>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</si>
  <si>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</si>
  <si>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</si>
  <si>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</si>
  <si>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</si>
  <si>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</si>
  <si>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</si>
  <si>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</si>
  <si>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</si>
  <si>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</si>
  <si>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</si>
  <si>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</si>
  <si>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</si>
  <si>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</si>
  <si>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</si>
  <si>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</si>
  <si>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</si>
  <si>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</si>
  <si>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</si>
  <si>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</si>
  <si>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</si>
  <si>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</si>
  <si>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</si>
  <si>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</si>
  <si>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</si>
  <si>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</si>
  <si>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</si>
  <si>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</si>
  <si>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</si>
  <si>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</si>
  <si>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</si>
  <si>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</si>
  <si>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</si>
  <si>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</si>
  <si>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</si>
  <si>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</si>
  <si>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</si>
  <si>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</si>
  <si>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</si>
  <si>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</si>
  <si>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</si>
  <si>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</si>
  <si>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</si>
  <si>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</si>
  <si>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</si>
  <si>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</si>
  <si>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</si>
  <si>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</si>
  <si>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</si>
  <si>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</si>
  <si>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</si>
  <si>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</si>
  <si>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</si>
  <si>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</si>
  <si>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</si>
  <si>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</si>
  <si>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</si>
  <si>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</si>
  <si>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</si>
  <si>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</si>
  <si>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</si>
  <si>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</si>
  <si>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</si>
  <si>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</si>
  <si>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</si>
  <si>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</si>
  <si>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</si>
  <si>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</si>
  <si>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</si>
  <si>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</si>
  <si>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</si>
  <si>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</si>
  <si>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</si>
  <si>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</si>
  <si>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</si>
  <si>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</si>
  <si>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</si>
  <si>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</si>
  <si>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</si>
  <si>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</si>
  <si>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</si>
  <si>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</si>
  <si>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</si>
  <si>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</si>
  <si>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</si>
  <si>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</si>
  <si>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</si>
  <si>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</si>
  <si>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</si>
  <si>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</si>
  <si>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</si>
  <si>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</si>
  <si>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</si>
  <si>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</si>
  <si>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</si>
  <si>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</si>
  <si>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</si>
  <si>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</si>
  <si>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</si>
  <si>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</si>
  <si>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</si>
  <si>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</si>
  <si>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</si>
  <si>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</si>
  <si>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</si>
  <si>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</si>
  <si>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</si>
  <si>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</si>
  <si>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</si>
  <si>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</si>
  <si>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</si>
  <si>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</si>
  <si>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</si>
  <si>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</si>
  <si>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</si>
  <si>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</si>
  <si>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</si>
  <si>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</si>
  <si>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</si>
  <si>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</si>
  <si>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</si>
  <si>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</si>
  <si>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</si>
  <si>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</si>
  <si>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</si>
  <si>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</si>
  <si>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</si>
  <si>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</si>
  <si>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</si>
  <si>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</si>
  <si>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</si>
  <si>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</si>
  <si>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</si>
  <si>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</si>
  <si>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</si>
  <si>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</si>
  <si>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</si>
  <si>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</si>
  <si>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</si>
  <si>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</si>
  <si>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</si>
  <si>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</si>
  <si>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</si>
  <si>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</si>
  <si>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</si>
  <si>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</si>
  <si>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</si>
  <si>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</si>
  <si>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</si>
  <si>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</si>
  <si>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</si>
  <si>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</si>
  <si>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</si>
  <si>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</si>
  <si>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</si>
  <si>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</si>
  <si>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</si>
  <si>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</si>
  <si>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</si>
  <si>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</si>
  <si>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</si>
  <si>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</si>
  <si>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</si>
  <si>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</si>
  <si>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</si>
  <si>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</si>
  <si>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</si>
  <si>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</si>
  <si>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</si>
  <si>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</si>
  <si>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</si>
  <si>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</si>
  <si>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</si>
  <si>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</si>
  <si>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</si>
  <si>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</si>
  <si>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</si>
  <si>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</si>
  <si>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</si>
  <si>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</si>
  <si>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</si>
  <si>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</si>
  <si>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</si>
  <si>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</si>
  <si>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</si>
  <si>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</si>
  <si>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</si>
  <si>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</si>
  <si>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</si>
  <si>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</si>
  <si>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</si>
  <si>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</si>
  <si>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</si>
  <si>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</si>
  <si>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</si>
  <si>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</si>
  <si>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</si>
  <si>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</si>
  <si>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</si>
  <si>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</si>
  <si>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</si>
  <si>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</si>
  <si>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</si>
  <si>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</si>
  <si>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</si>
  <si>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</si>
  <si>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</si>
  <si>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</si>
  <si>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</si>
  <si>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</si>
  <si>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</si>
  <si>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</si>
  <si>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</si>
  <si>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</si>
  <si>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</si>
  <si>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</si>
  <si>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</si>
  <si>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</si>
  <si>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</si>
  <si>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</si>
  <si>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</si>
  <si>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</si>
  <si>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</si>
  <si>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</si>
  <si>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</si>
  <si>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</si>
  <si>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</si>
  <si>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</si>
  <si>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</si>
  <si>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</si>
  <si>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</si>
  <si>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</si>
  <si>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</si>
  <si>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</si>
  <si>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</si>
  <si>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</si>
  <si>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</si>
  <si>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</si>
  <si>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</si>
  <si>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</si>
  <si>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</si>
  <si>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</si>
  <si>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</si>
  <si>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</si>
  <si>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</si>
  <si>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</si>
  <si>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</si>
  <si>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</si>
  <si>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</si>
  <si>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</si>
  <si>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</si>
  <si>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</si>
  <si>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</si>
  <si>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</si>
  <si>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</si>
  <si>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</si>
  <si>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</si>
  <si>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</si>
  <si>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</si>
  <si>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</si>
  <si>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</si>
  <si>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</si>
  <si>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</si>
  <si>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</si>
  <si>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</si>
  <si>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</si>
  <si>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</si>
  <si>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</si>
  <si>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</si>
  <si>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</si>
  <si>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</si>
  <si>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</si>
  <si>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</si>
  <si>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</si>
  <si>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</si>
  <si>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</si>
  <si>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</si>
  <si>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</si>
  <si>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</si>
  <si>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</si>
  <si>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</si>
  <si>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</si>
  <si>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</si>
  <si>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</si>
  <si>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</si>
  <si>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</si>
  <si>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</si>
  <si>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</si>
  <si>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</si>
  <si>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</si>
  <si>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</si>
  <si>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</si>
  <si>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</si>
  <si>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</si>
  <si>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</si>
  <si>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</si>
  <si>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</si>
  <si>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</si>
  <si>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</si>
  <si>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</si>
  <si>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</si>
  <si>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</si>
  <si>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</si>
  <si>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</si>
  <si>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</si>
  <si>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</si>
  <si>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</si>
  <si>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</si>
  <si>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</si>
  <si>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</si>
  <si>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</si>
  <si>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</si>
  <si>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</si>
  <si>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</si>
  <si>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</si>
  <si>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</si>
  <si>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</si>
  <si>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</si>
  <si>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</si>
  <si>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</si>
  <si>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</si>
  <si>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</si>
  <si>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</si>
  <si>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</si>
  <si>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</si>
  <si>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</si>
  <si>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</si>
  <si>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</si>
  <si>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</si>
  <si>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</si>
  <si>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</si>
  <si>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</si>
  <si>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</si>
  <si>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</si>
  <si>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</si>
  <si>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</si>
  <si>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</si>
  <si>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</si>
  <si>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</si>
  <si>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</si>
  <si>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</si>
  <si>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</si>
  <si>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</si>
  <si>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</si>
  <si>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</si>
  <si>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</si>
  <si>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</si>
  <si>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</si>
  <si>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</si>
  <si>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</si>
  <si>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</si>
  <si>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</si>
  <si>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</si>
  <si>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</si>
  <si>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</si>
  <si>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</si>
  <si>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</si>
  <si>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</si>
  <si>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</si>
  <si>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</si>
  <si>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</si>
  <si>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</si>
  <si>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</si>
  <si>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</si>
  <si>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</si>
  <si>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</si>
  <si>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</si>
  <si>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</si>
  <si>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</si>
  <si>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</si>
  <si>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</si>
  <si>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</si>
  <si>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</si>
  <si>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</si>
  <si>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</si>
  <si>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</si>
  <si>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</si>
  <si>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</si>
  <si>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</si>
  <si>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</si>
  <si>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</si>
  <si>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</si>
  <si>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</si>
  <si>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</si>
  <si>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</si>
  <si>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</si>
  <si>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</si>
  <si>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</si>
  <si>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</si>
  <si>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</si>
  <si>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</si>
  <si>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</si>
  <si>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</si>
  <si>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</si>
  <si>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</si>
  <si>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</si>
  <si>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</si>
  <si>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</si>
  <si>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</si>
  <si>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</si>
  <si>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</si>
  <si>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</si>
  <si>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</si>
  <si>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</si>
  <si>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</si>
  <si>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</si>
  <si>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</si>
  <si>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</si>
  <si>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</si>
  <si>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</si>
  <si>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</si>
  <si>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</si>
  <si>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</si>
  <si>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</si>
  <si>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</si>
  <si>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</si>
  <si>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</si>
  <si>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</si>
  <si>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</si>
  <si>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</si>
  <si>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</si>
  <si>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</si>
  <si>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</si>
  <si>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</si>
  <si>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</si>
  <si>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</si>
  <si>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</si>
  <si>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</si>
  <si>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</si>
  <si>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</si>
  <si>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</si>
  <si>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</si>
  <si>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</si>
  <si>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</si>
  <si>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</si>
  <si>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</si>
  <si>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</si>
  <si>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</si>
  <si>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</si>
  <si>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</si>
  <si>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</si>
  <si>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</si>
  <si>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</si>
  <si>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</si>
  <si>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</si>
  <si>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</si>
  <si>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</si>
  <si>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</si>
  <si>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</si>
  <si>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</si>
  <si>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</si>
  <si>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</si>
  <si>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</si>
  <si>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</si>
  <si>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</si>
  <si>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</si>
  <si>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</si>
  <si>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</si>
  <si>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</si>
  <si>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</si>
  <si>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</si>
  <si>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</si>
  <si>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</si>
  <si>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</si>
  <si>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</si>
  <si>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</si>
  <si>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</si>
  <si>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</si>
  <si>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</si>
  <si>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</si>
  <si>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</si>
  <si>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</si>
  <si>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</si>
  <si>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</si>
  <si>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</si>
  <si>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</si>
  <si>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</si>
  <si>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</si>
  <si>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</si>
  <si>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</si>
  <si>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</si>
  <si>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</si>
  <si>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</si>
  <si>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</si>
  <si>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</si>
  <si>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</si>
  <si>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</si>
  <si>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</si>
  <si>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</si>
  <si>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</si>
  <si>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</si>
  <si>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</si>
  <si>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</si>
  <si>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</si>
  <si>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</si>
  <si>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</si>
  <si>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</si>
  <si>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</si>
  <si>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</si>
  <si>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</si>
  <si>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</si>
  <si>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</si>
  <si>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</si>
  <si>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</si>
  <si>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</si>
  <si>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</si>
  <si>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</si>
  <si>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</si>
  <si>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</si>
  <si>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</si>
  <si>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</si>
  <si>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</si>
  <si>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</si>
  <si>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</si>
  <si>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</si>
  <si>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</si>
  <si>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</si>
  <si>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</si>
  <si>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</si>
  <si>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</si>
  <si>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</si>
  <si>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</si>
  <si>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</si>
  <si>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</si>
  <si>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</si>
  <si>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</si>
  <si>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</si>
  <si>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</si>
  <si>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</si>
  <si>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</si>
  <si>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</si>
  <si>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</si>
  <si>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</si>
  <si>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</si>
  <si>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</si>
  <si>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</si>
  <si>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</si>
  <si>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</si>
  <si>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</si>
  <si>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</si>
  <si>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</si>
  <si>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</si>
  <si>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</si>
  <si>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</si>
  <si>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</si>
  <si>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</si>
  <si>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</si>
  <si>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</si>
  <si>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</si>
  <si>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</si>
  <si>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</si>
  <si>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</si>
  <si>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</si>
  <si>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</si>
  <si>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</si>
  <si>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</si>
  <si>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</si>
  <si>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</si>
  <si>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</si>
  <si>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</si>
  <si>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</si>
  <si>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</si>
  <si>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</si>
  <si>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</si>
  <si>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</si>
  <si>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</si>
  <si>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</si>
  <si>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</si>
  <si>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</si>
  <si>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</si>
  <si>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</si>
  <si>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</si>
  <si>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</si>
  <si>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</si>
  <si>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</si>
  <si>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</si>
  <si>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</si>
  <si>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</si>
  <si>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</si>
  <si>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</si>
  <si>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</si>
  <si>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</si>
  <si>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</si>
  <si>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</si>
  <si>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</si>
  <si>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</si>
  <si>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</si>
  <si>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</si>
  <si>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</si>
  <si>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</si>
  <si>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</si>
  <si>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</si>
  <si>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</si>
  <si>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</si>
  <si>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</si>
  <si>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</si>
  <si>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</si>
  <si>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</si>
  <si>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</si>
  <si>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</si>
  <si>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</si>
  <si>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</si>
  <si>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</si>
  <si>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</si>
  <si>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</si>
  <si>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</si>
  <si>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</si>
  <si>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</si>
  <si>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</si>
  <si>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</si>
  <si>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</si>
  <si>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</si>
  <si>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</si>
  <si>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</si>
  <si>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</si>
  <si>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</si>
  <si>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</si>
  <si>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</si>
  <si>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</si>
  <si>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</si>
  <si>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</si>
  <si>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</si>
  <si>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</si>
  <si>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</si>
  <si>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</si>
  <si>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</si>
  <si>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</si>
  <si>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</si>
  <si>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</si>
  <si>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</si>
  <si>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</si>
  <si>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</si>
  <si>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</si>
  <si>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</si>
  <si>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</si>
  <si>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</si>
  <si>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</si>
  <si>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</si>
  <si>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</si>
  <si>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</si>
  <si>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</si>
  <si>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</si>
  <si>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</si>
  <si>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</si>
  <si>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</si>
  <si>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</si>
  <si>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</si>
  <si>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</si>
  <si>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</si>
  <si>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</si>
  <si>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</si>
  <si>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</si>
  <si>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</si>
  <si>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</si>
  <si>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</si>
  <si>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</si>
  <si>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</si>
  <si>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</si>
  <si>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</si>
  <si>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</si>
  <si>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</si>
  <si>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</si>
  <si>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</si>
  <si>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</si>
  <si>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</si>
  <si>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</si>
  <si>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</si>
  <si>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</si>
  <si>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</si>
  <si>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</si>
  <si>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</si>
  <si>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</si>
  <si>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</si>
  <si>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</si>
  <si>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</si>
  <si>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</si>
  <si>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</si>
  <si>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</si>
  <si>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</si>
  <si>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</si>
  <si>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</si>
  <si>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</si>
  <si>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</si>
  <si>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</si>
  <si>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</si>
  <si>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</si>
  <si>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</si>
  <si>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</si>
  <si>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</si>
  <si>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</si>
  <si>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</si>
  <si>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</si>
  <si>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</si>
  <si>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</si>
  <si>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</si>
  <si>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</si>
  <si>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</si>
  <si>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</si>
  <si>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</si>
  <si>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</si>
  <si>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</si>
  <si>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</si>
  <si>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</si>
  <si>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</si>
  <si>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</si>
  <si>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</si>
  <si>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</si>
  <si>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</si>
  <si>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</si>
  <si>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</si>
  <si>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</si>
  <si>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</si>
  <si>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</si>
  <si>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</si>
  <si>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</si>
  <si>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</si>
  <si>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</si>
  <si>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</si>
  <si>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</si>
  <si>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</si>
  <si>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</si>
  <si>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</si>
  <si>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</si>
  <si>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</si>
  <si>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</si>
  <si>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</si>
  <si>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</si>
  <si>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</si>
  <si>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</si>
  <si>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</si>
  <si>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</si>
  <si>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</si>
  <si>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</si>
  <si>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</si>
  <si>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</si>
  <si>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</si>
  <si>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</si>
  <si>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</si>
  <si>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</si>
  <si>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</si>
  <si>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</si>
  <si>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</si>
  <si>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</si>
  <si>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</si>
  <si>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</si>
  <si>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</si>
  <si>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</si>
  <si>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</si>
  <si>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</si>
  <si>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</si>
  <si>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</si>
  <si>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</si>
  <si>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</si>
  <si>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</si>
  <si>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</si>
  <si>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</si>
  <si>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</si>
  <si>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</si>
  <si>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</si>
  <si>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</si>
  <si>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</si>
  <si>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</si>
  <si>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</si>
  <si>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</si>
  <si>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</si>
  <si>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</si>
  <si>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</si>
  <si>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</si>
  <si>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</si>
  <si>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</si>
  <si>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</si>
  <si>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</si>
  <si>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</si>
  <si>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</si>
  <si>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</si>
  <si>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</si>
  <si>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</si>
  <si>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</si>
  <si>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</si>
  <si>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</si>
  <si>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</si>
  <si>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</si>
  <si>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</si>
  <si>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</si>
  <si>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</si>
  <si>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</si>
  <si>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</si>
  <si>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</si>
  <si>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</si>
  <si>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</si>
  <si>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</si>
  <si>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</si>
  <si>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</si>
  <si>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</si>
  <si>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</si>
  <si>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</si>
  <si>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</si>
  <si>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</si>
  <si>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</si>
  <si>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</si>
  <si>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</si>
  <si>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</si>
  <si>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</si>
  <si>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</si>
  <si>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</si>
  <si>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</si>
  <si>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</si>
  <si>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</si>
  <si>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</si>
  <si>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</si>
  <si>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</si>
  <si>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</si>
  <si>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</si>
  <si>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</si>
  <si>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</si>
  <si>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</si>
  <si>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</si>
  <si>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</si>
  <si>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</si>
  <si>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</si>
  <si>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</si>
  <si>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</si>
  <si>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</si>
  <si>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</si>
  <si>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</si>
  <si>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</si>
  <si>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</si>
  <si>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</si>
  <si>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</si>
  <si>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</si>
  <si>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</si>
  <si>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</si>
  <si>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</si>
  <si>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</si>
  <si>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</si>
  <si>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</si>
  <si>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</si>
  <si>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</si>
  <si>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</si>
  <si>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</si>
  <si>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</si>
  <si>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</si>
  <si>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</si>
  <si>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</si>
  <si>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</si>
  <si>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</si>
  <si>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</si>
  <si>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</si>
  <si>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</si>
  <si>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</si>
  <si>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</si>
  <si>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</si>
  <si>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</si>
  <si>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</si>
  <si>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</si>
  <si>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</si>
  <si>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</si>
  <si>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</si>
  <si>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</si>
  <si>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</si>
  <si>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</si>
  <si>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</si>
  <si>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</si>
  <si>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</si>
  <si>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</si>
  <si>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</si>
  <si>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</si>
  <si>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</si>
  <si>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</si>
  <si>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</si>
  <si>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</si>
  <si>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</si>
  <si>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</si>
  <si>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</si>
  <si>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</si>
  <si>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</si>
  <si>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</si>
  <si>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</si>
  <si>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</si>
  <si>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</si>
  <si>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</si>
  <si>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</si>
  <si>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</si>
  <si>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</si>
  <si>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</si>
  <si>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</si>
  <si>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</si>
  <si>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</si>
  <si>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</si>
  <si>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</si>
  <si>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</si>
  <si>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</si>
  <si>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</si>
  <si>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</si>
  <si>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</si>
  <si>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</si>
  <si>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</si>
  <si>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</si>
  <si>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</si>
  <si>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</si>
  <si>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</si>
  <si>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</si>
  <si>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</si>
  <si>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</si>
  <si>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</si>
  <si>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</si>
  <si>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</si>
  <si>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</si>
  <si>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</si>
  <si>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</si>
  <si>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</si>
  <si>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</si>
  <si>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</si>
  <si>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</si>
  <si>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</si>
  <si>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</si>
  <si>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</si>
  <si>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</si>
  <si>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</si>
  <si>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</si>
  <si>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</si>
  <si>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</si>
  <si>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</si>
  <si>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</si>
  <si>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</si>
  <si>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</si>
  <si>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</si>
  <si>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</si>
  <si>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</si>
  <si>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</si>
  <si>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</si>
  <si>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</si>
  <si>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</si>
  <si>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</si>
  <si>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</si>
  <si>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</si>
  <si>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</si>
  <si>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</si>
  <si>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</si>
  <si>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</si>
  <si>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</si>
  <si>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</si>
  <si>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</si>
  <si>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</si>
  <si>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</si>
  <si>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</si>
  <si>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</si>
  <si>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</si>
  <si>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</si>
  <si>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</si>
  <si>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</si>
  <si>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</si>
  <si>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</si>
  <si>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</si>
  <si>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</si>
  <si>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</si>
  <si>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</si>
  <si>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</si>
  <si>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</si>
  <si>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</si>
  <si>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</si>
  <si>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</si>
  <si>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</si>
  <si>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</si>
  <si>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</si>
  <si>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</si>
  <si>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</si>
  <si>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</si>
  <si>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</si>
  <si>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</si>
  <si>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</si>
  <si>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</si>
  <si>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</si>
  <si>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</si>
  <si>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</si>
  <si>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</si>
  <si>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</si>
  <si>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</si>
  <si>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</si>
  <si>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</si>
  <si>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</si>
  <si>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</si>
  <si>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</si>
  <si>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</si>
  <si>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</si>
  <si>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</si>
  <si>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</si>
  <si>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</si>
  <si>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</si>
  <si>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</si>
  <si>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</si>
  <si>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</si>
  <si>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</si>
  <si>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</si>
  <si>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</si>
  <si>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</si>
  <si>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</si>
  <si>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</si>
  <si>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</si>
  <si>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</si>
  <si>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</si>
  <si>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</si>
  <si>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</si>
  <si>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</si>
  <si>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</si>
  <si>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</si>
  <si>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</si>
  <si>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</si>
  <si>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</si>
  <si>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</si>
  <si>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</si>
  <si>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</si>
  <si>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</si>
  <si>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</si>
  <si>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</si>
  <si>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</si>
  <si>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</si>
  <si>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</si>
  <si>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</si>
  <si>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</si>
  <si>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</si>
  <si>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</si>
  <si>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</si>
  <si>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</si>
  <si>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</si>
  <si>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</si>
  <si>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</si>
  <si>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</si>
  <si>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</si>
  <si>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</si>
  <si>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</si>
  <si>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</si>
  <si>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</si>
  <si>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</si>
  <si>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</si>
  <si>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</si>
  <si>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</si>
  <si>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</si>
  <si>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</si>
  <si>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</si>
  <si>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</si>
  <si>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</si>
  <si>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</si>
  <si>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</si>
  <si>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</si>
  <si>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</si>
  <si>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</si>
  <si>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</si>
  <si>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</si>
  <si>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</si>
  <si>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</si>
  <si>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</si>
  <si>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</si>
  <si>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</si>
  <si>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</si>
  <si>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</si>
  <si>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</si>
  <si>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</si>
  <si>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</si>
  <si>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</si>
  <si>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</si>
  <si>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</si>
  <si>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</si>
  <si>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</si>
  <si>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</si>
  <si>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</si>
  <si>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</si>
  <si>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</si>
  <si>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</si>
  <si>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</si>
  <si>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</si>
  <si>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</si>
  <si>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</si>
  <si>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</si>
  <si>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</si>
  <si>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</si>
  <si>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</si>
  <si>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</si>
  <si>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</si>
  <si>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</si>
  <si>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</si>
  <si>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</si>
  <si>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</si>
  <si>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</si>
  <si>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</si>
  <si>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</si>
  <si>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</si>
  <si>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</si>
  <si>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</si>
  <si>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</si>
  <si>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</si>
  <si>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</si>
  <si>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</si>
  <si>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</si>
  <si>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</si>
  <si>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</si>
  <si>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</si>
  <si>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</si>
  <si>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</si>
  <si>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</si>
  <si>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</si>
  <si>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</si>
  <si>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</si>
  <si>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</si>
  <si>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</si>
  <si>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</si>
  <si>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</si>
  <si>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</si>
  <si>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</si>
  <si>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</si>
  <si>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</si>
  <si>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</si>
  <si>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</si>
  <si>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</si>
  <si>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</si>
  <si>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</si>
  <si>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</si>
  <si>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</si>
  <si>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</si>
  <si>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</si>
  <si>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</si>
  <si>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</si>
  <si>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</si>
  <si>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</si>
  <si>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</si>
  <si>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</si>
  <si>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</si>
  <si>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</si>
  <si>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</si>
  <si>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</si>
  <si>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</si>
  <si>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</si>
  <si>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</si>
  <si>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</si>
  <si>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</si>
  <si>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</si>
  <si>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</si>
  <si>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</si>
  <si>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</si>
  <si>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</si>
  <si>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</si>
  <si>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</si>
  <si>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</si>
  <si>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</si>
  <si>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</si>
  <si>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</si>
  <si>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</si>
  <si>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</si>
  <si>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</si>
  <si>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</si>
  <si>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</si>
  <si>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</si>
  <si>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</si>
  <si>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</si>
  <si>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</si>
  <si>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</si>
  <si>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</si>
  <si>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</si>
  <si>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</si>
  <si>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</si>
  <si>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</si>
  <si>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</si>
  <si>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</si>
  <si>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</si>
  <si>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</si>
  <si>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</si>
  <si>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</si>
  <si>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</si>
  <si>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</si>
  <si>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</si>
  <si>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</si>
  <si>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</si>
  <si>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</si>
  <si>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</si>
  <si>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</si>
  <si>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</si>
  <si>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</si>
  <si>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</si>
  <si>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</si>
  <si>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</si>
  <si>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</si>
  <si>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</si>
  <si>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</si>
  <si>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</si>
  <si>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</si>
  <si>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</si>
  <si>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</si>
  <si>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</si>
  <si>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</si>
  <si>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</si>
  <si>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</si>
  <si>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</si>
  <si>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</si>
  <si>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</si>
  <si>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</si>
  <si>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</si>
  <si>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</si>
  <si>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</si>
  <si>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</si>
  <si>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</si>
  <si>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</si>
  <si>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</si>
  <si>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</si>
  <si>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</si>
  <si>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</si>
  <si>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</si>
  <si>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</si>
  <si>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</si>
  <si>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</si>
  <si>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</si>
  <si>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</si>
  <si>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</si>
  <si>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</si>
  <si>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</si>
  <si>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</si>
  <si>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</si>
  <si>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</si>
  <si>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</si>
  <si>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</si>
  <si>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</si>
  <si>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</si>
  <si>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</si>
  <si>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</si>
  <si>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</si>
  <si>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</si>
  <si>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</si>
  <si>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</si>
  <si>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</si>
  <si>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</si>
  <si>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</si>
  <si>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</si>
  <si>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</si>
  <si>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</si>
  <si>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</si>
  <si>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</si>
  <si>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</si>
  <si>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</si>
  <si>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</si>
  <si>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</si>
  <si>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</si>
  <si>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</si>
  <si>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</si>
  <si>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</si>
  <si>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</si>
  <si>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</si>
  <si>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</si>
  <si>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</si>
  <si>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</si>
  <si>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</si>
  <si>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</si>
  <si>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</si>
  <si>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</si>
  <si>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</si>
  <si>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</si>
  <si>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</si>
  <si>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</si>
  <si>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</si>
  <si>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</si>
  <si>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</si>
  <si>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</si>
  <si>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</si>
  <si>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</si>
  <si>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</si>
  <si>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</si>
  <si>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</si>
  <si>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</si>
  <si>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</si>
  <si>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</si>
  <si>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</si>
  <si>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</si>
  <si>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</si>
  <si>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</si>
  <si>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</si>
  <si>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</si>
  <si>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</si>
  <si>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</si>
  <si>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</si>
  <si>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</si>
  <si>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</si>
  <si>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</si>
  <si>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</si>
  <si>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</si>
  <si>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</si>
  <si>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</si>
  <si>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</si>
  <si>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</si>
  <si>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</si>
  <si>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</si>
  <si>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</si>
  <si>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</si>
  <si>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</si>
  <si>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</si>
  <si>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</si>
  <si>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</si>
  <si>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</si>
  <si>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</si>
  <si>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</si>
  <si>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</si>
  <si>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</si>
  <si>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</si>
  <si>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</si>
  <si>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</si>
  <si>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</si>
  <si>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</si>
  <si>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</si>
  <si>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</si>
  <si>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</si>
  <si>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</si>
  <si>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</si>
  <si>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</si>
  <si>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</si>
  <si>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</si>
  <si>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</si>
  <si>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</si>
  <si>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</si>
  <si>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</si>
  <si>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</si>
  <si>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</si>
  <si>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</si>
  <si>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</si>
  <si>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</si>
  <si>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</si>
  <si>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</si>
  <si>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</si>
  <si>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</si>
  <si>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</si>
  <si>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</si>
  <si>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</si>
  <si>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</si>
  <si>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</si>
  <si>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</si>
  <si>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</si>
  <si>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</si>
  <si>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</si>
  <si>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</si>
  <si>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</si>
  <si>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</si>
  <si>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</si>
  <si>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</si>
  <si>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</si>
  <si>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</si>
  <si>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</si>
  <si>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</si>
  <si>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</si>
  <si>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</si>
  <si>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</si>
  <si>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</si>
  <si>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</si>
  <si>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</si>
  <si>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</si>
  <si>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</si>
  <si>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</si>
  <si>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</si>
  <si>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</si>
  <si>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</si>
  <si>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</si>
  <si>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</si>
  <si>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</si>
  <si>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</si>
  <si>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</si>
  <si>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</si>
  <si>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</si>
  <si>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</si>
  <si>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</si>
  <si>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</si>
  <si>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</si>
  <si>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</si>
  <si>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</si>
  <si>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</si>
  <si>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</si>
  <si>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</si>
  <si>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</si>
  <si>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</si>
  <si>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</si>
  <si>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</si>
  <si>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</si>
  <si>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</si>
  <si>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</si>
  <si>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</si>
  <si>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</si>
  <si>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</si>
  <si>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</si>
  <si>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</si>
  <si>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</si>
  <si>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</si>
  <si>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</si>
  <si>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</si>
  <si>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</si>
  <si>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</si>
  <si>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</si>
  <si>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</si>
  <si>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</si>
  <si>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</si>
  <si>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</si>
  <si>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</si>
  <si>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</si>
  <si>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</si>
  <si>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</si>
  <si>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</si>
  <si>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</si>
  <si>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</si>
  <si>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</si>
  <si>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</si>
  <si>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</si>
  <si>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</si>
  <si>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</si>
  <si>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</si>
  <si>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</si>
  <si>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</si>
  <si>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</si>
  <si>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</si>
  <si>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</si>
  <si>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</si>
  <si>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</si>
  <si>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</si>
  <si>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</si>
  <si>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</si>
  <si>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</si>
  <si>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</si>
  <si>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</si>
  <si>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</si>
  <si>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</si>
  <si>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</si>
  <si>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</si>
  <si>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</si>
  <si>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</si>
  <si>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</si>
  <si>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</si>
  <si>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</si>
  <si>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</si>
  <si>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</si>
  <si>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</si>
  <si>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</si>
  <si>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</si>
  <si>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</si>
  <si>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</si>
  <si>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</si>
  <si>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</si>
  <si>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</si>
  <si>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</si>
  <si>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</si>
  <si>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</si>
  <si>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</si>
  <si>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</si>
  <si>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</si>
  <si>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</si>
  <si>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</si>
  <si>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</si>
  <si>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</si>
  <si>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</si>
  <si>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</si>
  <si>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</si>
  <si>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</si>
  <si>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</si>
  <si>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</si>
  <si>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</si>
  <si>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</si>
  <si>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</si>
  <si>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</si>
  <si>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</si>
  <si>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</si>
  <si>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</si>
  <si>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</si>
  <si>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</si>
  <si>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</si>
  <si>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</si>
  <si>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</si>
  <si>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</si>
  <si>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</si>
  <si>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</si>
  <si>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</si>
  <si>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</si>
  <si>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</si>
  <si>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</si>
  <si>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</si>
  <si>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</si>
  <si>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</si>
  <si>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</si>
  <si>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</si>
  <si>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</si>
  <si>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</si>
  <si>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</si>
  <si>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</si>
  <si>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</si>
  <si>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</si>
  <si>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</si>
  <si>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</si>
  <si>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</si>
  <si>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</si>
  <si>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</si>
  <si>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</si>
  <si>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</si>
  <si>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</si>
  <si>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</si>
  <si>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</si>
  <si>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</si>
  <si>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</si>
  <si>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</si>
  <si>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</si>
  <si>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</si>
  <si>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</si>
  <si>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</si>
  <si>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</si>
  <si>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</si>
  <si>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</si>
  <si>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</si>
  <si>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</si>
  <si>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</si>
  <si>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</si>
  <si>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</si>
  <si>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</si>
  <si>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</si>
  <si>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</si>
  <si>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</si>
  <si>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</si>
  <si>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</si>
  <si>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</si>
  <si>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</si>
  <si>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</si>
  <si>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</si>
  <si>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</si>
  <si>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</si>
  <si>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</si>
  <si>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</si>
  <si>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</si>
  <si>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</si>
  <si>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</si>
  <si>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</si>
  <si>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</si>
  <si>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</si>
  <si>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</si>
  <si>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</si>
  <si>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</si>
  <si>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</si>
  <si>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</si>
  <si>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</si>
  <si>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</si>
  <si>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</si>
  <si>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</si>
  <si>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</si>
  <si>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</si>
  <si>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</si>
  <si>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</si>
  <si>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</si>
  <si>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</si>
  <si>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</si>
  <si>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</si>
  <si>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</si>
  <si>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</si>
  <si>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</si>
  <si>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</si>
  <si>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</si>
  <si>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</si>
  <si>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</si>
  <si>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</si>
  <si>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</si>
  <si>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</si>
  <si>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</si>
  <si>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</si>
  <si>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</si>
  <si>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</si>
  <si>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</si>
  <si>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</si>
  <si>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</si>
  <si>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</si>
  <si>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</si>
  <si>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</si>
  <si>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</si>
  <si>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</si>
  <si>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</si>
  <si>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</si>
  <si>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</si>
  <si>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</si>
  <si>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</si>
  <si>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</si>
  <si>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</si>
  <si>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</si>
  <si>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</si>
  <si>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</si>
  <si>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</si>
  <si>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</si>
  <si>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</si>
  <si>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</si>
  <si>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</si>
  <si>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</si>
  <si>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</si>
  <si>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</si>
  <si>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</si>
  <si>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</si>
  <si>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</si>
  <si>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</si>
  <si>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</si>
  <si>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</si>
  <si>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</si>
  <si>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</si>
  <si>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</si>
  <si>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</si>
  <si>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</si>
  <si>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</si>
  <si>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</si>
  <si>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</si>
  <si>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</si>
  <si>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</si>
  <si>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</si>
  <si>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</si>
  <si>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</si>
  <si>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</si>
  <si>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</si>
  <si>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</si>
  <si>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</si>
  <si>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</si>
  <si>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</si>
  <si>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</si>
  <si>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</si>
  <si>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</si>
  <si>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</si>
  <si>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</si>
  <si>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</si>
  <si>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</si>
  <si>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</si>
  <si>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</si>
  <si>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</si>
  <si>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</si>
  <si>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</si>
  <si>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</si>
  <si>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</si>
  <si>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</si>
  <si>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</si>
  <si>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</si>
  <si>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</si>
  <si>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</si>
  <si>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</si>
  <si>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</si>
  <si>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</si>
  <si>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</si>
  <si>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</si>
  <si>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</si>
  <si>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</si>
  <si>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</si>
  <si>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</si>
  <si>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</si>
  <si>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</si>
  <si>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</si>
  <si>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</si>
  <si>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</si>
  <si>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</si>
  <si>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</si>
  <si>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</si>
  <si>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</si>
  <si>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</si>
  <si>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</si>
  <si>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</si>
  <si>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</si>
  <si>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</si>
  <si>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</si>
  <si>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</si>
  <si>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</si>
  <si>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</si>
  <si>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</si>
  <si>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</si>
  <si>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</si>
  <si>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</si>
  <si>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</si>
  <si>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</si>
  <si>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</si>
  <si>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</si>
  <si>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</si>
  <si>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</si>
  <si>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</si>
  <si>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</si>
  <si>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</si>
  <si>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</si>
  <si>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</si>
  <si>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</si>
  <si>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</si>
  <si>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</si>
  <si>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</si>
  <si>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</si>
  <si>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</si>
  <si>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</si>
  <si>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</si>
  <si>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</si>
  <si>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</si>
  <si>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</si>
  <si>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</si>
  <si>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</si>
  <si>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</si>
  <si>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</si>
  <si>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</si>
  <si>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</si>
  <si>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</si>
  <si>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</si>
  <si>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</si>
  <si>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</si>
  <si>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</si>
  <si>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</si>
  <si>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</si>
  <si>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</si>
  <si>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</si>
  <si>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</si>
  <si>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</si>
  <si>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</si>
  <si>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</si>
  <si>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</si>
  <si>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</si>
  <si>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</si>
  <si>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</si>
  <si>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</si>
  <si>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</si>
  <si>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</si>
  <si>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</si>
  <si>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</si>
  <si>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</si>
  <si>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</si>
  <si>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</si>
  <si>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</si>
  <si>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</si>
  <si>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</si>
  <si>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</si>
  <si>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</si>
  <si>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</si>
  <si>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</si>
  <si>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</si>
  <si>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</si>
  <si>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</si>
  <si>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</si>
  <si>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</si>
  <si>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</si>
  <si>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</si>
  <si>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</si>
  <si>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</si>
  <si>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</si>
  <si>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</si>
  <si>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</si>
  <si>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</si>
  <si>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</si>
  <si>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</si>
  <si>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</si>
  <si>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</si>
  <si>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</si>
  <si>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</si>
  <si>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</si>
  <si>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</si>
  <si>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</si>
  <si>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</si>
  <si>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</si>
  <si>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</si>
  <si>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</si>
  <si>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</si>
  <si>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</si>
  <si>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</si>
  <si>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</si>
  <si>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</si>
  <si>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</si>
  <si>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</si>
  <si>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</si>
  <si>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</si>
  <si>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</si>
  <si>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</si>
  <si>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</si>
  <si>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</si>
  <si>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</si>
  <si>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</si>
  <si>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</si>
  <si>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</si>
  <si>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</si>
  <si>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</si>
  <si>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</si>
  <si>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</si>
  <si>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</si>
  <si>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</si>
  <si>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</si>
  <si>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</si>
  <si>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</si>
  <si>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</si>
  <si>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</si>
  <si>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</si>
  <si>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</si>
  <si>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</si>
  <si>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</si>
  <si>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</si>
  <si>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</si>
  <si>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</si>
  <si>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</si>
  <si>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</si>
  <si>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</si>
  <si>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</si>
  <si>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</si>
  <si>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</si>
  <si>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</si>
  <si>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</si>
  <si>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</si>
  <si>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</si>
  <si>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</si>
  <si>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</si>
  <si>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</si>
  <si>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</si>
  <si>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</si>
  <si>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</si>
  <si>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</si>
  <si>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</si>
  <si>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</si>
  <si>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</si>
  <si>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</si>
  <si>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</si>
  <si>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</si>
  <si>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</si>
  <si>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</si>
  <si>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</si>
  <si>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</si>
  <si>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</si>
  <si>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</si>
  <si>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</si>
  <si>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</si>
  <si>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</si>
  <si>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</si>
  <si>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</si>
  <si>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</si>
  <si>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</si>
  <si>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</si>
  <si>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</si>
  <si>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</si>
  <si>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</si>
  <si>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</si>
  <si>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</si>
  <si>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</si>
  <si>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</si>
  <si>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</si>
  <si>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</si>
  <si>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</si>
  <si>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</si>
  <si>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</si>
  <si>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</si>
  <si>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</si>
  <si>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</si>
  <si>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</si>
  <si>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</si>
  <si>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</si>
  <si>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</si>
  <si>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</si>
  <si>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</si>
  <si>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</si>
  <si>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</si>
  <si>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</si>
  <si>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</si>
  <si>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</si>
  <si>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</si>
  <si>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</si>
  <si>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</si>
  <si>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</si>
  <si>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</si>
  <si>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</si>
  <si>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</si>
  <si>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</si>
  <si>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</si>
  <si>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</si>
  <si>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</si>
  <si>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</si>
  <si>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</si>
  <si>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</si>
  <si>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</si>
  <si>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</si>
  <si>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</si>
  <si>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</si>
  <si>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</si>
  <si>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</si>
  <si>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</si>
  <si>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</si>
  <si>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</si>
  <si>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</si>
  <si>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</si>
  <si>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</si>
  <si>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</si>
  <si>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</si>
  <si>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</si>
  <si>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</si>
  <si>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</si>
  <si>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</si>
  <si>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</si>
  <si>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</si>
  <si>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</si>
  <si>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</si>
  <si>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</si>
  <si>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</si>
  <si>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</si>
  <si>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</si>
  <si>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</si>
  <si>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</si>
  <si>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</si>
  <si>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</si>
  <si>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</si>
  <si>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</si>
  <si>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</si>
  <si>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</si>
  <si>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</si>
  <si>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</si>
  <si>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</si>
  <si>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</si>
  <si>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</si>
  <si>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</si>
  <si>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</si>
  <si>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</si>
  <si>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</si>
  <si>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</si>
  <si>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</si>
  <si>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</si>
  <si>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</si>
  <si>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</si>
  <si>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</si>
  <si>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</si>
  <si>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</si>
  <si>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</si>
  <si>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</si>
  <si>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</si>
  <si>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</si>
  <si>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</si>
  <si>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</si>
  <si>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</si>
  <si>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</si>
  <si>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</si>
  <si>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</si>
  <si>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</si>
  <si>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</si>
  <si>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</si>
  <si>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</si>
  <si>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</si>
  <si>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</si>
  <si>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</si>
  <si>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</si>
  <si>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</si>
  <si>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</si>
  <si>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</si>
  <si>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</si>
  <si>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</si>
  <si>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</si>
  <si>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</si>
  <si>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</si>
  <si>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</si>
  <si>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</si>
  <si>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</si>
  <si>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</si>
  <si>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</si>
  <si>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</si>
  <si>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</si>
  <si>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</si>
  <si>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</si>
  <si>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</si>
  <si>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</si>
  <si>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</si>
  <si>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</si>
  <si>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</si>
  <si>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</si>
  <si>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</si>
  <si>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</si>
  <si>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</si>
  <si>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</si>
  <si>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</si>
  <si>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</si>
  <si>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</si>
  <si>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</si>
  <si>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</si>
  <si>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</si>
  <si>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</si>
  <si>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</si>
  <si>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</si>
  <si>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</si>
  <si>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</si>
  <si>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</si>
  <si>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</si>
  <si>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</si>
  <si>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</si>
  <si>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</si>
  <si>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</si>
  <si>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</si>
  <si>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</si>
  <si>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</si>
  <si>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</si>
  <si>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</si>
  <si>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</si>
  <si>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</si>
  <si>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</si>
  <si>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</si>
  <si>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</si>
  <si>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</si>
  <si>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</si>
  <si>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</si>
  <si>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</si>
  <si>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</si>
  <si>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</si>
  <si>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</si>
  <si>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</si>
  <si>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</si>
  <si>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</si>
  <si>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</si>
  <si>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</si>
  <si>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</si>
  <si>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</si>
  <si>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</si>
  <si>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</si>
  <si>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</si>
  <si>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</si>
  <si>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</si>
  <si>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</si>
  <si>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</si>
  <si>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</si>
  <si>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</si>
  <si>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</si>
  <si>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</si>
  <si>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</si>
  <si>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</si>
  <si>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</si>
  <si>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</si>
  <si>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</si>
  <si>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</si>
  <si>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</si>
  <si>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</si>
  <si>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</si>
  <si>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</si>
  <si>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</si>
  <si>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</si>
  <si>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</si>
  <si>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</si>
  <si>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</si>
  <si>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</si>
  <si>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</si>
  <si>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</si>
  <si>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</si>
  <si>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</si>
  <si>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</si>
  <si>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</si>
  <si>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</si>
  <si>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</si>
  <si>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</si>
  <si>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400000</t>
    <phoneticPr fontId="1"/>
  </si>
  <si>
    <t>敵の防御力特大アップ(解除不可)、光弱点消失</t>
    <rPh sb="0" eb="1">
      <t>テキ</t>
    </rPh>
    <rPh sb="2" eb="5">
      <t>ボウギョリョク</t>
    </rPh>
    <rPh sb="5" eb="7">
      <t>トクダイ</t>
    </rPh>
    <rPh sb="17" eb="18">
      <t>ヒカリ</t>
    </rPh>
    <rPh sb="18" eb="20">
      <t>ジャクテン</t>
    </rPh>
    <rPh sb="20" eb="22">
      <t>ショウシツ</t>
    </rPh>
    <phoneticPr fontId="1"/>
  </si>
  <si>
    <t>恍惚のヴァージンロード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</si>
</sst>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2018</v>
      </c>
      <c r="E3" s="22" t="s">
        <v>2141</v>
      </c>
      <c r="F3" s="22" t="s">
        <v>2142</v>
      </c>
      <c r="G3" s="14" t="s">
        <v>1886</v>
      </c>
      <c r="H3" s="14" t="s">
        <v>1896</v>
      </c>
      <c r="I3" s="14"/>
      <c r="J3" s="14" t="s">
        <v>1891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1903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1904</v>
      </c>
      <c r="B9" s="14" cm="1">
        <f t="array" ref="B9">MAX(IF(skill_list!B:B&lt;=1000, skill_list!B:B))+1</f>
        <v>514</v>
      </c>
      <c r="C9" s="23" t="s">
        <v>2143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1904</v>
      </c>
      <c r="B10" s="14">
        <f>+B9+1</f>
        <v>515</v>
      </c>
      <c r="C10" s="23" t="s">
        <v>2140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1905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1883</v>
      </c>
      <c r="I1">
        <v>1</v>
      </c>
      <c r="J1" t="s">
        <v>1890</v>
      </c>
      <c r="K1">
        <v>0</v>
      </c>
      <c r="L1" t="s">
        <v>1906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1884</v>
      </c>
      <c r="I2">
        <v>2</v>
      </c>
      <c r="J2" t="s">
        <v>1891</v>
      </c>
      <c r="K2">
        <v>1</v>
      </c>
      <c r="L2" t="s">
        <v>1907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1885</v>
      </c>
      <c r="I3">
        <v>3</v>
      </c>
      <c r="J3" t="s">
        <v>1892</v>
      </c>
      <c r="K3">
        <v>2</v>
      </c>
      <c r="L3" t="s">
        <v>1908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1886</v>
      </c>
      <c r="I4">
        <v>4</v>
      </c>
      <c r="J4" t="s">
        <v>1893</v>
      </c>
      <c r="K4">
        <v>3</v>
      </c>
      <c r="L4" t="s">
        <v>1909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1887</v>
      </c>
      <c r="I5">
        <v>5</v>
      </c>
      <c r="J5" t="s">
        <v>1894</v>
      </c>
      <c r="K5">
        <v>4</v>
      </c>
      <c r="L5" t="s">
        <v>1910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1888</v>
      </c>
      <c r="I6">
        <v>6</v>
      </c>
      <c r="J6" t="s">
        <v>1895</v>
      </c>
      <c r="K6">
        <v>5</v>
      </c>
      <c r="L6" t="s">
        <v>1911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1889</v>
      </c>
      <c r="K7">
        <v>6</v>
      </c>
      <c r="L7" t="s">
        <v>1912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1913</v>
      </c>
    </row>
    <row r="9" spans="1:12">
      <c r="A9">
        <v>0</v>
      </c>
      <c r="B9" t="s">
        <v>1896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1914</v>
      </c>
    </row>
    <row r="10" spans="1:12">
      <c r="A10">
        <v>1</v>
      </c>
      <c r="B10" t="s">
        <v>1897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1915</v>
      </c>
    </row>
    <row r="11" spans="1:12">
      <c r="A11">
        <v>2</v>
      </c>
      <c r="B11" t="s">
        <v>1898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1899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1916</v>
      </c>
    </row>
    <row r="13" spans="1:12">
      <c r="A13">
        <v>4</v>
      </c>
      <c r="B13" t="s">
        <v>1900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1917</v>
      </c>
    </row>
    <row r="14" spans="1:12">
      <c r="A14">
        <v>5</v>
      </c>
      <c r="B14" t="s">
        <v>1901</v>
      </c>
      <c r="C14">
        <v>14</v>
      </c>
      <c r="D14" t="s">
        <v>88</v>
      </c>
      <c r="E14">
        <v>13</v>
      </c>
      <c r="K14">
        <v>13</v>
      </c>
      <c r="L14" t="s">
        <v>1918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1919</v>
      </c>
    </row>
    <row r="16" spans="1:12">
      <c r="A16">
        <v>1</v>
      </c>
      <c r="B16" t="s">
        <v>1936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1920</v>
      </c>
    </row>
    <row r="17" spans="1:12">
      <c r="A17">
        <v>2</v>
      </c>
      <c r="B17" t="s">
        <v>1902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1921</v>
      </c>
    </row>
    <row r="18" spans="1:12">
      <c r="A18">
        <v>3</v>
      </c>
      <c r="B18" t="s">
        <v>1937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1922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1923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1924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1925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1926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1927</v>
      </c>
    </row>
    <row r="24" spans="1:12">
      <c r="C24">
        <v>24</v>
      </c>
      <c r="D24" t="s">
        <v>98</v>
      </c>
      <c r="K24">
        <v>23</v>
      </c>
      <c r="L24" t="s">
        <v>1928</v>
      </c>
    </row>
    <row r="25" spans="1:12">
      <c r="C25">
        <v>25</v>
      </c>
      <c r="D25" t="s">
        <v>99</v>
      </c>
      <c r="K25">
        <v>24</v>
      </c>
      <c r="L25" t="s">
        <v>1929</v>
      </c>
    </row>
    <row r="26" spans="1:12">
      <c r="C26">
        <v>26</v>
      </c>
      <c r="D26" t="s">
        <v>100</v>
      </c>
      <c r="K26">
        <v>25</v>
      </c>
      <c r="L26" t="s">
        <v>1930</v>
      </c>
    </row>
    <row r="27" spans="1:12">
      <c r="C27">
        <v>27</v>
      </c>
      <c r="D27" t="s">
        <v>101</v>
      </c>
      <c r="K27">
        <v>26</v>
      </c>
      <c r="L27" t="s">
        <v>1931</v>
      </c>
    </row>
    <row r="28" spans="1:12">
      <c r="C28">
        <v>28</v>
      </c>
      <c r="D28" t="s">
        <v>102</v>
      </c>
      <c r="K28">
        <v>27</v>
      </c>
      <c r="L28" t="s">
        <v>1932</v>
      </c>
    </row>
    <row r="29" spans="1:12">
      <c r="C29">
        <v>29</v>
      </c>
      <c r="D29" t="s">
        <v>103</v>
      </c>
      <c r="K29">
        <v>28</v>
      </c>
      <c r="L29" t="s">
        <v>1933</v>
      </c>
    </row>
    <row r="30" spans="1:12">
      <c r="C30">
        <v>30</v>
      </c>
      <c r="D30" t="s">
        <v>104</v>
      </c>
      <c r="K30">
        <v>29</v>
      </c>
      <c r="L30" t="s">
        <v>1934</v>
      </c>
    </row>
    <row r="31" spans="1:12">
      <c r="C31">
        <v>31</v>
      </c>
      <c r="D31" t="s">
        <v>105</v>
      </c>
      <c r="K31">
        <v>30</v>
      </c>
      <c r="L31" t="s">
        <v>1935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1879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1879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1879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1879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1879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1879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1879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1876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1879</v>
      </c>
    </row>
    <row r="59" spans="1:20">
      <c r="A59" s="8"/>
      <c r="B59" s="14">
        <v>500</v>
      </c>
      <c r="C59" s="11" t="s">
        <v>2120</v>
      </c>
      <c r="D59" s="11" t="s">
        <v>2121</v>
      </c>
      <c r="E59" s="11" t="s">
        <v>2122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2123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2022</v>
      </c>
      <c r="E18" s="15">
        <v>390</v>
      </c>
      <c r="F18" s="11" t="s">
        <v>2068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2023</v>
      </c>
      <c r="E19" s="15">
        <v>390</v>
      </c>
      <c r="F19" s="11" t="s">
        <v>2068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2101</v>
      </c>
      <c r="E25" s="15">
        <v>400</v>
      </c>
      <c r="F25" s="11" t="s">
        <v>2106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2102</v>
      </c>
      <c r="E26" s="15">
        <v>400</v>
      </c>
      <c r="F26" s="11" t="s">
        <v>2106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2103</v>
      </c>
      <c r="E27" s="15">
        <v>400</v>
      </c>
      <c r="F27" s="11" t="s">
        <v>2106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2104</v>
      </c>
      <c r="E28" s="15">
        <v>400</v>
      </c>
      <c r="F28" s="11" t="s">
        <v>2106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2105</v>
      </c>
      <c r="E29" s="15">
        <v>400</v>
      </c>
      <c r="F29" s="11" t="s">
        <v>2106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2069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1849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1850</v>
      </c>
      <c r="E83" s="15">
        <v>380</v>
      </c>
      <c r="F83" s="11" t="s">
        <v>1858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1851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1852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1853</v>
      </c>
      <c r="E86" s="15">
        <v>380</v>
      </c>
      <c r="F86" s="11" t="s">
        <v>1856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1854</v>
      </c>
      <c r="E87" s="15">
        <v>380</v>
      </c>
      <c r="F87" s="11" t="s">
        <v>1857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2089</v>
      </c>
      <c r="E88" s="15">
        <v>380</v>
      </c>
      <c r="F88" s="11" t="s">
        <v>2070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2090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2091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2092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2181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2182</v>
      </c>
      <c r="E93" s="15">
        <v>390</v>
      </c>
      <c r="F93" s="11" t="s">
        <v>2183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2184</v>
      </c>
      <c r="E94" s="15">
        <v>390</v>
      </c>
      <c r="F94" s="11" t="s">
        <v>2185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2186</v>
      </c>
      <c r="E95" s="15">
        <v>390</v>
      </c>
      <c r="F95" s="11" t="s">
        <v>2187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2188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2189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1849</v>
      </c>
      <c r="E140" s="15">
        <v>420</v>
      </c>
      <c r="F140" s="11" t="s">
        <v>1855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1850</v>
      </c>
      <c r="E141" s="15">
        <v>420</v>
      </c>
      <c r="F141" s="11" t="s">
        <v>1859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1851</v>
      </c>
      <c r="E142" s="15">
        <v>420</v>
      </c>
      <c r="F142" s="11" t="s">
        <v>1860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1852</v>
      </c>
      <c r="E143" s="15">
        <v>420</v>
      </c>
      <c r="F143" s="11" t="s">
        <v>1861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1853</v>
      </c>
      <c r="E144" s="15">
        <v>420</v>
      </c>
      <c r="F144" s="11" t="s">
        <v>1862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1854</v>
      </c>
      <c r="E145" s="15">
        <v>420</v>
      </c>
      <c r="F145" s="11" t="s">
        <v>1862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2089</v>
      </c>
      <c r="E146" s="15">
        <v>420</v>
      </c>
      <c r="F146" s="11" t="s">
        <v>2071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2090</v>
      </c>
      <c r="E147" s="15">
        <v>420</v>
      </c>
      <c r="F147" s="11" t="s">
        <v>2072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2091</v>
      </c>
      <c r="E148" s="15">
        <v>420</v>
      </c>
      <c r="F148" s="11" t="s">
        <v>2073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2092</v>
      </c>
      <c r="E149" s="15">
        <v>420</v>
      </c>
      <c r="F149" s="11" t="s">
        <v>2074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2181</v>
      </c>
      <c r="E150" s="15">
        <v>430</v>
      </c>
      <c r="F150" s="11" t="s">
        <v>1855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2182</v>
      </c>
      <c r="E151" s="15">
        <v>430</v>
      </c>
      <c r="F151" s="11" t="s">
        <v>2190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2184</v>
      </c>
      <c r="E152" s="15">
        <v>430</v>
      </c>
      <c r="F152" s="11" t="s">
        <v>2191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2186</v>
      </c>
      <c r="E153" s="15">
        <v>430</v>
      </c>
      <c r="F153" s="11" t="s">
        <v>1863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2188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2189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2099</v>
      </c>
      <c r="E159" s="15">
        <v>265</v>
      </c>
      <c r="F159" s="11" t="s">
        <v>2100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2098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1864</v>
      </c>
      <c r="E174" s="15">
        <v>340</v>
      </c>
      <c r="F174" s="11" t="s">
        <v>2075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2003</v>
      </c>
      <c r="E175" s="15">
        <v>300</v>
      </c>
      <c r="F175" s="11" t="s">
        <v>2076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2004</v>
      </c>
      <c r="E176" s="15">
        <v>300</v>
      </c>
      <c r="F176" s="11" t="s">
        <v>2076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2024</v>
      </c>
      <c r="E177" s="15">
        <v>300</v>
      </c>
      <c r="F177" s="11" t="s">
        <v>2077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2067</v>
      </c>
      <c r="E178" s="15">
        <v>300</v>
      </c>
      <c r="F178" s="11" t="s">
        <v>2093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2114</v>
      </c>
      <c r="E179" s="15">
        <v>300</v>
      </c>
      <c r="F179" s="11" t="s">
        <v>2117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2192</v>
      </c>
      <c r="E180" s="15">
        <v>340</v>
      </c>
      <c r="F180" s="11" t="s">
        <v>2193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2078</v>
      </c>
      <c r="E191" s="15">
        <v>355</v>
      </c>
      <c r="F191" s="11" t="s">
        <v>1863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2079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2087</v>
      </c>
      <c r="E196" s="15">
        <v>400</v>
      </c>
      <c r="F196" s="11" t="s">
        <v>2094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2088</v>
      </c>
      <c r="E197" s="15">
        <v>400</v>
      </c>
      <c r="F197" s="11" t="s">
        <v>2094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2080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2115</v>
      </c>
      <c r="E199" s="15">
        <v>649</v>
      </c>
      <c r="F199" s="11" t="s">
        <v>2118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2116</v>
      </c>
      <c r="E200" s="15">
        <v>673</v>
      </c>
      <c r="F200" s="11" t="s">
        <v>2119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7"/>
  <sheetViews>
    <sheetView zoomScale="85" zoomScaleNormal="85" workbookViewId="0">
      <pane ySplit="6" topLeftCell="A489" activePane="bottomLeft" state="frozen"/>
      <selection pane="bottomLeft" activeCell="H496" sqref="H496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1941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1942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1943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1944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1945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1946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1947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1948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1949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1950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1943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1951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1952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1953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1954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1955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1956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1957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1958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1959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1960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1961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1962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1963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1964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1965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1966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1967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1968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1969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1970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1971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1972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1973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1974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1975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1976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1977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1978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1979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1980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1981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1982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1983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1984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1985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1986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2137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1882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1881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1880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1987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1988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1989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1990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1991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1992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2195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1993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2014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2015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2000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2011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2012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2016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2017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2021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2037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2038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2032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2033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2030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2066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2065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507</v>
      </c>
      <c r="C513" s="15" t="s">
        <v>2133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>
      <c r="A514" s="8"/>
      <c r="B514" s="15">
        <v>508</v>
      </c>
      <c r="C514" s="15" t="s">
        <v>2134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509</v>
      </c>
      <c r="C515" s="15" t="s">
        <v>2139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510</v>
      </c>
      <c r="C516" s="15" t="s">
        <v>2140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>
      <c r="A517" s="8"/>
      <c r="B517" s="15">
        <v>511</v>
      </c>
      <c r="C517" s="15" t="s">
        <v>2143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512</v>
      </c>
      <c r="C518" s="15" t="s">
        <v>2144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513</v>
      </c>
      <c r="C519" s="15" t="s">
        <v>2145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>
      <c r="A521" s="8"/>
      <c r="B521" s="15">
        <v>8002</v>
      </c>
      <c r="C521" s="15" t="s">
        <v>1908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>
      <c r="A522" s="8"/>
      <c r="B522" s="15">
        <v>8003</v>
      </c>
      <c r="C522" s="15" t="s">
        <v>2138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>
      <c r="A523" s="8"/>
      <c r="B523" s="15">
        <v>9001</v>
      </c>
      <c r="C523" s="15" t="s">
        <v>1994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>
      <c r="A534" s="8"/>
      <c r="B534" s="15">
        <v>9012</v>
      </c>
      <c r="C534" s="15" t="s">
        <v>1995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>
      <c r="A536" s="8"/>
      <c r="B536" s="15">
        <v>9014</v>
      </c>
      <c r="C536" s="15" t="s">
        <v>1996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>
      <c r="A537" s="8"/>
      <c r="B537" s="15">
        <v>9015</v>
      </c>
      <c r="C537" s="15" t="s">
        <v>1997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/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32" activePane="bottomLeft" state="frozen"/>
      <selection pane="bottomLeft" activeCell="D148" sqref="D148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2002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tr">
        <f>VLOOKUP(C7,skill_list!B:C,2)</f>
        <v>夢幻泡影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2147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tr">
        <f>VLOOKUP(C8,skill_list!B:C,2)</f>
        <v>星火燎原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2148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tr">
        <f>VLOOKUP(C9,skill_list!B:C,2)</f>
        <v>流星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tr">
        <f>VLOOKUP(C10,skill_list!B:C,2)</f>
        <v>流星+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tr">
        <f>VLOOKUP(C11,skill_list!B:C,2)</f>
        <v>流星+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tr">
        <f>VLOOKUP(C12,skill_list!B:C,2)</f>
        <v>リミット・インパクト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tr">
        <f>VLOOKUP(C13,skill_list!B:C,2)</f>
        <v>メメント・モリ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tr">
        <f>VLOOKUP(C14,skill_list!B:C,2)</f>
        <v>ブラッディ・ダンス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tr">
        <f>VLOOKUP(C15,skill_list!B:C,2)</f>
        <v>トリック・カノン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tr">
        <f>VLOOKUP(C16,skill_list!B:C,2)</f>
        <v>ビースト・プリズン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tr">
        <f>VLOOKUP(C17,skill_list!B:C,2)</f>
        <v>デストロイ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tr">
        <f>VLOOKUP(C18,skill_list!B:C,2)</f>
        <v>トリック・オア・トリート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tr">
        <f>VLOOKUP(C19,skill_list!B:C,2)</f>
        <v>イノセントワイルド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tr">
        <f>VLOOKUP(C20,skill_list!B:C,2)</f>
        <v>ダイヤモンド・ダスト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tr">
        <f>VLOOKUP(C21,skill_list!B:C,2)</f>
        <v>絶対零度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tr">
        <f>VLOOKUP(C22,skill_list!B:C,2)</f>
        <v>ブレイブ・ストライク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2149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tr">
        <f>VLOOKUP(C23,skill_list!B:C,2)</f>
        <v>羅刹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tr">
        <f>VLOOKUP(C24,skill_list!B:C,2)</f>
        <v>スパークル・トライショット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tr">
        <f>VLOOKUP(C25,skill_list!B:C,2)</f>
        <v>スパークル・トライエッジ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tr">
        <f>VLOOKUP(C26,skill_list!B:C,2)</f>
        <v>石塔の手筋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tr">
        <f>VLOOKUP(C27,skill_list!B:C,2)</f>
        <v>石塔の手筋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tr">
        <f>VLOOKUP(C28,skill_list!B:C,2)</f>
        <v>セイントフォール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tr">
        <f>VLOOKUP(C29,skill_list!B:C,2)</f>
        <v>千紫万紅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2150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tr">
        <f>VLOOKUP(C30,skill_list!B:C,2)</f>
        <v>収穫祭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2151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tr">
        <f>VLOOKUP(C31,skill_list!B:C,2)</f>
        <v>三日月宗近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2152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tr">
        <f>VLOOKUP(C32,skill_list!B:C,2)</f>
        <v>ヴォイドストーム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2153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tr">
        <f>VLOOKUP(C33,skill_list!B:C,2)</f>
        <v>ヴォイドストーム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2153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tr">
        <f>VLOOKUP(C34,skill_list!B:C,2)</f>
        <v>劫火絢爛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2154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tr">
        <f>VLOOKUP(C35,skill_list!B:C,2)</f>
        <v>滅殺影分身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2155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tr">
        <f>VLOOKUP(C36,skill_list!B:C,2)</f>
        <v>魔炎閃獄門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2151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tr">
        <f>VLOOKUP(C37,skill_list!B:C,2)</f>
        <v>牡丹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2151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tr">
        <f>VLOOKUP(C38,skill_list!B:C,2)</f>
        <v>ヘイルストーム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2156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tr">
        <f>VLOOKUP(C39,skill_list!B:C,2)</f>
        <v>サンダーストーム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2152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tr">
        <f>VLOOKUP(C40,skill_list!B:C,2)</f>
        <v>トゥルーペネトレーター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2153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tr">
        <f>VLOOKUP(C41,skill_list!B:C,2)</f>
        <v>小鳥たちへのシンフォニー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tr">
        <f>VLOOKUP(C42,skill_list!B:C,2)</f>
        <v>必滅！ヴェインキック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tr">
        <f>VLOOKUP(C43,skill_list!B:C,2)</f>
        <v>ライトニングジャッジメント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2150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tr">
        <f>VLOOKUP(C44,skill_list!B:C,2)</f>
        <v>光芒一閃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2158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tr">
        <f>VLOOKUP(C45,skill_list!B:C,2)</f>
        <v>アクロマティックバレット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2159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tr">
        <f>VLOOKUP(C46,skill_list!B:C,2)</f>
        <v>ハートフル・ボマー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tr">
        <f>VLOOKUP(C47,skill_list!B:C,2)</f>
        <v>フリージング・スペル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2151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tr">
        <f>VLOOKUP(C48,skill_list!B:C,2)</f>
        <v>純愛アンビシャス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tr">
        <f>VLOOKUP(C49,skill_list!B:C,2)</f>
        <v>宙舞うハイテンション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2158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tr">
        <f>VLOOKUP(C50,skill_list!B:C,2)</f>
        <v>夜嵐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2151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tr">
        <f>VLOOKUP(C51,skill_list!B:C,2)</f>
        <v>夜嵐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2151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tr">
        <f>VLOOKUP(C52,skill_list!B:C,2)</f>
        <v>覇道妄執我突邁進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2151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tr">
        <f>VLOOKUP(C53,skill_list!B:C,2)</f>
        <v>覇道妄執我突邁進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2151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tr">
        <f>VLOOKUP(C54,skill_list!B:C,2)</f>
        <v>レイジング・レインディア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tr">
        <f>VLOOKUP(C55,skill_list!B:C,2)</f>
        <v>セイクリッド・クワイア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tr">
        <f>VLOOKUP(C56,skill_list!B:C,2)</f>
        <v>セイクリッド・クワイア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tr">
        <f>VLOOKUP(C57,skill_list!B:C,2)</f>
        <v>二律背反スパークピッキング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2158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tr">
        <f>VLOOKUP(C58,skill_list!B:C,2)</f>
        <v>コンヴィクション・ゼロ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2149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tr">
        <f>VLOOKUP(C59,skill_list!B:C,2)</f>
        <v>迅雷風烈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tr">
        <f>VLOOKUP(C60,skill_list!B:C,2)</f>
        <v>スーパーセル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tr">
        <f>VLOOKUP(C61,skill_list!B:C,2)</f>
        <v>エンジェルズ・レイ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tr">
        <f>VLOOKUP(C62,skill_list!B:C,2)</f>
        <v>カタストロフィー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2154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tr">
        <f>VLOOKUP(C63,skill_list!B:C,2)</f>
        <v>姫君の寵愛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2154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tr">
        <f>VLOOKUP(C64,skill_list!B:C,2)</f>
        <v>破滅でおやすみ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tr">
        <f>VLOOKUP(C65,skill_list!B:C,2)</f>
        <v>破滅でおやすみ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tr">
        <f>VLOOKUP(C66,skill_list!B:C,2)</f>
        <v>神崎流忍術・氷塵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2151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tr">
        <f>VLOOKUP(C67,skill_list!B:C,2)</f>
        <v>神崎流忍術・氷塵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2151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tr">
        <f>VLOOKUP(C68,skill_list!B:C,2)</f>
        <v>神楽浄火・閃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2149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tr">
        <f>VLOOKUP(C69,skill_list!B:C,2)</f>
        <v>最凶のおもてなし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2151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tr">
        <f>VLOOKUP(C70,skill_list!B:C,2)</f>
        <v>最凶のおもてなし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2151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tr">
        <f>VLOOKUP(C71,skill_list!B:C,2)</f>
        <v>青春色のシュプール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tr">
        <f>VLOOKUP(C72,skill_list!B:C,2)</f>
        <v>破壊の女王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tr">
        <f>VLOOKUP(C73,skill_list!B:C,2)</f>
        <v>破壊の女王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tr">
        <f>VLOOKUP(C74,skill_list!B:C,2)</f>
        <v>メイド・イン・パンクチュア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2159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tr">
        <f>VLOOKUP(C75,skill_list!B:C,2)</f>
        <v>メイド・イン・パンクチュア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2159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tr">
        <f>VLOOKUP(C76,skill_list!B:C,2)</f>
        <v>海のギャング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tr">
        <f>VLOOKUP(C77,skill_list!B:C,2)</f>
        <v>狂気乱舞のカーリー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tr">
        <f>VLOOKUP(C78,skill_list!B:C,2)</f>
        <v>君に咲くグラナータ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tr">
        <f>VLOOKUP(C79,skill_list!B:C,2)</f>
        <v>次の主役はあなた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tr">
        <f>VLOOKUP(C80,skill_list!B:C,2)</f>
        <v>次の主役はあなた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tr">
        <f>VLOOKUP(C81,skill_list!B:C,2)</f>
        <v>とどけ！ 誓いのしるし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2159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tr">
        <f>VLOOKUP(C82,skill_list!B:C,2)</f>
        <v>にゃんこ大魔法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tr">
        <f>VLOOKUP(C83,skill_list!B:C,2)</f>
        <v>漆黒トランスサーブ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tr">
        <f>VLOOKUP(C84,skill_list!B:C,2)</f>
        <v>シーサイドベルセルク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2168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tr">
        <f>VLOOKUP(C85,skill_list!B:C,2)</f>
        <v>シーサイドベルセルク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2168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tr">
        <f>VLOOKUP(C86,skill_list!B:C,2)</f>
        <v>レディ・イン・ミラージュ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2149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tr">
        <f>VLOOKUP(C87,skill_list!B:C,2)</f>
        <v>破壊のシニシズム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tr">
        <f>VLOOKUP(C88,skill_list!B:C,2)</f>
        <v>破壊のシニシズム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tr">
        <f>VLOOKUP(C89,skill_list!B:C,2)</f>
        <v>唯雅粛正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2159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tr">
        <f>VLOOKUP(C90,skill_list!B:C,2)</f>
        <v>唯雅粛正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2159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tr">
        <f>VLOOKUP(C91,skill_list!B:C,2)</f>
        <v>御稲荷神話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2158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tr">
        <f>VLOOKUP(C92,skill_list!B:C,2)</f>
        <v>光輝の夜明け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2169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tr">
        <f>VLOOKUP(C93,skill_list!B:C,2)</f>
        <v>爽籟に舞う仁慈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tr">
        <f>VLOOKUP(C94,skill_list!B:C,2)</f>
        <v>爽籟に舞う仁慈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tr">
        <f>VLOOKUP(C95,skill_list!B:C,2)</f>
        <v>神崎流忍術・散華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tr">
        <f>VLOOKUP(C96,skill_list!B:C,2)</f>
        <v>神崎流忍術・散華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tr">
        <f>VLOOKUP(C97,skill_list!B:C,2)</f>
        <v>輝神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tr">
        <f>VLOOKUP(C98,skill_list!B:C,2)</f>
        <v>輝神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tr">
        <f>VLOOKUP(C99,skill_list!B:C,2)</f>
        <v>夢視るデザイア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2158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tr">
        <f>VLOOKUP(C100,skill_list!B:C,2)</f>
        <v>純愛アンビシャス+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tr">
        <f>VLOOKUP(C101,skill_list!B:C,2)</f>
        <v>三日月宗近+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2152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tr">
        <f>VLOOKUP(C102,skill_list!B:C,2)</f>
        <v>石塔の手筋+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tr">
        <f>VLOOKUP(C103,skill_list!B:C,2)</f>
        <v>石塔の手筋+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tr">
        <f>VLOOKUP(C104,skill_list!B:C,2)</f>
        <v>イノセントワイルド+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tr">
        <f>VLOOKUP(C105,skill_list!B:C,2)</f>
        <v>救済のレクイエム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tr">
        <f>VLOOKUP(C106,skill_list!B:C,2)</f>
        <v>純潔のパツィルーイ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2158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tr">
        <f>VLOOKUP(C107,skill_list!B:C,2)</f>
        <v>フローズン・ワルツ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tr">
        <f>VLOOKUP(C108,skill_list!B:C,2)</f>
        <v>フローズン・ワルツ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tr">
        <f>VLOOKUP(C109,skill_list!B:C,2)</f>
        <v>哀のスノードロップ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tr">
        <f>VLOOKUP(C110,skill_list!B:C,2)</f>
        <v>リミット・インパクト+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tr">
        <f>VLOOKUP(C111,skill_list!B:C,2)</f>
        <v>必滅！ヴェインキック+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tr">
        <f>VLOOKUP(C112,skill_list!B:C,2)</f>
        <v>ヒットチャートからの一閃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2153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tr">
        <f>VLOOKUP(C113,skill_list!B:C,2)</f>
        <v>狂騒のヨスガ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2158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tr">
        <f>VLOOKUP(C114,skill_list!B:C,2)</f>
        <v>スパークル・トライショット+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tr">
        <f>VLOOKUP(C115,skill_list!B:C,2)</f>
        <v>スパークル・トライショット+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tr">
        <f>VLOOKUP(C116,skill_list!B:C,2)</f>
        <v>スパークル・トライエッジ+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tr">
        <f>VLOOKUP(C117,skill_list!B:C,2)</f>
        <v>スパークル・トライエッジ+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tr">
        <f>VLOOKUP(C118,skill_list!B:C,2)</f>
        <v>トゥルー・アイシクル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2152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tr">
        <f>VLOOKUP(C119,skill_list!B:C,2)</f>
        <v>バーチカルフォース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tr">
        <f>VLOOKUP(C120,skill_list!B:C,2)</f>
        <v>乙女の秘め事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2159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tr">
        <f>VLOOKUP(C121,skill_list!B:C,2)</f>
        <v>醒めたる思い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tr">
        <f>VLOOKUP(C122,skill_list!B:C,2)</f>
        <v>星火燎原+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2148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tr">
        <f>VLOOKUP(C123,skill_list!B:C,2)</f>
        <v>星火燎原+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2148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tr">
        <f>VLOOKUP(C124,skill_list!B:C,2)</f>
        <v>絶対零度+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tr">
        <f>VLOOKUP(C125,skill_list!B:C,2)</f>
        <v>絶対零度+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tr">
        <f>VLOOKUP(C126,skill_list!B:C,2)</f>
        <v>黒曜のオーバーロード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tr">
        <f>VLOOKUP(C127,skill_list!B:C,2)</f>
        <v>黒曜のオーバーロード</v>
      </c>
      <c r="E127" s="11" t="s">
        <v>2174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tr">
        <f>VLOOKUP(C128,skill_list!B:C,2)</f>
        <v>黒曜のオーバーロード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tr">
        <f>VLOOKUP(C129,skill_list!B:C,2)</f>
        <v>黒曜のオーバーロード</v>
      </c>
      <c r="E129" s="11" t="s">
        <v>2175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tr">
        <f>VLOOKUP(C130,skill_list!B:C,2)</f>
        <v>三色団子乱れ撃ち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tr">
        <f>VLOOKUP(C131,skill_list!B:C,2)</f>
        <v>三色団子乱れ撃ち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tr">
        <f>VLOOKUP(C132,skill_list!B:C,2)</f>
        <v>メメント・モリ+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tr">
        <f>VLOOKUP(C133,skill_list!B:C,2)</f>
        <v>氷華、千射万箭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tr">
        <f>VLOOKUP(C134,skill_list!B:C,2)</f>
        <v>ロリータフルバースト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2151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tr">
        <f>VLOOKUP(C135,skill_list!B:C,2)</f>
        <v>ヴォイドストーム+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2153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tr">
        <f>VLOOKUP(C136,skill_list!B:C,2)</f>
        <v>ヴォイドストーム+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2153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tr">
        <f>VLOOKUP(C137,skill_list!B:C,2)</f>
        <v>豪快！パイレーツキャノン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2159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tr">
        <f>VLOOKUP(C138,skill_list!B:C,2)</f>
        <v>回る！ぽんぽこ花吹雪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tr">
        <f>VLOOKUP(C139,skill_list!B:C,2)</f>
        <v>華麗なるファントム・シーフ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tr">
        <f>VLOOKUP(C140,skill_list!B:C,2)</f>
        <v>花舞う、可憐のフレア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tr">
        <f>VLOOKUP(C141,skill_list!B:C,2)</f>
        <v>トゥルーペネトレーター+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2153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tr">
        <f>VLOOKUP(C142,skill_list!B:C,2)</f>
        <v>蒼焔ノ迷宮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2178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tr">
        <f>VLOOKUP(C143,skill_list!B:C,2)</f>
        <v>蒼焔ノ迷宮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2178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tr">
        <f>VLOOKUP(C144,skill_list!B:C,2)</f>
        <v>蒼焔ノ螺旋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tr">
        <f>VLOOKUP(C145,skill_list!B:C,2)</f>
        <v>レッドラウンドイリュージョン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2155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tr">
        <f>VLOOKUP(C146,skill_list!B:C,2)</f>
        <v>浮き浮きサニー・ボマー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2155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tr">
        <f>VLOOKUP(C147,skill_list!B:C,2)</f>
        <v>浮き浮きサニー・ボマー</v>
      </c>
      <c r="E147" s="11" t="s">
        <v>2179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2155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tr">
        <f>VLOOKUP(C148,skill_list!B:C,2)</f>
        <v>潮風ハイボルテージ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2153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tr">
        <f>VLOOKUP(C149,skill_list!B:C,2)</f>
        <v>フグリングクラッシュ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tr">
        <f>VLOOKUP(C150,skill_list!B:C,2)</f>
        <v>フグリングクラッシュ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tr">
        <f>VLOOKUP(C151,skill_list!B:C,2)</f>
        <v>ブラッディ・ダンス+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tr">
        <f>VLOOKUP(C152,skill_list!B:C,2)</f>
        <v>滅殺影分身+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2155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tr">
        <f>VLOOKUP(C153,skill_list!B:C,2)</f>
        <v>走り屋に夜露死苦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tr">
        <f>VLOOKUP(C154,skill_list!B:C,2)</f>
        <v>小鳥たちへのシンフォニー+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tr">
        <f>VLOOKUP(C155,skill_list!B:C,2)</f>
        <v>覇道妄執我突邁進+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2151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tr">
        <f>VLOOKUP(C156,skill_list!B:C,2)</f>
        <v>覇道妄執我突邁進+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2151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tr">
        <f>VLOOKUP(C157,skill_list!B:C,2)</f>
        <v>フルブレイカー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tr">
        <f>VLOOKUP(C158,skill_list!B:C,2)</f>
        <v>銀蜂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tr">
        <f>VLOOKUP(C159,skill_list!B:C,2)</f>
        <v>プリズムアタック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tr">
        <f>VLOOKUP(C160,skill_list!B:C,2)</f>
        <v>キラーショット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tr">
        <f>VLOOKUP(C161,skill_list!B:C,2)</f>
        <v>レイジングクロー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tr">
        <f>VLOOKUP(C162,skill_list!B:C,2)</f>
        <v>衝撃零度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tr">
        <f>VLOOKUP(C163,skill_list!B:C,2)</f>
        <v>雷鳴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tr">
        <f>VLOOKUP(C164,skill_list!B:C,2)</f>
        <v>滾る激情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tr">
        <f>VLOOKUP(C165,skill_list!B:C,2)</f>
        <v>パワークラッシュ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tr">
        <f>VLOOKUP(C166,skill_list!B:C,2)</f>
        <v>露わな鋒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tr">
        <f>VLOOKUP(C167,skill_list!B:C,2)</f>
        <v>生存の業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tr">
        <f>VLOOKUP(C168,skill_list!B:C,2)</f>
        <v>エキゾーストノート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tr">
        <f>VLOOKUP(C169,skill_list!B:C,2)</f>
        <v>疾黒破弾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tr">
        <f>VLOOKUP(C170,skill_list!B:C,2)</f>
        <v>バーストファイア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tr">
        <f>VLOOKUP(C171,skill_list!B:C,2)</f>
        <v>フロストソーン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tr">
        <f>VLOOKUP(C172,skill_list!B:C,2)</f>
        <v>コールドバレット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tr">
        <f>VLOOKUP(C173,skill_list!B:C,2)</f>
        <v>バラ撒き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tr">
        <f>VLOOKUP(C174,skill_list!B:C,2)</f>
        <v>サイクロンブレード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tr">
        <f>VLOOKUP(C175,skill_list!B:C,2)</f>
        <v>パニッシャー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tr">
        <f>VLOOKUP(C176,skill_list!B:C,2)</f>
        <v>乙女の輝き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tr">
        <f>VLOOKUP(C177,skill_list!B:C,2)</f>
        <v>狂乱舞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tr">
        <f>VLOOKUP(C178,skill_list!B:C,2)</f>
        <v>夢十夜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tr">
        <f>VLOOKUP(C179,skill_list!B:C,2)</f>
        <v>誘掖の途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tr">
        <f>VLOOKUP(C180,skill_list!B:C,2)</f>
        <v>主君の努め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tr">
        <f>VLOOKUP(C181,skill_list!B:C,2)</f>
        <v>狼狽プーリァ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tr">
        <f>VLOOKUP(C182,skill_list!B:C,2)</f>
        <v>コールドクラッシュ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tr">
        <f>VLOOKUP(C183,skill_list!B:C,2)</f>
        <v>スパイクサージ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tr">
        <f>VLOOKUP(C184,skill_list!B:C,2)</f>
        <v>仮面のワルツ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tr">
        <f>VLOOKUP(C185,skill_list!B:C,2)</f>
        <v>フルスイング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tr">
        <f>VLOOKUP(C186,skill_list!B:C,2)</f>
        <v>イノセンス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tr">
        <f>VLOOKUP(C187,skill_list!B:C,2)</f>
        <v>コールドウェイヴ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tr">
        <f>VLOOKUP(C188,skill_list!B:C,2)</f>
        <v>魔莢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tr">
        <f>VLOOKUP(C189,skill_list!B:C,2)</f>
        <v>スターマイン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tr">
        <f>VLOOKUP(C190,skill_list!B:C,2)</f>
        <v>烈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tr">
        <f>VLOOKUP(C191,skill_list!B:C,2)</f>
        <v>レヴォリューション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tr">
        <f>VLOOKUP(C192,skill_list!B:C,2)</f>
        <v>瞬刃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tr">
        <f>VLOOKUP(C193,skill_list!B:C,2)</f>
        <v>コールドストローク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tr">
        <f>VLOOKUP(C194,skill_list!B:C,2)</f>
        <v>夜雨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tr">
        <f>VLOOKUP(C195,skill_list!B:C,2)</f>
        <v>プリンシプルチャンダス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tr">
        <f>VLOOKUP(C196,skill_list!B:C,2)</f>
        <v>螳螂之斧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tr">
        <f>VLOOKUP(C197,skill_list!B:C,2)</f>
        <v>ノーブルウェッジ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tr">
        <f>VLOOKUP(C198,skill_list!B:C,2)</f>
        <v>ハードブレード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tr">
        <f>VLOOKUP(C199,skill_list!B:C,2)</f>
        <v>残焔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tr">
        <f>VLOOKUP(C200,skill_list!B:C,2)</f>
        <v>フレイムテンペスト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tr">
        <f>VLOOKUP(C201,skill_list!B:C,2)</f>
        <v>ランブルシャーク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tr">
        <f>VLOOKUP(C202,skill_list!B:C,2)</f>
        <v>キリングエッジ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tr">
        <f>VLOOKUP(C203,skill_list!B:C,2)</f>
        <v>ポラリスの輝き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tr">
        <f>VLOOKUP(C204,skill_list!B:C,2)</f>
        <v>一片氷心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tr">
        <f>VLOOKUP(C205,skill_list!B:C,2)</f>
        <v>ゲインカノン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tr">
        <f>VLOOKUP(C206,skill_list!B:C,2)</f>
        <v>ディミニッシュ・レイ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tr">
        <f>VLOOKUP(C207,skill_list!B:C,2)</f>
        <v>極点の一手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tr">
        <f>VLOOKUP(C208,skill_list!B:C,2)</f>
        <v>ライトニングロア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tr">
        <f>VLOOKUP(C209,skill_list!B:C,2)</f>
        <v>ネイキッドイレイザー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tr">
        <f>VLOOKUP(C210,skill_list!B:C,2)</f>
        <v>シルキーフレア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tr">
        <f>VLOOKUP(C211,skill_list!B:C,2)</f>
        <v>キルキルヒカル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tr">
        <f>VLOOKUP(C212,skill_list!B:C,2)</f>
        <v>アイドルスマイル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tr">
        <f>VLOOKUP(C213,skill_list!B:C,2)</f>
        <v>アイドルスマイル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tr">
        <f>VLOOKUP(C214,skill_list!B:C,2)</f>
        <v>風斬りの刃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tr">
        <f>VLOOKUP(C215,skill_list!B:C,2)</f>
        <v>ヒロイックプラウド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tr">
        <f>VLOOKUP(C216,skill_list!B:C,2)</f>
        <v>ルーンバースト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tr">
        <f>VLOOKUP(C217,skill_list!B:C,2)</f>
        <v>寝ても醒めても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tr">
        <f>VLOOKUP(C218,skill_list!B:C,2)</f>
        <v>別れの朝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tr">
        <f>VLOOKUP(C219,skill_list!B:C,2)</f>
        <v>地獄変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tr">
        <f>VLOOKUP(C220,skill_list!B:C,2)</f>
        <v>デバノデバン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tr">
        <f>VLOOKUP(C221,skill_list!B:C,2)</f>
        <v>喧嘩上等！！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tr">
        <f>VLOOKUP(C222,skill_list!B:C,2)</f>
        <v>ブレイクカノン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tr">
        <f>VLOOKUP(C223,skill_list!B:C,2)</f>
        <v>ブレスショット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tr">
        <f>VLOOKUP(C224,skill_list!B:C,2)</f>
        <v>残心撃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tr">
        <f>VLOOKUP(C225,skill_list!B:C,2)</f>
        <v>リサイクル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tr">
        <f>VLOOKUP(C226,skill_list!B:C,2)</f>
        <v>ミストイングレイブ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tr">
        <f>VLOOKUP(C227,skill_list!B:C,2)</f>
        <v>渾身銃撃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tr">
        <f>VLOOKUP(C228,skill_list!B:C,2)</f>
        <v>スピニングスラッシュ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tr">
        <f>VLOOKUP(C229,skill_list!B:C,2)</f>
        <v>バーニングインパクト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tr">
        <f>VLOOKUP(C230,skill_list!B:C,2)</f>
        <v>レッドオペレーション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tr">
        <f>VLOOKUP(C231,skill_list!B:C,2)</f>
        <v>フューリーインパルス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tr">
        <f>VLOOKUP(C232,skill_list!B:C,2)</f>
        <v>天の慈悲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tr">
        <f>VLOOKUP(C233,skill_list!B:C,2)</f>
        <v>ファンタズム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tr">
        <f>VLOOKUP(C234,skill_list!B:C,2)</f>
        <v>ミストスラッシュ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tr">
        <f>VLOOKUP(C235,skill_list!B:C,2)</f>
        <v>アイススラッシュ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tr">
        <f>VLOOKUP(C236,skill_list!B:C,2)</f>
        <v>シャインテラー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tr">
        <f>VLOOKUP(C237,skill_list!B:C,2)</f>
        <v>ビスコッティ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tr">
        <f>VLOOKUP(C238,skill_list!B:C,2)</f>
        <v>粛正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tr">
        <f>VLOOKUP(C239,skill_list!B:C,2)</f>
        <v>朧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tr">
        <f>VLOOKUP(C240,skill_list!B:C,2)</f>
        <v>神妙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tr">
        <f>VLOOKUP(C241,skill_list!B:C,2)</f>
        <v>ファイトパッション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tr">
        <f>VLOOKUP(C242,skill_list!B:C,2)</f>
        <v>儚き目覚め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tr">
        <f>VLOOKUP(C243,skill_list!B:C,2)</f>
        <v>スライスショット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tr">
        <f>VLOOKUP(C244,skill_list!B:C,2)</f>
        <v>アバランチ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tr">
        <f>VLOOKUP(C245,skill_list!B:C,2)</f>
        <v>大海原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tr">
        <f>VLOOKUP(C246,skill_list!B:C,2)</f>
        <v>負けるな、私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tr">
        <f>VLOOKUP(C247,skill_list!B:C,2)</f>
        <v>桜華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tr">
        <f>VLOOKUP(C248,skill_list!B:C,2)</f>
        <v>怒裂昂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tr">
        <f>VLOOKUP(C249,skill_list!B:C,2)</f>
        <v>トランスペイン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tr">
        <f>VLOOKUP(C250,skill_list!B:C,2)</f>
        <v>不純なアリア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tr">
        <f>VLOOKUP(C251,skill_list!B:C,2)</f>
        <v>武血伽魔死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tr">
        <f>VLOOKUP(C252,skill_list!B:C,2)</f>
        <v>春雷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tr">
        <f>VLOOKUP(C253,skill_list!B:C,2)</f>
        <v>ジーナーカーナー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tr">
        <f>VLOOKUP(C254,skill_list!B:C,2)</f>
        <v>フローズンタイム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tr">
        <f>VLOOKUP(C255,skill_list!B:C,2)</f>
        <v>ダウンビート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tr">
        <f>VLOOKUP(C256,skill_list!B:C,2)</f>
        <v>サンダーパルス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tr">
        <f>VLOOKUP(C257,skill_list!B:C,2)</f>
        <v>ワイルドスロー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tr">
        <f>VLOOKUP(C258,skill_list!B:C,2)</f>
        <v>闘気斬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tr">
        <f>VLOOKUP(C259,skill_list!B:C,2)</f>
        <v>プレッツェル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tr">
        <f>VLOOKUP(C260,skill_list!B:C,2)</f>
        <v>薙の矢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tr">
        <f>VLOOKUP(C261,skill_list!B:C,2)</f>
        <v>R.I.P.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tr">
        <f>VLOOKUP(C262,skill_list!B:C,2)</f>
        <v>キャンディ・バースト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tr">
        <f>VLOOKUP(C263,skill_list!B:C,2)</f>
        <v>シャドウインサイト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tr">
        <f>VLOOKUP(C264,skill_list!B:C,2)</f>
        <v>フォーチュンスラッシュ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tr">
        <f>VLOOKUP(C265,skill_list!B:C,2)</f>
        <v>ヴァンダリズム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tr">
        <f>VLOOKUP(C266,skill_list!B:C,2)</f>
        <v>クロス斬り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tr">
        <f>VLOOKUP(C267,skill_list!B:C,2)</f>
        <v>ブレイブソード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tr">
        <f>VLOOKUP(C268,skill_list!B:C,2)</f>
        <v>大切り盛り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tr">
        <f>VLOOKUP(C269,skill_list!B:C,2)</f>
        <v>先に逝くなよ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tr">
        <f>VLOOKUP(C270,skill_list!B:C,2)</f>
        <v>ファーストラヴ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tr">
        <f>VLOOKUP(C271,skill_list!B:C,2)</f>
        <v>グッナイ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tr">
        <f>VLOOKUP(C272,skill_list!B:C,2)</f>
        <v>ヴィクタープラクティス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tr">
        <f>VLOOKUP(C273,skill_list!B:C,2)</f>
        <v>ハイセンス・ショット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tr">
        <f>VLOOKUP(C274,skill_list!B:C,2)</f>
        <v>残心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tr">
        <f>VLOOKUP(C275,skill_list!B:C,2)</f>
        <v>臥龍演舞斬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tr">
        <f>VLOOKUP(C276,skill_list!B:C,2)</f>
        <v>スラッシュクロー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tr">
        <f>VLOOKUP(C277,skill_list!B:C,2)</f>
        <v>旋風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tr">
        <f>VLOOKUP(C278,skill_list!B:C,2)</f>
        <v>ブレイブソウル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tr">
        <f>VLOOKUP(C279,skill_list!B:C,2)</f>
        <v>ラブカ・ブレード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tr">
        <f>VLOOKUP(C280,skill_list!B:C,2)</f>
        <v>トラブルメーカー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tr">
        <f>VLOOKUP(C281,skill_list!B:C,2)</f>
        <v>華麗なる清掃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tr">
        <f>VLOOKUP(C282,skill_list!B:C,2)</f>
        <v>トータルサブトラクション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tr">
        <f>VLOOKUP(C283,skill_list!B:C,2)</f>
        <v>オンラッシュ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tr">
        <f>VLOOKUP(C284,skill_list!B:C,2)</f>
        <v>スタンブレード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tr">
        <f>VLOOKUP(C285,skill_list!B:C,2)</f>
        <v>ナイトフォール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tr">
        <f>VLOOKUP(C286,skill_list!B:C,2)</f>
        <v>乱舞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tr">
        <f>VLOOKUP(C287,skill_list!B:C,2)</f>
        <v>残影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tr">
        <f>VLOOKUP(C288,skill_list!B:C,2)</f>
        <v>ミストサイス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tr">
        <f>VLOOKUP(C289,skill_list!B:C,2)</f>
        <v>キラーサイス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tr">
        <f>VLOOKUP(C290,skill_list!B:C,2)</f>
        <v>クラッカー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tr">
        <f>VLOOKUP(C291,skill_list!B:C,2)</f>
        <v>断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tr">
        <f>VLOOKUP(C292,skill_list!B:C,2)</f>
        <v>呪怨の矢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tr">
        <f>VLOOKUP(C293,skill_list!B:C,2)</f>
        <v>斜陽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tr">
        <f>VLOOKUP(C294,skill_list!B:C,2)</f>
        <v>ヴィヴィットシュート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tr">
        <f>VLOOKUP(C295,skill_list!B:C,2)</f>
        <v>リバースショット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tr">
        <f>VLOOKUP(C296,skill_list!B:C,2)</f>
        <v>ディープブロー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tr">
        <f>VLOOKUP(C297,skill_list!B:C,2)</f>
        <v>一発入魂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tr">
        <f>VLOOKUP(C298,skill_list!B:C,2)</f>
        <v>キャノンボール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tr">
        <f>VLOOKUP(C299,skill_list!B:C,2)</f>
        <v>朧月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tr">
        <f>VLOOKUP(C300,skill_list!B:C,2)</f>
        <v>ハネ殺し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tr">
        <f>VLOOKUP(C301,skill_list!B:C,2)</f>
        <v>レイジングシャウト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tr">
        <f>VLOOKUP(C302,skill_list!B:C,2)</f>
        <v>ディザスター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tr">
        <f>VLOOKUP(C303,skill_list!B:C,2)</f>
        <v>ザヴィーシマスチ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tr">
        <f>VLOOKUP(C304,skill_list!B:C,2)</f>
        <v>シールドレイ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tr">
        <f>VLOOKUP(C305,skill_list!B:C,2)</f>
        <v>カースサイス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tr">
        <f>VLOOKUP(C306,skill_list!B:C,2)</f>
        <v>ウィザードショット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tr">
        <f>VLOOKUP(C307,skill_list!B:C,2)</f>
        <v>天変の相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tr">
        <f>VLOOKUP(C308,skill_list!B:C,2)</f>
        <v>サービス・エース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tr">
        <f>VLOOKUP(C309,skill_list!B:C,2)</f>
        <v>砕華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tr">
        <f>VLOOKUP(C310,skill_list!B:C,2)</f>
        <v>ダッシュブレード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tr">
        <f>VLOOKUP(C311,skill_list!B:C,2)</f>
        <v>ギャザー・バッシュ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tr">
        <f>VLOOKUP(C312,skill_list!B:C,2)</f>
        <v>エレメンタリー・バレット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tr">
        <f>VLOOKUP(C313,skill_list!B:C,2)</f>
        <v>ブレイクバースト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tr">
        <f>VLOOKUP(C314,skill_list!B:C,2)</f>
        <v>ラージ・カノン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tr">
        <f>VLOOKUP(C315,skill_list!B:C,2)</f>
        <v>ブラスト・スラッシュ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tr">
        <f>VLOOKUP(C316,skill_list!B:C,2)</f>
        <v>サクリファイス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tr">
        <f>VLOOKUP(C317,skill_list!B:C,2)</f>
        <v>シールドトルネード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tr">
        <f>VLOOKUP(C318,skill_list!B:C,2)</f>
        <v>コーシュカ・アルマータ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tr">
        <f>VLOOKUP(C319,skill_list!B:C,2)</f>
        <v>朝霜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tr">
        <f>VLOOKUP(C320,skill_list!B:C,2)</f>
        <v>スイーツチャージ！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tr">
        <f>VLOOKUP(C321,skill_list!B:C,2)</f>
        <v>ヌラルジャ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tr">
        <f>VLOOKUP(C322,skill_list!B:C,2)</f>
        <v>渦中のヴァイオレット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tr">
        <f>VLOOKUP(C323,skill_list!B:C,2)</f>
        <v>パドマ・ナーチュナー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tr">
        <f>VLOOKUP(C324,skill_list!B:C,2)</f>
        <v>そよ風に吹かれて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tabSelected="1" zoomScale="85" zoomScaleNormal="85" workbookViewId="0">
      <pane ySplit="6" topLeftCell="A113" activePane="bottomLeft" state="frozen"/>
      <selection pane="bottomLeft" activeCell="F130" sqref="F130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2124</v>
      </c>
      <c r="P2" s="9" t="s">
        <v>2125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1874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恍惚のヴァージンロード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恍惚のヴァージンロード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恍惚のヴァージンロード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恍惚のヴァージンロード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恍惚のヴァージンロード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恍惚のヴァージンロード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1931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509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509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1869</v>
      </c>
    </row>
    <row r="35" spans="1:6">
      <c r="A35" s="8"/>
      <c r="B35" s="15">
        <v>28</v>
      </c>
      <c r="C35" s="15">
        <v>0</v>
      </c>
      <c r="D35" s="15">
        <v>0</v>
      </c>
      <c r="F35" t="s">
        <v>1870</v>
      </c>
    </row>
    <row r="36" spans="1:6">
      <c r="A36" s="8"/>
      <c r="B36" s="15">
        <v>29</v>
      </c>
      <c r="C36" s="15">
        <v>0</v>
      </c>
      <c r="D36" s="15">
        <v>0</v>
      </c>
      <c r="F36" t="s">
        <v>1871</v>
      </c>
    </row>
    <row r="37" spans="1:6">
      <c r="A37" s="8"/>
      <c r="B37" s="15">
        <v>30</v>
      </c>
      <c r="C37" s="15">
        <v>0</v>
      </c>
      <c r="D37" s="15">
        <v>0</v>
      </c>
      <c r="F37" t="s">
        <v>1872</v>
      </c>
    </row>
    <row r="38" spans="1:6">
      <c r="A38" s="8"/>
      <c r="B38" s="15">
        <v>31</v>
      </c>
      <c r="C38" s="15">
        <v>0</v>
      </c>
      <c r="D38" s="15">
        <v>0</v>
      </c>
      <c r="F38" t="s">
        <v>1873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12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1938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1939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1999</v>
      </c>
      <c r="F129" s="11" t="s">
        <v>1998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2007</v>
      </c>
      <c r="F130" s="11" t="s">
        <v>2034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2013</v>
      </c>
      <c r="F131" s="11" t="s">
        <v>2035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2036</v>
      </c>
      <c r="F132" s="11" t="s">
        <v>2095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2031</v>
      </c>
      <c r="F133" s="11" t="s">
        <v>2096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2126</v>
      </c>
      <c r="F134" s="11" t="s">
        <v>2127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2135</v>
      </c>
      <c r="F135" s="11" t="s">
        <v>2136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1940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2019</v>
      </c>
      <c r="F207" s="11" t="s">
        <v>2020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2039</v>
      </c>
      <c r="F208" s="11" t="s">
        <v>2097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2141</v>
      </c>
      <c r="F209" s="11" t="s">
        <v>2142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2107</v>
      </c>
      <c r="D92" s="11" t="s">
        <v>2108</v>
      </c>
      <c r="E92" s="11" t="s">
        <v>2109</v>
      </c>
      <c r="F92" s="15">
        <v>1</v>
      </c>
      <c r="G92" s="15">
        <v>1</v>
      </c>
      <c r="H92" s="15" t="s">
        <v>2110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2008</v>
      </c>
      <c r="D105" s="11" t="s">
        <v>2010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2009</v>
      </c>
      <c r="D106" s="11" t="s">
        <v>2010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1875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2001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2128</v>
      </c>
      <c r="D141" s="11" t="s">
        <v>2129</v>
      </c>
      <c r="E141" s="11" t="s">
        <v>733</v>
      </c>
      <c r="F141" s="15">
        <v>6</v>
      </c>
      <c r="G141" s="15">
        <v>0</v>
      </c>
      <c r="H141" s="15" t="s">
        <v>2130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2131</v>
      </c>
      <c r="D142" s="11" t="s">
        <v>2132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6"/>
  <sheetViews>
    <sheetView zoomScale="85" zoomScaleNormal="85" workbookViewId="0">
      <pane ySplit="6" topLeftCell="A105" activePane="bottomLeft" state="frozen"/>
      <selection pane="bottomLeft" activeCell="G122" sqref="G12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1865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1866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1867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1866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1868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2005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2025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2026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2029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2028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2027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2081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2082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2083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2084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2085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2086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2025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2111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2113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2026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2112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1740</v>
      </c>
      <c r="F121" s="11" t="s">
        <v>1740</v>
      </c>
      <c r="G121" s="11" t="s">
        <v>2194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1740</v>
      </c>
      <c r="F122" s="11" t="s">
        <v>1740</v>
      </c>
      <c r="G122" s="11" t="s">
        <v>1710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1740</v>
      </c>
      <c r="F123" s="11" t="s">
        <v>1740</v>
      </c>
      <c r="G123" s="11" t="s">
        <v>2027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1740</v>
      </c>
      <c r="F124" s="11" t="s">
        <v>1740</v>
      </c>
      <c r="G124" s="11" t="s">
        <v>2085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1740</v>
      </c>
      <c r="F125" s="11" t="s">
        <v>1740</v>
      </c>
      <c r="G125" s="11" t="s">
        <v>1716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1740</v>
      </c>
      <c r="F126" s="11" t="s">
        <v>1740</v>
      </c>
      <c r="G126" s="11" t="s">
        <v>2112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2057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2063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2050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2062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2046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2061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2064</v>
      </c>
      <c r="C85" s="15">
        <v>1</v>
      </c>
      <c r="D85" s="15">
        <v>1</v>
      </c>
      <c r="E85" s="11" t="s">
        <v>2054</v>
      </c>
    </row>
    <row r="86" spans="1:5">
      <c r="A86" s="8"/>
      <c r="B86" s="11" t="s">
        <v>2064</v>
      </c>
      <c r="C86" s="15">
        <v>2</v>
      </c>
      <c r="D86" s="15">
        <v>1</v>
      </c>
      <c r="E86" s="11" t="s">
        <v>2055</v>
      </c>
    </row>
    <row r="87" spans="1:5">
      <c r="A87" s="8"/>
      <c r="B87" s="11" t="s">
        <v>2064</v>
      </c>
      <c r="C87" s="15">
        <v>3</v>
      </c>
      <c r="D87" s="15">
        <v>1</v>
      </c>
      <c r="E87" s="11" t="s">
        <v>2056</v>
      </c>
    </row>
    <row r="88" spans="1:5">
      <c r="A88" s="8"/>
      <c r="B88" s="11" t="s">
        <v>2064</v>
      </c>
      <c r="C88" s="15">
        <v>1</v>
      </c>
      <c r="D88" s="15">
        <v>2</v>
      </c>
      <c r="E88" s="11" t="s">
        <v>2047</v>
      </c>
    </row>
    <row r="89" spans="1:5">
      <c r="A89" s="8"/>
      <c r="B89" s="11" t="s">
        <v>2064</v>
      </c>
      <c r="C89" s="15">
        <v>2</v>
      </c>
      <c r="D89" s="15">
        <v>2</v>
      </c>
      <c r="E89" s="11" t="s">
        <v>2048</v>
      </c>
    </row>
    <row r="90" spans="1:5">
      <c r="A90" s="8"/>
      <c r="B90" s="11" t="s">
        <v>2064</v>
      </c>
      <c r="C90" s="15">
        <v>3</v>
      </c>
      <c r="D90" s="15">
        <v>2</v>
      </c>
      <c r="E90" s="11" t="s">
        <v>2049</v>
      </c>
    </row>
    <row r="91" spans="1:5">
      <c r="A91" s="8"/>
      <c r="B91" s="11" t="s">
        <v>2064</v>
      </c>
      <c r="C91" s="15">
        <v>1</v>
      </c>
      <c r="D91" s="15">
        <v>3</v>
      </c>
      <c r="E91" s="11" t="s">
        <v>2058</v>
      </c>
    </row>
    <row r="92" spans="1:5">
      <c r="A92" s="8"/>
      <c r="B92" s="11" t="s">
        <v>2064</v>
      </c>
      <c r="C92" s="15">
        <v>2</v>
      </c>
      <c r="D92" s="15">
        <v>3</v>
      </c>
      <c r="E92" s="11" t="s">
        <v>2059</v>
      </c>
    </row>
    <row r="93" spans="1:5">
      <c r="A93" s="8"/>
      <c r="B93" s="11" t="s">
        <v>2064</v>
      </c>
      <c r="C93" s="15">
        <v>3</v>
      </c>
      <c r="D93" s="15">
        <v>3</v>
      </c>
      <c r="E93" s="11" t="s">
        <v>2060</v>
      </c>
    </row>
    <row r="94" spans="1:5">
      <c r="A94" s="8"/>
      <c r="B94" s="11" t="s">
        <v>2064</v>
      </c>
      <c r="C94" s="15">
        <v>1</v>
      </c>
      <c r="D94" s="15">
        <v>4</v>
      </c>
      <c r="E94" s="11" t="s">
        <v>2040</v>
      </c>
    </row>
    <row r="95" spans="1:5">
      <c r="A95" s="8"/>
      <c r="B95" s="11" t="s">
        <v>2064</v>
      </c>
      <c r="C95" s="15">
        <v>2</v>
      </c>
      <c r="D95" s="15">
        <v>4</v>
      </c>
      <c r="E95" s="11" t="s">
        <v>2041</v>
      </c>
    </row>
    <row r="96" spans="1:5">
      <c r="A96" s="8"/>
      <c r="B96" s="11" t="s">
        <v>2064</v>
      </c>
      <c r="C96" s="15">
        <v>3</v>
      </c>
      <c r="D96" s="15">
        <v>4</v>
      </c>
      <c r="E96" s="11" t="s">
        <v>2042</v>
      </c>
    </row>
    <row r="97" spans="1:5">
      <c r="A97" s="8"/>
      <c r="B97" s="11" t="s">
        <v>2064</v>
      </c>
      <c r="C97" s="15">
        <v>1</v>
      </c>
      <c r="D97" s="15">
        <v>5</v>
      </c>
      <c r="E97" s="11" t="s">
        <v>2043</v>
      </c>
    </row>
    <row r="98" spans="1:5">
      <c r="A98" s="8"/>
      <c r="B98" s="11" t="s">
        <v>2064</v>
      </c>
      <c r="C98" s="15">
        <v>2</v>
      </c>
      <c r="D98" s="15">
        <v>5</v>
      </c>
      <c r="E98" s="11" t="s">
        <v>2044</v>
      </c>
    </row>
    <row r="99" spans="1:5">
      <c r="A99" s="8"/>
      <c r="B99" s="11" t="s">
        <v>2064</v>
      </c>
      <c r="C99" s="15">
        <v>3</v>
      </c>
      <c r="D99" s="15">
        <v>5</v>
      </c>
      <c r="E99" s="11" t="s">
        <v>2045</v>
      </c>
    </row>
    <row r="100" spans="1:5">
      <c r="A100" s="8"/>
      <c r="B100" s="11" t="s">
        <v>2064</v>
      </c>
      <c r="C100" s="15">
        <v>1</v>
      </c>
      <c r="D100" s="15">
        <v>6</v>
      </c>
      <c r="E100" s="11" t="s">
        <v>2051</v>
      </c>
    </row>
    <row r="101" spans="1:5">
      <c r="A101" s="8"/>
      <c r="B101" s="11" t="s">
        <v>2064</v>
      </c>
      <c r="C101" s="15">
        <v>2</v>
      </c>
      <c r="D101" s="15">
        <v>6</v>
      </c>
      <c r="E101" s="11" t="s">
        <v>2052</v>
      </c>
    </row>
    <row r="102" spans="1:5">
      <c r="A102" s="8"/>
      <c r="B102" s="11" t="s">
        <v>2064</v>
      </c>
      <c r="C102" s="15">
        <v>3</v>
      </c>
      <c r="D102" s="15">
        <v>6</v>
      </c>
      <c r="E102" s="11" t="s">
        <v>2053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2024-08-26T12:40:57Z</dcterms:modified>
</cp:coreProperties>
</file>