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4E99697-B209-4644-BB18-E4096E270868}" xr6:coauthVersionLast="47" xr6:coauthVersionMax="47" xr10:uidLastSave="{00000000-0000-0000-0000-000000000000}"/>
  <bookViews>
    <workbookView xWindow="28680" yWindow="-120" windowWidth="29040" windowHeight="15840" firstSheet="5" activeTab="11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skill_attack!$B$6:$T$308</definedName>
    <definedName name="_xlnm._FilterDatabase" localSheetId="9" hidden="1">skill_buff!$B$6:$P$285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58" i="59" l="1"/>
  <c r="F257" i="59"/>
  <c r="F145" i="59"/>
  <c r="F256" i="59"/>
  <c r="F255" i="59"/>
  <c r="F254" i="59"/>
  <c r="F253" i="59"/>
  <c r="F252" i="59"/>
  <c r="F251" i="59"/>
  <c r="F250" i="59"/>
  <c r="F249" i="59"/>
  <c r="F248" i="59"/>
  <c r="F247" i="59"/>
  <c r="F246" i="59"/>
  <c r="F245" i="59"/>
  <c r="F244" i="59"/>
  <c r="F243" i="59"/>
  <c r="F285" i="59"/>
  <c r="F143" i="59"/>
  <c r="F144" i="59"/>
  <c r="F142" i="59"/>
  <c r="F284" i="59"/>
  <c r="F141" i="59"/>
  <c r="D140" i="58"/>
  <c r="F140" i="59"/>
  <c r="F139" i="59"/>
  <c r="F187" i="59"/>
  <c r="F175" i="59"/>
  <c r="F138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3" i="59"/>
  <c r="F282" i="59"/>
  <c r="F281" i="59"/>
  <c r="F280" i="59"/>
  <c r="F279" i="59"/>
  <c r="F278" i="59"/>
  <c r="F277" i="59"/>
  <c r="F276" i="59"/>
  <c r="F275" i="59"/>
  <c r="F268" i="59"/>
  <c r="F274" i="59"/>
  <c r="F273" i="59"/>
  <c r="F272" i="59"/>
  <c r="F271" i="59"/>
  <c r="F270" i="59"/>
  <c r="F269" i="59"/>
  <c r="F267" i="59"/>
  <c r="F136" i="59"/>
  <c r="F135" i="59"/>
  <c r="F266" i="59"/>
  <c r="F265" i="59"/>
  <c r="F220" i="59"/>
  <c r="F174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64" i="59"/>
  <c r="F263" i="59"/>
  <c r="F262" i="59"/>
  <c r="F261" i="59"/>
  <c r="F260" i="59"/>
  <c r="F130" i="59"/>
  <c r="F131" i="59"/>
  <c r="F132" i="59"/>
  <c r="F259" i="59"/>
  <c r="F133" i="59"/>
  <c r="F134" i="59"/>
  <c r="F129" i="59"/>
  <c r="F230" i="59"/>
  <c r="A1" i="60"/>
  <c r="F242" i="59"/>
  <c r="F241" i="59"/>
  <c r="F240" i="59"/>
  <c r="F239" i="59"/>
  <c r="F238" i="59"/>
  <c r="F237" i="59"/>
  <c r="F236" i="59"/>
  <c r="F235" i="59"/>
  <c r="F234" i="59"/>
  <c r="F233" i="59"/>
  <c r="F232" i="59"/>
  <c r="F231" i="59"/>
  <c r="F229" i="59"/>
  <c r="F228" i="59"/>
  <c r="F227" i="59"/>
  <c r="F226" i="59"/>
  <c r="F225" i="59"/>
  <c r="F224" i="59"/>
  <c r="F223" i="59"/>
  <c r="F222" i="59"/>
  <c r="F221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1" i="59"/>
  <c r="F190" i="59"/>
  <c r="F189" i="59"/>
  <c r="F188" i="59"/>
  <c r="F186" i="59"/>
  <c r="F185" i="59"/>
  <c r="F184" i="59"/>
  <c r="F183" i="59"/>
  <c r="F182" i="59"/>
  <c r="F181" i="59"/>
  <c r="F180" i="59"/>
  <c r="F179" i="59"/>
  <c r="F178" i="59"/>
  <c r="F177" i="59"/>
  <c r="F176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49" i="59"/>
  <c r="F148" i="59"/>
  <c r="F147" i="59"/>
  <c r="F14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<sst xmlns="http://schemas.openxmlformats.org/spreadsheetml/2006/main" count="3652" uniqueCount="1951">
  <si>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</si>
  <si>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</si>
  <si>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</si>
  <si>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</si>
  <si>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</si>
  <si>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</si>
  <si>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</si>
  <si>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</si>
  <si>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</si>
  <si>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</si>
  <si>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</si>
  <si>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</si>
  <si>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</si>
  <si>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</si>
  <si>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</si>
  <si>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</si>
  <si>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</si>
  <si>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</si>
  <si>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</si>
  <si>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</si>
  <si>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</si>
  <si>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</si>
  <si>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</si>
  <si>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</si>
  <si>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</si>
  <si>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</si>
  <si>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</si>
  <si>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</si>
  <si>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</si>
  <si>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</si>
  <si>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</si>
  <si>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</si>
  <si>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</si>
  <si>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</si>
  <si>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</si>
  <si>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</si>
  <si>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</si>
  <si>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</si>
  <si>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</si>
  <si>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</si>
  <si>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</si>
  <si>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</si>
  <si>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</si>
  <si>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</si>
  <si>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</si>
  <si>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</si>
  <si>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</si>
  <si>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</si>
  <si>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</si>
  <si>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</si>
  <si>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</si>
  <si>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</si>
  <si>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</si>
  <si>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</si>
  <si>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</si>
  <si>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</si>
  <si>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</si>
  <si>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</si>
  <si>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</si>
  <si>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</si>
  <si>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</si>
  <si>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</si>
  <si>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</si>
  <si>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</si>
  <si>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</si>
  <si>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</si>
  <si>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</si>
  <si>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</si>
  <si>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</si>
  <si>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</si>
  <si>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</si>
  <si>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</si>
  <si>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</si>
  <si>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</si>
  <si>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</si>
  <si>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</si>
  <si>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</si>
  <si>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</si>
  <si>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</si>
  <si>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</si>
  <si>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</si>
  <si>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</si>
  <si>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</si>
  <si>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</si>
  <si>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</si>
  <si>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</si>
  <si>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</si>
  <si>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</si>
  <si>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</si>
  <si>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</si>
  <si>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</si>
  <si>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</si>
  <si>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</si>
  <si>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</si>
  <si>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</si>
  <si>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</si>
  <si>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</si>
  <si>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</si>
  <si>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</si>
  <si>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</si>
  <si>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</si>
  <si>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</si>
  <si>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</si>
  <si>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</si>
  <si>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</si>
  <si>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</si>
  <si>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</si>
  <si>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</si>
  <si>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</si>
  <si>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</si>
  <si>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</si>
  <si>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</si>
  <si>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</si>
  <si>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</si>
  <si>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</si>
  <si>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</si>
  <si>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</si>
  <si>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</si>
  <si>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</si>
  <si>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</si>
  <si>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</si>
  <si>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</si>
  <si>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</si>
  <si>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</si>
  <si>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</si>
  <si>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</si>
  <si>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</si>
  <si>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</si>
  <si>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</si>
  <si>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</si>
  <si>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</si>
  <si>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</si>
  <si>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</si>
  <si>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</si>
  <si>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</si>
  <si>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</si>
  <si>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</si>
  <si>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</si>
  <si>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</si>
  <si>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</si>
  <si>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</si>
  <si>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</si>
  <si>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</si>
  <si>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</si>
  <si>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</si>
  <si>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</si>
  <si>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</si>
  <si>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</si>
  <si>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</si>
  <si>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</si>
  <si>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</si>
  <si>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</si>
  <si>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</si>
  <si>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</si>
  <si>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</si>
  <si>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</si>
  <si>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</si>
  <si>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</si>
  <si>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</si>
  <si>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</si>
  <si>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</si>
  <si>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</si>
  <si>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</si>
  <si>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</si>
  <si>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</si>
  <si>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</si>
  <si>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</si>
  <si>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</si>
  <si>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</si>
  <si>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</si>
  <si>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</si>
  <si>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</si>
  <si>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</si>
  <si>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</si>
  <si>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</si>
  <si>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</si>
  <si>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</si>
  <si>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</si>
  <si>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</si>
  <si>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</si>
  <si>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</si>
  <si>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</si>
  <si>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</si>
  <si>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</si>
  <si>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</si>
  <si>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</si>
  <si>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</si>
  <si>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</si>
  <si>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</si>
  <si>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</si>
  <si>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</si>
  <si>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</si>
  <si>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</si>
  <si>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</si>
  <si>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</si>
  <si>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</si>
  <si>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</si>
  <si>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</si>
  <si>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</si>
  <si>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</si>
  <si>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</si>
  <si>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</si>
  <si>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</si>
  <si>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</si>
  <si>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</si>
  <si>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</si>
  <si>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</si>
  <si>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</si>
  <si>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</si>
  <si>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</si>
  <si>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</si>
  <si>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</si>
  <si>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</si>
  <si>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</si>
  <si>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</si>
  <si>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</si>
  <si>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</si>
  <si>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</si>
  <si>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</si>
  <si>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</si>
  <si>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</si>
  <si>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</si>
  <si>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</si>
  <si>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</si>
  <si>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</si>
  <si>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</si>
  <si>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</si>
  <si>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</si>
  <si>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</si>
  <si>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</si>
  <si>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</si>
  <si>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</si>
  <si>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</si>
  <si>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</si>
  <si>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</si>
  <si>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</si>
  <si>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</si>
  <si>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</si>
  <si>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</si>
  <si>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</si>
  <si>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</si>
  <si>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</si>
  <si>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</si>
  <si>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</si>
  <si>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</si>
  <si>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</si>
  <si>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</si>
  <si>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</si>
  <si>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</si>
  <si>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</si>
  <si>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</si>
  <si>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</si>
  <si>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</si>
  <si>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</si>
  <si>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</si>
  <si>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</si>
  <si>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</si>
  <si>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</si>
  <si>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</si>
  <si>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</si>
  <si>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</si>
  <si>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</si>
  <si>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</si>
  <si>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</si>
  <si>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</si>
  <si>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</si>
  <si>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</si>
  <si>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</si>
  <si>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</si>
  <si>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</si>
  <si>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</si>
  <si>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</si>
  <si>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</si>
  <si>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</si>
  <si>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</si>
  <si>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</si>
  <si>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</si>
  <si>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</si>
  <si>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</si>
  <si>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</si>
  <si>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</si>
  <si>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</si>
  <si>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</si>
  <si>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</si>
  <si>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</si>
  <si>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</si>
  <si>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</si>
  <si>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</si>
  <si>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</si>
  <si>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</si>
  <si>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</si>
  <si>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</si>
  <si>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</si>
  <si>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</si>
  <si>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</si>
  <si>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</si>
  <si>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</si>
  <si>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</si>
  <si>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</si>
  <si>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</si>
  <si>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</si>
  <si>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</si>
  <si>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</si>
  <si>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</si>
  <si>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</si>
  <si>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</si>
  <si>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</si>
  <si>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</si>
  <si>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</si>
  <si>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</si>
  <si>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</si>
  <si>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</si>
  <si>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</si>
  <si>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</si>
  <si>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</si>
  <si>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</si>
  <si>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</si>
  <si>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</si>
  <si>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</si>
  <si>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</si>
  <si>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</si>
  <si>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</si>
  <si>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</si>
  <si>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</si>
  <si>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</si>
  <si>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</si>
  <si>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</si>
  <si>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</si>
  <si>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</si>
  <si>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</si>
  <si>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</si>
  <si>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</si>
  <si>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</si>
  <si>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</si>
  <si>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</si>
  <si>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</si>
  <si>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</si>
  <si>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</si>
  <si>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</si>
  <si>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</si>
  <si>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</si>
  <si>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</si>
  <si>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</si>
  <si>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</si>
  <si>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</si>
  <si>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</si>
  <si>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</si>
  <si>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</si>
  <si>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</si>
  <si>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</si>
  <si>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</si>
  <si>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</si>
  <si>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</si>
  <si>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</si>
  <si>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</si>
  <si>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</si>
  <si>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</si>
  <si>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</si>
  <si>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</si>
  <si>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</si>
  <si>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</si>
  <si>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</si>
  <si>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</si>
  <si>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</si>
  <si>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</si>
  <si>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</si>
  <si>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</si>
  <si>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</si>
  <si>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</si>
  <si>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</si>
  <si>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</si>
  <si>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</si>
  <si>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</si>
  <si>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</si>
  <si>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</si>
  <si>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</si>
  <si>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</si>
  <si>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</si>
  <si>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</si>
  <si>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</si>
  <si>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</si>
  <si>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</si>
  <si>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</si>
  <si>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</si>
  <si>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</si>
  <si>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</si>
  <si>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</si>
  <si>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</si>
  <si>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</si>
  <si>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</si>
  <si>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</si>
  <si>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</si>
  <si>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</si>
  <si>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</si>
  <si>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</si>
  <si>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</si>
  <si>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</si>
  <si>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</si>
  <si>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</si>
  <si>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</si>
  <si>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</si>
  <si>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</si>
  <si>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</si>
  <si>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</si>
  <si>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</si>
  <si>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</si>
  <si>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</si>
  <si>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</si>
  <si>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</si>
  <si>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</si>
  <si>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</si>
  <si>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</si>
  <si>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</si>
  <si>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</si>
  <si>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</si>
  <si>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</si>
  <si>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</si>
  <si>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</si>
  <si>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</si>
  <si>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</si>
  <si>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</si>
  <si>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</si>
  <si>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</si>
  <si>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</si>
  <si>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</si>
  <si>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</si>
  <si>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</si>
  <si>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</si>
  <si>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</si>
  <si>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</si>
  <si>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</si>
  <si>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</si>
  <si>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</si>
  <si>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</si>
  <si>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</si>
  <si>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</si>
  <si>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</si>
  <si>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</si>
  <si>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</si>
  <si>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</si>
  <si>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</si>
  <si>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</si>
  <si>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</si>
  <si>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</si>
  <si>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</si>
  <si>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</si>
  <si>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</si>
  <si>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</si>
  <si>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</si>
  <si>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</si>
  <si>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</si>
  <si>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</si>
  <si>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</si>
  <si>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</si>
  <si>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</si>
  <si>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</si>
  <si>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</si>
  <si>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</si>
  <si>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</si>
  <si>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</si>
  <si>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</si>
  <si>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</si>
  <si>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</si>
  <si>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</si>
  <si>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</si>
  <si>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</si>
  <si>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</si>
  <si>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</si>
  <si>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</si>
  <si>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</si>
  <si>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</si>
  <si>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</si>
  <si>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</si>
  <si>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</si>
  <si>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</si>
  <si>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</si>
  <si>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</si>
  <si>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</si>
  <si>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</si>
  <si>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</si>
  <si>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</si>
  <si>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</si>
  <si>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</si>
  <si>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</si>
  <si>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</si>
  <si>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</si>
  <si>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</si>
  <si>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</si>
  <si>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</si>
  <si>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</si>
  <si>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</si>
  <si>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</si>
  <si>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</si>
  <si>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</si>
  <si>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</si>
  <si>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</si>
  <si>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</si>
  <si>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</si>
  <si>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</si>
  <si>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</si>
  <si>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</si>
  <si>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</si>
  <si>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</si>
  <si>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</si>
  <si>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</si>
  <si>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</si>
  <si>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</si>
  <si>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</si>
  <si>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</si>
  <si>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</si>
  <si>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</si>
  <si>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</si>
  <si>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</si>
  <si>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</si>
  <si>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</si>
  <si>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</si>
  <si>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</si>
  <si>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</si>
  <si>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</si>
  <si>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</si>
  <si>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</si>
  <si>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</si>
  <si>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</si>
  <si>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</si>
  <si>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</si>
  <si>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</si>
  <si>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</si>
  <si>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</si>
  <si>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</si>
  <si>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</si>
  <si>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</si>
  <si>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</si>
  <si>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</si>
  <si>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</si>
  <si>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</si>
  <si>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</si>
  <si>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</si>
  <si>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</si>
  <si>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</si>
  <si>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</si>
  <si>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</si>
  <si>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</si>
  <si>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</si>
  <si>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</si>
  <si>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</si>
  <si>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</si>
  <si>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</si>
  <si>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</si>
  <si>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</si>
  <si>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</si>
  <si>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</si>
  <si>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</si>
  <si>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</si>
  <si>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</si>
  <si>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</si>
  <si>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</si>
  <si>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</si>
  <si>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</si>
  <si>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</si>
  <si>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</si>
  <si>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</si>
  <si>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</si>
  <si>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</si>
  <si>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</si>
  <si>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</si>
  <si>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</si>
  <si>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</si>
  <si>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</si>
  <si>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</si>
  <si>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</si>
  <si>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</si>
  <si>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</si>
  <si>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</si>
  <si>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</si>
  <si>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</si>
  <si>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</si>
  <si>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</si>
  <si>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</si>
  <si>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</si>
  <si>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</si>
  <si>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</si>
  <si>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</si>
  <si>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</si>
  <si>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</si>
  <si>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</si>
  <si>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</si>
  <si>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</si>
  <si>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</si>
  <si>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</si>
  <si>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</si>
  <si>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</si>
  <si>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</si>
  <si>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</si>
  <si>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</si>
  <si>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</si>
  <si>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</si>
  <si>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</si>
  <si>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</si>
  <si>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</si>
  <si>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</si>
  <si>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</si>
  <si>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</si>
  <si>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</si>
  <si>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</si>
  <si>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</si>
  <si>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</si>
  <si>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</si>
  <si>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</si>
  <si>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</si>
  <si>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</si>
  <si>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</si>
  <si>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</si>
  <si>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</si>
  <si>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</si>
  <si>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</si>
  <si>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</si>
  <si>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</si>
  <si>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</si>
  <si>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</si>
  <si>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</si>
  <si>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</si>
  <si>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</si>
  <si>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</si>
  <si>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</si>
  <si>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</si>
  <si>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</si>
  <si>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</si>
  <si>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</si>
  <si>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</si>
  <si>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</si>
  <si>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</si>
  <si>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</si>
  <si>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</si>
  <si>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</si>
  <si>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</si>
  <si>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</si>
  <si>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</si>
  <si>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</si>
  <si>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</si>
  <si>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</si>
  <si>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</si>
  <si>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</si>
  <si>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</si>
  <si>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</si>
  <si>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</si>
  <si>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</si>
  <si>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</si>
  <si>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</si>
  <si>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</si>
  <si>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</si>
  <si>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</si>
  <si>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</si>
  <si>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</si>
  <si>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</si>
  <si>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</si>
  <si>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</si>
  <si>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</si>
  <si>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</si>
  <si>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</si>
  <si>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</si>
  <si>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</si>
  <si>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</si>
  <si>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</si>
  <si>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</si>
  <si>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</si>
  <si>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</si>
  <si>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</si>
  <si>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</si>
  <si>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</si>
  <si>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</si>
  <si>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</si>
  <si>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</si>
  <si>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</si>
  <si>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</si>
  <si>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</si>
  <si>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</si>
  <si>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</si>
  <si>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</si>
  <si>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</si>
  <si>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</si>
  <si>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</si>
  <si>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</si>
  <si>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</si>
  <si>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</si>
  <si>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</si>
  <si>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</si>
  <si>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</si>
  <si>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</si>
  <si>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</si>
  <si>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</si>
  <si>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</si>
  <si>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</si>
  <si>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</si>
  <si>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</si>
  <si>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</si>
  <si>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</si>
  <si>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</si>
  <si>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</si>
  <si>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</si>
  <si>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</si>
  <si>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</si>
  <si>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</si>
  <si>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</si>
  <si>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</si>
  <si>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</si>
  <si>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</si>
  <si>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</si>
  <si>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</si>
  <si>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</si>
  <si>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</si>
  <si>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</si>
  <si>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</si>
  <si>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</si>
  <si>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</si>
  <si>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</si>
  <si>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</si>
  <si>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</si>
  <si>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</si>
  <si>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</si>
  <si>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</si>
  <si>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</si>
  <si>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</si>
  <si>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</si>
  <si>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</si>
  <si>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</si>
  <si>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</si>
  <si>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</si>
  <si>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</si>
  <si>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</si>
  <si>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</si>
  <si>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</si>
  <si>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</si>
  <si>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</si>
  <si>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</si>
  <si>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</si>
  <si>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</si>
  <si>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</si>
  <si>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</si>
  <si>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</si>
  <si>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</si>
  <si>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</si>
  <si>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</si>
  <si>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</si>
  <si>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</si>
  <si>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</si>
  <si>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</si>
  <si>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</si>
  <si>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</si>
  <si>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</si>
  <si>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</si>
  <si>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</si>
  <si>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</si>
  <si>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</si>
  <si>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</si>
  <si>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</si>
  <si>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</si>
  <si>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</si>
  <si>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</si>
  <si>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</si>
  <si>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</si>
  <si>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</si>
  <si>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</si>
  <si>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</si>
  <si>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</si>
  <si>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</si>
  <si>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</si>
  <si>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</si>
  <si>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</si>
  <si>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</si>
  <si>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</si>
  <si>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</si>
  <si>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</si>
  <si>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</si>
  <si>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</si>
  <si>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</si>
  <si>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</si>
  <si>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</si>
  <si>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</si>
  <si>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</si>
  <si>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</si>
  <si>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</si>
  <si>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</si>
  <si>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</si>
  <si>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</si>
  <si>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</si>
  <si>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</si>
  <si>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</si>
  <si>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</si>
  <si>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</si>
  <si>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</si>
  <si>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</si>
  <si>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</si>
  <si>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</si>
  <si>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</si>
  <si>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</si>
  <si>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</si>
  <si>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</si>
  <si>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</si>
  <si>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</si>
  <si>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</si>
  <si>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</si>
  <si>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</si>
  <si>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</si>
  <si>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</si>
  <si>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</si>
  <si>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</si>
  <si>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</si>
  <si>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</si>
  <si>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</si>
  <si>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</si>
  <si>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</si>
  <si>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</si>
  <si>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</si>
  <si>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</si>
  <si>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</si>
  <si>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</si>
  <si>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</si>
  <si>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</si>
  <si>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</si>
  <si>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</si>
  <si>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</si>
  <si>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</si>
  <si>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</si>
  <si>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</si>
  <si>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</si>
  <si>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</si>
  <si>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</si>
  <si>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</si>
  <si>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</si>
  <si>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</si>
  <si>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</si>
  <si>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</si>
  <si>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</si>
  <si>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</si>
  <si>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</si>
  <si>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</si>
  <si>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</si>
  <si>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</si>
  <si>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</si>
  <si>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</si>
  <si>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</si>
  <si>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</si>
  <si>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</si>
  <si>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</si>
  <si>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</si>
  <si>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</si>
  <si>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</si>
  <si>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</si>
  <si>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</si>
  <si>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</si>
  <si>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</si>
  <si>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</si>
  <si>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</si>
  <si>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</si>
  <si>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</si>
  <si>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</si>
  <si>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</si>
  <si>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</si>
  <si>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</si>
  <si>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</si>
  <si>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</si>
  <si>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</si>
  <si>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</si>
  <si>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</si>
  <si>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</si>
  <si>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</si>
  <si>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</si>
  <si>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</si>
  <si>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</si>
  <si>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</si>
  <si>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</si>
  <si>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</si>
  <si>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</si>
  <si>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</si>
  <si>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</si>
  <si>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</si>
  <si>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</si>
  <si>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</si>
  <si>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</si>
  <si>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</si>
  <si>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</si>
  <si>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</si>
  <si>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</si>
  <si>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</si>
  <si>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</si>
  <si>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</si>
  <si>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</si>
  <si>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</si>
  <si>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</si>
  <si>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</si>
  <si>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</si>
  <si>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</si>
  <si>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</si>
  <si>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</si>
  <si>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</si>
  <si>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</si>
  <si>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</si>
  <si>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</si>
  <si>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</si>
  <si>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</si>
  <si>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</si>
  <si>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</si>
  <si>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</si>
  <si>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</si>
  <si>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</si>
  <si>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</si>
  <si>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</si>
  <si>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</si>
  <si>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</si>
  <si>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</si>
  <si>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</si>
  <si>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</si>
  <si>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</si>
  <si>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</si>
  <si>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</si>
  <si>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</si>
  <si>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</si>
  <si>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</si>
  <si>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</si>
  <si>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</si>
  <si>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</si>
  <si>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</si>
  <si>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</si>
  <si>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</si>
  <si>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</si>
  <si>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</si>
  <si>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</si>
  <si>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</si>
  <si>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</si>
  <si>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</si>
  <si>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</si>
  <si>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</si>
  <si>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</si>
  <si>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</si>
  <si>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</si>
  <si>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</si>
  <si>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</si>
  <si>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</si>
  <si>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</si>
  <si>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</si>
  <si>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</si>
  <si>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</si>
  <si>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</si>
  <si>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</si>
  <si>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</si>
  <si>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</si>
  <si>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</si>
  <si>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</si>
  <si>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</si>
  <si>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</si>
  <si>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</si>
  <si>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</si>
  <si>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</si>
  <si>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</si>
  <si>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</si>
  <si>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</si>
  <si>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</si>
  <si>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</si>
  <si>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</si>
  <si>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</si>
  <si>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</si>
  <si>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</si>
  <si>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</si>
  <si>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</si>
  <si>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</si>
  <si>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</si>
  <si>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</si>
  <si>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</si>
  <si>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</si>
  <si>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</si>
  <si>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</si>
  <si>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</si>
  <si>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</si>
  <si>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</si>
  <si>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</si>
  <si>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</si>
  <si>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</si>
  <si>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</si>
  <si>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</si>
  <si>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</si>
  <si>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</si>
  <si>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</si>
  <si>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</si>
  <si>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</si>
  <si>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</si>
  <si>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</si>
  <si>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</si>
  <si>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</si>
  <si>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</si>
  <si>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</si>
  <si>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</si>
  <si>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</si>
  <si>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</si>
  <si>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</si>
  <si>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</si>
  <si>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</si>
  <si>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</si>
  <si>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</si>
  <si>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</si>
  <si>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</si>
  <si>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</si>
  <si>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</si>
  <si>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</si>
  <si>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</si>
  <si>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</si>
  <si>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</si>
  <si>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</si>
  <si>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</si>
  <si>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</si>
  <si>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</si>
  <si>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</si>
  <si>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</si>
  <si>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</si>
  <si>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</si>
  <si>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</si>
  <si>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</si>
  <si>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</si>
  <si>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</si>
  <si>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</si>
  <si>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</si>
  <si>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</si>
  <si>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</si>
  <si>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</si>
  <si>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</si>
  <si>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</si>
  <si>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</si>
  <si>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</si>
  <si>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</si>
  <si>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</si>
  <si>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</si>
  <si>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</si>
  <si>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</si>
  <si>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</si>
  <si>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</si>
  <si>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</si>
  <si>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</si>
  <si>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</si>
  <si>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</si>
  <si>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</si>
  <si>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</si>
  <si>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</si>
  <si>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</si>
  <si>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</si>
  <si>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</si>
  <si>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</si>
  <si>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</si>
  <si>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</si>
  <si>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</si>
  <si>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</si>
  <si>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</si>
  <si>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</si>
  <si>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</si>
  <si>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</si>
  <si>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</si>
  <si>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</si>
  <si>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</si>
  <si>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</si>
  <si>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</si>
  <si>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</si>
  <si>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</si>
  <si>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</si>
  <si>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</si>
  <si>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</si>
  <si>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</si>
  <si>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</si>
  <si>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</si>
  <si>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</si>
  <si>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</si>
  <si>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</si>
  <si>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</si>
  <si>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</si>
  <si>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</si>
  <si>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</si>
  <si>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</si>
  <si>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</si>
  <si>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</si>
  <si>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</si>
  <si>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</si>
  <si>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</si>
  <si>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</si>
  <si>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</si>
  <si>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</si>
  <si>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</si>
  <si>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</si>
  <si>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</si>
  <si>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</si>
  <si>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</si>
  <si>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</si>
  <si>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</si>
  <si>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</si>
  <si>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</si>
  <si>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</si>
  <si>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</si>
  <si>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</si>
  <si>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</si>
  <si>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</si>
  <si>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</si>
  <si>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</si>
  <si>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</si>
  <si>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</si>
  <si>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</si>
  <si>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</si>
  <si>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</si>
  <si>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</si>
  <si>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</si>
  <si>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</si>
  <si>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</si>
  <si>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</si>
  <si>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</si>
  <si>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</si>
  <si>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</si>
  <si>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</si>
  <si>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</si>
  <si>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</si>
  <si>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</si>
  <si>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</si>
  <si>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</si>
  <si>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</si>
  <si>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</si>
  <si>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</si>
  <si>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</si>
  <si>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</si>
  <si>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</si>
  <si>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</si>
  <si>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</si>
  <si>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</si>
  <si>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</si>
  <si>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</si>
  <si>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</si>
  <si>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</si>
  <si>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</si>
  <si>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</si>
  <si>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</si>
  <si>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</si>
  <si>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</si>
  <si>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</si>
  <si>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</si>
  <si>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</si>
  <si>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</si>
  <si>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</si>
  <si>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</si>
  <si>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</si>
  <si>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</si>
  <si>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</si>
  <si>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</si>
  <si>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</si>
  <si>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</si>
  <si>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</si>
  <si>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</si>
  <si>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</si>
  <si>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</si>
  <si>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</si>
  <si>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</si>
  <si>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</si>
  <si>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</si>
  <si>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</si>
  <si>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</si>
  <si>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</si>
  <si>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</si>
  <si>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</si>
  <si>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</si>
  <si>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</si>
  <si>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</si>
  <si>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</si>
  <si>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</si>
  <si>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</si>
  <si>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</si>
  <si>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</si>
  <si>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</si>
  <si>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</si>
  <si>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</si>
  <si>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</si>
  <si>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</si>
  <si>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</si>
  <si>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</si>
  <si>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</si>
  <si>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</si>
  <si>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</si>
  <si>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</si>
  <si>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</si>
  <si>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</si>
  <si>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</si>
  <si>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</si>
  <si>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</si>
  <si>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</si>
  <si>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</si>
  <si>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</si>
  <si>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</si>
  <si>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</si>
  <si>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</si>
  <si>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</si>
  <si>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</si>
  <si>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</si>
  <si>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</si>
  <si>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</si>
  <si>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</si>
  <si>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</si>
  <si>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</si>
  <si>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</si>
  <si>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</si>
  <si>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</si>
  <si>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</si>
  <si>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</si>
  <si>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</si>
  <si>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</si>
  <si>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</si>
  <si>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</si>
  <si>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</si>
  <si>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</si>
  <si>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</si>
  <si>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</si>
  <si>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</si>
  <si>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</si>
  <si>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</si>
  <si>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</si>
  <si>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</si>
  <si>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</si>
  <si>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</si>
  <si>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</si>
  <si>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</si>
  <si>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</si>
  <si>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</si>
  <si>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</si>
  <si>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</si>
  <si>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</si>
  <si>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</si>
  <si>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</si>
  <si>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</si>
  <si>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</si>
  <si>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</si>
  <si>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</si>
  <si>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</si>
  <si>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</si>
  <si>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</si>
  <si>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</si>
  <si>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</si>
  <si>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</si>
  <si>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</si>
  <si>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</si>
  <si>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</si>
  <si>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</si>
  <si>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</si>
  <si>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</si>
  <si>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</si>
  <si>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</si>
  <si>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</si>
  <si>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</si>
  <si>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</si>
  <si>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</si>
  <si>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</si>
  <si>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</si>
  <si>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</si>
  <si>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</si>
  <si>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</si>
  <si>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</si>
  <si>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</si>
  <si>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</si>
  <si>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</si>
  <si>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</si>
  <si>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</si>
  <si>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</si>
  <si>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</si>
  <si>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</si>
  <si>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</si>
  <si>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</si>
  <si>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</si>
  <si>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</si>
  <si>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</si>
  <si>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</si>
  <si>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</si>
  <si>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</si>
  <si>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</si>
  <si>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</si>
  <si>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</si>
  <si>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</si>
  <si>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</si>
  <si>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</si>
  <si>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</si>
  <si>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</si>
  <si>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</si>
  <si>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</si>
  <si>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</si>
  <si>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</si>
  <si>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</si>
  <si>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</si>
  <si>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</si>
  <si>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</si>
  <si>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</si>
  <si>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</si>
  <si>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</si>
  <si>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</si>
  <si>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</si>
  <si>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</si>
  <si>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</si>
  <si>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</si>
  <si>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</si>
  <si>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</si>
  <si>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</si>
  <si>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</si>
  <si>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</si>
  <si>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</si>
  <si>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</si>
  <si>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</si>
  <si>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</si>
  <si>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</si>
  <si>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</si>
  <si>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</si>
  <si>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</si>
  <si>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</si>
  <si>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</si>
  <si>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</si>
  <si>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</si>
  <si>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</si>
  <si>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</si>
  <si>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</si>
  <si>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</si>
  <si>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</si>
  <si>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</si>
  <si>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</si>
  <si>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</si>
  <si>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</si>
  <si>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</si>
  <si>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</si>
  <si>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</si>
  <si>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</si>
  <si>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</si>
  <si>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</si>
  <si>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</si>
  <si>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</si>
  <si>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</si>
  <si>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</si>
  <si>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</si>
  <si>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</si>
  <si>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</si>
  <si>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</si>
  <si>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</si>
  <si>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</si>
  <si>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</si>
  <si>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</si>
  <si>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</si>
  <si>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</si>
  <si>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</si>
  <si>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</si>
  <si>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</si>
  <si>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</si>
  <si>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</si>
  <si>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</si>
  <si>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</si>
  <si>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</si>
  <si>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</si>
  <si>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</si>
  <si>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</si>
  <si>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</si>
  <si>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</si>
  <si>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</si>
  <si>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</si>
  <si>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</si>
  <si>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</si>
  <si>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</si>
  <si>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</si>
  <si>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</si>
  <si>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</si>
  <si>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</si>
  <si>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</si>
  <si>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</si>
  <si>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</si>
  <si>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</si>
  <si>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</si>
  <si>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</si>
  <si>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</si>
  <si>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</si>
  <si>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</si>
  <si>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</si>
  <si>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</si>
  <si>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</si>
  <si>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</si>
  <si>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</si>
  <si>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</si>
  <si>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</si>
  <si>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</si>
  <si>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</si>
  <si>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</si>
  <si>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</si>
  <si>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</si>
  <si>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</si>
  <si>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</si>
  <si>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</si>
  <si>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</si>
  <si>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</si>
  <si>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</si>
  <si>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</si>
  <si>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</si>
  <si>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</si>
  <si>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</si>
  <si>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</si>
  <si>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</si>
  <si>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</si>
  <si>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</si>
  <si>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</si>
  <si>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</si>
  <si>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</si>
  <si>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</si>
  <si>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</si>
  <si>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</si>
  <si>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</si>
  <si>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</si>
  <si>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</si>
  <si>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</si>
  <si>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</si>
  <si>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</si>
  <si>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</si>
  <si>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</si>
  <si>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</si>
  <si>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</si>
  <si>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</si>
  <si>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</si>
  <si>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</si>
  <si>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</si>
  <si>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</si>
  <si>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</si>
  <si>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</si>
  <si>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</si>
  <si>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</si>
  <si>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</si>
  <si>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</si>
  <si>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</si>
  <si>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</si>
  <si>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</si>
  <si>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</si>
  <si>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</si>
  <si>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</si>
  <si>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</si>
  <si>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</si>
  <si>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</si>
  <si>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</si>
  <si>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</si>
  <si>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</si>
  <si>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</si>
  <si>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</si>
  <si>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</si>
  <si>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</si>
  <si>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</si>
  <si>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</si>
  <si>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</si>
  <si>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</si>
  <si>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</si>
  <si>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</si>
  <si>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</si>
  <si>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</si>
  <si>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</si>
  <si>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</si>
  <si>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</si>
  <si>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</si>
  <si>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</si>
  <si>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</si>
  <si>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</si>
  <si>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</si>
  <si>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</si>
  <si>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</si>
  <si>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</si>
  <si>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</si>
  <si>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</si>
  <si>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</si>
  <si>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</si>
  <si>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</si>
  <si>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</si>
  <si>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</si>
  <si>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</si>
  <si>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</si>
  <si>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</si>
  <si>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</si>
  <si>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</si>
  <si>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</si>
  <si>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</si>
  <si>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</si>
  <si>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</si>
  <si>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</si>
  <si>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</si>
  <si>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</si>
  <si>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</si>
  <si>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</si>
  <si>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</si>
  <si>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</si>
  <si>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</si>
  <si>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</si>
  <si>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</si>
  <si>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</si>
  <si>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</si>
  <si>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</si>
  <si>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</si>
  <si>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</si>
  <si>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</si>
  <si>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</si>
  <si>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</si>
  <si>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</si>
  <si>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</si>
  <si>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</si>
  <si>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</si>
  <si>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</si>
  <si>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</si>
  <si>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</si>
  <si>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</si>
  <si>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</si>
  <si>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</si>
  <si>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</si>
  <si>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</si>
  <si>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</si>
  <si>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</si>
  <si>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</si>
  <si>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</si>
  <si>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</si>
  <si>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</si>
  <si>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</si>
  <si>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</si>
  <si>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</si>
  <si>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</si>
  <si>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</si>
  <si>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</si>
  <si>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</si>
  <si>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</si>
  <si>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</si>
  <si>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</si>
  <si>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</si>
  <si>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</si>
  <si>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</si>
  <si>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</si>
  <si>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</si>
  <si>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</si>
  <si>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</si>
  <si>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</si>
  <si>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</si>
  <si>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</si>
  <si>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</si>
  <si>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</si>
  <si>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</si>
  <si>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</si>
  <si>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</si>
  <si>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</si>
  <si>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</si>
  <si>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</si>
  <si>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</si>
  <si>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</si>
  <si>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</si>
  <si>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</si>
  <si>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</si>
  <si>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</si>
  <si>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</si>
  <si>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</si>
  <si>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</si>
  <si>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</si>
  <si>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</si>
  <si>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</si>
  <si>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</si>
  <si>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</si>
  <si>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</si>
  <si>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</si>
  <si>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</si>
  <si>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</si>
  <si>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</si>
  <si>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</si>
  <si>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</si>
  <si>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</si>
  <si>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</si>
  <si>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</si>
  <si>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</si>
  <si>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</si>
  <si>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</si>
  <si>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</si>
  <si>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</si>
  <si>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</si>
  <si>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</si>
  <si>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</si>
  <si>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</si>
  <si>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</si>
  <si>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</si>
  <si>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</si>
  <si>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</si>
  <si>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</si>
  <si>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</si>
  <si>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</si>
  <si>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</si>
  <si>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</si>
  <si>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</si>
  <si>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</si>
  <si>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</si>
  <si>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</si>
  <si>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</si>
  <si>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</si>
  <si>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</si>
  <si>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</si>
  <si>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</si>
  <si>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</si>
  <si>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</si>
  <si>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</si>
  <si>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</si>
  <si>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</si>
  <si>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</si>
  <si>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</si>
  <si>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</si>
  <si>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</si>
  <si>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</si>
  <si>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</si>
  <si>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</si>
  <si>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</si>
  <si>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</si>
  <si>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</si>
  <si>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</si>
  <si>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</si>
  <si>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</si>
  <si>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</si>
  <si>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</si>
  <si>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</si>
  <si>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</si>
  <si>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</si>
  <si>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</si>
  <si>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</si>
  <si>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</si>
  <si>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</si>
  <si>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</si>
  <si>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</si>
  <si>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</si>
  <si>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</si>
  <si>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</si>
  <si>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</si>
  <si>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</si>
  <si>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</si>
  <si>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</si>
  <si>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</si>
  <si>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</si>
  <si>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</si>
  <si>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</si>
  <si>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</si>
  <si>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</si>
  <si>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</si>
  <si>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</si>
  <si>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</si>
  <si>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</si>
  <si>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</si>
  <si>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</si>
  <si>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</si>
  <si>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</si>
  <si>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</si>
  <si>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</si>
  <si>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</si>
  <si>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</si>
  <si>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</si>
  <si>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</si>
  <si>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</si>
  <si>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</si>
  <si>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</si>
  <si>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</si>
  <si>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</si>
  <si>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</si>
  <si>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</si>
  <si>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</si>
  <si>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</si>
  <si>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</si>
  <si>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</si>
  <si>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</si>
  <si>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</si>
  <si>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</si>
  <si>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</si>
  <si>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</si>
  <si>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</si>
  <si>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</si>
  <si>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</si>
  <si>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</si>
  <si>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</si>
  <si>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</si>
  <si>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</si>
  <si>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</si>
  <si>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</si>
  <si>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</si>
  <si>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</si>
  <si>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</si>
  <si>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</si>
  <si>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</si>
  <si>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</si>
  <si>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</si>
  <si>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</si>
  <si>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</si>
  <si>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</si>
  <si>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</si>
  <si>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</si>
  <si>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</si>
  <si>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</si>
  <si>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</si>
  <si>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</si>
  <si>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</si>
  <si>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</si>
  <si>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</si>
  <si>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</si>
  <si>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</si>
  <si>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</si>
  <si>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</si>
  <si>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</si>
  <si>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</si>
  <si>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</si>
  <si>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</si>
  <si>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</si>
  <si>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</si>
  <si>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</si>
  <si>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</si>
  <si>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</si>
  <si>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</si>
  <si>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</si>
  <si>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</si>
  <si>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</si>
  <si>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</si>
  <si>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</si>
  <si>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</si>
  <si>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</si>
  <si>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</si>
  <si>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</si>
  <si>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</si>
  <si>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</si>
  <si>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</si>
  <si>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</si>
  <si>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</si>
  <si>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</si>
  <si>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</si>
  <si>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</si>
  <si>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</si>
  <si>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</si>
  <si>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</si>
  <si>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</si>
  <si>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</si>
  <si>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</si>
  <si>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</si>
  <si>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</si>
  <si>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</si>
  <si>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</si>
  <si>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</si>
  <si>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</si>
  <si>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</si>
  <si>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</si>
  <si>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</si>
  <si>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</si>
  <si>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</si>
  <si>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</si>
  <si>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</si>
  <si>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</si>
  <si>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</si>
  <si>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</si>
  <si>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</si>
  <si>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</si>
  <si>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</si>
  <si>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</si>
  <si>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</si>
  <si>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</si>
  <si>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</si>
  <si>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</si>
  <si>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</si>
  <si>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</si>
  <si>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</si>
  <si>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</si>
  <si>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</si>
  <si>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</si>
  <si>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</si>
  <si>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</si>
  <si>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</si>
  <si>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</si>
  <si>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</si>
  <si>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</si>
  <si>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</si>
  <si>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</si>
  <si>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</si>
  <si>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</si>
  <si>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</si>
  <si>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</si>
  <si>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</si>
  <si>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</si>
  <si>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</si>
  <si>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</si>
  <si>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</si>
  <si>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</si>
  <si>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</si>
  <si>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</si>
  <si>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</si>
  <si>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</si>
  <si>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</si>
  <si>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</si>
  <si>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</si>
  <si>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</si>
  <si>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</si>
  <si>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</si>
  <si>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</si>
  <si>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</si>
  <si>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</si>
  <si>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</si>
  <si>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</si>
  <si>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</si>
  <si>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</si>
  <si>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</si>
  <si>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</si>
  <si>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</si>
  <si>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</si>
  <si>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</si>
  <si>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</si>
  <si>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</si>
  <si>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</si>
  <si>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</si>
  <si>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</si>
  <si>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</si>
  <si>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</si>
  <si>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</si>
  <si>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</si>
  <si>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</si>
  <si>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</si>
  <si>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</si>
  <si>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</si>
  <si>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</si>
  <si>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</si>
  <si>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</si>
  <si>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</si>
  <si>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</si>
  <si>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</si>
  <si>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</si>
  <si>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</si>
  <si>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</si>
  <si>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</si>
  <si>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</si>
  <si>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</si>
  <si>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</si>
  <si>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</si>
  <si>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</si>
  <si>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</si>
  <si>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</si>
  <si>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</si>
  <si>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</si>
  <si>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</si>
  <si>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</si>
  <si>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</si>
  <si>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</si>
  <si>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</si>
  <si>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</si>
  <si>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</si>
  <si>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</si>
  <si>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</si>
  <si>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</si>
  <si>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</si>
  <si>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</si>
  <si>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</si>
  <si>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</si>
  <si>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</si>
  <si>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</si>
  <si>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</si>
  <si>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</si>
  <si>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</si>
  <si>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</si>
  <si>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</si>
  <si>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</si>
  <si>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</si>
  <si>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</si>
  <si>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</si>
  <si>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</si>
  <si>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</si>
  <si>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</si>
  <si>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</si>
  <si>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</si>
  <si>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</si>
  <si>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</si>
  <si>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</si>
  <si>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</si>
  <si>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</si>
  <si>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</si>
  <si>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</si>
  <si>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</si>
  <si>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</si>
  <si>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</si>
  <si>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</si>
  <si>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</si>
  <si>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</si>
  <si>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</si>
  <si>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</si>
  <si>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</si>
  <si>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</si>
  <si>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</si>
  <si>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</si>
  <si>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</si>
  <si>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</si>
  <si>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</si>
  <si>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</si>
  <si>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</si>
  <si>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</si>
  <si>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</si>
  <si>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</si>
  <si>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</si>
  <si>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</si>
  <si>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</si>
  <si>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</si>
  <si>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</si>
  <si>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</si>
  <si>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</si>
  <si>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</si>
  <si>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</si>
  <si>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</si>
  <si>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</si>
  <si>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</si>
  <si>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</si>
  <si>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</si>
  <si>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</si>
  <si>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</si>
  <si>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</si>
  <si>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</si>
  <si>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</si>
  <si>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</si>
  <si>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</si>
  <si>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</si>
  <si>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</si>
  <si>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</si>
  <si>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エンゲージリンク</t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</si>
  <si>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</si>
  <si>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</si>
  <si>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</si>
  <si>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</si>
  <si>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</si>
  <si>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</si>
  <si>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</si>
  <si>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</si>
  <si>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</si>
  <si>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</si>
  <si>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</si>
  <si>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</si>
  <si>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</si>
  <si>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</si>
  <si>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</si>
  <si>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</si>
  <si>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</si>
  <si>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</si>
  <si>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</si>
  <si>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</si>
  <si>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</si>
  <si>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</si>
  <si>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</si>
  <si>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</si>
  <si>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</si>
  <si>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</si>
  <si>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</si>
  <si>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</si>
  <si>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</si>
  <si>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</si>
  <si>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</si>
  <si>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星屑の航路+</t>
    <phoneticPr fontId="1"/>
  </si>
  <si>
    <t>聖女の守護</t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</si>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</sst>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1474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732</v>
      </c>
    </row>
    <row r="8" spans="1:14">
      <c r="F8" s="10" t="s">
        <v>19</v>
      </c>
      <c r="G8" s="10" t="s">
        <v>1863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1470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396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539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540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541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542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543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544</v>
      </c>
    </row>
    <row r="8" spans="1:7">
      <c r="C8">
        <v>8</v>
      </c>
      <c r="D8" t="s">
        <v>82</v>
      </c>
      <c r="F8">
        <v>7</v>
      </c>
      <c r="G8" t="s">
        <v>545</v>
      </c>
    </row>
    <row r="9" spans="1:7">
      <c r="C9">
        <v>9</v>
      </c>
      <c r="D9" t="s">
        <v>83</v>
      </c>
      <c r="F9">
        <v>8</v>
      </c>
      <c r="G9" t="s">
        <v>546</v>
      </c>
    </row>
    <row r="10" spans="1:7">
      <c r="C10">
        <v>10</v>
      </c>
      <c r="D10" t="s">
        <v>84</v>
      </c>
      <c r="F10">
        <v>9</v>
      </c>
      <c r="G10" t="s">
        <v>547</v>
      </c>
    </row>
    <row r="11" spans="1:7">
      <c r="C11">
        <v>11</v>
      </c>
      <c r="D11" t="s">
        <v>85</v>
      </c>
      <c r="F11">
        <v>10</v>
      </c>
      <c r="G11" t="s">
        <v>552</v>
      </c>
    </row>
    <row r="12" spans="1:7">
      <c r="C12">
        <v>12</v>
      </c>
      <c r="D12" t="s">
        <v>86</v>
      </c>
      <c r="F12">
        <v>11</v>
      </c>
      <c r="G12" t="s">
        <v>548</v>
      </c>
    </row>
    <row r="13" spans="1:7">
      <c r="C13">
        <v>13</v>
      </c>
      <c r="D13" t="s">
        <v>87</v>
      </c>
      <c r="F13">
        <v>12</v>
      </c>
      <c r="G13" t="s">
        <v>550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553</v>
      </c>
    </row>
    <row r="16" spans="1:7">
      <c r="C16">
        <v>16</v>
      </c>
      <c r="D16" t="s">
        <v>90</v>
      </c>
      <c r="F16">
        <v>15</v>
      </c>
      <c r="G16" t="s">
        <v>554</v>
      </c>
    </row>
    <row r="17" spans="3:7">
      <c r="C17">
        <v>17</v>
      </c>
      <c r="D17" t="s">
        <v>91</v>
      </c>
      <c r="F17">
        <v>16</v>
      </c>
      <c r="G17" t="s">
        <v>555</v>
      </c>
    </row>
    <row r="18" spans="3:7">
      <c r="C18">
        <v>18</v>
      </c>
      <c r="D18" t="s">
        <v>92</v>
      </c>
      <c r="F18">
        <v>17</v>
      </c>
      <c r="G18" t="s">
        <v>397</v>
      </c>
    </row>
    <row r="19" spans="3:7">
      <c r="C19">
        <v>19</v>
      </c>
      <c r="D19" t="s">
        <v>93</v>
      </c>
      <c r="F19">
        <v>18</v>
      </c>
      <c r="G19" t="s">
        <v>549</v>
      </c>
    </row>
    <row r="20" spans="3:7">
      <c r="C20">
        <v>20</v>
      </c>
      <c r="D20" t="s">
        <v>94</v>
      </c>
      <c r="F20">
        <v>19</v>
      </c>
      <c r="G20" t="s">
        <v>551</v>
      </c>
    </row>
    <row r="21" spans="3:7">
      <c r="C21">
        <v>21</v>
      </c>
      <c r="D21" t="s">
        <v>95</v>
      </c>
      <c r="F21">
        <v>20</v>
      </c>
      <c r="G21" t="s">
        <v>581</v>
      </c>
    </row>
    <row r="22" spans="3:7">
      <c r="C22">
        <v>22</v>
      </c>
      <c r="D22" t="s">
        <v>96</v>
      </c>
      <c r="F22">
        <v>21</v>
      </c>
      <c r="G22" t="s">
        <v>613</v>
      </c>
    </row>
    <row r="23" spans="3:7">
      <c r="C23">
        <v>23</v>
      </c>
      <c r="D23" t="s">
        <v>97</v>
      </c>
      <c r="F23">
        <v>22</v>
      </c>
      <c r="G23" t="s">
        <v>614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zoomScale="85" zoomScaleNormal="85" workbookViewId="0">
      <selection activeCell="B20" sqref="B20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1811</v>
      </c>
      <c r="G2" s="9" t="s">
        <v>1892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606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606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606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606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606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606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752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752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752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752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752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752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587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587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587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587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587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1893</v>
      </c>
      <c r="D30" s="11" t="s">
        <v>156</v>
      </c>
      <c r="E30" s="11" t="s">
        <v>587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757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757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757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757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757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757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878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878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878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878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878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878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535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535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535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535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535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535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879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879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879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829</v>
      </c>
      <c r="D58" s="11" t="s">
        <v>830</v>
      </c>
      <c r="E58" s="11" t="s">
        <v>879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2" zoomScale="85" zoomScaleNormal="85" workbookViewId="0">
      <selection activeCell="B48" sqref="B4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1811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606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606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606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606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606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606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752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752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752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752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752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752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587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587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587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587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587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587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757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757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757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757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757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757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878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878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878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878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878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878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535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535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535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535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535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535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879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879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879</v>
      </c>
      <c r="F57" s="15" t="s">
        <v>188</v>
      </c>
    </row>
    <row r="58" spans="1:8">
      <c r="A58" s="8"/>
      <c r="B58" s="14">
        <v>104</v>
      </c>
      <c r="C58" s="11" t="s">
        <v>829</v>
      </c>
      <c r="D58" s="11" t="s">
        <v>830</v>
      </c>
      <c r="E58" s="11" t="s">
        <v>879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557</v>
      </c>
      <c r="B2" s="13">
        <v>1</v>
      </c>
      <c r="C2" s="13">
        <v>1</v>
      </c>
      <c r="D2" s="13" t="s">
        <v>875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109" activePane="bottomLeft" state="frozen"/>
      <selection activeCell="C1" sqref="C1"/>
      <selection pane="bottomLeft" activeCell="A109" sqref="A109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720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718</v>
      </c>
      <c r="G4" s="9" t="s">
        <v>719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760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761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518</v>
      </c>
      <c r="E9" s="15">
        <v>310</v>
      </c>
      <c r="F9" s="11" t="s">
        <v>762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519</v>
      </c>
      <c r="E10" s="15">
        <v>310</v>
      </c>
      <c r="F10" s="11" t="s">
        <v>763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764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765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520</v>
      </c>
      <c r="E14" s="15">
        <v>320</v>
      </c>
      <c r="F14" s="11" t="s">
        <v>766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767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768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538</v>
      </c>
      <c r="E17" s="15">
        <v>380</v>
      </c>
      <c r="F17" s="11" t="s">
        <v>769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770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770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770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770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770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521</v>
      </c>
      <c r="E23" s="15">
        <v>340</v>
      </c>
      <c r="F23" s="11" t="s">
        <v>771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846</v>
      </c>
      <c r="E24" s="15">
        <v>340</v>
      </c>
      <c r="F24" s="11" t="s">
        <v>771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522</v>
      </c>
      <c r="E25" s="15">
        <v>340</v>
      </c>
      <c r="F25" s="11" t="s">
        <v>771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523</v>
      </c>
      <c r="E26" s="15">
        <v>340</v>
      </c>
      <c r="F26" s="11" t="s">
        <v>771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524</v>
      </c>
      <c r="E27" s="15">
        <v>340</v>
      </c>
      <c r="F27" s="11" t="s">
        <v>771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838</v>
      </c>
      <c r="E28" s="15">
        <v>390</v>
      </c>
      <c r="F28" s="11" t="s">
        <v>772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754</v>
      </c>
      <c r="E29" s="15">
        <v>390</v>
      </c>
      <c r="F29" s="11" t="s">
        <v>772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1171</v>
      </c>
      <c r="E30" s="15">
        <v>390</v>
      </c>
      <c r="F30" s="11" t="s">
        <v>772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1819</v>
      </c>
      <c r="E31" s="15">
        <v>390</v>
      </c>
      <c r="F31" s="11" t="s">
        <v>772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506</v>
      </c>
      <c r="E32" s="15">
        <v>340</v>
      </c>
      <c r="F32" s="11" t="s">
        <v>773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507</v>
      </c>
      <c r="E33" s="15">
        <v>340</v>
      </c>
      <c r="F33" s="11" t="s">
        <v>774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508</v>
      </c>
      <c r="E34" s="15">
        <v>340</v>
      </c>
      <c r="F34" s="11" t="s">
        <v>775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509</v>
      </c>
      <c r="E35" s="15">
        <v>340</v>
      </c>
      <c r="F35" s="11" t="s">
        <v>776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510</v>
      </c>
      <c r="E36" s="15">
        <v>340</v>
      </c>
      <c r="F36" s="11" t="s">
        <v>777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511</v>
      </c>
      <c r="E37" s="15">
        <v>340</v>
      </c>
      <c r="F37" s="11" t="s">
        <v>778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512</v>
      </c>
      <c r="E38" s="15">
        <v>340</v>
      </c>
      <c r="F38" s="11" t="s">
        <v>774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513</v>
      </c>
      <c r="E39" s="15">
        <v>340</v>
      </c>
      <c r="F39" s="11" t="s">
        <v>779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514</v>
      </c>
      <c r="E40" s="15">
        <v>340</v>
      </c>
      <c r="F40" s="11" t="s">
        <v>780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517</v>
      </c>
      <c r="E41" s="15">
        <v>340</v>
      </c>
      <c r="F41" s="11" t="s">
        <v>771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516</v>
      </c>
      <c r="E42" s="15">
        <v>340</v>
      </c>
      <c r="F42" s="11" t="s">
        <v>781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515</v>
      </c>
      <c r="E43" s="15">
        <v>340</v>
      </c>
      <c r="F43" s="11" t="s">
        <v>773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568</v>
      </c>
      <c r="E44" s="15">
        <v>350</v>
      </c>
      <c r="F44" s="11" t="s">
        <v>782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569</v>
      </c>
      <c r="E45" s="15">
        <v>350</v>
      </c>
      <c r="F45" s="11" t="s">
        <v>783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570</v>
      </c>
      <c r="E46" s="15">
        <v>350</v>
      </c>
      <c r="F46" s="11" t="s">
        <v>784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571</v>
      </c>
      <c r="E47" s="15">
        <v>350</v>
      </c>
      <c r="F47" s="11" t="s">
        <v>785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572</v>
      </c>
      <c r="E48" s="15">
        <v>350</v>
      </c>
      <c r="F48" s="11" t="s">
        <v>786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617</v>
      </c>
      <c r="E49" s="15">
        <v>350</v>
      </c>
      <c r="F49" s="11" t="s">
        <v>777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618</v>
      </c>
      <c r="E50" s="15">
        <v>350</v>
      </c>
      <c r="F50" s="11" t="s">
        <v>787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619</v>
      </c>
      <c r="E51" s="15">
        <v>350</v>
      </c>
      <c r="F51" s="11" t="s">
        <v>788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620</v>
      </c>
      <c r="E52" s="15">
        <v>350</v>
      </c>
      <c r="F52" s="11" t="s">
        <v>789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621</v>
      </c>
      <c r="E53" s="15">
        <v>350</v>
      </c>
      <c r="F53" s="11" t="s">
        <v>790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817</v>
      </c>
      <c r="E54" s="15">
        <v>360</v>
      </c>
      <c r="F54" s="11" t="s">
        <v>822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818</v>
      </c>
      <c r="E55" s="15">
        <v>360</v>
      </c>
      <c r="F55" s="11" t="s">
        <v>823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819</v>
      </c>
      <c r="E56" s="15">
        <v>360</v>
      </c>
      <c r="F56" s="11" t="s">
        <v>824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820</v>
      </c>
      <c r="E57" s="15">
        <v>360</v>
      </c>
      <c r="F57" s="11" t="s">
        <v>825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821</v>
      </c>
      <c r="E58" s="15">
        <v>360</v>
      </c>
      <c r="F58" s="11" t="s">
        <v>799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854</v>
      </c>
      <c r="E59" s="15">
        <v>360</v>
      </c>
      <c r="F59" s="11" t="s">
        <v>791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855</v>
      </c>
      <c r="E60" s="15">
        <v>360</v>
      </c>
      <c r="F60" s="11" t="s">
        <v>859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856</v>
      </c>
      <c r="E61" s="15">
        <v>360</v>
      </c>
      <c r="F61" s="11" t="s">
        <v>859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857</v>
      </c>
      <c r="E62" s="15">
        <v>360</v>
      </c>
      <c r="F62" s="11" t="s">
        <v>782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858</v>
      </c>
      <c r="E63" s="15">
        <v>360</v>
      </c>
      <c r="F63" s="11" t="s">
        <v>766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887</v>
      </c>
      <c r="E64" s="15">
        <v>370</v>
      </c>
      <c r="F64" s="11" t="s">
        <v>892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888</v>
      </c>
      <c r="E65" s="15">
        <v>370</v>
      </c>
      <c r="F65" s="11" t="s">
        <v>893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889</v>
      </c>
      <c r="E66" s="15">
        <v>370</v>
      </c>
      <c r="F66" s="11" t="s">
        <v>894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890</v>
      </c>
      <c r="E67" s="15">
        <v>370</v>
      </c>
      <c r="F67" s="11" t="s">
        <v>785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891</v>
      </c>
      <c r="E68" s="15">
        <v>370</v>
      </c>
      <c r="F68" s="11" t="s">
        <v>895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1820</v>
      </c>
      <c r="E69" s="15">
        <v>370</v>
      </c>
      <c r="F69" s="11" t="s">
        <v>813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1822</v>
      </c>
      <c r="E70" s="15">
        <v>370</v>
      </c>
      <c r="F70" s="11" t="s">
        <v>1826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1823</v>
      </c>
      <c r="E71" s="15">
        <v>370</v>
      </c>
      <c r="F71" s="11" t="s">
        <v>1827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1824</v>
      </c>
      <c r="E72" s="15">
        <v>370</v>
      </c>
      <c r="F72" s="11" t="s">
        <v>1828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1825</v>
      </c>
      <c r="E73" s="15">
        <v>370</v>
      </c>
      <c r="F73" s="11" t="s">
        <v>1829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1922</v>
      </c>
      <c r="E74" s="15">
        <v>380</v>
      </c>
      <c r="F74" s="11" t="s">
        <v>791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1923</v>
      </c>
      <c r="E75" s="15">
        <v>380</v>
      </c>
      <c r="F75" s="11" t="s">
        <v>1931</v>
      </c>
      <c r="G75" s="15">
        <v>25000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250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1924</v>
      </c>
      <c r="E76" s="15">
        <v>380</v>
      </c>
      <c r="F76" s="11" t="s">
        <v>799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1925</v>
      </c>
      <c r="E77" s="15">
        <v>380</v>
      </c>
      <c r="F77" s="11" t="s">
        <v>771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1926</v>
      </c>
      <c r="E78" s="15">
        <v>380</v>
      </c>
      <c r="F78" s="11" t="s">
        <v>1929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1927</v>
      </c>
      <c r="E79" s="15">
        <v>380</v>
      </c>
      <c r="F79" s="11" t="s">
        <v>1930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506</v>
      </c>
      <c r="E80" s="15">
        <v>380</v>
      </c>
      <c r="F80" s="11" t="s">
        <v>791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507</v>
      </c>
      <c r="E81" s="15">
        <v>380</v>
      </c>
      <c r="F81" s="11" t="s">
        <v>792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508</v>
      </c>
      <c r="E82" s="15">
        <v>380</v>
      </c>
      <c r="F82" s="11" t="s">
        <v>793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509</v>
      </c>
      <c r="E83" s="15">
        <v>380</v>
      </c>
      <c r="F83" s="11" t="s">
        <v>794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510</v>
      </c>
      <c r="E84" s="15">
        <v>380</v>
      </c>
      <c r="F84" s="11" t="s">
        <v>792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511</v>
      </c>
      <c r="E85" s="15">
        <v>380</v>
      </c>
      <c r="F85" s="11" t="s">
        <v>795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512</v>
      </c>
      <c r="E86" s="15">
        <v>380</v>
      </c>
      <c r="F86" s="11" t="s">
        <v>781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513</v>
      </c>
      <c r="E87" s="15">
        <v>380</v>
      </c>
      <c r="F87" s="11" t="s">
        <v>796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514</v>
      </c>
      <c r="E88" s="15">
        <v>380</v>
      </c>
      <c r="F88" s="11" t="s">
        <v>797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517</v>
      </c>
      <c r="E89" s="15">
        <v>380</v>
      </c>
      <c r="F89" s="11" t="s">
        <v>798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516</v>
      </c>
      <c r="E90" s="15">
        <v>380</v>
      </c>
      <c r="F90" s="11" t="s">
        <v>799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515</v>
      </c>
      <c r="E91" s="15">
        <v>380</v>
      </c>
      <c r="F91" s="11" t="s">
        <v>771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568</v>
      </c>
      <c r="E92" s="15">
        <v>390</v>
      </c>
      <c r="F92" s="11" t="s">
        <v>764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569</v>
      </c>
      <c r="E93" s="15">
        <v>390</v>
      </c>
      <c r="F93" s="11" t="s">
        <v>800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570</v>
      </c>
      <c r="E94" s="15">
        <v>390</v>
      </c>
      <c r="F94" s="11" t="s">
        <v>801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571</v>
      </c>
      <c r="E95" s="15">
        <v>390</v>
      </c>
      <c r="F95" s="11" t="s">
        <v>797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572</v>
      </c>
      <c r="E96" s="15">
        <v>390</v>
      </c>
      <c r="F96" s="11" t="s">
        <v>802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617</v>
      </c>
      <c r="E97" s="15">
        <v>390</v>
      </c>
      <c r="F97" s="11" t="s">
        <v>803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618</v>
      </c>
      <c r="E98" s="15">
        <v>390</v>
      </c>
      <c r="F98" s="11" t="s">
        <v>804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619</v>
      </c>
      <c r="E99" s="15">
        <v>390</v>
      </c>
      <c r="F99" s="11" t="s">
        <v>805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620</v>
      </c>
      <c r="E100" s="15">
        <v>390</v>
      </c>
      <c r="F100" s="11" t="s">
        <v>806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621</v>
      </c>
      <c r="E101" s="15">
        <v>390</v>
      </c>
      <c r="F101" s="11" t="s">
        <v>807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817</v>
      </c>
      <c r="E102" s="15">
        <v>400</v>
      </c>
      <c r="F102" s="11" t="s">
        <v>814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818</v>
      </c>
      <c r="E103" s="15">
        <v>400</v>
      </c>
      <c r="F103" s="11" t="s">
        <v>792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819</v>
      </c>
      <c r="E104" s="15">
        <v>400</v>
      </c>
      <c r="F104" s="11" t="s">
        <v>826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820</v>
      </c>
      <c r="E105" s="15">
        <v>400</v>
      </c>
      <c r="F105" s="11" t="s">
        <v>788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821</v>
      </c>
      <c r="E106" s="15">
        <v>400</v>
      </c>
      <c r="F106" s="11" t="s">
        <v>827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854</v>
      </c>
      <c r="E107" s="15">
        <v>400</v>
      </c>
      <c r="F107" s="11" t="s">
        <v>768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855</v>
      </c>
      <c r="E108" s="15">
        <v>400</v>
      </c>
      <c r="F108" s="11" t="s">
        <v>860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856</v>
      </c>
      <c r="E109" s="15">
        <v>400</v>
      </c>
      <c r="F109" s="11" t="s">
        <v>799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857</v>
      </c>
      <c r="E110" s="15">
        <v>400</v>
      </c>
      <c r="F110" s="11" t="s">
        <v>860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858</v>
      </c>
      <c r="E111" s="15">
        <v>400</v>
      </c>
      <c r="F111" s="11" t="s">
        <v>861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887</v>
      </c>
      <c r="E112" s="15">
        <v>410</v>
      </c>
      <c r="F112" s="11" t="s">
        <v>860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888</v>
      </c>
      <c r="E113" s="15">
        <v>410</v>
      </c>
      <c r="F113" s="11" t="s">
        <v>896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889</v>
      </c>
      <c r="E114" s="15">
        <v>410</v>
      </c>
      <c r="F114" s="11" t="s">
        <v>897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890</v>
      </c>
      <c r="E115" s="15">
        <v>410</v>
      </c>
      <c r="F115" s="11" t="s">
        <v>800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891</v>
      </c>
      <c r="E116" s="15">
        <v>410</v>
      </c>
      <c r="F116" s="11" t="s">
        <v>814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1821</v>
      </c>
      <c r="E117" s="15">
        <v>410</v>
      </c>
      <c r="F117" s="11" t="s">
        <v>806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1822</v>
      </c>
      <c r="E118" s="15">
        <v>410</v>
      </c>
      <c r="F118" s="11" t="s">
        <v>1830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1823</v>
      </c>
      <c r="E119" s="15">
        <v>410</v>
      </c>
      <c r="F119" s="11" t="s">
        <v>1831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1824</v>
      </c>
      <c r="E120" s="15">
        <v>410</v>
      </c>
      <c r="F120" s="11" t="s">
        <v>1832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1825</v>
      </c>
      <c r="E121" s="15">
        <v>410</v>
      </c>
      <c r="F121" s="11" t="s">
        <v>1833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1922</v>
      </c>
      <c r="E122" s="15">
        <v>420</v>
      </c>
      <c r="F122" s="11" t="s">
        <v>1928</v>
      </c>
      <c r="G122" s="15">
        <v>500000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250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1923</v>
      </c>
      <c r="E123" s="15">
        <v>420</v>
      </c>
      <c r="F123" s="11" t="s">
        <v>1932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1924</v>
      </c>
      <c r="E124" s="15">
        <v>420</v>
      </c>
      <c r="F124" s="11" t="s">
        <v>1933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1925</v>
      </c>
      <c r="E125" s="15">
        <v>420</v>
      </c>
      <c r="F125" s="11" t="s">
        <v>1934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1926</v>
      </c>
      <c r="E126" s="15">
        <v>420</v>
      </c>
      <c r="F126" s="11" t="s">
        <v>1935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1927</v>
      </c>
      <c r="E127" s="15">
        <v>420</v>
      </c>
      <c r="F127" s="11" t="s">
        <v>1935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558</v>
      </c>
      <c r="E128" s="15">
        <v>280</v>
      </c>
      <c r="F128" s="11" t="s">
        <v>774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559</v>
      </c>
      <c r="E129" s="15">
        <v>300</v>
      </c>
      <c r="F129" s="11" t="s">
        <v>808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560</v>
      </c>
      <c r="E130" s="15">
        <v>310</v>
      </c>
      <c r="F130" s="11" t="s">
        <v>809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561</v>
      </c>
      <c r="E131" s="15">
        <v>320</v>
      </c>
      <c r="F131" s="11" t="s">
        <v>780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562</v>
      </c>
      <c r="E132" s="15">
        <v>330</v>
      </c>
      <c r="F132" s="11" t="s">
        <v>809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563</v>
      </c>
      <c r="E133" s="15">
        <v>340</v>
      </c>
      <c r="F133" s="11" t="s">
        <v>809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564</v>
      </c>
      <c r="E134" s="15">
        <v>345</v>
      </c>
      <c r="F134" s="11" t="s">
        <v>809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565</v>
      </c>
      <c r="E135" s="15">
        <v>350</v>
      </c>
      <c r="F135" s="11" t="s">
        <v>782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566</v>
      </c>
      <c r="E136" s="15">
        <v>360</v>
      </c>
      <c r="F136" s="11" t="s">
        <v>760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567</v>
      </c>
      <c r="E137" s="15">
        <v>360</v>
      </c>
      <c r="F137" s="11" t="s">
        <v>761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1633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1634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1748</v>
      </c>
      <c r="E140" s="15">
        <v>430</v>
      </c>
      <c r="F140" s="11" t="s">
        <v>1633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1747</v>
      </c>
      <c r="E141" s="15">
        <v>340</v>
      </c>
      <c r="F141" s="11" t="s">
        <v>1750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1827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1887</v>
      </c>
      <c r="E143" s="15">
        <v>340</v>
      </c>
      <c r="F143" s="11" t="s">
        <v>1633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1937</v>
      </c>
      <c r="E144" s="15">
        <v>340</v>
      </c>
      <c r="F144" s="11" t="s">
        <v>1938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583</v>
      </c>
      <c r="E145" s="15">
        <v>400</v>
      </c>
      <c r="F145" s="11" t="s">
        <v>810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584</v>
      </c>
      <c r="E146" s="15">
        <v>380</v>
      </c>
      <c r="F146" s="11" t="s">
        <v>811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585</v>
      </c>
      <c r="E147" s="15">
        <v>360</v>
      </c>
      <c r="F147" s="11" t="s">
        <v>812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586</v>
      </c>
      <c r="E148" s="15">
        <v>340</v>
      </c>
      <c r="F148" s="11" t="s">
        <v>813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884</v>
      </c>
      <c r="E149" s="15">
        <v>355</v>
      </c>
      <c r="F149" s="11" t="s">
        <v>901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886</v>
      </c>
      <c r="E150" s="15">
        <v>355</v>
      </c>
      <c r="F150" s="11" t="s">
        <v>900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883</v>
      </c>
      <c r="E151" s="15">
        <v>370</v>
      </c>
      <c r="F151" s="11" t="s">
        <v>899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885</v>
      </c>
      <c r="E152" s="15">
        <v>370</v>
      </c>
      <c r="F152" s="11" t="s">
        <v>898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722</v>
      </c>
      <c r="E153" s="15">
        <v>330</v>
      </c>
      <c r="F153" s="11" t="s">
        <v>814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721</v>
      </c>
      <c r="E154" s="15">
        <v>340</v>
      </c>
      <c r="F154" s="11" t="s">
        <v>791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1920</v>
      </c>
      <c r="E155" s="15">
        <v>355</v>
      </c>
      <c r="F155" s="11" t="s">
        <v>1936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1921</v>
      </c>
      <c r="E156" s="15">
        <v>370</v>
      </c>
      <c r="F156" s="11" t="s">
        <v>798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847</v>
      </c>
      <c r="E157" s="15">
        <v>290</v>
      </c>
      <c r="F157" s="11" t="s">
        <v>836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848</v>
      </c>
      <c r="E158" s="15">
        <v>360</v>
      </c>
      <c r="F158" s="11" t="s">
        <v>837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1666</v>
      </c>
      <c r="E159" s="15">
        <v>400</v>
      </c>
      <c r="F159" s="11" t="s">
        <v>1667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876</v>
      </c>
      <c r="E160" s="15">
        <v>360</v>
      </c>
      <c r="F160" s="11" t="s">
        <v>877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876</v>
      </c>
      <c r="E161" s="15">
        <v>360</v>
      </c>
      <c r="F161" s="11" t="s">
        <v>877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876</v>
      </c>
      <c r="E162" s="15">
        <v>360</v>
      </c>
      <c r="F162" s="11" t="s">
        <v>877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876</v>
      </c>
      <c r="E163" s="15">
        <v>360</v>
      </c>
      <c r="F163" s="11" t="s">
        <v>877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876</v>
      </c>
      <c r="E164" s="15">
        <v>360</v>
      </c>
      <c r="F164" s="11" t="s">
        <v>877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876</v>
      </c>
      <c r="E165" s="15">
        <v>360</v>
      </c>
      <c r="F165" s="11" t="s">
        <v>877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876</v>
      </c>
      <c r="E166" s="15">
        <v>360</v>
      </c>
      <c r="F166" s="11" t="s">
        <v>877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876</v>
      </c>
      <c r="E167" s="15">
        <v>360</v>
      </c>
      <c r="F167" s="11" t="s">
        <v>877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876</v>
      </c>
      <c r="E168" s="15">
        <v>360</v>
      </c>
      <c r="F168" s="11" t="s">
        <v>877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876</v>
      </c>
      <c r="E169" s="15">
        <v>360</v>
      </c>
      <c r="F169" s="11" t="s">
        <v>877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21 A122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2"/>
  <sheetViews>
    <sheetView zoomScale="85" zoomScaleNormal="85" workbookViewId="0">
      <pane ySplit="6" topLeftCell="A190" activePane="bottomLeft" state="frozen"/>
      <selection pane="bottomLeft" activeCell="B183" sqref="B183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1473</v>
      </c>
      <c r="B2" s="9" t="s">
        <v>1471</v>
      </c>
      <c r="C2" s="9" t="s">
        <v>1472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1681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1406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1638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1352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1639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1637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1467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1402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1639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1637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1447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1376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1639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1637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1403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1639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1637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1448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1430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1639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1637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1638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1640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1431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1684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1639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1637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1461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1685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1639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1637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1458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1639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1637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1449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595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1639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1637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1683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1639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1637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1450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1639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1637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1440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1356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1639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1637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1451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1639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1637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1388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1638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1639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1637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603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1639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1637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1452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1432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1639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1637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1441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1639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1637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1639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1637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1438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1639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1637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1453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1639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1637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1639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1637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1638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1391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1639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1637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1459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1639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1637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1454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1400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1639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1637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531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1639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1637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1455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1639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1637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1639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1637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1638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1456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1639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1637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1462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1639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1637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1639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1637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1686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1639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1637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1463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1422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1639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1637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1464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1367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1639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1637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1639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1637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1443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1639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1637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1638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1639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1637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1638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1444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1639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1637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1468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1639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1637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1639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1637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1465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1639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1637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1639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1637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1457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1639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1637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1469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1639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1637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1639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1637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1466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1687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1639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1637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1445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1639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1637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1688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1639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1637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1460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1639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533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1390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1413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1405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1381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1689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1355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1396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1370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1386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1641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1392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724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1419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1415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1382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1384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594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599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1640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525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725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1409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1412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1685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1389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534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1359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1434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1353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1407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1393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1387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598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1643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1404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1424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1362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1358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1640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1377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1644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1360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1435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726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1425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526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593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1379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1380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1348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1695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1378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527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1368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528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1696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727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1429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1374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1682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1639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1436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300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1682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1639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1446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1363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1682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1639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1428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1697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835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295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1423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1698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306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1421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1699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596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1366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287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292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1442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600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1700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1410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1397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319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1349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1418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315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1856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1647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590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1640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1373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1399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728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1701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1357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1433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1702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1703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1417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597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1408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1354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1704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299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298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1394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1372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317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529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324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1645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1705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1706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1369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723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1385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1371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530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288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1361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1398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289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591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1426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290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556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1650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1416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1707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1640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601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729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573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730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1708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574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582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580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602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589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1420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731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1401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612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611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609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616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615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610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1395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1709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872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753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1411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1439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871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1710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1711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866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867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1383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1712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1714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1427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1745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1364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1365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868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1682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1639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1437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834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1375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845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1715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869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1680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850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870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849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1414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864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865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1350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882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881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1649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902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1632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1169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1170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1648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1718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1630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1642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1631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1719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1815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1816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1834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1835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1817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1818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1836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1877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1878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1875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1876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1879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486</v>
      </c>
      <c r="C492" s="15" t="s">
        <v>1944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1916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1918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1919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1943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1917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1001</v>
      </c>
      <c r="C498" s="15" t="s">
        <v>1636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>
      <c r="A499" s="8"/>
      <c r="B499" s="15">
        <v>1002</v>
      </c>
      <c r="C499" s="15" t="s">
        <v>1674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>
      <c r="A500" s="8"/>
      <c r="B500" s="15">
        <v>1003</v>
      </c>
      <c r="C500" s="15" t="s">
        <v>1669</v>
      </c>
      <c r="D500" s="15">
        <v>0</v>
      </c>
      <c r="E500" s="15">
        <v>0</v>
      </c>
      <c r="F500" s="15">
        <v>5</v>
      </c>
      <c r="G500" s="15">
        <v>0</v>
      </c>
      <c r="H500" s="15">
        <v>1</v>
      </c>
      <c r="I500" s="15">
        <v>1003</v>
      </c>
    </row>
    <row r="501" spans="1:9">
      <c r="A501" s="8"/>
      <c r="B501" s="15">
        <v>1004</v>
      </c>
      <c r="C501" s="15" t="s">
        <v>1672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>
      <c r="A502" s="8"/>
      <c r="B502" s="15">
        <v>1005</v>
      </c>
      <c r="C502" s="15" t="s">
        <v>592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>
      <c r="A503" s="8"/>
      <c r="B503" s="15">
        <v>1006</v>
      </c>
      <c r="C503" s="15" t="s">
        <v>532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>
      <c r="A504" s="8"/>
      <c r="B504" s="15">
        <v>1007</v>
      </c>
      <c r="C504" s="15" t="s">
        <v>1670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>
      <c r="A505" s="8"/>
      <c r="B505" s="15">
        <v>1008</v>
      </c>
      <c r="C505" s="15" t="s">
        <v>1673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>
      <c r="A506" s="8"/>
      <c r="B506" s="15">
        <v>1009</v>
      </c>
      <c r="C506" s="15" t="s">
        <v>588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>
      <c r="A507" s="8"/>
      <c r="B507" s="15">
        <v>1010</v>
      </c>
      <c r="C507" s="15" t="s">
        <v>1671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>
      <c r="A508" s="8"/>
      <c r="B508" s="15">
        <v>1011</v>
      </c>
      <c r="C508" s="15" t="s">
        <v>1675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>
      <c r="A509" s="8"/>
      <c r="B509" s="15">
        <v>1012</v>
      </c>
      <c r="C509" s="15" t="s">
        <v>1677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>
      <c r="A510" s="8"/>
      <c r="B510" s="15">
        <v>1013</v>
      </c>
      <c r="C510" s="15" t="s">
        <v>1676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>
      <c r="A511" s="8"/>
      <c r="B511" s="15">
        <v>1014</v>
      </c>
      <c r="C511" s="15" t="s">
        <v>1678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>
      <c r="A512" s="8"/>
      <c r="B512" s="15">
        <v>1015</v>
      </c>
      <c r="C512" s="15" t="s">
        <v>1679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29" sqref="D29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1471</v>
      </c>
      <c r="D1" s="9" t="s">
        <v>1746</v>
      </c>
      <c r="E1" s="9" t="s">
        <v>1652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1347</v>
      </c>
      <c r="Q1" s="9" t="s">
        <v>1351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736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8"/>
  <sheetViews>
    <sheetView zoomScale="85" zoomScaleNormal="85" workbookViewId="0">
      <pane ySplit="6" topLeftCell="A238" activePane="bottomLeft" state="frozen"/>
      <selection pane="bottomLeft" activeCell="D305" sqref="D30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1471</v>
      </c>
      <c r="D2" s="9" t="s">
        <v>1746</v>
      </c>
      <c r="E2" s="9" t="s">
        <v>1652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1347</v>
      </c>
      <c r="Q2" s="9" t="s">
        <v>1351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736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736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736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1720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736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736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736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736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736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736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736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736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736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736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736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736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736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736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736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736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736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1653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736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736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736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736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736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736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1655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736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736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736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736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736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736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736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736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736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736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736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736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736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736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736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736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736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736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1655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736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736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1655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736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736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736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1654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736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736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736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736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736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736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736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736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736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1653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736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736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1656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736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736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736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1656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736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736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736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1656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736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736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1655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736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736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736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736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736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1657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736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736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736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736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736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1658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736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736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736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1656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736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736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1655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736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736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736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736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1657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736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736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1656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736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736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1658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736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736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736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736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736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1653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736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736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736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736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736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1653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736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736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736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736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736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736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736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1659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736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736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1659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736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736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736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736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736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736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1660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736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736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1661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736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1662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736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1664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736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1663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736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1665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736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736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1654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736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736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736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736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552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</row>
    <row r="141" spans="1:20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30</v>
      </c>
      <c r="O141" s="15">
        <v>0</v>
      </c>
      <c r="P141" s="14">
        <v>2</v>
      </c>
      <c r="Q141" s="11"/>
      <c r="R141" s="15"/>
      <c r="S141" s="15"/>
      <c r="T141" s="15"/>
    </row>
    <row r="142" spans="1:20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736</v>
      </c>
      <c r="R142" s="15"/>
      <c r="S142" s="15"/>
      <c r="T142" s="15"/>
    </row>
    <row r="143" spans="1:20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736</v>
      </c>
      <c r="R143" s="15"/>
      <c r="S143" s="15"/>
      <c r="T143" s="15"/>
    </row>
    <row r="144" spans="1:20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736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736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736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736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736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736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736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736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736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736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736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736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736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736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736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736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736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736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736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736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736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736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736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736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736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736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736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736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736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736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736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736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736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736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736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736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736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736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736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736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736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736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736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736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736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736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736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736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736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736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736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736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736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736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1656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736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736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736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736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736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736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736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736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736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736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736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736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736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736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736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736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736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736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736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736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736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736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736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736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736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736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736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736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736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736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736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736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736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736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736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736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736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736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736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736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736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736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736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736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736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736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736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736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736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736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736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736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736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736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736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736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736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736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736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736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736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736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736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736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736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736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736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736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736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736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736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736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736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736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736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736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736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736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736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736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736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736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736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736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736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736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736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736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736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736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736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736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736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736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736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736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736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736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736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736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736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736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736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T308" xr:uid="{03D05E3A-2E9E-4B06-A301-68A36CCCDE6A}"/>
  <phoneticPr fontId="1"/>
  <dataValidations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85"/>
  <sheetViews>
    <sheetView zoomScale="85" zoomScaleNormal="85" workbookViewId="0">
      <pane ySplit="6" topLeftCell="A148" activePane="bottomLeft" state="frozen"/>
      <selection pane="bottomLeft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1471</v>
      </c>
      <c r="D2" s="9" t="s">
        <v>59</v>
      </c>
      <c r="E2" s="9" t="s">
        <v>60</v>
      </c>
      <c r="F2" s="9" t="s">
        <v>1858</v>
      </c>
      <c r="G2" s="9" t="s">
        <v>1652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1347</v>
      </c>
      <c r="M2" s="9" t="s">
        <v>1859</v>
      </c>
      <c r="N2" s="9" t="s">
        <v>1178</v>
      </c>
      <c r="O2" s="9" t="s">
        <v>40</v>
      </c>
      <c r="P2" s="9" t="s">
        <v>419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>
        <v>1</v>
      </c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1720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1720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1721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1720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1840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1842</v>
      </c>
      <c r="H118" s="15">
        <v>5</v>
      </c>
      <c r="I118" s="15">
        <v>5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1841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552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1950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>
        <v>1</v>
      </c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1000</v>
      </c>
      <c r="C146" s="15">
        <v>1005</v>
      </c>
      <c r="D146" s="15">
        <v>0</v>
      </c>
      <c r="E146" s="15">
        <v>0</v>
      </c>
      <c r="F146" s="14" t="str">
        <f>VLOOKUP(C146,skill_list!B:C,2)</f>
        <v>アタックライズ</v>
      </c>
      <c r="G146" s="11"/>
      <c r="H146" s="15">
        <v>50</v>
      </c>
      <c r="I146" s="15">
        <v>65</v>
      </c>
      <c r="J146" s="15">
        <v>450</v>
      </c>
      <c r="K146" s="15">
        <v>1</v>
      </c>
      <c r="L146" s="15">
        <v>7</v>
      </c>
      <c r="M146" s="15">
        <v>0</v>
      </c>
      <c r="N146" s="15">
        <v>1</v>
      </c>
      <c r="O146" s="15">
        <v>0</v>
      </c>
      <c r="P146" s="15"/>
    </row>
    <row r="147" spans="1:16">
      <c r="A147" s="8"/>
      <c r="B147" s="15">
        <v>1001</v>
      </c>
      <c r="C147" s="15">
        <v>21</v>
      </c>
      <c r="D147" s="15">
        <v>0</v>
      </c>
      <c r="E147" s="15">
        <v>0</v>
      </c>
      <c r="F147" s="14" t="str">
        <f>VLOOKUP(C147,skill_list!B:C,2)</f>
        <v>エンハンス</v>
      </c>
      <c r="G147" s="11"/>
      <c r="H147" s="15">
        <v>50</v>
      </c>
      <c r="I147" s="15">
        <v>65</v>
      </c>
      <c r="J147" s="15">
        <v>208</v>
      </c>
      <c r="K147" s="15">
        <v>10</v>
      </c>
      <c r="L147" s="15">
        <v>4</v>
      </c>
      <c r="M147" s="15">
        <v>0</v>
      </c>
      <c r="N147" s="15">
        <v>1</v>
      </c>
      <c r="O147" s="15">
        <v>0</v>
      </c>
      <c r="P147" s="15"/>
    </row>
    <row r="148" spans="1:16">
      <c r="A148" s="8"/>
      <c r="B148" s="15">
        <v>1002</v>
      </c>
      <c r="C148" s="15">
        <v>48</v>
      </c>
      <c r="D148" s="15">
        <v>0</v>
      </c>
      <c r="E148" s="15">
        <v>0</v>
      </c>
      <c r="F148" s="14" t="str">
        <f>VLOOKUP(C148,skill_list!B:C,2)</f>
        <v>エンハンス</v>
      </c>
      <c r="G148" s="11"/>
      <c r="H148" s="15">
        <v>50</v>
      </c>
      <c r="I148" s="15">
        <v>65</v>
      </c>
      <c r="J148" s="15">
        <v>208</v>
      </c>
      <c r="K148" s="15">
        <v>10</v>
      </c>
      <c r="L148" s="15">
        <v>4</v>
      </c>
      <c r="M148" s="15">
        <v>0</v>
      </c>
      <c r="N148" s="15">
        <v>1</v>
      </c>
      <c r="O148" s="15">
        <v>0</v>
      </c>
      <c r="P148" s="15"/>
    </row>
    <row r="149" spans="1:16">
      <c r="A149" s="8"/>
      <c r="B149" s="15">
        <v>1003</v>
      </c>
      <c r="C149" s="15">
        <v>84</v>
      </c>
      <c r="D149" s="15">
        <v>0</v>
      </c>
      <c r="E149" s="15">
        <v>0</v>
      </c>
      <c r="F149" s="14" t="str">
        <f>VLOOKUP(C149,skill_list!B:C,2)</f>
        <v>エンハンス</v>
      </c>
      <c r="G149" s="11"/>
      <c r="H149" s="15">
        <v>50</v>
      </c>
      <c r="I149" s="15">
        <v>65</v>
      </c>
      <c r="J149" s="15">
        <v>208</v>
      </c>
      <c r="K149" s="15">
        <v>10</v>
      </c>
      <c r="L149" s="15">
        <v>4</v>
      </c>
      <c r="M149" s="15">
        <v>0</v>
      </c>
      <c r="N149" s="15">
        <v>1</v>
      </c>
      <c r="O149" s="15">
        <v>0</v>
      </c>
      <c r="P149" s="15"/>
    </row>
    <row r="150" spans="1:16">
      <c r="A150" s="8"/>
      <c r="B150" s="15">
        <v>1004</v>
      </c>
      <c r="C150" s="15">
        <v>112</v>
      </c>
      <c r="D150" s="15">
        <v>0</v>
      </c>
      <c r="E150" s="15">
        <v>0</v>
      </c>
      <c r="F150" s="14" t="str">
        <f>VLOOKUP(C150,skill_list!B:C,2)</f>
        <v>エンハンス</v>
      </c>
      <c r="G150" s="11"/>
      <c r="H150" s="15">
        <v>50</v>
      </c>
      <c r="I150" s="15">
        <v>65</v>
      </c>
      <c r="J150" s="15">
        <v>208</v>
      </c>
      <c r="K150" s="15">
        <v>10</v>
      </c>
      <c r="L150" s="15">
        <v>4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1005</v>
      </c>
      <c r="C151" s="15">
        <v>140</v>
      </c>
      <c r="D151" s="15">
        <v>0</v>
      </c>
      <c r="E151" s="15">
        <v>0</v>
      </c>
      <c r="F151" s="14" t="str">
        <f>VLOOKUP(C151,skill_list!B:C,2)</f>
        <v>エンハンス</v>
      </c>
      <c r="G151" s="11"/>
      <c r="H151" s="15">
        <v>50</v>
      </c>
      <c r="I151" s="15">
        <v>65</v>
      </c>
      <c r="J151" s="15">
        <v>208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1006</v>
      </c>
      <c r="C152" s="15">
        <v>156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1007</v>
      </c>
      <c r="C153" s="15">
        <v>172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1008</v>
      </c>
      <c r="C154" s="15">
        <v>88</v>
      </c>
      <c r="D154" s="15">
        <v>0</v>
      </c>
      <c r="E154" s="15">
        <v>0</v>
      </c>
      <c r="F154" s="14" t="str">
        <f>VLOOKUP(C154,skill_list!B:C,2)</f>
        <v>導きの号令</v>
      </c>
      <c r="G154" s="11"/>
      <c r="H154" s="15">
        <v>50</v>
      </c>
      <c r="I154" s="15">
        <v>65</v>
      </c>
      <c r="J154" s="15">
        <v>224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1009</v>
      </c>
      <c r="C155" s="15">
        <v>221</v>
      </c>
      <c r="D155" s="15">
        <v>0</v>
      </c>
      <c r="E155" s="15">
        <v>0</v>
      </c>
      <c r="F155" s="14" t="str">
        <f>VLOOKUP(C155,skill_list!B:C,2)</f>
        <v>クールダウン</v>
      </c>
      <c r="G155" s="11"/>
      <c r="H155" s="15">
        <v>75</v>
      </c>
      <c r="I155" s="15">
        <v>90</v>
      </c>
      <c r="J155" s="15">
        <v>200</v>
      </c>
      <c r="K155" s="15">
        <v>10</v>
      </c>
      <c r="L155" s="15">
        <v>7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1010</v>
      </c>
      <c r="C156" s="15">
        <v>240</v>
      </c>
      <c r="D156" s="15">
        <v>0</v>
      </c>
      <c r="E156" s="15">
        <v>0</v>
      </c>
      <c r="F156" s="14" t="str">
        <f>VLOOKUP(C156,skill_list!B:C,2)</f>
        <v>クールダウン</v>
      </c>
      <c r="G156" s="11"/>
      <c r="H156" s="15">
        <v>75</v>
      </c>
      <c r="I156" s="15">
        <v>90</v>
      </c>
      <c r="J156" s="15">
        <v>200</v>
      </c>
      <c r="K156" s="15">
        <v>10</v>
      </c>
      <c r="L156" s="15">
        <v>7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1011</v>
      </c>
      <c r="C157" s="15">
        <v>284</v>
      </c>
      <c r="D157" s="15">
        <v>0</v>
      </c>
      <c r="E157" s="15">
        <v>0</v>
      </c>
      <c r="F157" s="14" t="str">
        <f>VLOOKUP(C157,skill_list!B:C,2)</f>
        <v>クールダウン</v>
      </c>
      <c r="G157" s="11"/>
      <c r="H157" s="15">
        <v>75</v>
      </c>
      <c r="I157" s="15">
        <v>90</v>
      </c>
      <c r="J157" s="15">
        <v>200</v>
      </c>
      <c r="K157" s="15">
        <v>10</v>
      </c>
      <c r="L157" s="15">
        <v>7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1012</v>
      </c>
      <c r="C158" s="15">
        <v>336</v>
      </c>
      <c r="D158" s="15">
        <v>0</v>
      </c>
      <c r="E158" s="15">
        <v>0</v>
      </c>
      <c r="F158" s="14" t="str">
        <f>VLOOKUP(C158,skill_list!B:C,2)</f>
        <v>クールダウン</v>
      </c>
      <c r="G158" s="11"/>
      <c r="H158" s="15">
        <v>75</v>
      </c>
      <c r="I158" s="15">
        <v>90</v>
      </c>
      <c r="J158" s="15">
        <v>200</v>
      </c>
      <c r="K158" s="15">
        <v>10</v>
      </c>
      <c r="L158" s="15">
        <v>7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1013</v>
      </c>
      <c r="C159" s="15">
        <v>49</v>
      </c>
      <c r="D159" s="15">
        <v>0</v>
      </c>
      <c r="E159" s="15">
        <v>0</v>
      </c>
      <c r="F159" s="14" t="str">
        <f>VLOOKUP(C159,skill_list!B:C,2)</f>
        <v>ドーピング</v>
      </c>
      <c r="G159" s="11"/>
      <c r="H159" s="15">
        <v>75</v>
      </c>
      <c r="I159" s="15">
        <v>90</v>
      </c>
      <c r="J159" s="15">
        <v>216</v>
      </c>
      <c r="K159" s="15">
        <v>10</v>
      </c>
      <c r="L159" s="15">
        <v>4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1014</v>
      </c>
      <c r="C160" s="15">
        <v>299</v>
      </c>
      <c r="D160" s="15">
        <v>0</v>
      </c>
      <c r="E160" s="15">
        <v>0</v>
      </c>
      <c r="F160" s="14" t="str">
        <f>VLOOKUP(C160,skill_list!B:C,2)</f>
        <v>臥龍天命</v>
      </c>
      <c r="G160" s="11"/>
      <c r="H160" s="15">
        <v>75</v>
      </c>
      <c r="I160" s="15">
        <v>90</v>
      </c>
      <c r="J160" s="15">
        <v>216</v>
      </c>
      <c r="K160" s="15">
        <v>10</v>
      </c>
      <c r="L160" s="15">
        <v>4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1015</v>
      </c>
      <c r="C161" s="15">
        <v>322</v>
      </c>
      <c r="D161" s="15">
        <v>0</v>
      </c>
      <c r="E161" s="15">
        <v>0</v>
      </c>
      <c r="F161" s="14" t="str">
        <f>VLOOKUP(C161,skill_list!B:C,2)</f>
        <v>決戦前夜</v>
      </c>
      <c r="G161" s="11"/>
      <c r="H161" s="15">
        <v>75</v>
      </c>
      <c r="I161" s="15">
        <v>90</v>
      </c>
      <c r="J161" s="15">
        <v>216</v>
      </c>
      <c r="K161" s="15">
        <v>10</v>
      </c>
      <c r="L161" s="15">
        <v>5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1016</v>
      </c>
      <c r="C162" s="15">
        <v>188</v>
      </c>
      <c r="D162" s="15">
        <v>0</v>
      </c>
      <c r="E162" s="15">
        <v>0</v>
      </c>
      <c r="F162" s="14" t="str">
        <f>VLOOKUP(C162,skill_list!B:C,2)</f>
        <v>フィルエンハンス</v>
      </c>
      <c r="G162" s="11"/>
      <c r="H162" s="15">
        <v>50</v>
      </c>
      <c r="I162" s="15">
        <v>65</v>
      </c>
      <c r="J162" s="15">
        <v>232</v>
      </c>
      <c r="K162" s="15">
        <v>10</v>
      </c>
      <c r="L162" s="15">
        <v>6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1017</v>
      </c>
      <c r="C163" s="15">
        <v>268</v>
      </c>
      <c r="D163" s="15">
        <v>0</v>
      </c>
      <c r="E163" s="15">
        <v>0</v>
      </c>
      <c r="F163" s="14" t="str">
        <f>VLOOKUP(C163,skill_list!B:C,2)</f>
        <v>フィルエンハンス</v>
      </c>
      <c r="G163" s="11"/>
      <c r="H163" s="15">
        <v>50</v>
      </c>
      <c r="I163" s="15">
        <v>65</v>
      </c>
      <c r="J163" s="15">
        <v>232</v>
      </c>
      <c r="K163" s="15">
        <v>10</v>
      </c>
      <c r="L163" s="15">
        <v>6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1018</v>
      </c>
      <c r="C164" s="15">
        <v>273</v>
      </c>
      <c r="D164" s="15">
        <v>0</v>
      </c>
      <c r="E164" s="15">
        <v>0</v>
      </c>
      <c r="F164" s="14" t="str">
        <f>VLOOKUP(C164,skill_list!B:C,2)</f>
        <v>フィルエンハンス</v>
      </c>
      <c r="G164" s="11"/>
      <c r="H164" s="15">
        <v>50</v>
      </c>
      <c r="I164" s="15">
        <v>65</v>
      </c>
      <c r="J164" s="15">
        <v>232</v>
      </c>
      <c r="K164" s="15">
        <v>10</v>
      </c>
      <c r="L164" s="15">
        <v>6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1019</v>
      </c>
      <c r="C165" s="15">
        <v>295</v>
      </c>
      <c r="D165" s="15">
        <v>0</v>
      </c>
      <c r="E165" s="15">
        <v>0</v>
      </c>
      <c r="F165" s="14" t="str">
        <f>VLOOKUP(C165,skill_list!B:C,2)</f>
        <v>フィルエンハンス</v>
      </c>
      <c r="G165" s="11"/>
      <c r="H165" s="15">
        <v>50</v>
      </c>
      <c r="I165" s="15">
        <v>65</v>
      </c>
      <c r="J165" s="15">
        <v>232</v>
      </c>
      <c r="K165" s="15">
        <v>10</v>
      </c>
      <c r="L165" s="15">
        <v>6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1020</v>
      </c>
      <c r="C166" s="15">
        <v>62</v>
      </c>
      <c r="D166" s="15">
        <v>0</v>
      </c>
      <c r="E166" s="15">
        <v>0</v>
      </c>
      <c r="F166" s="14" t="str">
        <f>VLOOKUP(C166,skill_list!B:C,2)</f>
        <v>キリングエッジ</v>
      </c>
      <c r="G166" s="11"/>
      <c r="H166" s="15">
        <v>35</v>
      </c>
      <c r="I166" s="15">
        <v>50</v>
      </c>
      <c r="J166" s="15">
        <v>129</v>
      </c>
      <c r="K166" s="15">
        <v>1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1021</v>
      </c>
      <c r="C167" s="15">
        <v>109</v>
      </c>
      <c r="D167" s="15">
        <v>0</v>
      </c>
      <c r="E167" s="15">
        <v>0</v>
      </c>
      <c r="F167" s="14" t="str">
        <f>VLOOKUP(C167,skill_list!B:C,2)</f>
        <v>ハネ殺し</v>
      </c>
      <c r="G167" s="11"/>
      <c r="H167" s="15">
        <v>35</v>
      </c>
      <c r="I167" s="15">
        <v>50</v>
      </c>
      <c r="J167" s="15">
        <v>120</v>
      </c>
      <c r="K167" s="15">
        <v>1</v>
      </c>
      <c r="L167" s="15">
        <v>7</v>
      </c>
      <c r="M167" s="15">
        <v>0</v>
      </c>
      <c r="N167" s="15">
        <v>1</v>
      </c>
      <c r="O167" s="15">
        <v>999</v>
      </c>
      <c r="P167" s="15"/>
    </row>
    <row r="168" spans="1:16">
      <c r="A168" s="8"/>
      <c r="B168" s="15">
        <v>1022</v>
      </c>
      <c r="C168" s="15">
        <v>288</v>
      </c>
      <c r="D168" s="15">
        <v>0</v>
      </c>
      <c r="E168" s="15">
        <v>0</v>
      </c>
      <c r="F168" s="14" t="str">
        <f>VLOOKUP(C168,skill_list!B:C,2)</f>
        <v>デディケイトギフト</v>
      </c>
      <c r="G168" s="11"/>
      <c r="H168" s="15">
        <v>75</v>
      </c>
      <c r="I168" s="15">
        <v>90</v>
      </c>
      <c r="J168" s="15">
        <v>200</v>
      </c>
      <c r="K168" s="15">
        <v>10</v>
      </c>
      <c r="L168" s="15">
        <v>3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1023</v>
      </c>
      <c r="C169" s="15">
        <v>217</v>
      </c>
      <c r="D169" s="15">
        <v>0</v>
      </c>
      <c r="E169" s="15">
        <v>0</v>
      </c>
      <c r="F169" s="14" t="str">
        <f>VLOOKUP(C169,skill_list!B:C,2)</f>
        <v>空</v>
      </c>
      <c r="G169" s="11"/>
      <c r="H169" s="15">
        <v>50</v>
      </c>
      <c r="I169" s="15">
        <v>65</v>
      </c>
      <c r="J169" s="15">
        <v>200</v>
      </c>
      <c r="K169" s="15">
        <v>10</v>
      </c>
      <c r="L169" s="15">
        <v>7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1024</v>
      </c>
      <c r="C170" s="15">
        <v>267</v>
      </c>
      <c r="D170" s="15">
        <v>0</v>
      </c>
      <c r="E170" s="15">
        <v>0</v>
      </c>
      <c r="F170" s="14" t="str">
        <f>VLOOKUP(C170,skill_list!B:C,2)</f>
        <v>細雪</v>
      </c>
      <c r="G170" s="11"/>
      <c r="H170" s="15">
        <v>75</v>
      </c>
      <c r="I170" s="15">
        <v>90</v>
      </c>
      <c r="J170" s="15">
        <v>208</v>
      </c>
      <c r="K170" s="15">
        <v>10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1025</v>
      </c>
      <c r="C171" s="15">
        <v>45</v>
      </c>
      <c r="D171" s="15">
        <v>0</v>
      </c>
      <c r="E171" s="15">
        <v>0</v>
      </c>
      <c r="F171" s="14" t="str">
        <f>VLOOKUP(C171,skill_list!B:C,2)</f>
        <v>残心撃</v>
      </c>
      <c r="G171" s="11"/>
      <c r="H171" s="15">
        <v>35</v>
      </c>
      <c r="I171" s="15">
        <v>50</v>
      </c>
      <c r="J171" s="15">
        <v>126</v>
      </c>
      <c r="K171" s="15">
        <v>1</v>
      </c>
      <c r="L171" s="15">
        <v>7</v>
      </c>
      <c r="M171" s="15">
        <v>0</v>
      </c>
      <c r="N171" s="15">
        <v>1</v>
      </c>
      <c r="O171" s="15">
        <v>999</v>
      </c>
      <c r="P171" s="15"/>
    </row>
    <row r="172" spans="1:16">
      <c r="A172" s="8"/>
      <c r="B172" s="15">
        <v>1026</v>
      </c>
      <c r="C172" s="15">
        <v>420</v>
      </c>
      <c r="D172" s="15">
        <v>0</v>
      </c>
      <c r="E172" s="15">
        <v>0</v>
      </c>
      <c r="F172" s="14" t="str">
        <f>VLOOKUP(C172,skill_list!B:C,2)</f>
        <v>デヴォーション</v>
      </c>
      <c r="G172" s="11"/>
      <c r="H172" s="15">
        <v>75</v>
      </c>
      <c r="I172" s="15">
        <v>90</v>
      </c>
      <c r="J172" s="15">
        <v>216</v>
      </c>
      <c r="K172" s="15">
        <v>10</v>
      </c>
      <c r="L172" s="15">
        <v>5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1027</v>
      </c>
      <c r="C173" s="15">
        <v>425</v>
      </c>
      <c r="D173" s="15">
        <v>0</v>
      </c>
      <c r="E173" s="15">
        <v>0</v>
      </c>
      <c r="F173" s="14" t="str">
        <f>VLOOKUP(C173,skill_list!B:C,2)</f>
        <v>セルフパッション</v>
      </c>
      <c r="G173" s="11"/>
      <c r="H173" s="15">
        <v>75</v>
      </c>
      <c r="I173" s="15">
        <v>90</v>
      </c>
      <c r="J173" s="15">
        <v>224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1028</v>
      </c>
      <c r="C174" s="15">
        <v>482</v>
      </c>
      <c r="D174" s="15">
        <v>0</v>
      </c>
      <c r="E174" s="15">
        <v>0</v>
      </c>
      <c r="F174" s="14" t="str">
        <f>VLOOKUP(C174,skill_list!B:C,2)</f>
        <v>解けない謎はない</v>
      </c>
      <c r="G174" s="11"/>
      <c r="H174" s="15">
        <v>50</v>
      </c>
      <c r="I174" s="15">
        <v>65</v>
      </c>
      <c r="J174" s="15">
        <v>224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1029</v>
      </c>
      <c r="C175" s="15">
        <v>488</v>
      </c>
      <c r="D175" s="15">
        <v>0</v>
      </c>
      <c r="E175" s="15">
        <v>0</v>
      </c>
      <c r="F175" s="14" t="str">
        <f>VLOOKUP(C175,skill_list!B:C,2)</f>
        <v>クリャートヴァ</v>
      </c>
      <c r="G175" s="11"/>
      <c r="H175" s="15">
        <v>50</v>
      </c>
      <c r="I175" s="15">
        <v>65</v>
      </c>
      <c r="J175" s="15">
        <v>232</v>
      </c>
      <c r="K175" s="15">
        <v>10</v>
      </c>
      <c r="L175" s="15">
        <v>4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1101</v>
      </c>
      <c r="C176" s="15">
        <v>373</v>
      </c>
      <c r="D176" s="15">
        <v>1</v>
      </c>
      <c r="E176" s="15">
        <v>4</v>
      </c>
      <c r="F176" s="14" t="str">
        <f>VLOOKUP(C176,skill_list!B:C,2)</f>
        <v>ホーリーエンハンス</v>
      </c>
      <c r="G176" s="11"/>
      <c r="H176" s="15">
        <v>65</v>
      </c>
      <c r="I176" s="15">
        <v>80</v>
      </c>
      <c r="J176" s="15">
        <v>208</v>
      </c>
      <c r="K176" s="15">
        <v>10</v>
      </c>
      <c r="L176" s="15">
        <v>4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1102</v>
      </c>
      <c r="C177" s="15">
        <v>371</v>
      </c>
      <c r="D177" s="15">
        <v>1</v>
      </c>
      <c r="E177" s="15">
        <v>5</v>
      </c>
      <c r="F177" s="14" t="str">
        <f>VLOOKUP(C177,skill_list!B:C,2)</f>
        <v>赤面スティグマ</v>
      </c>
      <c r="G177" s="11"/>
      <c r="H177" s="15">
        <v>65</v>
      </c>
      <c r="I177" s="15">
        <v>80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1103</v>
      </c>
      <c r="C178" s="15">
        <v>332</v>
      </c>
      <c r="D178" s="15">
        <v>1</v>
      </c>
      <c r="E178" s="15">
        <v>2</v>
      </c>
      <c r="F178" s="14" t="str">
        <f>VLOOKUP(C178,skill_list!B:C,2)</f>
        <v>淡雪</v>
      </c>
      <c r="G178" s="11"/>
      <c r="H178" s="15">
        <v>65</v>
      </c>
      <c r="I178" s="15">
        <v>80</v>
      </c>
      <c r="J178" s="15">
        <v>192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1104</v>
      </c>
      <c r="C179" s="15">
        <v>366</v>
      </c>
      <c r="D179" s="15">
        <v>1</v>
      </c>
      <c r="E179" s="15">
        <v>5</v>
      </c>
      <c r="F179" s="14" t="str">
        <f>VLOOKUP(C179,skill_list!B:C,2)</f>
        <v>被害妄想</v>
      </c>
      <c r="G179" s="11"/>
      <c r="H179" s="15">
        <v>65</v>
      </c>
      <c r="I179" s="15">
        <v>80</v>
      </c>
      <c r="J179" s="15">
        <v>192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1105</v>
      </c>
      <c r="C180" s="15">
        <v>253</v>
      </c>
      <c r="D180" s="15">
        <v>1</v>
      </c>
      <c r="E180" s="15">
        <v>3</v>
      </c>
      <c r="F180" s="14" t="str">
        <f>VLOOKUP(C180,skill_list!B:C,2)</f>
        <v>ライトニングロア</v>
      </c>
      <c r="G180" s="11"/>
      <c r="H180" s="15">
        <v>40</v>
      </c>
      <c r="I180" s="15">
        <v>55</v>
      </c>
      <c r="J180" s="15">
        <v>129</v>
      </c>
      <c r="K180" s="15">
        <v>1</v>
      </c>
      <c r="L180" s="15">
        <v>7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1106</v>
      </c>
      <c r="C181" s="15">
        <v>219</v>
      </c>
      <c r="D181" s="15">
        <v>1</v>
      </c>
      <c r="E181" s="15">
        <v>4</v>
      </c>
      <c r="F181" s="14" t="str">
        <f>VLOOKUP(C181,skill_list!B:C,2)</f>
        <v>夢十夜</v>
      </c>
      <c r="G181" s="11"/>
      <c r="H181" s="15">
        <v>40</v>
      </c>
      <c r="I181" s="15">
        <v>55</v>
      </c>
      <c r="J181" s="15">
        <v>132</v>
      </c>
      <c r="K181" s="15">
        <v>1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1107</v>
      </c>
      <c r="C182" s="15">
        <v>339</v>
      </c>
      <c r="D182" s="15">
        <v>1</v>
      </c>
      <c r="E182" s="15">
        <v>5</v>
      </c>
      <c r="F182" s="14" t="str">
        <f>VLOOKUP(C182,skill_list!B:C,2)</f>
        <v>大切り盛り</v>
      </c>
      <c r="G182" s="11"/>
      <c r="H182" s="15">
        <v>40</v>
      </c>
      <c r="I182" s="15">
        <v>55</v>
      </c>
      <c r="J182" s="15">
        <v>123</v>
      </c>
      <c r="K182" s="15">
        <v>1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1108</v>
      </c>
      <c r="C183" s="15">
        <v>404</v>
      </c>
      <c r="D183" s="15">
        <v>1</v>
      </c>
      <c r="E183" s="15">
        <v>3</v>
      </c>
      <c r="F183" s="14" t="str">
        <f>VLOOKUP(C183,skill_list!B:C,2)</f>
        <v>とある衝撃</v>
      </c>
      <c r="G183" s="11"/>
      <c r="H183" s="15">
        <v>65</v>
      </c>
      <c r="I183" s="15">
        <v>80</v>
      </c>
      <c r="J183" s="15">
        <v>200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1109</v>
      </c>
      <c r="C184" s="15">
        <v>412</v>
      </c>
      <c r="D184" s="15">
        <v>1</v>
      </c>
      <c r="E184" s="15">
        <v>2</v>
      </c>
      <c r="F184" s="14" t="str">
        <f>VLOOKUP(C184,skill_list!B:C,2)</f>
        <v>北風のスバル</v>
      </c>
      <c r="G184" s="11"/>
      <c r="H184" s="15">
        <v>65</v>
      </c>
      <c r="I184" s="15">
        <v>80</v>
      </c>
      <c r="J184" s="15">
        <v>192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1110</v>
      </c>
      <c r="C185" s="15">
        <v>461</v>
      </c>
      <c r="D185" s="15">
        <v>1</v>
      </c>
      <c r="E185" s="15">
        <v>3</v>
      </c>
      <c r="F185" s="14" t="str">
        <f>VLOOKUP(C185,skill_list!B:C,2)</f>
        <v>ねこじゃらし</v>
      </c>
      <c r="G185" s="11"/>
      <c r="H185" s="15">
        <v>65</v>
      </c>
      <c r="I185" s="15">
        <v>80</v>
      </c>
      <c r="J185" s="15">
        <v>200</v>
      </c>
      <c r="K185" s="15">
        <v>10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1111</v>
      </c>
      <c r="C186" s="15">
        <v>465</v>
      </c>
      <c r="D186" s="15">
        <v>1</v>
      </c>
      <c r="E186" s="15">
        <v>5</v>
      </c>
      <c r="F186" s="14" t="str">
        <f>VLOOKUP(C186,skill_list!B:C,2)</f>
        <v>ピクシースマイル</v>
      </c>
      <c r="G186" s="11"/>
      <c r="H186" s="15">
        <v>65</v>
      </c>
      <c r="I186" s="15">
        <v>80</v>
      </c>
      <c r="J186" s="15">
        <v>208</v>
      </c>
      <c r="K186" s="15">
        <v>10</v>
      </c>
      <c r="L186" s="15">
        <v>4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1112</v>
      </c>
      <c r="C187" s="15">
        <v>488</v>
      </c>
      <c r="D187" s="15">
        <v>1</v>
      </c>
      <c r="E187" s="15">
        <v>5</v>
      </c>
      <c r="F187" s="14" t="str">
        <f>VLOOKUP(C187,skill_list!B:C,2)</f>
        <v>クリャートヴァ</v>
      </c>
      <c r="G187" s="11"/>
      <c r="H187" s="15">
        <v>65</v>
      </c>
      <c r="I187" s="15">
        <v>80</v>
      </c>
      <c r="J187" s="15">
        <v>232</v>
      </c>
      <c r="K187" s="15">
        <v>10</v>
      </c>
      <c r="L187" s="15">
        <v>4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1201</v>
      </c>
      <c r="C188" s="15">
        <v>310</v>
      </c>
      <c r="D188" s="15">
        <v>2</v>
      </c>
      <c r="E188" s="15">
        <v>0</v>
      </c>
      <c r="F188" s="14" t="str">
        <f>VLOOKUP(C188,skill_list!B:C,2)</f>
        <v>インサイト</v>
      </c>
      <c r="G188" s="11"/>
      <c r="H188" s="15">
        <v>35</v>
      </c>
      <c r="I188" s="15">
        <v>50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1202</v>
      </c>
      <c r="C189" s="15">
        <v>451</v>
      </c>
      <c r="D189" s="15">
        <v>2</v>
      </c>
      <c r="E189" s="15">
        <v>0</v>
      </c>
      <c r="F189" s="14" t="str">
        <f>VLOOKUP(C189,skill_list!B:C,2)</f>
        <v>炯眼の構え</v>
      </c>
      <c r="G189" s="11"/>
      <c r="H189" s="15">
        <v>35</v>
      </c>
      <c r="I189" s="15">
        <v>50</v>
      </c>
      <c r="J189" s="15">
        <v>200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1300</v>
      </c>
      <c r="C190" s="15">
        <v>1009</v>
      </c>
      <c r="D190" s="15">
        <v>3</v>
      </c>
      <c r="E190" s="15">
        <v>0</v>
      </c>
      <c r="F190" s="14" t="str">
        <f>VLOOKUP(C190,skill_list!B:C,2)</f>
        <v>ソフニング</v>
      </c>
      <c r="G190" s="11"/>
      <c r="H190" s="15">
        <v>30</v>
      </c>
      <c r="I190" s="15">
        <v>45</v>
      </c>
      <c r="J190" s="15">
        <v>200</v>
      </c>
      <c r="K190" s="15">
        <v>1</v>
      </c>
      <c r="L190" s="15">
        <v>1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1301</v>
      </c>
      <c r="C191" s="15">
        <v>173</v>
      </c>
      <c r="D191" s="15">
        <v>3</v>
      </c>
      <c r="E191" s="15">
        <v>0</v>
      </c>
      <c r="F191" s="14" t="str">
        <f>VLOOKUP(C191,skill_list!B:C,2)</f>
        <v>臥龍演舞斬</v>
      </c>
      <c r="G191" s="11"/>
      <c r="H191" s="15">
        <v>30</v>
      </c>
      <c r="I191" s="15">
        <v>45</v>
      </c>
      <c r="J191" s="15">
        <v>123</v>
      </c>
      <c r="K191" s="15">
        <v>1</v>
      </c>
      <c r="L191" s="15">
        <v>1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1302</v>
      </c>
      <c r="C192" s="15">
        <v>16</v>
      </c>
      <c r="D192" s="15">
        <v>3</v>
      </c>
      <c r="E192" s="15">
        <v>0</v>
      </c>
      <c r="F192" s="14" t="str">
        <f>VLOOKUP(C192,skill_list!B:C,2)</f>
        <v>ハードブレード</v>
      </c>
      <c r="G192" s="11"/>
      <c r="H192" s="15">
        <v>30</v>
      </c>
      <c r="I192" s="15">
        <v>45</v>
      </c>
      <c r="J192" s="15">
        <v>129</v>
      </c>
      <c r="K192" s="15">
        <v>1</v>
      </c>
      <c r="L192" s="15">
        <v>1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1303</v>
      </c>
      <c r="C193" s="15">
        <v>70</v>
      </c>
      <c r="D193" s="15">
        <v>3</v>
      </c>
      <c r="E193" s="15">
        <v>0</v>
      </c>
      <c r="F193" s="14" t="str">
        <f>VLOOKUP(C193,skill_list!B:C,2)</f>
        <v>ウィザードショット</v>
      </c>
      <c r="G193" s="11"/>
      <c r="H193" s="15">
        <v>30</v>
      </c>
      <c r="I193" s="15">
        <v>45</v>
      </c>
      <c r="J193" s="15">
        <v>117</v>
      </c>
      <c r="K193" s="15">
        <v>1</v>
      </c>
      <c r="L193" s="15">
        <v>1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1304</v>
      </c>
      <c r="C194" s="15">
        <v>467</v>
      </c>
      <c r="D194" s="15">
        <v>3</v>
      </c>
      <c r="E194" s="15">
        <v>0</v>
      </c>
      <c r="F194" s="14" t="str">
        <f>VLOOKUP(C194,skill_list!B:C,2)</f>
        <v>螳螂之斧</v>
      </c>
      <c r="G194" s="11"/>
      <c r="H194" s="15">
        <v>20</v>
      </c>
      <c r="I194" s="15">
        <v>30</v>
      </c>
      <c r="J194" s="15">
        <v>134</v>
      </c>
      <c r="K194" s="15">
        <v>1</v>
      </c>
      <c r="L194" s="15">
        <v>2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1351</v>
      </c>
      <c r="C195" s="15">
        <v>116</v>
      </c>
      <c r="D195" s="15">
        <v>3</v>
      </c>
      <c r="E195" s="15">
        <v>0</v>
      </c>
      <c r="F195" s="14" t="str">
        <f>VLOOKUP(C195,skill_list!B:C,2)</f>
        <v>レイジングシャウト</v>
      </c>
      <c r="G195" s="11"/>
      <c r="H195" s="15">
        <v>20</v>
      </c>
      <c r="I195" s="15">
        <v>30</v>
      </c>
      <c r="J195" s="15">
        <v>120</v>
      </c>
      <c r="K195" s="15">
        <v>1</v>
      </c>
      <c r="L195" s="15">
        <v>2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1352</v>
      </c>
      <c r="C196" s="15">
        <v>126</v>
      </c>
      <c r="D196" s="15">
        <v>3</v>
      </c>
      <c r="E196" s="15">
        <v>0</v>
      </c>
      <c r="F196" s="14" t="str">
        <f>VLOOKUP(C196,skill_list!B:C,2)</f>
        <v>ラブカ・ブレード</v>
      </c>
      <c r="G196" s="11"/>
      <c r="H196" s="15">
        <v>20</v>
      </c>
      <c r="I196" s="15">
        <v>30</v>
      </c>
      <c r="J196" s="15">
        <v>123</v>
      </c>
      <c r="K196" s="15">
        <v>1</v>
      </c>
      <c r="L196" s="15">
        <v>2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1401</v>
      </c>
      <c r="C197" s="15">
        <v>204</v>
      </c>
      <c r="D197" s="15">
        <v>4</v>
      </c>
      <c r="E197" s="15">
        <v>3</v>
      </c>
      <c r="F197" s="14" t="str">
        <f>VLOOKUP(C197,skill_list!B:C,2)</f>
        <v>ミストイングレイブ</v>
      </c>
      <c r="G197" s="11"/>
      <c r="H197" s="15">
        <v>45</v>
      </c>
      <c r="I197" s="15">
        <v>60</v>
      </c>
      <c r="J197" s="15">
        <v>126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1402</v>
      </c>
      <c r="C198" s="15">
        <v>328</v>
      </c>
      <c r="D198" s="15">
        <v>4</v>
      </c>
      <c r="E198" s="15">
        <v>5</v>
      </c>
      <c r="F198" s="14" t="str">
        <f>VLOOKUP(C198,skill_list!B:C,2)</f>
        <v>先に逝くなよ</v>
      </c>
      <c r="G198" s="11"/>
      <c r="H198" s="15">
        <v>45</v>
      </c>
      <c r="I198" s="15">
        <v>60</v>
      </c>
      <c r="J198" s="15">
        <v>123</v>
      </c>
      <c r="K198" s="15">
        <v>1</v>
      </c>
      <c r="L198" s="15">
        <v>1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1403</v>
      </c>
      <c r="C199" s="15">
        <v>282</v>
      </c>
      <c r="D199" s="15">
        <v>4</v>
      </c>
      <c r="E199" s="15">
        <v>1</v>
      </c>
      <c r="F199" s="14" t="str">
        <f>VLOOKUP(C199,skill_list!B:C,2)</f>
        <v>ヴィクタープラクティス</v>
      </c>
      <c r="G199" s="11"/>
      <c r="H199" s="15">
        <v>45</v>
      </c>
      <c r="I199" s="15">
        <v>60</v>
      </c>
      <c r="J199" s="15">
        <v>123</v>
      </c>
      <c r="K199" s="15">
        <v>1</v>
      </c>
      <c r="L199" s="15">
        <v>1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1404</v>
      </c>
      <c r="C200" s="15">
        <v>222</v>
      </c>
      <c r="D200" s="15">
        <v>4</v>
      </c>
      <c r="E200" s="15">
        <v>4</v>
      </c>
      <c r="F200" s="14" t="str">
        <f>VLOOKUP(C200,skill_list!B:C,2)</f>
        <v>夜雨</v>
      </c>
      <c r="G200" s="11"/>
      <c r="H200" s="15">
        <v>45</v>
      </c>
      <c r="I200" s="15">
        <v>60</v>
      </c>
      <c r="J200" s="15">
        <v>131</v>
      </c>
      <c r="K200" s="15">
        <v>1</v>
      </c>
      <c r="L200" s="15">
        <v>1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1405</v>
      </c>
      <c r="C201" s="15">
        <v>222</v>
      </c>
      <c r="D201" s="15">
        <v>4</v>
      </c>
      <c r="E201" s="15">
        <v>5</v>
      </c>
      <c r="F201" s="14" t="str">
        <f>VLOOKUP(C201,skill_list!B:C,2)</f>
        <v>夜雨</v>
      </c>
      <c r="G201" s="11"/>
      <c r="H201" s="15">
        <v>45</v>
      </c>
      <c r="I201" s="15">
        <v>60</v>
      </c>
      <c r="J201" s="15">
        <v>131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1406</v>
      </c>
      <c r="C202" s="15">
        <v>446</v>
      </c>
      <c r="D202" s="15">
        <v>4</v>
      </c>
      <c r="E202" s="15">
        <v>2</v>
      </c>
      <c r="F202" s="14" t="str">
        <f>VLOOKUP(C202,skill_list!B:C,2)</f>
        <v>コールドクラッシュ</v>
      </c>
      <c r="G202" s="11"/>
      <c r="H202" s="15">
        <v>45</v>
      </c>
      <c r="I202" s="15">
        <v>60</v>
      </c>
      <c r="J202" s="15">
        <v>132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1451</v>
      </c>
      <c r="C203" s="15">
        <v>241</v>
      </c>
      <c r="D203" s="15">
        <v>4</v>
      </c>
      <c r="E203" s="15">
        <v>1</v>
      </c>
      <c r="F203" s="14" t="str">
        <f>VLOOKUP(C203,skill_list!B:C,2)</f>
        <v>怒裂昂</v>
      </c>
      <c r="G203" s="11"/>
      <c r="H203" s="15">
        <v>30</v>
      </c>
      <c r="I203" s="15">
        <v>45</v>
      </c>
      <c r="J203" s="15">
        <v>129</v>
      </c>
      <c r="K203" s="15">
        <v>1</v>
      </c>
      <c r="L203" s="15">
        <v>2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1452</v>
      </c>
      <c r="C204" s="15">
        <v>77</v>
      </c>
      <c r="D204" s="15">
        <v>4</v>
      </c>
      <c r="E204" s="15">
        <v>2</v>
      </c>
      <c r="F204" s="14" t="str">
        <f>VLOOKUP(C204,skill_list!B:C,2)</f>
        <v>ビスコッティ</v>
      </c>
      <c r="G204" s="11"/>
      <c r="H204" s="15">
        <v>30</v>
      </c>
      <c r="I204" s="15">
        <v>45</v>
      </c>
      <c r="J204" s="15">
        <v>129</v>
      </c>
      <c r="K204" s="15">
        <v>1</v>
      </c>
      <c r="L204" s="15">
        <v>2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1453</v>
      </c>
      <c r="C205" s="15">
        <v>410</v>
      </c>
      <c r="D205" s="15">
        <v>4</v>
      </c>
      <c r="E205" s="15">
        <v>3</v>
      </c>
      <c r="F205" s="14" t="str">
        <f>VLOOKUP(C205,skill_list!B:C,2)</f>
        <v>ザヴィーシマスチ</v>
      </c>
      <c r="G205" s="11"/>
      <c r="H205" s="15">
        <v>30</v>
      </c>
      <c r="I205" s="15">
        <v>45</v>
      </c>
      <c r="J205" s="15">
        <v>129</v>
      </c>
      <c r="K205" s="15">
        <v>1</v>
      </c>
      <c r="L205" s="15">
        <v>2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1454</v>
      </c>
      <c r="C206" s="15">
        <v>476</v>
      </c>
      <c r="D206" s="15">
        <v>4</v>
      </c>
      <c r="E206" s="15">
        <v>5</v>
      </c>
      <c r="F206" s="14" t="str">
        <f>VLOOKUP(C206,skill_list!B:C,2)</f>
        <v>ヌラルジャ</v>
      </c>
      <c r="G206" s="11"/>
      <c r="H206" s="15">
        <v>30</v>
      </c>
      <c r="I206" s="15">
        <v>45</v>
      </c>
      <c r="J206" s="15">
        <v>129</v>
      </c>
      <c r="K206" s="15">
        <v>1</v>
      </c>
      <c r="L206" s="15">
        <v>2</v>
      </c>
      <c r="M206" s="15">
        <v>0</v>
      </c>
      <c r="N206" s="15">
        <v>1</v>
      </c>
      <c r="O206" s="15">
        <v>999</v>
      </c>
      <c r="P206" s="15"/>
    </row>
    <row r="207" spans="1:16">
      <c r="A207" s="8"/>
      <c r="B207" s="15">
        <v>1501</v>
      </c>
      <c r="C207" s="15">
        <v>94</v>
      </c>
      <c r="D207" s="15">
        <v>5</v>
      </c>
      <c r="E207" s="15">
        <v>0</v>
      </c>
      <c r="F207" s="14" t="str">
        <f>VLOOKUP(C207,skill_list!B:C,2)</f>
        <v>呪怨の矢</v>
      </c>
      <c r="G207" s="11"/>
      <c r="H207" s="15">
        <v>35</v>
      </c>
      <c r="I207" s="15">
        <v>50</v>
      </c>
      <c r="J207" s="15">
        <v>120</v>
      </c>
      <c r="K207" s="15">
        <v>1</v>
      </c>
      <c r="L207" s="15">
        <v>1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1502</v>
      </c>
      <c r="C208" s="15">
        <v>272</v>
      </c>
      <c r="D208" s="15">
        <v>5</v>
      </c>
      <c r="E208" s="15">
        <v>0</v>
      </c>
      <c r="F208" s="14" t="str">
        <f>VLOOKUP(C208,skill_list!B:C,2)</f>
        <v>ディープブロー</v>
      </c>
      <c r="G208" s="11"/>
      <c r="H208" s="15">
        <v>35</v>
      </c>
      <c r="I208" s="15">
        <v>50</v>
      </c>
      <c r="J208" s="15">
        <v>120</v>
      </c>
      <c r="K208" s="15">
        <v>1</v>
      </c>
      <c r="L208" s="15">
        <v>1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1551</v>
      </c>
      <c r="C209" s="15">
        <v>195</v>
      </c>
      <c r="D209" s="15">
        <v>5</v>
      </c>
      <c r="E209" s="15">
        <v>0</v>
      </c>
      <c r="F209" s="14" t="str">
        <f>VLOOKUP(C209,skill_list!B:C,2)</f>
        <v>ネイキッドイレイザー</v>
      </c>
      <c r="G209" s="11"/>
      <c r="H209" s="15">
        <v>35</v>
      </c>
      <c r="I209" s="15">
        <v>50</v>
      </c>
      <c r="J209" s="15">
        <v>132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1552</v>
      </c>
      <c r="C210" s="15">
        <v>218</v>
      </c>
      <c r="D210" s="15">
        <v>5</v>
      </c>
      <c r="E210" s="15">
        <v>0</v>
      </c>
      <c r="F210" s="14" t="str">
        <f>VLOOKUP(C210,skill_list!B:C,2)</f>
        <v>薙の矢</v>
      </c>
      <c r="G210" s="11"/>
      <c r="H210" s="15">
        <v>35</v>
      </c>
      <c r="I210" s="15">
        <v>50</v>
      </c>
      <c r="J210" s="15">
        <v>126</v>
      </c>
      <c r="K210" s="15">
        <v>1</v>
      </c>
      <c r="L210" s="15">
        <v>2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1553</v>
      </c>
      <c r="C211" s="15">
        <v>349</v>
      </c>
      <c r="D211" s="15">
        <v>5</v>
      </c>
      <c r="E211" s="15">
        <v>0</v>
      </c>
      <c r="F211" s="14" t="str">
        <f>VLOOKUP(C211,skill_list!B:C,2)</f>
        <v>大海原</v>
      </c>
      <c r="G211" s="11"/>
      <c r="H211" s="15">
        <v>35</v>
      </c>
      <c r="I211" s="15">
        <v>50</v>
      </c>
      <c r="J211" s="15">
        <v>129</v>
      </c>
      <c r="K211" s="15">
        <v>1</v>
      </c>
      <c r="L211" s="15">
        <v>2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1600</v>
      </c>
      <c r="C212" s="15">
        <v>1001</v>
      </c>
      <c r="D212" s="15">
        <v>6</v>
      </c>
      <c r="E212" s="15">
        <v>0</v>
      </c>
      <c r="F212" s="14" t="str">
        <f>VLOOKUP(C212,skill_list!B:C,2)</f>
        <v>クリティカルシンキング</v>
      </c>
      <c r="G212" s="11"/>
      <c r="H212" s="15">
        <v>40</v>
      </c>
      <c r="I212" s="15">
        <v>70</v>
      </c>
      <c r="J212" s="15">
        <v>450</v>
      </c>
      <c r="K212" s="15">
        <v>1</v>
      </c>
      <c r="L212" s="15">
        <v>7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1601</v>
      </c>
      <c r="C213" s="15">
        <v>71</v>
      </c>
      <c r="D213" s="15">
        <v>6</v>
      </c>
      <c r="E213" s="15">
        <v>0</v>
      </c>
      <c r="F213" s="14" t="str">
        <f>VLOOKUP(C213,skill_list!B:C,2)</f>
        <v>ルーンバースト</v>
      </c>
      <c r="G213" s="11"/>
      <c r="H213" s="15">
        <v>35</v>
      </c>
      <c r="I213" s="15">
        <v>45</v>
      </c>
      <c r="J213" s="15">
        <v>132</v>
      </c>
      <c r="K213" s="15">
        <v>1</v>
      </c>
      <c r="L213" s="15">
        <v>7</v>
      </c>
      <c r="M213" s="15">
        <v>0</v>
      </c>
      <c r="N213" s="15">
        <v>1</v>
      </c>
      <c r="O213" s="15">
        <v>999</v>
      </c>
      <c r="P213" s="15"/>
    </row>
    <row r="214" spans="1:16">
      <c r="A214" s="8"/>
      <c r="B214" s="15">
        <v>1602</v>
      </c>
      <c r="C214" s="15">
        <v>255</v>
      </c>
      <c r="D214" s="15">
        <v>6</v>
      </c>
      <c r="E214" s="15">
        <v>0</v>
      </c>
      <c r="F214" s="14" t="str">
        <f>VLOOKUP(C214,skill_list!B:C,2)</f>
        <v>ホールドアップマインド</v>
      </c>
      <c r="G214" s="11"/>
      <c r="H214" s="15">
        <v>35</v>
      </c>
      <c r="I214" s="15">
        <v>45</v>
      </c>
      <c r="J214" s="15">
        <v>224</v>
      </c>
      <c r="K214" s="15">
        <v>10</v>
      </c>
      <c r="L214" s="15">
        <v>7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1603</v>
      </c>
      <c r="C215" s="15">
        <v>378</v>
      </c>
      <c r="D215" s="15">
        <v>6</v>
      </c>
      <c r="E215" s="15">
        <v>0</v>
      </c>
      <c r="F215" s="14" t="str">
        <f>VLOOKUP(C215,skill_list!B:C,2)</f>
        <v>冀望</v>
      </c>
      <c r="G215" s="11"/>
      <c r="H215" s="15">
        <v>40</v>
      </c>
      <c r="I215" s="15">
        <v>70</v>
      </c>
      <c r="J215" s="15">
        <v>216</v>
      </c>
      <c r="K215" s="15">
        <v>10</v>
      </c>
      <c r="L215" s="15">
        <v>7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1604</v>
      </c>
      <c r="C216" s="15">
        <v>462</v>
      </c>
      <c r="D216" s="15">
        <v>6</v>
      </c>
      <c r="E216" s="15">
        <v>0</v>
      </c>
      <c r="F216" s="14" t="str">
        <f>VLOOKUP(C216,skill_list!B:C,2)</f>
        <v>一途なスマイル</v>
      </c>
      <c r="G216" s="11"/>
      <c r="H216" s="15">
        <v>40</v>
      </c>
      <c r="I216" s="15">
        <v>70</v>
      </c>
      <c r="J216" s="15">
        <v>232</v>
      </c>
      <c r="K216" s="15">
        <v>10</v>
      </c>
      <c r="L216" s="15">
        <v>3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1605</v>
      </c>
      <c r="C217" s="15">
        <v>471</v>
      </c>
      <c r="D217" s="15">
        <v>6</v>
      </c>
      <c r="E217" s="15">
        <v>0</v>
      </c>
      <c r="F217" s="14" t="str">
        <f>VLOOKUP(C217,skill_list!B:C,2)</f>
        <v>おしおき</v>
      </c>
      <c r="G217" s="11"/>
      <c r="H217" s="15">
        <v>40</v>
      </c>
      <c r="I217" s="15">
        <v>70</v>
      </c>
      <c r="J217" s="15">
        <v>200</v>
      </c>
      <c r="K217" s="15">
        <v>10</v>
      </c>
      <c r="L217" s="15">
        <v>7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1700</v>
      </c>
      <c r="C218" s="15">
        <v>1006</v>
      </c>
      <c r="D218" s="15">
        <v>7</v>
      </c>
      <c r="E218" s="15">
        <v>0</v>
      </c>
      <c r="F218" s="14" t="str">
        <f>VLOOKUP(C218,skill_list!B:C,2)</f>
        <v>コンセントレーション</v>
      </c>
      <c r="G218" s="11"/>
      <c r="H218" s="15">
        <v>10</v>
      </c>
      <c r="I218" s="15">
        <v>20</v>
      </c>
      <c r="J218" s="15">
        <v>450</v>
      </c>
      <c r="K218" s="15">
        <v>1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1701</v>
      </c>
      <c r="C219" s="15">
        <v>462</v>
      </c>
      <c r="D219" s="15">
        <v>7</v>
      </c>
      <c r="E219" s="15">
        <v>0</v>
      </c>
      <c r="F219" s="14" t="str">
        <f>VLOOKUP(C219,skill_list!B:C,2)</f>
        <v>一途なスマイル</v>
      </c>
      <c r="G219" s="11"/>
      <c r="H219" s="15">
        <v>30</v>
      </c>
      <c r="I219" s="15">
        <v>30</v>
      </c>
      <c r="J219" s="15">
        <v>0</v>
      </c>
      <c r="K219" s="15">
        <v>1</v>
      </c>
      <c r="L219" s="15">
        <v>3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1702</v>
      </c>
      <c r="C220" s="15">
        <v>482</v>
      </c>
      <c r="D220" s="15">
        <v>7</v>
      </c>
      <c r="E220" s="15">
        <v>0</v>
      </c>
      <c r="F220" s="14" t="str">
        <f>VLOOKUP(C220,skill_list!B:C,2)</f>
        <v>解けない謎はない</v>
      </c>
      <c r="G220" s="11"/>
      <c r="H220" s="15">
        <v>30</v>
      </c>
      <c r="I220" s="15">
        <v>30</v>
      </c>
      <c r="J220" s="15">
        <v>0</v>
      </c>
      <c r="K220" s="15">
        <v>1</v>
      </c>
      <c r="L220" s="15">
        <v>7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2001</v>
      </c>
      <c r="C221" s="15">
        <v>378</v>
      </c>
      <c r="D221" s="15">
        <v>10</v>
      </c>
      <c r="E221" s="15">
        <v>0</v>
      </c>
      <c r="F221" s="14" t="str">
        <f>VLOOKUP(C221,skill_list!B:C,2)</f>
        <v>冀望</v>
      </c>
      <c r="G221" s="11"/>
      <c r="H221" s="15">
        <v>20</v>
      </c>
      <c r="I221" s="15">
        <v>30</v>
      </c>
      <c r="J221" s="15">
        <v>216</v>
      </c>
      <c r="K221" s="15">
        <v>1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2002</v>
      </c>
      <c r="C222" s="15">
        <v>157</v>
      </c>
      <c r="D222" s="15">
        <v>10</v>
      </c>
      <c r="E222" s="15">
        <v>0</v>
      </c>
      <c r="F222" s="14" t="str">
        <f>VLOOKUP(C222,skill_list!B:C,2)</f>
        <v>聖域のカンタータ</v>
      </c>
      <c r="G222" s="11"/>
      <c r="H222" s="15">
        <v>20</v>
      </c>
      <c r="I222" s="15">
        <v>30</v>
      </c>
      <c r="J222" s="15">
        <v>216</v>
      </c>
      <c r="K222" s="15">
        <v>10</v>
      </c>
      <c r="L222" s="15">
        <v>6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2003</v>
      </c>
      <c r="C223" s="15">
        <v>346</v>
      </c>
      <c r="D223" s="15">
        <v>10</v>
      </c>
      <c r="E223" s="15">
        <v>0</v>
      </c>
      <c r="F223" s="14" t="str">
        <f>VLOOKUP(C223,skill_list!B:C,2)</f>
        <v>メイドの嗜み</v>
      </c>
      <c r="G223" s="11"/>
      <c r="H223" s="15">
        <v>20</v>
      </c>
      <c r="I223" s="15">
        <v>30</v>
      </c>
      <c r="J223" s="15">
        <v>200</v>
      </c>
      <c r="K223" s="15">
        <v>10</v>
      </c>
      <c r="L223" s="15">
        <v>7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2004</v>
      </c>
      <c r="C224" s="15">
        <v>478</v>
      </c>
      <c r="D224" s="15">
        <v>10</v>
      </c>
      <c r="E224" s="15">
        <v>0</v>
      </c>
      <c r="F224" s="14" t="str">
        <f>VLOOKUP(C224,skill_list!B:C,2)</f>
        <v>春爛漫</v>
      </c>
      <c r="G224" s="11"/>
      <c r="H224" s="15">
        <v>20</v>
      </c>
      <c r="I224" s="15">
        <v>30</v>
      </c>
      <c r="J224" s="15">
        <v>216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2051</v>
      </c>
      <c r="C225" s="15">
        <v>226</v>
      </c>
      <c r="D225" s="15">
        <v>10</v>
      </c>
      <c r="E225" s="15">
        <v>0</v>
      </c>
      <c r="F225" s="14" t="str">
        <f>VLOOKUP(C225,skill_list!B:C,2)</f>
        <v>ハイセンス・ショット</v>
      </c>
      <c r="G225" s="11"/>
      <c r="H225" s="15">
        <v>20</v>
      </c>
      <c r="I225" s="15">
        <v>30</v>
      </c>
      <c r="J225" s="15">
        <v>123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2052</v>
      </c>
      <c r="C226" s="15">
        <v>163</v>
      </c>
      <c r="D226" s="15">
        <v>10</v>
      </c>
      <c r="E226" s="15">
        <v>0</v>
      </c>
      <c r="F226" s="14" t="str">
        <f>VLOOKUP(C226,skill_list!B:C,2)</f>
        <v>残心</v>
      </c>
      <c r="G226" s="11"/>
      <c r="H226" s="15">
        <v>20</v>
      </c>
      <c r="I226" s="15">
        <v>30</v>
      </c>
      <c r="J226" s="15">
        <v>123</v>
      </c>
      <c r="K226" s="15">
        <v>1</v>
      </c>
      <c r="L226" s="15">
        <v>7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2053</v>
      </c>
      <c r="C227" s="15">
        <v>228</v>
      </c>
      <c r="D227" s="15">
        <v>10</v>
      </c>
      <c r="E227" s="15">
        <v>0</v>
      </c>
      <c r="F227" s="14" t="str">
        <f>VLOOKUP(C227,skill_list!B:C,2)</f>
        <v>喧嘩上等！！</v>
      </c>
      <c r="G227" s="11"/>
      <c r="H227" s="15">
        <v>20</v>
      </c>
      <c r="I227" s="15">
        <v>30</v>
      </c>
      <c r="J227" s="15">
        <v>132</v>
      </c>
      <c r="K227" s="15">
        <v>1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2201</v>
      </c>
      <c r="C228" s="15">
        <v>321</v>
      </c>
      <c r="D228" s="15">
        <v>12</v>
      </c>
      <c r="E228" s="15">
        <v>0</v>
      </c>
      <c r="F228" s="14" t="str">
        <f>VLOOKUP(C228,skill_list!B:C,2)</f>
        <v>ファーストラヴ</v>
      </c>
      <c r="G228" s="11"/>
      <c r="H228" s="15">
        <v>50</v>
      </c>
      <c r="I228" s="15">
        <v>50</v>
      </c>
      <c r="J228" s="15">
        <v>0</v>
      </c>
      <c r="K228" s="15">
        <v>1</v>
      </c>
      <c r="L228" s="15">
        <v>7</v>
      </c>
      <c r="M228" s="15">
        <v>0</v>
      </c>
      <c r="N228" s="15">
        <v>1</v>
      </c>
      <c r="O228" s="15">
        <v>999</v>
      </c>
      <c r="P228" s="15"/>
    </row>
    <row r="229" spans="1:16">
      <c r="A229" s="8"/>
      <c r="B229" s="15">
        <v>2300</v>
      </c>
      <c r="C229" s="15">
        <v>1003</v>
      </c>
      <c r="D229" s="15">
        <v>13</v>
      </c>
      <c r="E229" s="15">
        <v>0</v>
      </c>
      <c r="F229" s="14" t="str">
        <f>VLOOKUP(C229,skill_list!B:C,2)</f>
        <v>ドライブゲイン</v>
      </c>
      <c r="G229" s="11"/>
      <c r="H229" s="15">
        <v>15</v>
      </c>
      <c r="I229" s="15">
        <v>15</v>
      </c>
      <c r="J229" s="15">
        <v>0</v>
      </c>
      <c r="K229" s="15">
        <v>1</v>
      </c>
      <c r="L229" s="15">
        <v>0</v>
      </c>
      <c r="M229" s="15">
        <v>0</v>
      </c>
      <c r="N229" s="15">
        <v>0</v>
      </c>
      <c r="O229" s="15">
        <v>0</v>
      </c>
      <c r="P229" s="15"/>
    </row>
    <row r="230" spans="1:16">
      <c r="A230" s="8"/>
      <c r="B230" s="15">
        <v>2301</v>
      </c>
      <c r="C230" s="15">
        <v>123</v>
      </c>
      <c r="D230" s="15">
        <v>13</v>
      </c>
      <c r="E230" s="15">
        <v>0</v>
      </c>
      <c r="F230" s="14" t="str">
        <f>VLOOKUP(C230,skill_list!B:C,2)</f>
        <v>サービス・エース</v>
      </c>
      <c r="G230" s="11"/>
      <c r="H230" s="15">
        <v>10</v>
      </c>
      <c r="I230" s="15">
        <v>15</v>
      </c>
      <c r="J230" s="15">
        <v>117</v>
      </c>
      <c r="K230" s="15">
        <v>1</v>
      </c>
      <c r="L230" s="15">
        <v>0</v>
      </c>
      <c r="M230" s="15">
        <v>0</v>
      </c>
      <c r="N230" s="15">
        <v>0</v>
      </c>
      <c r="O230" s="15">
        <v>0</v>
      </c>
      <c r="P230" s="15"/>
    </row>
    <row r="231" spans="1:16">
      <c r="A231" s="8"/>
      <c r="B231" s="15">
        <v>2401</v>
      </c>
      <c r="C231" s="15">
        <v>293</v>
      </c>
      <c r="D231" s="15">
        <v>14</v>
      </c>
      <c r="E231" s="15">
        <v>0</v>
      </c>
      <c r="F231" s="14" t="str">
        <f>VLOOKUP(C231,skill_list!B:C,2)</f>
        <v>きらめきのエール</v>
      </c>
      <c r="G231" s="11"/>
      <c r="H231" s="15">
        <v>0</v>
      </c>
      <c r="I231" s="15">
        <v>0</v>
      </c>
      <c r="J231" s="15">
        <v>0</v>
      </c>
      <c r="K231" s="15">
        <v>1</v>
      </c>
      <c r="L231" s="15">
        <v>4</v>
      </c>
      <c r="M231" s="15">
        <v>0</v>
      </c>
      <c r="N231" s="15">
        <v>2</v>
      </c>
      <c r="O231" s="15">
        <v>0</v>
      </c>
      <c r="P231" s="15"/>
    </row>
    <row r="232" spans="1:16">
      <c r="A232" s="8"/>
      <c r="B232" s="15">
        <v>2501</v>
      </c>
      <c r="C232" s="15">
        <v>275</v>
      </c>
      <c r="D232" s="15">
        <v>15</v>
      </c>
      <c r="E232" s="15">
        <v>0</v>
      </c>
      <c r="F232" s="14" t="str">
        <f>VLOOKUP(C232,skill_list!B:C,2)</f>
        <v>カースサイス</v>
      </c>
      <c r="G232" s="11"/>
      <c r="H232" s="15">
        <v>0</v>
      </c>
      <c r="I232" s="15">
        <v>0</v>
      </c>
      <c r="J232" s="15">
        <v>0</v>
      </c>
      <c r="K232" s="15">
        <v>1</v>
      </c>
      <c r="L232" s="15">
        <v>1</v>
      </c>
      <c r="M232" s="15">
        <v>0</v>
      </c>
      <c r="N232" s="15">
        <v>2</v>
      </c>
      <c r="O232" s="15">
        <v>0</v>
      </c>
      <c r="P232" s="15"/>
    </row>
    <row r="233" spans="1:16">
      <c r="A233" s="8"/>
      <c r="B233" s="15">
        <v>2502</v>
      </c>
      <c r="C233" s="15">
        <v>380</v>
      </c>
      <c r="D233" s="15">
        <v>15</v>
      </c>
      <c r="E233" s="15">
        <v>0</v>
      </c>
      <c r="F233" s="14" t="str">
        <f>VLOOKUP(C233,skill_list!B:C,2)</f>
        <v>天変の相</v>
      </c>
      <c r="G233" s="11"/>
      <c r="H233" s="15">
        <v>0</v>
      </c>
      <c r="I233" s="15">
        <v>0</v>
      </c>
      <c r="J233" s="15">
        <v>0</v>
      </c>
      <c r="K233" s="15">
        <v>1</v>
      </c>
      <c r="L233" s="15">
        <v>1</v>
      </c>
      <c r="M233" s="15">
        <v>0</v>
      </c>
      <c r="N233" s="15">
        <v>2</v>
      </c>
      <c r="O233" s="15">
        <v>0</v>
      </c>
      <c r="P233" s="15"/>
    </row>
    <row r="234" spans="1:16">
      <c r="A234" s="8"/>
      <c r="B234" s="15">
        <v>2503</v>
      </c>
      <c r="C234" s="15">
        <v>265</v>
      </c>
      <c r="D234" s="15">
        <v>15</v>
      </c>
      <c r="E234" s="15">
        <v>0</v>
      </c>
      <c r="F234" s="14" t="str">
        <f>VLOOKUP(C234,skill_list!B:C,2)</f>
        <v>神妙</v>
      </c>
      <c r="G234" s="11"/>
      <c r="H234" s="15">
        <v>0</v>
      </c>
      <c r="I234" s="15">
        <v>0</v>
      </c>
      <c r="J234" s="15">
        <v>0</v>
      </c>
      <c r="K234" s="15">
        <v>1</v>
      </c>
      <c r="L234" s="15">
        <v>2</v>
      </c>
      <c r="M234" s="15">
        <v>0</v>
      </c>
      <c r="N234" s="15">
        <v>2</v>
      </c>
      <c r="O234" s="15">
        <v>0</v>
      </c>
      <c r="P234" s="15"/>
    </row>
    <row r="235" spans="1:16">
      <c r="A235" s="8"/>
      <c r="B235" s="15">
        <v>2504</v>
      </c>
      <c r="C235" s="15">
        <v>417</v>
      </c>
      <c r="D235" s="15">
        <v>15</v>
      </c>
      <c r="E235" s="15">
        <v>0</v>
      </c>
      <c r="F235" s="14" t="str">
        <f>VLOOKUP(C235,skill_list!B:C,2)</f>
        <v>ナイトフォール</v>
      </c>
      <c r="G235" s="11"/>
      <c r="H235" s="15">
        <v>0</v>
      </c>
      <c r="I235" s="15">
        <v>0</v>
      </c>
      <c r="J235" s="15">
        <v>0</v>
      </c>
      <c r="K235" s="15">
        <v>1</v>
      </c>
      <c r="L235" s="15">
        <v>1</v>
      </c>
      <c r="M235" s="15">
        <v>0</v>
      </c>
      <c r="N235" s="15">
        <v>2</v>
      </c>
      <c r="O235" s="15">
        <v>0</v>
      </c>
      <c r="P235" s="15"/>
    </row>
    <row r="236" spans="1:16">
      <c r="A236" s="8"/>
      <c r="B236" s="15">
        <v>2601</v>
      </c>
      <c r="C236" s="15">
        <v>331</v>
      </c>
      <c r="D236" s="15">
        <v>16</v>
      </c>
      <c r="E236" s="15">
        <v>0</v>
      </c>
      <c r="F236" s="14" t="str">
        <f>VLOOKUP(C236,skill_list!B:C,2)</f>
        <v>イチコロスマイル</v>
      </c>
      <c r="G236" s="11"/>
      <c r="H236" s="15">
        <v>5</v>
      </c>
      <c r="I236" s="15">
        <v>5</v>
      </c>
      <c r="J236" s="15">
        <v>0</v>
      </c>
      <c r="K236" s="15">
        <v>1</v>
      </c>
      <c r="L236" s="15">
        <v>7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2602</v>
      </c>
      <c r="C237" s="15">
        <v>384</v>
      </c>
      <c r="D237" s="15">
        <v>16</v>
      </c>
      <c r="E237" s="15">
        <v>0</v>
      </c>
      <c r="F237" s="14" t="str">
        <f>VLOOKUP(C237,skill_list!B:C,2)</f>
        <v>バックラッシュ</v>
      </c>
      <c r="G237" s="11"/>
      <c r="H237" s="15">
        <v>5</v>
      </c>
      <c r="I237" s="15">
        <v>5</v>
      </c>
      <c r="J237" s="15">
        <v>0</v>
      </c>
      <c r="K237" s="15">
        <v>1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2603</v>
      </c>
      <c r="C238" s="15">
        <v>425</v>
      </c>
      <c r="D238" s="15">
        <v>16</v>
      </c>
      <c r="E238" s="15">
        <v>0</v>
      </c>
      <c r="F238" s="14" t="str">
        <f>VLOOKUP(C238,skill_list!B:C,2)</f>
        <v>セルフパッション</v>
      </c>
      <c r="G238" s="11"/>
      <c r="H238" s="15">
        <v>5</v>
      </c>
      <c r="I238" s="15">
        <v>5</v>
      </c>
      <c r="J238" s="15">
        <v>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</row>
    <row r="239" spans="1:16">
      <c r="A239" s="8"/>
      <c r="B239" s="15">
        <v>2701</v>
      </c>
      <c r="C239" s="15">
        <v>189</v>
      </c>
      <c r="D239" s="15">
        <v>17</v>
      </c>
      <c r="E239" s="15">
        <v>0</v>
      </c>
      <c r="F239" s="14" t="str">
        <f>VLOOKUP(C239,skill_list!B:C,2)</f>
        <v>心意活性</v>
      </c>
      <c r="G239" s="11"/>
      <c r="H239" s="15">
        <v>2</v>
      </c>
      <c r="I239" s="15">
        <v>3</v>
      </c>
      <c r="J239" s="15">
        <v>129</v>
      </c>
      <c r="K239" s="15">
        <v>1</v>
      </c>
      <c r="L239" s="15">
        <v>7</v>
      </c>
      <c r="M239" s="15">
        <v>0</v>
      </c>
      <c r="N239" s="15">
        <v>1</v>
      </c>
      <c r="O239" s="15">
        <v>0</v>
      </c>
      <c r="P239" s="15"/>
    </row>
    <row r="240" spans="1:16">
      <c r="A240" s="8"/>
      <c r="B240" s="15">
        <v>2702</v>
      </c>
      <c r="C240" s="15">
        <v>255</v>
      </c>
      <c r="D240" s="15">
        <v>17</v>
      </c>
      <c r="E240" s="15">
        <v>0</v>
      </c>
      <c r="F240" s="14" t="str">
        <f>VLOOKUP(C240,skill_list!B:C,2)</f>
        <v>ホールドアップマインド</v>
      </c>
      <c r="G240" s="11"/>
      <c r="H240" s="15">
        <v>2</v>
      </c>
      <c r="I240" s="15">
        <v>2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7">
      <c r="A241" s="8"/>
      <c r="B241" s="15">
        <v>2703</v>
      </c>
      <c r="C241" s="15">
        <v>236</v>
      </c>
      <c r="D241" s="15">
        <v>17</v>
      </c>
      <c r="E241" s="15">
        <v>0</v>
      </c>
      <c r="F241" s="14" t="str">
        <f>VLOOKUP(C241,skill_list!B:C,2)</f>
        <v>ブリリアント・グローリー</v>
      </c>
      <c r="G241" s="11"/>
      <c r="H241" s="15">
        <v>2</v>
      </c>
      <c r="I241" s="15">
        <v>3</v>
      </c>
      <c r="J241" s="15">
        <v>208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7">
      <c r="A242" s="8"/>
      <c r="B242" s="15">
        <v>3300</v>
      </c>
      <c r="C242" s="15">
        <v>1007</v>
      </c>
      <c r="D242" s="15">
        <v>23</v>
      </c>
      <c r="E242" s="15">
        <v>0</v>
      </c>
      <c r="F242" s="14" t="str">
        <f>VLOOKUP(C242,skill_list!B:C,2)</f>
        <v>ポイントケア</v>
      </c>
      <c r="G242" s="11"/>
      <c r="H242" s="15">
        <v>3</v>
      </c>
      <c r="I242" s="15">
        <v>3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7">
      <c r="A243" s="8"/>
      <c r="B243" s="15">
        <v>3301</v>
      </c>
      <c r="C243" s="15">
        <v>22</v>
      </c>
      <c r="D243" s="15">
        <v>23</v>
      </c>
      <c r="E243" s="15">
        <v>0</v>
      </c>
      <c r="F243" s="14" t="str">
        <f>VLOOKUP(C243,skill_list!B:C,2)</f>
        <v>ブレスショット</v>
      </c>
      <c r="G243" s="11"/>
      <c r="H243" s="15">
        <v>3</v>
      </c>
      <c r="I243" s="15">
        <v>3</v>
      </c>
      <c r="J243" s="15">
        <v>0</v>
      </c>
      <c r="K243" s="15">
        <v>1</v>
      </c>
      <c r="L243" s="15">
        <v>7</v>
      </c>
      <c r="M243" s="15">
        <v>0</v>
      </c>
      <c r="N243" s="15">
        <v>1</v>
      </c>
      <c r="O243" s="15">
        <v>999</v>
      </c>
      <c r="P243" s="15"/>
    </row>
    <row r="244" spans="1:17">
      <c r="A244" s="8"/>
      <c r="B244" s="15">
        <v>3302</v>
      </c>
      <c r="C244" s="15">
        <v>33</v>
      </c>
      <c r="D244" s="15">
        <v>23</v>
      </c>
      <c r="E244" s="15">
        <v>0</v>
      </c>
      <c r="F244" s="14" t="str">
        <f>VLOOKUP(C244,skill_list!B:C,2)</f>
        <v>闘気斬</v>
      </c>
      <c r="G244" s="11"/>
      <c r="H244" s="15">
        <v>3</v>
      </c>
      <c r="I244" s="15">
        <v>3</v>
      </c>
      <c r="J244" s="15">
        <v>0</v>
      </c>
      <c r="K244" s="15">
        <v>1</v>
      </c>
      <c r="L244" s="15">
        <v>7</v>
      </c>
      <c r="M244" s="15">
        <v>0</v>
      </c>
      <c r="N244" s="15">
        <v>1</v>
      </c>
      <c r="O244" s="15">
        <v>999</v>
      </c>
      <c r="P244" s="15"/>
    </row>
    <row r="245" spans="1:17">
      <c r="A245" s="8"/>
      <c r="B245" s="15">
        <v>3303</v>
      </c>
      <c r="C245" s="15">
        <v>113</v>
      </c>
      <c r="D245" s="15">
        <v>23</v>
      </c>
      <c r="E245" s="15">
        <v>0</v>
      </c>
      <c r="F245" s="14" t="str">
        <f>VLOOKUP(C245,skill_list!B:C,2)</f>
        <v>ヴィヴィットシュート</v>
      </c>
      <c r="G245" s="11"/>
      <c r="H245" s="15">
        <v>2</v>
      </c>
      <c r="I245" s="15">
        <v>2</v>
      </c>
      <c r="J245" s="15">
        <v>0</v>
      </c>
      <c r="K245" s="15">
        <v>1</v>
      </c>
      <c r="L245" s="15">
        <v>7</v>
      </c>
      <c r="M245" s="15">
        <v>0</v>
      </c>
      <c r="N245" s="15">
        <v>1</v>
      </c>
      <c r="O245" s="15">
        <v>999</v>
      </c>
      <c r="P245" s="15"/>
    </row>
    <row r="246" spans="1:17">
      <c r="A246" s="8"/>
      <c r="B246" s="15">
        <v>3304</v>
      </c>
      <c r="C246" s="15">
        <v>120</v>
      </c>
      <c r="D246" s="15">
        <v>23</v>
      </c>
      <c r="E246" s="15">
        <v>0</v>
      </c>
      <c r="F246" s="14" t="str">
        <f>VLOOKUP(C246,skill_list!B:C,2)</f>
        <v>リバースショット</v>
      </c>
      <c r="G246" s="11"/>
      <c r="H246" s="15">
        <v>2</v>
      </c>
      <c r="I246" s="15">
        <v>2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999</v>
      </c>
      <c r="P246" s="15"/>
    </row>
    <row r="247" spans="1:17">
      <c r="A247" s="8"/>
      <c r="B247" s="15">
        <v>3305</v>
      </c>
      <c r="C247" s="15">
        <v>132</v>
      </c>
      <c r="D247" s="15">
        <v>23</v>
      </c>
      <c r="E247" s="15">
        <v>0</v>
      </c>
      <c r="F247" s="14" t="str">
        <f>VLOOKUP(C247,skill_list!B:C,2)</f>
        <v>砕華</v>
      </c>
      <c r="G247" s="11"/>
      <c r="H247" s="15">
        <v>3</v>
      </c>
      <c r="I247" s="15">
        <v>3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999</v>
      </c>
      <c r="P247" s="15"/>
    </row>
    <row r="248" spans="1:17">
      <c r="A248" s="8"/>
      <c r="B248" s="15">
        <v>3306</v>
      </c>
      <c r="C248" s="15">
        <v>190</v>
      </c>
      <c r="D248" s="15">
        <v>23</v>
      </c>
      <c r="E248" s="15">
        <v>0</v>
      </c>
      <c r="F248" s="14" t="str">
        <f>VLOOKUP(C248,skill_list!B:C,2)</f>
        <v>ゲインカノン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7">
      <c r="A249" s="8"/>
      <c r="B249" s="15">
        <v>3307</v>
      </c>
      <c r="C249" s="15">
        <v>212</v>
      </c>
      <c r="D249" s="15">
        <v>23</v>
      </c>
      <c r="E249" s="15">
        <v>0</v>
      </c>
      <c r="F249" s="14" t="str">
        <f>VLOOKUP(C249,skill_list!B:C,2)</f>
        <v>粛正</v>
      </c>
      <c r="G249" s="11"/>
      <c r="H249" s="15">
        <v>3</v>
      </c>
      <c r="I249" s="15">
        <v>3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7">
      <c r="A250" s="8"/>
      <c r="B250" s="15">
        <v>3308</v>
      </c>
      <c r="C250" s="15">
        <v>239</v>
      </c>
      <c r="D250" s="15">
        <v>23</v>
      </c>
      <c r="E250" s="15">
        <v>0</v>
      </c>
      <c r="F250" s="14" t="str">
        <f>VLOOKUP(C250,skill_list!B:C,2)</f>
        <v>キャンディ・バースト</v>
      </c>
      <c r="G250" s="11"/>
      <c r="H250" s="15">
        <v>3</v>
      </c>
      <c r="I250" s="15">
        <v>3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7">
      <c r="A251" s="8"/>
      <c r="B251" s="15">
        <v>3309</v>
      </c>
      <c r="C251" s="15">
        <v>259</v>
      </c>
      <c r="D251" s="15">
        <v>23</v>
      </c>
      <c r="E251" s="15">
        <v>0</v>
      </c>
      <c r="F251" s="14" t="str">
        <f>VLOOKUP(C251,skill_list!B:C,2)</f>
        <v>不純なアリア</v>
      </c>
      <c r="G251" s="11"/>
      <c r="H251" s="15">
        <v>3</v>
      </c>
      <c r="I251" s="15">
        <v>3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7">
      <c r="A252" s="8"/>
      <c r="B252" s="15">
        <v>3310</v>
      </c>
      <c r="C252" s="15">
        <v>309</v>
      </c>
      <c r="D252" s="15">
        <v>23</v>
      </c>
      <c r="E252" s="15">
        <v>0</v>
      </c>
      <c r="F252" s="14" t="str">
        <f>VLOOKUP(C252,skill_list!B:C,2)</f>
        <v>フォーチュンスラッシュ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7">
      <c r="A253" s="8"/>
      <c r="B253" s="15">
        <v>3311</v>
      </c>
      <c r="C253" s="15">
        <v>324</v>
      </c>
      <c r="D253" s="15">
        <v>23</v>
      </c>
      <c r="E253" s="15">
        <v>0</v>
      </c>
      <c r="F253" s="14" t="str">
        <f>VLOOKUP(C253,skill_list!B:C,2)</f>
        <v>トランスペイン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7">
      <c r="A254" s="8"/>
      <c r="B254" s="15">
        <v>3312</v>
      </c>
      <c r="C254" s="15">
        <v>382</v>
      </c>
      <c r="D254" s="15">
        <v>23</v>
      </c>
      <c r="E254" s="15">
        <v>0</v>
      </c>
      <c r="F254" s="14" t="str">
        <f>VLOOKUP(C254,skill_list!B:C,2)</f>
        <v>エキゾーストノート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7">
      <c r="A255" s="8"/>
      <c r="B255" s="15">
        <v>3313</v>
      </c>
      <c r="C255" s="15">
        <v>397</v>
      </c>
      <c r="D255" s="15">
        <v>23</v>
      </c>
      <c r="E255" s="15">
        <v>0</v>
      </c>
      <c r="F255" s="14" t="str">
        <f>VLOOKUP(C255,skill_list!B:C,2)</f>
        <v>春雷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  <c r="Q255" s="15"/>
    </row>
    <row r="256" spans="1:17">
      <c r="A256" s="8"/>
      <c r="B256" s="15">
        <v>3314</v>
      </c>
      <c r="C256" s="15">
        <v>427</v>
      </c>
      <c r="D256" s="15">
        <v>23</v>
      </c>
      <c r="E256" s="15">
        <v>0</v>
      </c>
      <c r="F256" s="14" t="str">
        <f>VLOOKUP(C256,skill_list!B:C,2)</f>
        <v>ファンタズム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6">
      <c r="A257" s="8"/>
      <c r="B257" s="15">
        <v>3315</v>
      </c>
      <c r="C257" s="15">
        <v>480</v>
      </c>
      <c r="D257" s="15">
        <v>23</v>
      </c>
      <c r="E257" s="15">
        <v>0</v>
      </c>
      <c r="F257" s="14" t="str">
        <f>VLOOKUP(C257,skill_list!B:C,2)</f>
        <v>スイーツチャージ！</v>
      </c>
      <c r="G257" s="11"/>
      <c r="H257" s="15">
        <v>2</v>
      </c>
      <c r="I257" s="15">
        <v>2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6">
      <c r="A258" s="8"/>
      <c r="B258" s="15">
        <v>3316</v>
      </c>
      <c r="C258" s="15">
        <v>177</v>
      </c>
      <c r="D258" s="15">
        <v>23</v>
      </c>
      <c r="E258" s="15">
        <v>0</v>
      </c>
      <c r="F258" s="14" t="str">
        <f>VLOOKUP(C258,skill_list!B:C,2)</f>
        <v>エリミネイト・ポッシブル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3</v>
      </c>
      <c r="M258" s="15">
        <v>0</v>
      </c>
      <c r="N258" s="15">
        <v>1</v>
      </c>
      <c r="O258" s="15">
        <v>0</v>
      </c>
      <c r="P258" s="15"/>
    </row>
    <row r="259" spans="1:16">
      <c r="A259" s="8"/>
      <c r="B259" s="15">
        <v>3401</v>
      </c>
      <c r="C259" s="15">
        <v>137</v>
      </c>
      <c r="D259" s="15">
        <v>24</v>
      </c>
      <c r="E259" s="15">
        <v>0</v>
      </c>
      <c r="F259" s="14" t="str">
        <f>VLOOKUP(C259,skill_list!B:C,2)</f>
        <v>サイクロンブレード</v>
      </c>
      <c r="G259" s="11"/>
      <c r="H259" s="15">
        <v>0</v>
      </c>
      <c r="I259" s="15">
        <v>0</v>
      </c>
      <c r="J259" s="15">
        <v>0</v>
      </c>
      <c r="K259" s="15">
        <v>0</v>
      </c>
      <c r="L259" s="15">
        <v>7</v>
      </c>
      <c r="M259" s="15">
        <v>0</v>
      </c>
      <c r="N259" s="15">
        <v>2</v>
      </c>
      <c r="O259" s="15">
        <v>999</v>
      </c>
      <c r="P259" s="15"/>
    </row>
    <row r="260" spans="1:16">
      <c r="A260" s="8"/>
      <c r="B260" s="15">
        <v>3402</v>
      </c>
      <c r="C260" s="15">
        <v>211</v>
      </c>
      <c r="D260" s="15">
        <v>24</v>
      </c>
      <c r="E260" s="15">
        <v>0</v>
      </c>
      <c r="F260" s="14" t="str">
        <f>VLOOKUP(C260,skill_list!B:C,2)</f>
        <v>我忘恍惚</v>
      </c>
      <c r="G260" s="11"/>
      <c r="H260" s="15">
        <v>0</v>
      </c>
      <c r="I260" s="15">
        <v>0</v>
      </c>
      <c r="J260" s="15">
        <v>0</v>
      </c>
      <c r="K260" s="15">
        <v>0</v>
      </c>
      <c r="L260" s="15">
        <v>7</v>
      </c>
      <c r="M260" s="15">
        <v>0</v>
      </c>
      <c r="N260" s="15">
        <v>2</v>
      </c>
      <c r="O260" s="15">
        <v>1</v>
      </c>
      <c r="P260" s="15"/>
    </row>
    <row r="261" spans="1:16">
      <c r="A261" s="8"/>
      <c r="B261" s="15">
        <v>3403</v>
      </c>
      <c r="C261" s="15">
        <v>229</v>
      </c>
      <c r="D261" s="15">
        <v>24</v>
      </c>
      <c r="E261" s="15">
        <v>0</v>
      </c>
      <c r="F261" s="14" t="str">
        <f>VLOOKUP(C261,skill_list!B:C,2)</f>
        <v>フューリーインパルス</v>
      </c>
      <c r="G261" s="11"/>
      <c r="H261" s="15">
        <v>0</v>
      </c>
      <c r="I261" s="15">
        <v>0</v>
      </c>
      <c r="J261" s="15">
        <v>0</v>
      </c>
      <c r="K261" s="15">
        <v>0</v>
      </c>
      <c r="L261" s="15">
        <v>7</v>
      </c>
      <c r="M261" s="15">
        <v>0</v>
      </c>
      <c r="N261" s="15">
        <v>2</v>
      </c>
      <c r="O261" s="15">
        <v>999</v>
      </c>
      <c r="P261" s="15"/>
    </row>
    <row r="262" spans="1:16">
      <c r="A262" s="8"/>
      <c r="B262" s="15">
        <v>3404</v>
      </c>
      <c r="C262" s="15">
        <v>243</v>
      </c>
      <c r="D262" s="15">
        <v>24</v>
      </c>
      <c r="E262" s="15">
        <v>0</v>
      </c>
      <c r="F262" s="14" t="str">
        <f>VLOOKUP(C262,skill_list!B:C,2)</f>
        <v>銀蜂</v>
      </c>
      <c r="G262" s="11"/>
      <c r="H262" s="15">
        <v>0</v>
      </c>
      <c r="I262" s="15">
        <v>0</v>
      </c>
      <c r="J262" s="15">
        <v>0</v>
      </c>
      <c r="K262" s="15">
        <v>0</v>
      </c>
      <c r="L262" s="15">
        <v>7</v>
      </c>
      <c r="M262" s="15">
        <v>0</v>
      </c>
      <c r="N262" s="15">
        <v>2</v>
      </c>
      <c r="O262" s="15">
        <v>999</v>
      </c>
      <c r="P262" s="15"/>
    </row>
    <row r="263" spans="1:16">
      <c r="A263" s="8"/>
      <c r="B263" s="15">
        <v>3405</v>
      </c>
      <c r="C263" s="15">
        <v>322</v>
      </c>
      <c r="D263" s="15">
        <v>24</v>
      </c>
      <c r="E263" s="15">
        <v>0</v>
      </c>
      <c r="F263" s="14" t="str">
        <f>VLOOKUP(C263,skill_list!B:C,2)</f>
        <v>決戦前夜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2</v>
      </c>
      <c r="O263" s="15">
        <v>0</v>
      </c>
      <c r="P263" s="15"/>
    </row>
    <row r="264" spans="1:16">
      <c r="A264" s="8"/>
      <c r="B264" s="15">
        <v>3406</v>
      </c>
      <c r="C264" s="15">
        <v>473</v>
      </c>
      <c r="D264" s="15">
        <v>24</v>
      </c>
      <c r="E264" s="15">
        <v>0</v>
      </c>
      <c r="F264" s="14" t="str">
        <f>VLOOKUP(C264,skill_list!B:C,2)</f>
        <v>朝霜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999</v>
      </c>
      <c r="P264" s="15"/>
    </row>
    <row r="265" spans="1:16">
      <c r="A265" s="8"/>
      <c r="B265" s="15">
        <v>3501</v>
      </c>
      <c r="C265" s="15">
        <v>38</v>
      </c>
      <c r="D265" s="15">
        <v>25</v>
      </c>
      <c r="E265" s="15">
        <v>0</v>
      </c>
      <c r="F265" s="14" t="str">
        <f>VLOOKUP(C265,skill_list!B:C,2)</f>
        <v>プロヴォーク</v>
      </c>
      <c r="G265" s="11"/>
      <c r="H265" s="15">
        <v>2</v>
      </c>
      <c r="I265" s="15">
        <v>3</v>
      </c>
      <c r="J265" s="15">
        <v>208</v>
      </c>
      <c r="K265" s="15">
        <v>0</v>
      </c>
      <c r="L265" s="15">
        <v>7</v>
      </c>
      <c r="M265" s="15">
        <v>0</v>
      </c>
      <c r="N265" s="15">
        <v>3</v>
      </c>
      <c r="O265" s="15">
        <v>0</v>
      </c>
      <c r="P265" s="15"/>
    </row>
    <row r="266" spans="1:16">
      <c r="A266" s="8"/>
      <c r="B266" s="15">
        <v>3502</v>
      </c>
      <c r="C266" s="15">
        <v>65</v>
      </c>
      <c r="D266" s="15">
        <v>25</v>
      </c>
      <c r="E266" s="15">
        <v>0</v>
      </c>
      <c r="F266" s="14" t="str">
        <f>VLOOKUP(C266,skill_list!B:C,2)</f>
        <v>ポラリスの輝き</v>
      </c>
      <c r="G266" s="11"/>
      <c r="H266" s="15">
        <v>2</v>
      </c>
      <c r="I266" s="15">
        <v>3</v>
      </c>
      <c r="J266" s="15">
        <v>129</v>
      </c>
      <c r="K266" s="15">
        <v>0</v>
      </c>
      <c r="L266" s="15">
        <v>7</v>
      </c>
      <c r="M266" s="15">
        <v>0</v>
      </c>
      <c r="N266" s="15">
        <v>3</v>
      </c>
      <c r="O266" s="15">
        <v>999</v>
      </c>
      <c r="P266" s="15"/>
    </row>
    <row r="267" spans="1:16">
      <c r="A267" s="8"/>
      <c r="B267" s="15">
        <v>3503</v>
      </c>
      <c r="C267" s="15">
        <v>129</v>
      </c>
      <c r="D267" s="15">
        <v>25</v>
      </c>
      <c r="E267" s="15">
        <v>0</v>
      </c>
      <c r="F267" s="14" t="str">
        <f>VLOOKUP(C267,skill_list!B:C,2)</f>
        <v>ライオンハート</v>
      </c>
      <c r="G267" s="11"/>
      <c r="H267" s="15">
        <v>2</v>
      </c>
      <c r="I267" s="15">
        <v>3</v>
      </c>
      <c r="J267" s="15">
        <v>184</v>
      </c>
      <c r="K267" s="15">
        <v>0</v>
      </c>
      <c r="L267" s="15">
        <v>7</v>
      </c>
      <c r="M267" s="15">
        <v>0</v>
      </c>
      <c r="N267" s="15">
        <v>3</v>
      </c>
      <c r="O267" s="15">
        <v>0</v>
      </c>
      <c r="P267" s="15"/>
    </row>
    <row r="268" spans="1:16">
      <c r="A268" s="8"/>
      <c r="B268" s="15">
        <v>3504</v>
      </c>
      <c r="C268" s="15">
        <v>160</v>
      </c>
      <c r="D268" s="15">
        <v>25</v>
      </c>
      <c r="E268" s="15">
        <v>0</v>
      </c>
      <c r="F268" s="14" t="str">
        <f>VLOOKUP(C268,skill_list!B:C,2)</f>
        <v>ギャザー・バッシュ</v>
      </c>
      <c r="G268" s="11"/>
      <c r="H268" s="15">
        <v>2</v>
      </c>
      <c r="I268" s="15">
        <v>3</v>
      </c>
      <c r="J268" s="15">
        <v>117</v>
      </c>
      <c r="K268" s="15">
        <v>0</v>
      </c>
      <c r="L268" s="15">
        <v>7</v>
      </c>
      <c r="M268" s="15">
        <v>0</v>
      </c>
      <c r="N268" s="15">
        <v>3</v>
      </c>
      <c r="O268" s="15">
        <v>999</v>
      </c>
      <c r="P268" s="15"/>
    </row>
    <row r="269" spans="1:16">
      <c r="A269" s="8"/>
      <c r="B269" s="15">
        <v>3505</v>
      </c>
      <c r="C269" s="15">
        <v>233</v>
      </c>
      <c r="D269" s="15">
        <v>25</v>
      </c>
      <c r="E269" s="15">
        <v>0</v>
      </c>
      <c r="F269" s="14" t="str">
        <f>VLOOKUP(C269,skill_list!B:C,2)</f>
        <v>プロヴォーク</v>
      </c>
      <c r="G269" s="11"/>
      <c r="H269" s="15">
        <v>2</v>
      </c>
      <c r="I269" s="15">
        <v>3</v>
      </c>
      <c r="J269" s="15">
        <v>208</v>
      </c>
      <c r="K269" s="15">
        <v>0</v>
      </c>
      <c r="L269" s="15">
        <v>7</v>
      </c>
      <c r="M269" s="15">
        <v>0</v>
      </c>
      <c r="N269" s="15">
        <v>3</v>
      </c>
      <c r="O269" s="15">
        <v>0</v>
      </c>
      <c r="P269" s="15"/>
    </row>
    <row r="270" spans="1:16">
      <c r="A270" s="8"/>
      <c r="B270" s="15">
        <v>3506</v>
      </c>
      <c r="C270" s="15">
        <v>257</v>
      </c>
      <c r="D270" s="15">
        <v>25</v>
      </c>
      <c r="E270" s="15">
        <v>0</v>
      </c>
      <c r="F270" s="14" t="str">
        <f>VLOOKUP(C270,skill_list!B:C,2)</f>
        <v>プリンシプルチャンダス</v>
      </c>
      <c r="G270" s="11"/>
      <c r="H270" s="15">
        <v>2</v>
      </c>
      <c r="I270" s="15">
        <v>3</v>
      </c>
      <c r="J270" s="15">
        <v>131</v>
      </c>
      <c r="K270" s="15">
        <v>0</v>
      </c>
      <c r="L270" s="15">
        <v>7</v>
      </c>
      <c r="M270" s="15">
        <v>0</v>
      </c>
      <c r="N270" s="15">
        <v>3</v>
      </c>
      <c r="O270" s="15">
        <v>999</v>
      </c>
      <c r="P270" s="15"/>
    </row>
    <row r="271" spans="1:16">
      <c r="A271" s="8"/>
      <c r="B271" s="15">
        <v>3507</v>
      </c>
      <c r="C271" s="15">
        <v>326</v>
      </c>
      <c r="D271" s="15">
        <v>25</v>
      </c>
      <c r="E271" s="15">
        <v>0</v>
      </c>
      <c r="F271" s="14" t="str">
        <f>VLOOKUP(C271,skill_list!B:C,2)</f>
        <v>籠の鳥</v>
      </c>
      <c r="G271" s="11"/>
      <c r="H271" s="15">
        <v>2</v>
      </c>
      <c r="I271" s="15">
        <v>3</v>
      </c>
      <c r="J271" s="15">
        <v>184</v>
      </c>
      <c r="K271" s="15">
        <v>0</v>
      </c>
      <c r="L271" s="15">
        <v>7</v>
      </c>
      <c r="M271" s="15">
        <v>0</v>
      </c>
      <c r="N271" s="15">
        <v>3</v>
      </c>
      <c r="O271" s="15">
        <v>0</v>
      </c>
      <c r="P271" s="15"/>
    </row>
    <row r="272" spans="1:16">
      <c r="A272" s="8"/>
      <c r="B272" s="15">
        <v>3508</v>
      </c>
      <c r="C272" s="15">
        <v>341</v>
      </c>
      <c r="D272" s="15">
        <v>25</v>
      </c>
      <c r="E272" s="15">
        <v>0</v>
      </c>
      <c r="F272" s="14" t="str">
        <f>VLOOKUP(C272,skill_list!B:C,2)</f>
        <v>ご注文を伺います</v>
      </c>
      <c r="G272" s="11"/>
      <c r="H272" s="15">
        <v>2</v>
      </c>
      <c r="I272" s="15">
        <v>3</v>
      </c>
      <c r="J272" s="15">
        <v>192</v>
      </c>
      <c r="K272" s="15">
        <v>0</v>
      </c>
      <c r="L272" s="15">
        <v>7</v>
      </c>
      <c r="M272" s="15">
        <v>0</v>
      </c>
      <c r="N272" s="15">
        <v>3</v>
      </c>
      <c r="O272" s="15">
        <v>0</v>
      </c>
      <c r="P272" s="15"/>
    </row>
    <row r="273" spans="1:16">
      <c r="A273" s="8"/>
      <c r="B273" s="15">
        <v>3509</v>
      </c>
      <c r="C273" s="15">
        <v>358</v>
      </c>
      <c r="D273" s="15">
        <v>25</v>
      </c>
      <c r="E273" s="15">
        <v>0</v>
      </c>
      <c r="F273" s="14" t="str">
        <f>VLOOKUP(C273,skill_list!B:C,2)</f>
        <v>決意の夜</v>
      </c>
      <c r="G273" s="11"/>
      <c r="H273" s="15">
        <v>2</v>
      </c>
      <c r="I273" s="15">
        <v>3</v>
      </c>
      <c r="J273" s="15">
        <v>184</v>
      </c>
      <c r="K273" s="15">
        <v>0</v>
      </c>
      <c r="L273" s="15">
        <v>7</v>
      </c>
      <c r="M273" s="15">
        <v>0</v>
      </c>
      <c r="N273" s="15">
        <v>3</v>
      </c>
      <c r="O273" s="15">
        <v>0</v>
      </c>
      <c r="P273" s="15"/>
    </row>
    <row r="274" spans="1:16">
      <c r="A274" s="8"/>
      <c r="B274" s="15">
        <v>3510</v>
      </c>
      <c r="C274" s="15">
        <v>434</v>
      </c>
      <c r="D274" s="15">
        <v>25</v>
      </c>
      <c r="E274" s="15">
        <v>0</v>
      </c>
      <c r="F274" s="14" t="str">
        <f>VLOOKUP(C274,skill_list!B:C,2)</f>
        <v>シンコペーション</v>
      </c>
      <c r="G274" s="11"/>
      <c r="H274" s="15">
        <v>2</v>
      </c>
      <c r="I274" s="15">
        <v>3</v>
      </c>
      <c r="J274" s="15">
        <v>184</v>
      </c>
      <c r="K274" s="15">
        <v>0</v>
      </c>
      <c r="L274" s="15">
        <v>7</v>
      </c>
      <c r="M274" s="15">
        <v>0</v>
      </c>
      <c r="N274" s="15">
        <v>3</v>
      </c>
      <c r="O274" s="15">
        <v>0</v>
      </c>
      <c r="P274" s="15"/>
    </row>
    <row r="275" spans="1:16">
      <c r="A275" s="8"/>
      <c r="B275" s="15">
        <v>3511</v>
      </c>
      <c r="C275" s="15">
        <v>461</v>
      </c>
      <c r="D275" s="15">
        <v>25</v>
      </c>
      <c r="E275" s="15">
        <v>0</v>
      </c>
      <c r="F275" s="14" t="str">
        <f>VLOOKUP(C275,skill_list!B:C,2)</f>
        <v>ねこじゃらし</v>
      </c>
      <c r="G275" s="11"/>
      <c r="H275" s="15">
        <v>2</v>
      </c>
      <c r="I275" s="15">
        <v>3</v>
      </c>
      <c r="J275" s="15">
        <v>200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3601</v>
      </c>
      <c r="C276" s="15">
        <v>88</v>
      </c>
      <c r="D276" s="15">
        <v>26</v>
      </c>
      <c r="E276" s="15">
        <v>0</v>
      </c>
      <c r="F276" s="14" t="str">
        <f>VLOOKUP(C276,skill_list!B:C,2)</f>
        <v>導きの号令</v>
      </c>
      <c r="G276" s="11"/>
      <c r="H276" s="15">
        <v>0</v>
      </c>
      <c r="I276" s="15">
        <v>0</v>
      </c>
      <c r="J276" s="15">
        <v>0</v>
      </c>
      <c r="K276" s="15">
        <v>0</v>
      </c>
      <c r="L276" s="15">
        <v>7</v>
      </c>
      <c r="M276" s="15">
        <v>0</v>
      </c>
      <c r="N276" s="15">
        <v>1</v>
      </c>
      <c r="O276" s="15">
        <v>0</v>
      </c>
      <c r="P276" s="15"/>
    </row>
    <row r="277" spans="1:16">
      <c r="A277" s="8"/>
      <c r="B277" s="15">
        <v>3602</v>
      </c>
      <c r="C277" s="15">
        <v>217</v>
      </c>
      <c r="D277" s="15">
        <v>26</v>
      </c>
      <c r="E277" s="15">
        <v>0</v>
      </c>
      <c r="F277" s="14" t="str">
        <f>VLOOKUP(C277,skill_list!B:C,2)</f>
        <v>空</v>
      </c>
      <c r="G277" s="11"/>
      <c r="H277" s="15">
        <v>0</v>
      </c>
      <c r="I277" s="15">
        <v>0</v>
      </c>
      <c r="J277" s="15">
        <v>0</v>
      </c>
      <c r="K277" s="15">
        <v>0</v>
      </c>
      <c r="L277" s="15">
        <v>7</v>
      </c>
      <c r="M277" s="15">
        <v>0</v>
      </c>
      <c r="N277" s="15">
        <v>1</v>
      </c>
      <c r="O277" s="15">
        <v>0</v>
      </c>
      <c r="P277" s="15"/>
    </row>
    <row r="278" spans="1:16">
      <c r="A278" s="8"/>
      <c r="B278" s="15">
        <v>3603</v>
      </c>
      <c r="C278" s="15">
        <v>267</v>
      </c>
      <c r="D278" s="15">
        <v>26</v>
      </c>
      <c r="E278" s="15">
        <v>0</v>
      </c>
      <c r="F278" s="14" t="str">
        <f>VLOOKUP(C278,skill_list!B:C,2)</f>
        <v>細雪</v>
      </c>
      <c r="G278" s="11"/>
      <c r="H278" s="15">
        <v>0</v>
      </c>
      <c r="I278" s="15">
        <v>0</v>
      </c>
      <c r="J278" s="15">
        <v>0</v>
      </c>
      <c r="K278" s="15">
        <v>0</v>
      </c>
      <c r="L278" s="15">
        <v>7</v>
      </c>
      <c r="M278" s="15">
        <v>0</v>
      </c>
      <c r="N278" s="15">
        <v>1</v>
      </c>
      <c r="O278" s="15">
        <v>0</v>
      </c>
      <c r="P278" s="15"/>
    </row>
    <row r="279" spans="1:16">
      <c r="A279" s="8"/>
      <c r="B279" s="15">
        <v>3604</v>
      </c>
      <c r="C279" s="15">
        <v>346</v>
      </c>
      <c r="D279" s="15">
        <v>26</v>
      </c>
      <c r="E279" s="15">
        <v>0</v>
      </c>
      <c r="F279" s="14" t="str">
        <f>VLOOKUP(C279,skill_list!B:C,2)</f>
        <v>メイドの嗜み</v>
      </c>
      <c r="G279" s="11"/>
      <c r="H279" s="15">
        <v>0</v>
      </c>
      <c r="I279" s="15">
        <v>0</v>
      </c>
      <c r="J279" s="15">
        <v>0</v>
      </c>
      <c r="K279" s="15">
        <v>0</v>
      </c>
      <c r="L279" s="15">
        <v>7</v>
      </c>
      <c r="M279" s="15">
        <v>0</v>
      </c>
      <c r="N279" s="15">
        <v>1</v>
      </c>
      <c r="O279" s="15">
        <v>0</v>
      </c>
      <c r="P279" s="15"/>
    </row>
    <row r="280" spans="1:16">
      <c r="A280" s="8"/>
      <c r="B280" s="15">
        <v>3605</v>
      </c>
      <c r="C280" s="15">
        <v>371</v>
      </c>
      <c r="D280" s="15">
        <v>26</v>
      </c>
      <c r="E280" s="15">
        <v>0</v>
      </c>
      <c r="F280" s="14" t="str">
        <f>VLOOKUP(C280,skill_list!B:C,2)</f>
        <v>赤面スティグマ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1</v>
      </c>
      <c r="O280" s="15">
        <v>0</v>
      </c>
      <c r="P280" s="15"/>
    </row>
    <row r="281" spans="1:16">
      <c r="A281" s="8"/>
      <c r="B281" s="15">
        <v>3606</v>
      </c>
      <c r="C281" s="15">
        <v>380</v>
      </c>
      <c r="D281" s="15">
        <v>26</v>
      </c>
      <c r="E281" s="15">
        <v>0</v>
      </c>
      <c r="F281" s="14" t="str">
        <f>VLOOKUP(C281,skill_list!B:C,2)</f>
        <v>天変の相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3607</v>
      </c>
      <c r="C282" s="15">
        <v>404</v>
      </c>
      <c r="D282" s="15">
        <v>26</v>
      </c>
      <c r="E282" s="15">
        <v>0</v>
      </c>
      <c r="F282" s="14" t="str">
        <f>VLOOKUP(C282,skill_list!B:C,2)</f>
        <v>とある衝撃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3608</v>
      </c>
      <c r="C283" s="15">
        <v>471</v>
      </c>
      <c r="D283" s="15">
        <v>26</v>
      </c>
      <c r="E283" s="15">
        <v>0</v>
      </c>
      <c r="F283" s="14" t="str">
        <f>VLOOKUP(C283,skill_list!B:C,2)</f>
        <v>おしおき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3701</v>
      </c>
      <c r="C284" s="15">
        <v>486</v>
      </c>
      <c r="D284" s="15">
        <v>27</v>
      </c>
      <c r="E284" s="15">
        <v>0</v>
      </c>
      <c r="F284" s="14" t="str">
        <f>VLOOKUP(C284,skill_list!B:C,2)</f>
        <v>聖女の守護</v>
      </c>
      <c r="G284" s="11"/>
      <c r="H284" s="15">
        <v>2</v>
      </c>
      <c r="I284" s="15">
        <v>3</v>
      </c>
      <c r="J284" s="15">
        <v>160</v>
      </c>
      <c r="K284" s="15">
        <v>1</v>
      </c>
      <c r="L284" s="15">
        <v>7</v>
      </c>
      <c r="M284" s="15">
        <v>0</v>
      </c>
      <c r="N284" s="15">
        <v>0</v>
      </c>
      <c r="O284" s="15">
        <v>0</v>
      </c>
      <c r="P284" s="15"/>
    </row>
    <row r="285" spans="1:16">
      <c r="A285" s="8"/>
      <c r="B285" s="15">
        <v>4001</v>
      </c>
      <c r="C285" s="15">
        <v>469</v>
      </c>
      <c r="D285" s="15">
        <v>30</v>
      </c>
      <c r="E285" s="15">
        <v>0</v>
      </c>
      <c r="F285" s="14" t="str">
        <f>VLOOKUP(C285,skill_list!B:C,2)</f>
        <v>ひらり落桜</v>
      </c>
      <c r="G285" s="11"/>
      <c r="H285" s="15">
        <v>0</v>
      </c>
      <c r="I285" s="15">
        <v>0</v>
      </c>
      <c r="J285" s="15">
        <v>0</v>
      </c>
      <c r="K285" s="15">
        <v>1</v>
      </c>
      <c r="L285" s="15">
        <v>7</v>
      </c>
      <c r="M285" s="15">
        <v>0</v>
      </c>
      <c r="N285" s="15">
        <v>0</v>
      </c>
      <c r="O285" s="15">
        <v>0</v>
      </c>
      <c r="P285" s="15"/>
    </row>
  </sheetData>
  <autoFilter ref="B6:P285" xr:uid="{401BDCFC-C7C7-426C-A276-7FBF75833C9C}"/>
  <phoneticPr fontId="1"/>
  <dataValidations count="1">
    <dataValidation type="list" allowBlank="1" showInputMessage="1" showErrorMessage="1" sqref="A7:A285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H17" sqref="H17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1722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1723</v>
      </c>
    </row>
    <row r="8" spans="1:6">
      <c r="A8" s="8"/>
      <c r="B8" s="15">
        <v>1</v>
      </c>
      <c r="C8" s="15">
        <v>5</v>
      </c>
      <c r="D8" s="15">
        <v>0</v>
      </c>
      <c r="F8" t="s">
        <v>1724</v>
      </c>
    </row>
    <row r="9" spans="1:6">
      <c r="A9" s="8"/>
      <c r="B9" s="15">
        <v>2</v>
      </c>
      <c r="C9" s="15">
        <v>5</v>
      </c>
      <c r="D9" s="15">
        <v>0</v>
      </c>
      <c r="F9" t="s">
        <v>1725</v>
      </c>
    </row>
    <row r="10" spans="1:6">
      <c r="A10" s="8"/>
      <c r="B10" s="15">
        <v>3</v>
      </c>
      <c r="C10" s="15">
        <v>5</v>
      </c>
      <c r="D10" s="15">
        <v>6</v>
      </c>
      <c r="F10" t="s">
        <v>1726</v>
      </c>
    </row>
    <row r="11" spans="1:6">
      <c r="A11" s="8"/>
      <c r="B11" s="15">
        <v>4</v>
      </c>
      <c r="C11" s="15">
        <v>5</v>
      </c>
      <c r="D11" s="15">
        <v>6</v>
      </c>
      <c r="F11" t="s">
        <v>1727</v>
      </c>
    </row>
    <row r="12" spans="1:6">
      <c r="A12" s="8"/>
      <c r="B12" s="15">
        <v>5</v>
      </c>
      <c r="C12" s="15">
        <v>6</v>
      </c>
      <c r="D12" s="15">
        <v>5</v>
      </c>
      <c r="F12" t="s">
        <v>1728</v>
      </c>
    </row>
    <row r="13" spans="1:6">
      <c r="A13" s="8"/>
      <c r="B13" s="15">
        <v>6</v>
      </c>
      <c r="C13" s="15">
        <v>5</v>
      </c>
      <c r="D13" s="15">
        <v>0</v>
      </c>
      <c r="F13" t="s">
        <v>1729</v>
      </c>
    </row>
    <row r="14" spans="1:6">
      <c r="A14" s="8"/>
      <c r="B14" s="15">
        <v>7</v>
      </c>
      <c r="C14" s="15">
        <v>5</v>
      </c>
      <c r="D14" s="15">
        <v>0</v>
      </c>
      <c r="F14" t="s">
        <v>1730</v>
      </c>
    </row>
    <row r="15" spans="1:6">
      <c r="A15" s="8"/>
      <c r="B15" s="15">
        <v>8</v>
      </c>
      <c r="C15" s="15">
        <v>5</v>
      </c>
      <c r="D15" s="15">
        <v>0</v>
      </c>
      <c r="F15" t="s">
        <v>1731</v>
      </c>
    </row>
    <row r="16" spans="1:6">
      <c r="A16" s="8"/>
      <c r="B16" s="15">
        <v>9</v>
      </c>
      <c r="C16" s="15">
        <v>0</v>
      </c>
      <c r="D16" s="15">
        <v>0</v>
      </c>
      <c r="F16" t="s">
        <v>1732</v>
      </c>
    </row>
    <row r="17" spans="1:6">
      <c r="A17" s="8"/>
      <c r="B17" s="15">
        <v>10</v>
      </c>
      <c r="C17" s="15">
        <v>5</v>
      </c>
      <c r="D17" s="15">
        <v>0</v>
      </c>
      <c r="F17" t="s">
        <v>1733</v>
      </c>
    </row>
    <row r="18" spans="1:6">
      <c r="A18" s="8"/>
      <c r="B18" s="15">
        <v>11</v>
      </c>
      <c r="C18" s="15">
        <v>0</v>
      </c>
      <c r="D18" s="15">
        <v>0</v>
      </c>
      <c r="F18" t="s">
        <v>1734</v>
      </c>
    </row>
    <row r="19" spans="1:6">
      <c r="A19" s="8"/>
      <c r="B19" s="15">
        <v>12</v>
      </c>
      <c r="C19" s="15">
        <v>0</v>
      </c>
      <c r="D19" s="15">
        <v>0</v>
      </c>
      <c r="F19" t="s">
        <v>1735</v>
      </c>
    </row>
    <row r="20" spans="1:6">
      <c r="A20" s="8"/>
      <c r="B20" s="15">
        <v>13</v>
      </c>
      <c r="C20" s="15">
        <v>5</v>
      </c>
      <c r="D20" s="15">
        <v>0</v>
      </c>
      <c r="F20" t="s">
        <v>1855</v>
      </c>
    </row>
    <row r="21" spans="1:6">
      <c r="A21" s="8"/>
      <c r="B21" s="15">
        <v>14</v>
      </c>
      <c r="C21" s="15">
        <v>0</v>
      </c>
      <c r="D21" s="15">
        <v>0</v>
      </c>
      <c r="F21" t="s">
        <v>1736</v>
      </c>
    </row>
    <row r="22" spans="1:6">
      <c r="A22" s="8"/>
      <c r="B22" s="15">
        <v>15</v>
      </c>
      <c r="C22" s="15">
        <v>0</v>
      </c>
      <c r="D22" s="15">
        <v>0</v>
      </c>
      <c r="F22" t="s">
        <v>1737</v>
      </c>
    </row>
    <row r="23" spans="1:6">
      <c r="A23" s="8"/>
      <c r="B23" s="15">
        <v>16</v>
      </c>
      <c r="C23" s="15">
        <v>5</v>
      </c>
      <c r="D23" s="15">
        <v>0</v>
      </c>
      <c r="F23" t="s">
        <v>1738</v>
      </c>
    </row>
    <row r="24" spans="1:6">
      <c r="A24" s="8"/>
      <c r="B24" s="15">
        <v>17</v>
      </c>
      <c r="C24" s="15">
        <v>5</v>
      </c>
      <c r="D24" s="15">
        <v>0</v>
      </c>
      <c r="F24" t="s">
        <v>1739</v>
      </c>
    </row>
    <row r="25" spans="1:6">
      <c r="A25" s="8"/>
      <c r="B25" s="15">
        <v>18</v>
      </c>
      <c r="C25" s="15">
        <v>0</v>
      </c>
      <c r="D25" s="15">
        <v>0</v>
      </c>
      <c r="F25" t="s">
        <v>1740</v>
      </c>
    </row>
    <row r="26" spans="1:6">
      <c r="A26" s="8"/>
      <c r="B26" s="15">
        <v>19</v>
      </c>
      <c r="C26" s="15">
        <v>5</v>
      </c>
      <c r="D26" s="15">
        <v>6</v>
      </c>
      <c r="F26" t="s">
        <v>1741</v>
      </c>
    </row>
    <row r="27" spans="1:6">
      <c r="A27" s="8"/>
      <c r="B27" s="15">
        <v>20</v>
      </c>
      <c r="C27" s="15">
        <v>5</v>
      </c>
      <c r="D27" s="15">
        <v>6</v>
      </c>
      <c r="F27" t="s">
        <v>1742</v>
      </c>
    </row>
    <row r="28" spans="1:6">
      <c r="A28" s="8"/>
      <c r="B28" s="15">
        <v>21</v>
      </c>
      <c r="C28" s="15">
        <v>5</v>
      </c>
      <c r="D28" s="15">
        <v>6</v>
      </c>
      <c r="F28" t="s">
        <v>1743</v>
      </c>
    </row>
    <row r="29" spans="1:6">
      <c r="A29" s="8"/>
      <c r="B29" s="15">
        <v>22</v>
      </c>
      <c r="C29" s="15">
        <v>5</v>
      </c>
      <c r="D29" s="15">
        <v>6</v>
      </c>
      <c r="F29" t="s">
        <v>1744</v>
      </c>
    </row>
    <row r="30" spans="1:6">
      <c r="A30" s="8"/>
      <c r="B30" s="15">
        <v>23</v>
      </c>
      <c r="C30" s="15">
        <v>5</v>
      </c>
      <c r="D30" s="15">
        <v>6</v>
      </c>
      <c r="F30" t="s">
        <v>1857</v>
      </c>
    </row>
    <row r="31" spans="1:6">
      <c r="A31" s="8"/>
      <c r="B31" s="15">
        <v>24</v>
      </c>
      <c r="C31" s="15">
        <v>0</v>
      </c>
      <c r="D31" s="15">
        <v>0</v>
      </c>
      <c r="F31" t="s">
        <v>1874</v>
      </c>
    </row>
    <row r="32" spans="1:6">
      <c r="A32" s="8"/>
      <c r="B32" s="15">
        <v>25</v>
      </c>
      <c r="C32" s="15">
        <v>3</v>
      </c>
      <c r="D32" s="15">
        <v>4</v>
      </c>
      <c r="F32" t="s">
        <v>1890</v>
      </c>
    </row>
    <row r="33" spans="1:6">
      <c r="A33" s="8"/>
      <c r="B33" s="15">
        <v>26</v>
      </c>
      <c r="C33" s="15">
        <v>0</v>
      </c>
      <c r="D33" s="15">
        <v>0</v>
      </c>
      <c r="F33" t="s">
        <v>1891</v>
      </c>
    </row>
    <row r="34" spans="1:6">
      <c r="A34" s="8"/>
      <c r="B34" s="15">
        <v>27</v>
      </c>
      <c r="C34" s="15">
        <v>3</v>
      </c>
      <c r="D34" s="15">
        <v>4</v>
      </c>
      <c r="F34" t="s">
        <v>1945</v>
      </c>
    </row>
    <row r="35" spans="1:6">
      <c r="A35" s="8"/>
      <c r="B35" s="15">
        <v>28</v>
      </c>
      <c r="C35" s="15">
        <v>0</v>
      </c>
      <c r="D35" s="15">
        <v>0</v>
      </c>
      <c r="F35" t="s">
        <v>1946</v>
      </c>
    </row>
    <row r="36" spans="1:6">
      <c r="A36" s="8"/>
      <c r="B36" s="15">
        <v>29</v>
      </c>
      <c r="C36" s="15">
        <v>0</v>
      </c>
      <c r="D36" s="15">
        <v>0</v>
      </c>
      <c r="F36" t="s">
        <v>1947</v>
      </c>
    </row>
    <row r="37" spans="1:6">
      <c r="A37" s="8"/>
      <c r="B37" s="15">
        <v>30</v>
      </c>
      <c r="C37" s="15">
        <v>0</v>
      </c>
      <c r="D37" s="15">
        <v>0</v>
      </c>
      <c r="F37" t="s">
        <v>1948</v>
      </c>
    </row>
    <row r="38" spans="1:6">
      <c r="A38" s="8"/>
      <c r="B38" s="15">
        <v>31</v>
      </c>
      <c r="C38" s="15">
        <v>0</v>
      </c>
      <c r="D38" s="15">
        <v>0</v>
      </c>
      <c r="F38" t="s">
        <v>1949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tabSelected="1" zoomScale="85" zoomScaleNormal="85" workbookViewId="0">
      <pane ySplit="6" topLeftCell="A108" activePane="bottomLeft" state="frozen"/>
      <selection pane="bottomLeft" activeCell="A121" sqref="A121:XFD12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1065</v>
      </c>
      <c r="E2" s="9" t="s">
        <v>420</v>
      </c>
      <c r="F2" s="9" t="s">
        <v>32</v>
      </c>
      <c r="G2" s="9" t="s">
        <v>34</v>
      </c>
      <c r="H2" s="9" t="s">
        <v>36</v>
      </c>
      <c r="I2" s="9" t="s">
        <v>852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1066</v>
      </c>
      <c r="O2" s="9" t="s">
        <v>1067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421</v>
      </c>
      <c r="F7" s="11" t="s">
        <v>1314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422</v>
      </c>
      <c r="F8" s="11" t="s">
        <v>1315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423</v>
      </c>
      <c r="F9" s="11" t="s">
        <v>622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424</v>
      </c>
      <c r="F10" s="11" t="s">
        <v>623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425</v>
      </c>
      <c r="F11" s="11" t="s">
        <v>624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426</v>
      </c>
      <c r="F12" s="11" t="s">
        <v>625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427</v>
      </c>
      <c r="F13" s="11" t="s">
        <v>626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428</v>
      </c>
      <c r="F14" s="11" t="s">
        <v>627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429</v>
      </c>
      <c r="F15" s="11" t="s">
        <v>628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430</v>
      </c>
      <c r="F16" s="11" t="s">
        <v>629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1316</v>
      </c>
      <c r="F17" s="11" t="s">
        <v>630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1317</v>
      </c>
      <c r="F18" s="11" t="s">
        <v>631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431</v>
      </c>
      <c r="F19" s="11" t="s">
        <v>632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432</v>
      </c>
      <c r="F20" s="11" t="s">
        <v>633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433</v>
      </c>
      <c r="F21" s="11" t="s">
        <v>634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1318</v>
      </c>
      <c r="F22" s="11" t="s">
        <v>635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434</v>
      </c>
      <c r="F23" s="11" t="s">
        <v>636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435</v>
      </c>
      <c r="F24" s="11" t="s">
        <v>637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436</v>
      </c>
      <c r="F25" s="11" t="s">
        <v>638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437</v>
      </c>
      <c r="F26" s="11" t="s">
        <v>639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438</v>
      </c>
      <c r="F27" s="11" t="s">
        <v>640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1319</v>
      </c>
      <c r="F28" s="11" t="s">
        <v>641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439</v>
      </c>
      <c r="F29" s="11" t="s">
        <v>642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1320</v>
      </c>
      <c r="F30" s="11" t="s">
        <v>643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440</v>
      </c>
      <c r="F31" s="11" t="s">
        <v>644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442</v>
      </c>
      <c r="F32" s="11" t="s">
        <v>645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441</v>
      </c>
      <c r="F33" s="11" t="s">
        <v>646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443</v>
      </c>
      <c r="F34" s="11" t="s">
        <v>647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444</v>
      </c>
      <c r="F35" s="11" t="s">
        <v>648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445</v>
      </c>
      <c r="F36" s="11" t="s">
        <v>649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446</v>
      </c>
      <c r="F37" s="11" t="s">
        <v>650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447</v>
      </c>
      <c r="F38" s="11" t="s">
        <v>651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449</v>
      </c>
      <c r="F39" s="11" t="s">
        <v>652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448</v>
      </c>
      <c r="F40" s="11" t="s">
        <v>653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450</v>
      </c>
      <c r="F41" s="11" t="s">
        <v>654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451</v>
      </c>
      <c r="F42" s="11" t="s">
        <v>655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452</v>
      </c>
      <c r="F43" s="11" t="s">
        <v>656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453</v>
      </c>
      <c r="F44" s="11" t="s">
        <v>657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454</v>
      </c>
      <c r="F45" s="11" t="s">
        <v>658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455</v>
      </c>
      <c r="F46" s="11" t="s">
        <v>659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457</v>
      </c>
      <c r="F47" s="11" t="s">
        <v>660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456</v>
      </c>
      <c r="F48" s="11" t="s">
        <v>661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458</v>
      </c>
      <c r="F49" s="11" t="s">
        <v>662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459</v>
      </c>
      <c r="F50" s="11" t="s">
        <v>663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461</v>
      </c>
      <c r="F51" s="11" t="s">
        <v>664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460</v>
      </c>
      <c r="F52" s="11" t="s">
        <v>665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462</v>
      </c>
      <c r="F53" s="11" t="s">
        <v>666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463</v>
      </c>
      <c r="F54" s="11" t="s">
        <v>667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464</v>
      </c>
      <c r="F55" s="11" t="s">
        <v>668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465</v>
      </c>
      <c r="F56" s="11" t="s">
        <v>669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466</v>
      </c>
      <c r="F57" s="11" t="s">
        <v>670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467</v>
      </c>
      <c r="F58" s="11" t="s">
        <v>671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468</v>
      </c>
      <c r="F59" s="11" t="s">
        <v>672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469</v>
      </c>
      <c r="F60" s="11" t="s">
        <v>673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470</v>
      </c>
      <c r="F61" s="11" t="s">
        <v>674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471</v>
      </c>
      <c r="F62" s="11" t="s">
        <v>675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472</v>
      </c>
      <c r="F63" s="11" t="s">
        <v>676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473</v>
      </c>
      <c r="F64" s="11" t="s">
        <v>677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475</v>
      </c>
      <c r="F65" s="11" t="s">
        <v>678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474</v>
      </c>
      <c r="F66" s="11" t="s">
        <v>1321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477</v>
      </c>
      <c r="F67" s="11" t="s">
        <v>679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476</v>
      </c>
      <c r="F68" s="11" t="s">
        <v>680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478</v>
      </c>
      <c r="F69" s="11" t="s">
        <v>681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479</v>
      </c>
      <c r="F70" s="11" t="s">
        <v>682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480</v>
      </c>
      <c r="F71" s="11" t="s">
        <v>683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481</v>
      </c>
      <c r="F72" s="11" t="s">
        <v>684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482</v>
      </c>
      <c r="F73" s="11" t="s">
        <v>685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483</v>
      </c>
      <c r="F74" s="11" t="s">
        <v>686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1323</v>
      </c>
      <c r="F75" s="11" t="s">
        <v>687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484</v>
      </c>
      <c r="F76" s="11" t="s">
        <v>688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485</v>
      </c>
      <c r="F77" s="11" t="s">
        <v>689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486</v>
      </c>
      <c r="F78" s="11" t="s">
        <v>690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488</v>
      </c>
      <c r="F79" s="11" t="s">
        <v>691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487</v>
      </c>
      <c r="F80" s="11" t="s">
        <v>692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489</v>
      </c>
      <c r="F81" s="11" t="s">
        <v>693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490</v>
      </c>
      <c r="F82" s="11" t="s">
        <v>694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492</v>
      </c>
      <c r="F83" s="11" t="s">
        <v>695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491</v>
      </c>
      <c r="F84" s="11" t="s">
        <v>696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493</v>
      </c>
      <c r="F85" s="11" t="s">
        <v>697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494</v>
      </c>
      <c r="F86" s="11" t="s">
        <v>698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495</v>
      </c>
      <c r="F87" s="11" t="s">
        <v>699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496</v>
      </c>
      <c r="F88" s="11" t="s">
        <v>700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497</v>
      </c>
      <c r="F89" s="11" t="s">
        <v>701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498</v>
      </c>
      <c r="F90" s="11" t="s">
        <v>702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500</v>
      </c>
      <c r="F91" s="11" t="s">
        <v>703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499</v>
      </c>
      <c r="F92" s="11" t="s">
        <v>704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501</v>
      </c>
      <c r="F93" s="11" t="s">
        <v>705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503</v>
      </c>
      <c r="F94" s="11" t="s">
        <v>706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502</v>
      </c>
      <c r="F95" s="11" t="s">
        <v>707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504</v>
      </c>
      <c r="F96" s="11" t="s">
        <v>708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505</v>
      </c>
      <c r="F97" s="11" t="s">
        <v>709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537</v>
      </c>
      <c r="F98" s="11" t="s">
        <v>710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536</v>
      </c>
      <c r="F99" s="11" t="s">
        <v>711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575</v>
      </c>
      <c r="F100" s="11" t="s">
        <v>712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576</v>
      </c>
      <c r="F101" s="11" t="s">
        <v>713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1324</v>
      </c>
      <c r="F102" s="11" t="s">
        <v>714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1325</v>
      </c>
      <c r="F103" s="11" t="s">
        <v>715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605</v>
      </c>
      <c r="F104" s="11" t="s">
        <v>716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604</v>
      </c>
      <c r="F105" s="11" t="s">
        <v>717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1326</v>
      </c>
      <c r="F106" s="11" t="s">
        <v>755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1327</v>
      </c>
      <c r="F107" s="11" t="s">
        <v>756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1328</v>
      </c>
      <c r="F108" s="11" t="s">
        <v>758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1329</v>
      </c>
      <c r="F109" s="11" t="s">
        <v>759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1330</v>
      </c>
      <c r="F110" s="11" t="s">
        <v>832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1331</v>
      </c>
      <c r="F111" s="11" t="s">
        <v>833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815</v>
      </c>
      <c r="F112" s="11" t="s">
        <v>1322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842</v>
      </c>
      <c r="F113" s="11" t="s">
        <v>840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841</v>
      </c>
      <c r="F114" s="11" t="s">
        <v>839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1332</v>
      </c>
      <c r="F115" s="11" t="s">
        <v>853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863</v>
      </c>
      <c r="F116" s="11" t="s">
        <v>873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862</v>
      </c>
      <c r="F117" s="11" t="s">
        <v>874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880</v>
      </c>
      <c r="F118" s="11" t="s">
        <v>1333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1168</v>
      </c>
      <c r="F119" s="11" t="s">
        <v>1166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1167</v>
      </c>
      <c r="F120" s="11" t="s">
        <v>1334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1552</v>
      </c>
      <c r="F121" s="11" t="s">
        <v>1628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1624</v>
      </c>
      <c r="F122" s="11" t="s">
        <v>1627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1813</v>
      </c>
      <c r="F123" s="11" t="s">
        <v>1837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1814</v>
      </c>
      <c r="F124" s="11" t="s">
        <v>1838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1882</v>
      </c>
      <c r="F125" s="11" t="s">
        <v>1884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1883</v>
      </c>
      <c r="F126" s="11" t="s">
        <v>1885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1904</v>
      </c>
      <c r="F127" s="11" t="s">
        <v>1902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1903</v>
      </c>
      <c r="F128" s="11" t="s">
        <v>1901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997</v>
      </c>
      <c r="F129" s="11" t="s">
        <v>1068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998</v>
      </c>
      <c r="F130" s="11" t="s">
        <v>1071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999</v>
      </c>
      <c r="F131" s="11" t="s">
        <v>1075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1000</v>
      </c>
      <c r="F132" s="11" t="s">
        <v>1077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1001</v>
      </c>
      <c r="F133" s="11" t="s">
        <v>1079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1002</v>
      </c>
      <c r="F134" s="11" t="s">
        <v>1084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1003</v>
      </c>
      <c r="F135" s="11" t="s">
        <v>1089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1004</v>
      </c>
      <c r="F136" s="11" t="s">
        <v>1092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1005</v>
      </c>
      <c r="F137" s="11" t="s">
        <v>1099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1006</v>
      </c>
      <c r="F138" s="11" t="s">
        <v>1102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1007</v>
      </c>
      <c r="F139" s="11" t="s">
        <v>1105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1008</v>
      </c>
      <c r="F140" s="11" t="s">
        <v>1111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1009</v>
      </c>
      <c r="F141" s="11" t="s">
        <v>1113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1010</v>
      </c>
      <c r="F142" s="11" t="s">
        <v>1118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1011</v>
      </c>
      <c r="F143" s="11" t="s">
        <v>1121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1012</v>
      </c>
      <c r="F144" s="11" t="s">
        <v>1126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1013</v>
      </c>
      <c r="F145" s="11" t="s">
        <v>1127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1014</v>
      </c>
      <c r="F146" s="11" t="s">
        <v>1072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1015</v>
      </c>
      <c r="F147" s="11" t="s">
        <v>1090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1016</v>
      </c>
      <c r="F148" s="11" t="s">
        <v>1098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1017</v>
      </c>
      <c r="F149" s="11" t="s">
        <v>1131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1018</v>
      </c>
      <c r="F150" s="11" t="s">
        <v>1082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1019</v>
      </c>
      <c r="F151" s="11" t="s">
        <v>1073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1020</v>
      </c>
      <c r="F152" s="11" t="s">
        <v>1107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1021</v>
      </c>
      <c r="F153" s="11" t="s">
        <v>1116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1022</v>
      </c>
      <c r="F154" s="11" t="s">
        <v>1123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1023</v>
      </c>
      <c r="F155" s="11" t="s">
        <v>1094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1024</v>
      </c>
      <c r="F156" s="11" t="s">
        <v>1095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1025</v>
      </c>
      <c r="F157" s="11" t="s">
        <v>1070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1026</v>
      </c>
      <c r="F158" s="11" t="s">
        <v>1124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1027</v>
      </c>
      <c r="F159" s="11" t="s">
        <v>1086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1028</v>
      </c>
      <c r="F160" s="11" t="s">
        <v>1096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1029</v>
      </c>
      <c r="F161" s="11" t="s">
        <v>1114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1030</v>
      </c>
      <c r="F162" s="11" t="s">
        <v>1101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1031</v>
      </c>
      <c r="F163" s="11" t="s">
        <v>1076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1032</v>
      </c>
      <c r="F164" s="11" t="s">
        <v>1069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1033</v>
      </c>
      <c r="F165" s="11" t="s">
        <v>1128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1034</v>
      </c>
      <c r="F166" s="11" t="s">
        <v>1080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1035</v>
      </c>
      <c r="F167" s="11" t="s">
        <v>1100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1036</v>
      </c>
      <c r="F168" s="11" t="s">
        <v>1108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1037</v>
      </c>
      <c r="F169" s="11" t="s">
        <v>1083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1038</v>
      </c>
      <c r="F170" s="11" t="s">
        <v>1115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1039</v>
      </c>
      <c r="F171" s="11" t="s">
        <v>1119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1040</v>
      </c>
      <c r="F172" s="11" t="s">
        <v>1088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1041</v>
      </c>
      <c r="F173" s="11" t="s">
        <v>1091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1042</v>
      </c>
      <c r="F174" s="11" t="s">
        <v>1125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1043</v>
      </c>
      <c r="F175" s="11" t="s">
        <v>1132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1044</v>
      </c>
      <c r="F176" s="11" t="s">
        <v>1112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1045</v>
      </c>
      <c r="F177" s="11" t="s">
        <v>1110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1046</v>
      </c>
      <c r="F178" s="11" t="s">
        <v>1085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1047</v>
      </c>
      <c r="F179" s="11" t="s">
        <v>1093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1048</v>
      </c>
      <c r="F180" s="11" t="s">
        <v>1078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1049</v>
      </c>
      <c r="F181" s="11" t="s">
        <v>1106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1050</v>
      </c>
      <c r="F182" s="11" t="s">
        <v>1130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1051</v>
      </c>
      <c r="F183" s="11" t="s">
        <v>1104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1052</v>
      </c>
      <c r="F184" s="11" t="s">
        <v>1103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1053</v>
      </c>
      <c r="F185" s="11" t="s">
        <v>1335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1054</v>
      </c>
      <c r="F186" s="11" t="s">
        <v>1120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1055</v>
      </c>
      <c r="F187" s="11" t="s">
        <v>1122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1056</v>
      </c>
      <c r="F188" s="11" t="s">
        <v>1074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1057</v>
      </c>
      <c r="F189" s="11" t="s">
        <v>1117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1058</v>
      </c>
      <c r="F190" s="11" t="s">
        <v>1129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1059</v>
      </c>
      <c r="F191" s="11" t="s">
        <v>1097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1060</v>
      </c>
      <c r="F192" s="11" t="s">
        <v>1109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1061</v>
      </c>
      <c r="F193" s="11" t="s">
        <v>1081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1062</v>
      </c>
      <c r="F194" s="11" t="s">
        <v>831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1063</v>
      </c>
      <c r="F195" s="11" t="s">
        <v>1087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1064</v>
      </c>
      <c r="F196" s="11" t="s">
        <v>1133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1626</v>
      </c>
      <c r="F197" s="11" t="s">
        <v>1629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1812</v>
      </c>
      <c r="F198" s="11" t="s">
        <v>1839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1880</v>
      </c>
      <c r="F199" s="11" t="s">
        <v>1881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903</v>
      </c>
      <c r="F200" s="11" t="s">
        <v>993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904</v>
      </c>
      <c r="F201" s="11" t="s">
        <v>992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905</v>
      </c>
      <c r="F202" s="11" t="s">
        <v>991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906</v>
      </c>
      <c r="F203" s="11" t="s">
        <v>990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907</v>
      </c>
      <c r="F204" s="11" t="s">
        <v>995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908</v>
      </c>
      <c r="F205" s="11" t="s">
        <v>989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909</v>
      </c>
      <c r="F206" s="11" t="s">
        <v>988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910</v>
      </c>
      <c r="F207" s="11" t="s">
        <v>987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911</v>
      </c>
      <c r="F208" s="11" t="s">
        <v>1336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912</v>
      </c>
      <c r="F209" s="11" t="s">
        <v>986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913</v>
      </c>
      <c r="F210" s="11" t="s">
        <v>985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914</v>
      </c>
      <c r="F211" s="11" t="s">
        <v>984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915</v>
      </c>
      <c r="F212" s="11" t="s">
        <v>983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916</v>
      </c>
      <c r="F213" s="11" t="s">
        <v>982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917</v>
      </c>
      <c r="F214" s="11" t="s">
        <v>981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918</v>
      </c>
      <c r="F215" s="11" t="s">
        <v>980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919</v>
      </c>
      <c r="F216" s="11" t="s">
        <v>979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920</v>
      </c>
      <c r="F217" s="11" t="s">
        <v>978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921</v>
      </c>
      <c r="F218" s="11" t="s">
        <v>994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922</v>
      </c>
      <c r="F219" s="11" t="s">
        <v>972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923</v>
      </c>
      <c r="F220" s="11" t="s">
        <v>971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924</v>
      </c>
      <c r="F221" s="11" t="s">
        <v>970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925</v>
      </c>
      <c r="F222" s="11" t="s">
        <v>969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926</v>
      </c>
      <c r="F223" s="11" t="s">
        <v>968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927</v>
      </c>
      <c r="F224" s="11" t="s">
        <v>996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928</v>
      </c>
      <c r="F225" s="11" t="s">
        <v>967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929</v>
      </c>
      <c r="F226" s="11" t="s">
        <v>966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930</v>
      </c>
      <c r="F227" s="11" t="s">
        <v>965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931</v>
      </c>
      <c r="F228" s="11" t="s">
        <v>964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932</v>
      </c>
      <c r="F229" s="11" t="s">
        <v>963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933</v>
      </c>
      <c r="F230" s="11" t="s">
        <v>962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934</v>
      </c>
      <c r="F231" s="11" t="s">
        <v>961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935</v>
      </c>
      <c r="F232" s="11" t="s">
        <v>960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936</v>
      </c>
      <c r="F233" s="11" t="s">
        <v>959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937</v>
      </c>
      <c r="F234" s="11" t="s">
        <v>958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938</v>
      </c>
      <c r="F235" s="11" t="s">
        <v>957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939</v>
      </c>
      <c r="F236" s="11" t="s">
        <v>956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940</v>
      </c>
      <c r="F237" s="11" t="s">
        <v>955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941</v>
      </c>
      <c r="F238" s="11" t="s">
        <v>954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942</v>
      </c>
      <c r="F239" s="11" t="s">
        <v>953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943</v>
      </c>
      <c r="F240" s="11" t="s">
        <v>952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944</v>
      </c>
      <c r="F241" s="11" t="s">
        <v>951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945</v>
      </c>
      <c r="F242" s="11" t="s">
        <v>977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946</v>
      </c>
      <c r="F243" s="11" t="s">
        <v>976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947</v>
      </c>
      <c r="F244" s="11" t="s">
        <v>975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948</v>
      </c>
      <c r="F245" s="11" t="s">
        <v>974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949</v>
      </c>
      <c r="F246" s="11" t="s">
        <v>973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950</v>
      </c>
      <c r="F247" s="11" t="s">
        <v>1337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6"/>
  <sheetViews>
    <sheetView zoomScale="85" zoomScaleNormal="85" workbookViewId="0">
      <pane ySplit="6" topLeftCell="A46" activePane="bottomLeft" state="frozen"/>
      <selection pane="bottomLeft" activeCell="F54" sqref="F54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418</v>
      </c>
      <c r="F2" s="9" t="s">
        <v>1172</v>
      </c>
      <c r="G2" s="9" t="s">
        <v>1173</v>
      </c>
      <c r="H2" s="9" t="s">
        <v>1174</v>
      </c>
      <c r="I2" s="9" t="s">
        <v>395</v>
      </c>
      <c r="J2" s="9" t="s">
        <v>1175</v>
      </c>
      <c r="K2" s="9" t="s">
        <v>333</v>
      </c>
      <c r="L2" s="9" t="s">
        <v>1176</v>
      </c>
      <c r="M2" s="9" t="s">
        <v>1177</v>
      </c>
      <c r="N2" s="9" t="s">
        <v>1178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1894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1179</v>
      </c>
      <c r="E7" s="11" t="s">
        <v>413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1180</v>
      </c>
      <c r="E8" s="11" t="s">
        <v>414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1181</v>
      </c>
      <c r="E9" s="11" t="s">
        <v>415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1182</v>
      </c>
      <c r="E10" s="11" t="s">
        <v>416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1183</v>
      </c>
      <c r="E11" s="11" t="s">
        <v>417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341</v>
      </c>
      <c r="D12" s="11" t="s">
        <v>1184</v>
      </c>
      <c r="E12" s="11" t="s">
        <v>1134</v>
      </c>
      <c r="F12" s="15">
        <v>0</v>
      </c>
      <c r="G12" s="15">
        <v>1</v>
      </c>
      <c r="H12" s="15" t="s">
        <v>1557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1558</v>
      </c>
      <c r="D13" s="11" t="s">
        <v>1185</v>
      </c>
      <c r="E13" s="11" t="s">
        <v>1135</v>
      </c>
      <c r="F13" s="15">
        <v>0</v>
      </c>
      <c r="G13" s="15">
        <v>1</v>
      </c>
      <c r="H13" s="15" t="s">
        <v>1557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1253</v>
      </c>
      <c r="D14" s="11" t="s">
        <v>1338</v>
      </c>
      <c r="E14" s="11" t="s">
        <v>1339</v>
      </c>
      <c r="F14" s="15">
        <v>0</v>
      </c>
      <c r="G14" s="15">
        <v>1</v>
      </c>
      <c r="H14" s="15" t="s">
        <v>1559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1254</v>
      </c>
      <c r="D15" s="11" t="s">
        <v>1340</v>
      </c>
      <c r="E15" s="11" t="s">
        <v>1341</v>
      </c>
      <c r="F15" s="15">
        <v>0</v>
      </c>
      <c r="G15" s="15">
        <v>1</v>
      </c>
      <c r="H15" s="15" t="s">
        <v>1559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1255</v>
      </c>
      <c r="D16" s="11" t="s">
        <v>1342</v>
      </c>
      <c r="E16" s="11" t="s">
        <v>1343</v>
      </c>
      <c r="F16" s="15">
        <v>0</v>
      </c>
      <c r="G16" s="15">
        <v>1</v>
      </c>
      <c r="H16" s="15" t="s">
        <v>1559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1560</v>
      </c>
      <c r="D17" s="11" t="s">
        <v>1561</v>
      </c>
      <c r="E17" s="11" t="s">
        <v>1136</v>
      </c>
      <c r="F17" s="15">
        <v>0</v>
      </c>
      <c r="G17" s="15">
        <v>3</v>
      </c>
      <c r="H17" s="15" t="s">
        <v>1562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1563</v>
      </c>
      <c r="D18" s="11" t="s">
        <v>1137</v>
      </c>
      <c r="E18" s="11" t="s">
        <v>1138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398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399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400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402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401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1186</v>
      </c>
      <c r="E24" s="11" t="s">
        <v>1139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1187</v>
      </c>
      <c r="E25" s="11" t="s">
        <v>1140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1188</v>
      </c>
      <c r="E26" s="11" t="s">
        <v>405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1189</v>
      </c>
      <c r="E27" s="11" t="s">
        <v>406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1190</v>
      </c>
      <c r="E28" s="11" t="s">
        <v>403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1191</v>
      </c>
      <c r="E29" s="11" t="s">
        <v>404</v>
      </c>
      <c r="F29" s="15">
        <v>1</v>
      </c>
      <c r="G29" s="15">
        <v>1</v>
      </c>
      <c r="H29" s="15" t="s">
        <v>1564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1344</v>
      </c>
      <c r="E30" s="11" t="s">
        <v>407</v>
      </c>
      <c r="F30" s="15">
        <v>1</v>
      </c>
      <c r="G30" s="15">
        <v>1</v>
      </c>
      <c r="H30" s="15" t="s">
        <v>1565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1345</v>
      </c>
      <c r="E31" s="11" t="s">
        <v>1141</v>
      </c>
      <c r="F31" s="15">
        <v>1</v>
      </c>
      <c r="G31" s="15">
        <v>1</v>
      </c>
      <c r="H31" s="15" t="s">
        <v>1192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1193</v>
      </c>
      <c r="E32" s="11" t="s">
        <v>1142</v>
      </c>
      <c r="F32" s="15">
        <v>1</v>
      </c>
      <c r="G32" s="15">
        <v>1</v>
      </c>
      <c r="H32" s="15" t="s">
        <v>1566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1567</v>
      </c>
      <c r="D33" s="11" t="s">
        <v>1194</v>
      </c>
      <c r="E33" s="11" t="s">
        <v>1568</v>
      </c>
      <c r="F33" s="15">
        <v>1</v>
      </c>
      <c r="G33" s="15">
        <v>1</v>
      </c>
      <c r="H33" s="15" t="s">
        <v>1195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1569</v>
      </c>
      <c r="D34" s="11" t="s">
        <v>1194</v>
      </c>
      <c r="E34" s="11" t="s">
        <v>1143</v>
      </c>
      <c r="F34" s="15">
        <v>1</v>
      </c>
      <c r="G34" s="15">
        <v>1</v>
      </c>
      <c r="H34" s="15" t="s">
        <v>1195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1196</v>
      </c>
      <c r="E35" s="11" t="s">
        <v>1144</v>
      </c>
      <c r="F35" s="15">
        <v>1</v>
      </c>
      <c r="G35" s="15">
        <v>1</v>
      </c>
      <c r="H35" s="15" t="s">
        <v>1195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1197</v>
      </c>
      <c r="E36" s="11" t="s">
        <v>1145</v>
      </c>
      <c r="F36" s="15">
        <v>1</v>
      </c>
      <c r="G36" s="15">
        <v>1</v>
      </c>
      <c r="H36" s="15" t="s">
        <v>1195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1570</v>
      </c>
      <c r="D37" s="11" t="s">
        <v>1197</v>
      </c>
      <c r="E37" s="11" t="s">
        <v>1145</v>
      </c>
      <c r="F37" s="15">
        <v>1</v>
      </c>
      <c r="G37" s="15">
        <v>1</v>
      </c>
      <c r="H37" s="15" t="s">
        <v>1195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1346</v>
      </c>
      <c r="E38" s="11" t="s">
        <v>1146</v>
      </c>
      <c r="F38" s="15">
        <v>1</v>
      </c>
      <c r="G38" s="15">
        <v>1</v>
      </c>
      <c r="H38" s="15" t="s">
        <v>1571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1198</v>
      </c>
      <c r="E39" s="11" t="s">
        <v>1147</v>
      </c>
      <c r="F39" s="15">
        <v>1</v>
      </c>
      <c r="G39" s="15">
        <v>1</v>
      </c>
      <c r="H39" s="15" t="s">
        <v>1199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1148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1572</v>
      </c>
      <c r="D41" s="11" t="s">
        <v>1200</v>
      </c>
      <c r="E41" s="11" t="s">
        <v>1149</v>
      </c>
      <c r="F41" s="15">
        <v>1</v>
      </c>
      <c r="G41" s="15">
        <v>1</v>
      </c>
      <c r="H41" s="15" t="s">
        <v>1195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1573</v>
      </c>
      <c r="D42" s="11" t="s">
        <v>1574</v>
      </c>
      <c r="E42" s="11" t="s">
        <v>1150</v>
      </c>
      <c r="F42" s="15">
        <v>1</v>
      </c>
      <c r="G42" s="15">
        <v>1</v>
      </c>
      <c r="H42" s="15" t="s">
        <v>1195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578</v>
      </c>
      <c r="D43" s="11" t="s">
        <v>1201</v>
      </c>
      <c r="E43" s="11" t="s">
        <v>579</v>
      </c>
      <c r="F43" s="15">
        <v>1</v>
      </c>
      <c r="G43" s="15">
        <v>1</v>
      </c>
      <c r="H43" s="15" t="s">
        <v>1195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1151</v>
      </c>
      <c r="D44" s="11" t="s">
        <v>1202</v>
      </c>
      <c r="E44" s="11" t="s">
        <v>1152</v>
      </c>
      <c r="F44" s="15">
        <v>1</v>
      </c>
      <c r="G44" s="15">
        <v>1</v>
      </c>
      <c r="H44" s="15" t="s">
        <v>1195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1575</v>
      </c>
      <c r="D45" s="11" t="s">
        <v>1203</v>
      </c>
      <c r="E45" s="11" t="s">
        <v>1153</v>
      </c>
      <c r="F45" s="15">
        <v>1</v>
      </c>
      <c r="G45" s="15">
        <v>1</v>
      </c>
      <c r="H45" s="15" t="s">
        <v>1195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1576</v>
      </c>
      <c r="D46" s="11" t="s">
        <v>1577</v>
      </c>
      <c r="E46" s="11" t="s">
        <v>1145</v>
      </c>
      <c r="F46" s="15">
        <v>1</v>
      </c>
      <c r="G46" s="15">
        <v>2</v>
      </c>
      <c r="H46" s="15" t="s">
        <v>1195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390</v>
      </c>
      <c r="D47" s="11" t="s">
        <v>1154</v>
      </c>
      <c r="E47" s="11" t="s">
        <v>1155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391</v>
      </c>
      <c r="D48" s="11" t="s">
        <v>1156</v>
      </c>
      <c r="E48" s="11" t="s">
        <v>1157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1578</v>
      </c>
      <c r="D49" s="11" t="s">
        <v>1579</v>
      </c>
      <c r="E49" s="11" t="s">
        <v>851</v>
      </c>
      <c r="F49" s="15">
        <v>1</v>
      </c>
      <c r="G49" s="15">
        <v>1</v>
      </c>
      <c r="H49" s="15" t="s">
        <v>1580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1256</v>
      </c>
      <c r="D50" s="11" t="s">
        <v>1204</v>
      </c>
      <c r="E50" s="11" t="s">
        <v>1297</v>
      </c>
      <c r="F50" s="15">
        <v>1</v>
      </c>
      <c r="G50" s="15">
        <v>1</v>
      </c>
      <c r="H50" s="15" t="s">
        <v>1581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1257</v>
      </c>
      <c r="D51" s="11" t="s">
        <v>1205</v>
      </c>
      <c r="E51" s="11" t="s">
        <v>1298</v>
      </c>
      <c r="F51" s="15">
        <v>1</v>
      </c>
      <c r="G51" s="15">
        <v>1</v>
      </c>
      <c r="H51" s="15" t="s">
        <v>1206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1258</v>
      </c>
      <c r="D52" s="11" t="s">
        <v>1207</v>
      </c>
      <c r="E52" s="11" t="s">
        <v>1299</v>
      </c>
      <c r="F52" s="15">
        <v>1</v>
      </c>
      <c r="G52" s="15">
        <v>1</v>
      </c>
      <c r="H52" s="15" t="s">
        <v>1208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1582</v>
      </c>
      <c r="D53" s="11" t="s">
        <v>1583</v>
      </c>
      <c r="E53" s="11" t="s">
        <v>1289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1259</v>
      </c>
      <c r="D54" s="11" t="s">
        <v>1209</v>
      </c>
      <c r="E54" s="11" t="s">
        <v>1290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1260</v>
      </c>
      <c r="D55" s="11" t="s">
        <v>1210</v>
      </c>
      <c r="E55" s="11" t="s">
        <v>1291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1262</v>
      </c>
      <c r="D56" s="11" t="s">
        <v>1212</v>
      </c>
      <c r="E56" s="11" t="s">
        <v>1293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1261</v>
      </c>
      <c r="D57" s="11" t="s">
        <v>1211</v>
      </c>
      <c r="E57" s="11" t="s">
        <v>1292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1263</v>
      </c>
      <c r="D58" s="11" t="s">
        <v>1213</v>
      </c>
      <c r="E58" s="11" t="s">
        <v>1294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1264</v>
      </c>
      <c r="D59" s="11" t="s">
        <v>1584</v>
      </c>
      <c r="E59" s="11" t="s">
        <v>1295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1265</v>
      </c>
      <c r="D60" s="11" t="s">
        <v>1214</v>
      </c>
      <c r="E60" s="11" t="s">
        <v>1296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1266</v>
      </c>
      <c r="D61" s="11" t="s">
        <v>1215</v>
      </c>
      <c r="E61" s="11" t="s">
        <v>1300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1267</v>
      </c>
      <c r="D62" s="11" t="s">
        <v>1216</v>
      </c>
      <c r="E62" s="11" t="s">
        <v>1301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1268</v>
      </c>
      <c r="D63" s="11" t="s">
        <v>1217</v>
      </c>
      <c r="E63" s="11" t="s">
        <v>1302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1585</v>
      </c>
      <c r="D64" s="11" t="s">
        <v>1586</v>
      </c>
      <c r="E64" s="11" t="s">
        <v>1303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1269</v>
      </c>
      <c r="D65" s="11" t="s">
        <v>1218</v>
      </c>
      <c r="E65" s="11" t="s">
        <v>1304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1270</v>
      </c>
      <c r="D66" s="11" t="s">
        <v>1219</v>
      </c>
      <c r="E66" s="11" t="s">
        <v>1305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1271</v>
      </c>
      <c r="D67" s="11" t="s">
        <v>1587</v>
      </c>
      <c r="E67" s="11" t="s">
        <v>1306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1272</v>
      </c>
      <c r="D68" s="11" t="s">
        <v>1588</v>
      </c>
      <c r="E68" s="11" t="s">
        <v>1307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1273</v>
      </c>
      <c r="D69" s="11" t="s">
        <v>1220</v>
      </c>
      <c r="E69" s="11" t="s">
        <v>1308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1589</v>
      </c>
      <c r="D70" s="11" t="s">
        <v>1590</v>
      </c>
      <c r="E70" s="11" t="s">
        <v>1591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1274</v>
      </c>
      <c r="D71" s="11" t="s">
        <v>1592</v>
      </c>
      <c r="E71" s="11" t="s">
        <v>1309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1275</v>
      </c>
      <c r="D72" s="11" t="s">
        <v>1221</v>
      </c>
      <c r="E72" s="11" t="s">
        <v>1310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1276</v>
      </c>
      <c r="D73" s="11" t="s">
        <v>1222</v>
      </c>
      <c r="E73" s="11" t="s">
        <v>1311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1277</v>
      </c>
      <c r="D74" s="11" t="s">
        <v>1593</v>
      </c>
      <c r="E74" s="11" t="s">
        <v>1312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1278</v>
      </c>
      <c r="D75" s="11" t="s">
        <v>1223</v>
      </c>
      <c r="E75" s="11" t="s">
        <v>1313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1906</v>
      </c>
      <c r="D76" s="11" t="s">
        <v>1909</v>
      </c>
      <c r="E76" s="11" t="s">
        <v>1910</v>
      </c>
      <c r="F76" s="15">
        <v>1</v>
      </c>
      <c r="G76" s="15">
        <v>1</v>
      </c>
      <c r="H76" s="15" t="s">
        <v>1907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1908</v>
      </c>
      <c r="D77" s="11" t="s">
        <v>1594</v>
      </c>
      <c r="E77" s="11" t="s">
        <v>1594</v>
      </c>
      <c r="F77" s="15">
        <v>5</v>
      </c>
      <c r="G77" s="15">
        <v>1</v>
      </c>
      <c r="H77" s="15" t="s">
        <v>1595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367</v>
      </c>
      <c r="D78" s="11" t="s">
        <v>368</v>
      </c>
      <c r="E78" s="11" t="s">
        <v>408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369</v>
      </c>
      <c r="D79" s="11" t="s">
        <v>370</v>
      </c>
      <c r="E79" s="11" t="s">
        <v>409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371</v>
      </c>
      <c r="D80" s="11" t="s">
        <v>372</v>
      </c>
      <c r="E80" s="11" t="s">
        <v>410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373</v>
      </c>
      <c r="D81" s="11" t="s">
        <v>374</v>
      </c>
      <c r="E81" s="11" t="s">
        <v>411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375</v>
      </c>
      <c r="D82" s="11" t="s">
        <v>376</v>
      </c>
      <c r="E82" s="11" t="s">
        <v>412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608</v>
      </c>
      <c r="D83" s="11" t="s">
        <v>1158</v>
      </c>
      <c r="E83" s="11" t="s">
        <v>1159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843</v>
      </c>
      <c r="D84" s="11" t="s">
        <v>1224</v>
      </c>
      <c r="E84" s="11" t="s">
        <v>1160</v>
      </c>
      <c r="F84" s="15">
        <v>0</v>
      </c>
      <c r="G84" s="15">
        <v>0</v>
      </c>
      <c r="H84" s="15" t="s">
        <v>1596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844</v>
      </c>
      <c r="D85" s="11" t="s">
        <v>1225</v>
      </c>
      <c r="E85" s="11" t="s">
        <v>1161</v>
      </c>
      <c r="F85" s="15">
        <v>0</v>
      </c>
      <c r="G85" s="15">
        <v>0</v>
      </c>
      <c r="H85" s="15" t="s">
        <v>1597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377</v>
      </c>
      <c r="D86" s="11" t="s">
        <v>378</v>
      </c>
      <c r="E86" s="11" t="s">
        <v>378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379</v>
      </c>
      <c r="D87" s="11" t="s">
        <v>380</v>
      </c>
      <c r="E87" s="11" t="s">
        <v>380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1616</v>
      </c>
      <c r="D88" s="11" t="s">
        <v>1617</v>
      </c>
      <c r="E88" s="11" t="s">
        <v>1617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1618</v>
      </c>
      <c r="D89" s="11" t="s">
        <v>1619</v>
      </c>
      <c r="E89" s="11" t="s">
        <v>1619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1620</v>
      </c>
      <c r="D90" s="11" t="s">
        <v>1621</v>
      </c>
      <c r="E90" s="11" t="s">
        <v>1621</v>
      </c>
      <c r="F90" s="15">
        <v>1</v>
      </c>
      <c r="G90" s="15">
        <v>0</v>
      </c>
      <c r="H90" s="15" t="s">
        <v>1658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1843</v>
      </c>
      <c r="D91" s="11" t="s">
        <v>1844</v>
      </c>
      <c r="E91" s="11" t="s">
        <v>1844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607</v>
      </c>
      <c r="D92" s="11" t="s">
        <v>1845</v>
      </c>
      <c r="E92" s="11" t="s">
        <v>1162</v>
      </c>
      <c r="F92" s="15">
        <v>1</v>
      </c>
      <c r="G92" s="15">
        <v>1</v>
      </c>
      <c r="H92" s="15" t="s">
        <v>1598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1846</v>
      </c>
      <c r="D93" s="11" t="s">
        <v>1847</v>
      </c>
      <c r="E93" s="11" t="s">
        <v>1848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381</v>
      </c>
      <c r="D94" s="11" t="s">
        <v>1226</v>
      </c>
      <c r="E94" s="11" t="s">
        <v>736</v>
      </c>
      <c r="F94" s="15">
        <v>0</v>
      </c>
      <c r="G94" s="15">
        <v>1</v>
      </c>
      <c r="H94" s="15" t="s">
        <v>1599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382</v>
      </c>
      <c r="D95" s="11" t="s">
        <v>1227</v>
      </c>
      <c r="E95" s="11" t="s">
        <v>736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383</v>
      </c>
      <c r="D96" s="11" t="s">
        <v>1228</v>
      </c>
      <c r="E96" s="11" t="s">
        <v>736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1600</v>
      </c>
      <c r="D97" s="11" t="s">
        <v>1553</v>
      </c>
      <c r="E97" s="11" t="s">
        <v>736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1601</v>
      </c>
      <c r="D98" s="11" t="s">
        <v>1229</v>
      </c>
      <c r="E98" s="11" t="s">
        <v>736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1279</v>
      </c>
      <c r="D99" s="11" t="s">
        <v>1230</v>
      </c>
      <c r="E99" s="11" t="s">
        <v>736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1280</v>
      </c>
      <c r="D100" s="11" t="s">
        <v>1231</v>
      </c>
      <c r="E100" s="11" t="s">
        <v>736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1281</v>
      </c>
      <c r="D101" s="11" t="s">
        <v>1232</v>
      </c>
      <c r="E101" s="11" t="s">
        <v>736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1602</v>
      </c>
      <c r="D102" s="11" t="s">
        <v>1554</v>
      </c>
      <c r="E102" s="11" t="s">
        <v>736</v>
      </c>
      <c r="F102" s="15">
        <v>0</v>
      </c>
      <c r="G102" s="15">
        <v>3</v>
      </c>
      <c r="H102" s="15" t="s">
        <v>1603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11" t="s">
        <v>1625</v>
      </c>
      <c r="D103" s="11" t="s">
        <v>1635</v>
      </c>
      <c r="E103" s="11" t="s">
        <v>736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1604</v>
      </c>
      <c r="D104" s="11" t="s">
        <v>384</v>
      </c>
      <c r="E104" s="11" t="s">
        <v>736</v>
      </c>
      <c r="F104" s="15">
        <v>2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385</v>
      </c>
      <c r="D105" s="11" t="s">
        <v>1233</v>
      </c>
      <c r="E105" s="11" t="s">
        <v>736</v>
      </c>
      <c r="F105" s="15">
        <v>2</v>
      </c>
      <c r="G105" s="15">
        <v>1</v>
      </c>
      <c r="H105" s="15" t="s">
        <v>1208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386</v>
      </c>
      <c r="D106" s="11" t="s">
        <v>1234</v>
      </c>
      <c r="E106" s="11" t="s">
        <v>736</v>
      </c>
      <c r="F106" s="15">
        <v>2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387</v>
      </c>
      <c r="D107" s="11" t="s">
        <v>1235</v>
      </c>
      <c r="E107" s="11" t="s">
        <v>736</v>
      </c>
      <c r="F107" s="15">
        <v>2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388</v>
      </c>
      <c r="D108" s="11" t="s">
        <v>1236</v>
      </c>
      <c r="E108" s="11" t="s">
        <v>736</v>
      </c>
      <c r="F108" s="15">
        <v>2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389</v>
      </c>
      <c r="D109" s="11" t="s">
        <v>1237</v>
      </c>
      <c r="E109" s="11" t="s">
        <v>736</v>
      </c>
      <c r="F109" s="15">
        <v>2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1605</v>
      </c>
      <c r="D110" s="11" t="s">
        <v>1555</v>
      </c>
      <c r="E110" s="11" t="s">
        <v>736</v>
      </c>
      <c r="F110" s="15">
        <v>2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1606</v>
      </c>
      <c r="D111" s="11" t="s">
        <v>1556</v>
      </c>
      <c r="E111" s="11" t="s">
        <v>736</v>
      </c>
      <c r="F111" s="15">
        <v>2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1163</v>
      </c>
      <c r="D112" s="11" t="s">
        <v>1238</v>
      </c>
      <c r="E112" s="11" t="s">
        <v>736</v>
      </c>
      <c r="F112" s="15">
        <v>2</v>
      </c>
      <c r="G112" s="15">
        <v>1</v>
      </c>
      <c r="H112" s="15" t="s">
        <v>1564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1607</v>
      </c>
      <c r="D113" s="11" t="s">
        <v>1239</v>
      </c>
      <c r="E113" s="11" t="s">
        <v>736</v>
      </c>
      <c r="F113" s="15">
        <v>2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1895</v>
      </c>
      <c r="D114" s="11" t="s">
        <v>1240</v>
      </c>
      <c r="E114" s="11" t="s">
        <v>736</v>
      </c>
      <c r="F114" s="15">
        <v>2</v>
      </c>
      <c r="G114" s="15">
        <v>1</v>
      </c>
      <c r="H114" s="15" t="s">
        <v>1608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1282</v>
      </c>
      <c r="D115" s="11" t="s">
        <v>1241</v>
      </c>
      <c r="E115" s="11" t="s">
        <v>736</v>
      </c>
      <c r="F115" s="15">
        <v>2</v>
      </c>
      <c r="G115" s="15">
        <v>1</v>
      </c>
      <c r="H115" s="15" t="s">
        <v>1242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1283</v>
      </c>
      <c r="D116" s="11" t="s">
        <v>1243</v>
      </c>
      <c r="E116" s="11" t="s">
        <v>736</v>
      </c>
      <c r="F116" s="15">
        <v>2</v>
      </c>
      <c r="G116" s="15">
        <v>1</v>
      </c>
      <c r="H116" s="15" t="s">
        <v>1244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1284</v>
      </c>
      <c r="D117" s="11" t="s">
        <v>1245</v>
      </c>
      <c r="E117" s="11" t="s">
        <v>736</v>
      </c>
      <c r="F117" s="15">
        <v>2</v>
      </c>
      <c r="G117" s="15">
        <v>1</v>
      </c>
      <c r="H117" s="15" t="s">
        <v>1564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1285</v>
      </c>
      <c r="D118" s="11" t="s">
        <v>1246</v>
      </c>
      <c r="E118" s="11" t="s">
        <v>736</v>
      </c>
      <c r="F118" s="15">
        <v>2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1286</v>
      </c>
      <c r="D119" s="11" t="s">
        <v>1247</v>
      </c>
      <c r="E119" s="11" t="s">
        <v>736</v>
      </c>
      <c r="F119" s="15">
        <v>2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1622</v>
      </c>
      <c r="D120" s="11" t="s">
        <v>1623</v>
      </c>
      <c r="E120" s="11" t="s">
        <v>736</v>
      </c>
      <c r="F120" s="15">
        <v>2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1849</v>
      </c>
      <c r="D121" s="11" t="s">
        <v>1850</v>
      </c>
      <c r="E121" s="11" t="s">
        <v>736</v>
      </c>
      <c r="F121" s="15">
        <v>2</v>
      </c>
      <c r="G121" s="15">
        <v>3</v>
      </c>
      <c r="H121" s="15" t="s">
        <v>1851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1852</v>
      </c>
      <c r="D122" s="11" t="s">
        <v>1853</v>
      </c>
      <c r="E122" s="11" t="s">
        <v>736</v>
      </c>
      <c r="F122" s="15">
        <v>2</v>
      </c>
      <c r="G122" s="15">
        <v>3</v>
      </c>
      <c r="H122" s="15" t="s">
        <v>1854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816</v>
      </c>
      <c r="D123" s="11" t="s">
        <v>1248</v>
      </c>
      <c r="E123" s="11" t="s">
        <v>736</v>
      </c>
      <c r="F123" s="15">
        <v>2</v>
      </c>
      <c r="G123" s="15">
        <v>1</v>
      </c>
      <c r="H123" s="15" t="s">
        <v>1565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11" t="s">
        <v>1911</v>
      </c>
      <c r="D124" s="11" t="s">
        <v>1913</v>
      </c>
      <c r="E124" s="11"/>
      <c r="F124" s="15">
        <v>2</v>
      </c>
      <c r="G124" s="15">
        <v>1</v>
      </c>
      <c r="H124" s="15" t="s">
        <v>1915</v>
      </c>
      <c r="I124" s="15">
        <v>7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1912</v>
      </c>
      <c r="D125" s="11" t="s">
        <v>1914</v>
      </c>
      <c r="E125" s="11"/>
      <c r="F125" s="15">
        <v>2</v>
      </c>
      <c r="G125" s="15">
        <v>3</v>
      </c>
      <c r="H125" s="15" t="s">
        <v>1915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392</v>
      </c>
      <c r="D126" s="11" t="s">
        <v>393</v>
      </c>
      <c r="E126" s="11" t="s">
        <v>736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394</v>
      </c>
      <c r="D127" s="11" t="s">
        <v>1249</v>
      </c>
      <c r="E127" s="11" t="s">
        <v>736</v>
      </c>
      <c r="F127" s="15">
        <v>3</v>
      </c>
      <c r="G127" s="15">
        <v>1</v>
      </c>
      <c r="H127" s="15" t="s">
        <v>1250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1164</v>
      </c>
      <c r="D128" s="11" t="s">
        <v>1165</v>
      </c>
      <c r="E128" s="11" t="s">
        <v>736</v>
      </c>
      <c r="F128" s="15">
        <v>0</v>
      </c>
      <c r="G128" s="15">
        <v>0</v>
      </c>
      <c r="H128" s="15" t="s">
        <v>1609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577</v>
      </c>
      <c r="D129" s="11" t="s">
        <v>1610</v>
      </c>
      <c r="E129" s="11" t="s">
        <v>736</v>
      </c>
      <c r="F129" s="15">
        <v>0</v>
      </c>
      <c r="G129" s="15">
        <v>0</v>
      </c>
      <c r="H129" s="15" t="s">
        <v>1611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1612</v>
      </c>
      <c r="D130" s="11" t="s">
        <v>1613</v>
      </c>
      <c r="E130" s="11" t="s">
        <v>736</v>
      </c>
      <c r="F130" s="15">
        <v>6</v>
      </c>
      <c r="G130" s="15">
        <v>0</v>
      </c>
      <c r="H130" s="15" t="s">
        <v>1597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11" t="s">
        <v>1900</v>
      </c>
      <c r="D131" s="11" t="s">
        <v>1614</v>
      </c>
      <c r="E131" s="11" t="s">
        <v>736</v>
      </c>
      <c r="F131" s="15">
        <v>6</v>
      </c>
      <c r="G131" s="15">
        <v>3</v>
      </c>
      <c r="H131" s="15" t="s">
        <v>1615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1287</v>
      </c>
      <c r="D132" s="11" t="s">
        <v>1251</v>
      </c>
      <c r="E132" s="11" t="s">
        <v>736</v>
      </c>
      <c r="F132" s="15">
        <v>3</v>
      </c>
      <c r="G132" s="15">
        <v>1</v>
      </c>
      <c r="H132" s="15" t="s">
        <v>1244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1288</v>
      </c>
      <c r="D133" s="11" t="s">
        <v>1252</v>
      </c>
      <c r="E133" s="11" t="s">
        <v>736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1886</v>
      </c>
      <c r="D134" s="11" t="s">
        <v>1896</v>
      </c>
      <c r="E134" s="11" t="s">
        <v>736</v>
      </c>
      <c r="F134" s="15">
        <v>6</v>
      </c>
      <c r="G134" s="15">
        <v>0</v>
      </c>
      <c r="H134" s="15" t="s">
        <v>1897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1898</v>
      </c>
      <c r="D135" s="11" t="s">
        <v>1899</v>
      </c>
      <c r="E135" s="11" t="s">
        <v>736</v>
      </c>
      <c r="F135" s="15">
        <v>0</v>
      </c>
      <c r="G135" s="15">
        <v>1</v>
      </c>
      <c r="H135" s="15" t="s">
        <v>1565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1905</v>
      </c>
      <c r="D136" s="11" t="s">
        <v>393</v>
      </c>
      <c r="E136" s="11" t="s">
        <v>736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/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89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745</v>
      </c>
      <c r="B2" s="9" t="s">
        <v>720</v>
      </c>
      <c r="C2" s="9" t="s">
        <v>733</v>
      </c>
      <c r="D2" s="9" t="s">
        <v>746</v>
      </c>
      <c r="E2" s="9" t="s">
        <v>734</v>
      </c>
      <c r="F2" s="9" t="s">
        <v>737</v>
      </c>
      <c r="G2" s="9" t="s">
        <v>738</v>
      </c>
      <c r="H2" s="9" t="s">
        <v>739</v>
      </c>
      <c r="I2" s="9" t="s">
        <v>740</v>
      </c>
      <c r="J2" s="9" t="s">
        <v>741</v>
      </c>
      <c r="K2" s="9" t="s">
        <v>742</v>
      </c>
      <c r="L2" s="9" t="s">
        <v>743</v>
      </c>
      <c r="M2" s="9" t="s">
        <v>744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828</v>
      </c>
    </row>
    <row r="3" spans="1:24">
      <c r="B3" s="9" t="s">
        <v>25</v>
      </c>
      <c r="C3" s="9" t="s">
        <v>25</v>
      </c>
      <c r="D3" s="9" t="s">
        <v>25</v>
      </c>
      <c r="E3" s="9" t="s">
        <v>735</v>
      </c>
      <c r="F3" s="9" t="s">
        <v>735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736</v>
      </c>
      <c r="F4" s="9" t="s">
        <v>736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1752</v>
      </c>
      <c r="F7" s="11" t="s">
        <v>1752</v>
      </c>
      <c r="G7" s="11" t="s">
        <v>1753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749</v>
      </c>
      <c r="F8" s="11" t="s">
        <v>747</v>
      </c>
      <c r="G8" s="11" t="s">
        <v>750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749</v>
      </c>
      <c r="F9" s="11" t="s">
        <v>747</v>
      </c>
      <c r="G9" s="11" t="s">
        <v>1939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749</v>
      </c>
      <c r="F10" s="11" t="s">
        <v>747</v>
      </c>
      <c r="G10" s="11" t="s">
        <v>751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747</v>
      </c>
      <c r="F11" s="11" t="s">
        <v>748</v>
      </c>
      <c r="G11" s="11" t="s">
        <v>1754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747</v>
      </c>
      <c r="F12" s="11" t="s">
        <v>748</v>
      </c>
      <c r="G12" s="11" t="s">
        <v>1755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747</v>
      </c>
      <c r="F13" s="11" t="s">
        <v>748</v>
      </c>
      <c r="G13" s="11" t="s">
        <v>1756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748</v>
      </c>
      <c r="F14" s="11" t="s">
        <v>1757</v>
      </c>
      <c r="G14" s="11" t="s">
        <v>1758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748</v>
      </c>
      <c r="F15" s="11" t="s">
        <v>1757</v>
      </c>
      <c r="G15" s="11" t="s">
        <v>1759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748</v>
      </c>
      <c r="F16" s="11" t="s">
        <v>1757</v>
      </c>
      <c r="G16" s="11" t="s">
        <v>1760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1757</v>
      </c>
      <c r="F17" s="11" t="s">
        <v>1761</v>
      </c>
      <c r="G17" s="11" t="s">
        <v>1762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1757</v>
      </c>
      <c r="F18" s="11" t="s">
        <v>1761</v>
      </c>
      <c r="G18" s="11" t="s">
        <v>1763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1757</v>
      </c>
      <c r="F19" s="11" t="s">
        <v>1761</v>
      </c>
      <c r="G19" s="11" t="s">
        <v>1760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1761</v>
      </c>
      <c r="F20" s="11" t="s">
        <v>1764</v>
      </c>
      <c r="G20" s="11" t="s">
        <v>1765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1761</v>
      </c>
      <c r="F21" s="11" t="s">
        <v>1764</v>
      </c>
      <c r="G21" s="11" t="s">
        <v>1766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1761</v>
      </c>
      <c r="F22" s="11" t="s">
        <v>1764</v>
      </c>
      <c r="G22" s="11" t="s">
        <v>1760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1764</v>
      </c>
      <c r="F23" s="11" t="s">
        <v>1767</v>
      </c>
      <c r="G23" s="11" t="s">
        <v>1762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1764</v>
      </c>
      <c r="F24" s="11" t="s">
        <v>1767</v>
      </c>
      <c r="G24" s="11" t="s">
        <v>1768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1764</v>
      </c>
      <c r="F25" s="11" t="s">
        <v>1767</v>
      </c>
      <c r="G25" s="11" t="s">
        <v>1756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1767</v>
      </c>
      <c r="F26" s="11" t="s">
        <v>1769</v>
      </c>
      <c r="G26" s="11" t="s">
        <v>1770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1767</v>
      </c>
      <c r="F27" s="11" t="s">
        <v>1769</v>
      </c>
      <c r="G27" s="11" t="s">
        <v>1771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1767</v>
      </c>
      <c r="F28" s="11" t="s">
        <v>1769</v>
      </c>
      <c r="G28" s="11" t="s">
        <v>1772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1769</v>
      </c>
      <c r="F29" s="11" t="s">
        <v>1773</v>
      </c>
      <c r="G29" s="11" t="s">
        <v>1774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1769</v>
      </c>
      <c r="F30" s="11" t="s">
        <v>1773</v>
      </c>
      <c r="G30" s="11" t="s">
        <v>1755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1769</v>
      </c>
      <c r="F31" s="11" t="s">
        <v>1773</v>
      </c>
      <c r="G31" s="11" t="s">
        <v>1760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1773</v>
      </c>
      <c r="F32" s="11" t="s">
        <v>1775</v>
      </c>
      <c r="G32" s="11" t="s">
        <v>1776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1773</v>
      </c>
      <c r="F33" s="11" t="s">
        <v>1775</v>
      </c>
      <c r="G33" s="11" t="s">
        <v>1770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1773</v>
      </c>
      <c r="F34" s="11" t="s">
        <v>1775</v>
      </c>
      <c r="G34" s="11" t="s">
        <v>1777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1775</v>
      </c>
      <c r="F35" s="11" t="s">
        <v>1778</v>
      </c>
      <c r="G35" s="11" t="s">
        <v>1779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1775</v>
      </c>
      <c r="F36" s="11" t="s">
        <v>1778</v>
      </c>
      <c r="G36" s="11" t="s">
        <v>1780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1775</v>
      </c>
      <c r="F37" s="11" t="s">
        <v>1778</v>
      </c>
      <c r="G37" s="11" t="s">
        <v>1781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1778</v>
      </c>
      <c r="F38" s="11" t="s">
        <v>1782</v>
      </c>
      <c r="G38" s="11" t="s">
        <v>1783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1778</v>
      </c>
      <c r="F39" s="11" t="s">
        <v>1782</v>
      </c>
      <c r="G39" s="11" t="s">
        <v>1780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1778</v>
      </c>
      <c r="F40" s="11" t="s">
        <v>1782</v>
      </c>
      <c r="G40" s="11" t="s">
        <v>1784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1782</v>
      </c>
      <c r="F41" s="11" t="s">
        <v>1785</v>
      </c>
      <c r="G41" s="11" t="s">
        <v>1786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1782</v>
      </c>
      <c r="F42" s="11" t="s">
        <v>1785</v>
      </c>
      <c r="G42" s="11" t="s">
        <v>1776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1782</v>
      </c>
      <c r="F43" s="11" t="s">
        <v>1785</v>
      </c>
      <c r="G43" s="11" t="s">
        <v>1784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1785</v>
      </c>
      <c r="F44" s="11" t="s">
        <v>1787</v>
      </c>
      <c r="G44" s="11" t="s">
        <v>1788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1785</v>
      </c>
      <c r="F45" s="11" t="s">
        <v>1787</v>
      </c>
      <c r="G45" s="11" t="s">
        <v>1770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1785</v>
      </c>
      <c r="F46" s="11" t="s">
        <v>1787</v>
      </c>
      <c r="G46" s="11" t="s">
        <v>1789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1787</v>
      </c>
      <c r="F47" s="11" t="s">
        <v>1790</v>
      </c>
      <c r="G47" s="11" t="s">
        <v>1791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1787</v>
      </c>
      <c r="F48" s="11" t="s">
        <v>1790</v>
      </c>
      <c r="G48" s="11" t="s">
        <v>1770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1787</v>
      </c>
      <c r="F49" s="11" t="s">
        <v>1790</v>
      </c>
      <c r="G49" s="11" t="s">
        <v>1777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1790</v>
      </c>
      <c r="F50" s="11" t="s">
        <v>1792</v>
      </c>
      <c r="G50" s="11" t="s">
        <v>1779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1790</v>
      </c>
      <c r="F51" s="11" t="s">
        <v>1792</v>
      </c>
      <c r="G51" s="11" t="s">
        <v>1793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1790</v>
      </c>
      <c r="F52" s="11" t="s">
        <v>1792</v>
      </c>
      <c r="G52" s="11" t="s">
        <v>1794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1792</v>
      </c>
      <c r="F53" s="11" t="s">
        <v>1795</v>
      </c>
      <c r="G53" s="11" t="s">
        <v>1796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1792</v>
      </c>
      <c r="F54" s="11" t="s">
        <v>1795</v>
      </c>
      <c r="G54" s="11" t="s">
        <v>1776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1792</v>
      </c>
      <c r="F55" s="11" t="s">
        <v>1795</v>
      </c>
      <c r="G55" s="11" t="s">
        <v>1751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1795</v>
      </c>
      <c r="F56" s="11" t="s">
        <v>1797</v>
      </c>
      <c r="G56" s="11" t="s">
        <v>1798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1795</v>
      </c>
      <c r="F57" s="11" t="s">
        <v>1797</v>
      </c>
      <c r="G57" s="11" t="s">
        <v>1770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1795</v>
      </c>
      <c r="F58" s="11" t="s">
        <v>1797</v>
      </c>
      <c r="G58" s="11" t="s">
        <v>1799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1800</v>
      </c>
      <c r="F59" s="11" t="s">
        <v>1800</v>
      </c>
      <c r="G59" s="11" t="s">
        <v>1801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1800</v>
      </c>
      <c r="F60" s="11" t="s">
        <v>1800</v>
      </c>
      <c r="G60" s="11" t="s">
        <v>1771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1800</v>
      </c>
      <c r="F61" s="11" t="s">
        <v>1800</v>
      </c>
      <c r="G61" s="11" t="s">
        <v>1802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1800</v>
      </c>
      <c r="F62" s="11" t="s">
        <v>1800</v>
      </c>
      <c r="G62" s="11" t="s">
        <v>1803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1800</v>
      </c>
      <c r="F63" s="11" t="s">
        <v>1800</v>
      </c>
      <c r="G63" s="11" t="s">
        <v>1776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1800</v>
      </c>
      <c r="F64" s="11" t="s">
        <v>1800</v>
      </c>
      <c r="G64" s="11" t="s">
        <v>1804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1800</v>
      </c>
      <c r="F65" s="11" t="s">
        <v>1800</v>
      </c>
      <c r="G65" s="11" t="s">
        <v>1805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1800</v>
      </c>
      <c r="F66" s="11" t="s">
        <v>1800</v>
      </c>
      <c r="G66" s="11" t="s">
        <v>1806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1800</v>
      </c>
      <c r="F67" s="11" t="s">
        <v>1800</v>
      </c>
      <c r="G67" s="11" t="s">
        <v>1807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1800</v>
      </c>
      <c r="F68" s="11" t="s">
        <v>1800</v>
      </c>
      <c r="G68" s="11" t="s">
        <v>1770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1800</v>
      </c>
      <c r="F69" s="11" t="s">
        <v>1800</v>
      </c>
      <c r="G69" s="11" t="s">
        <v>1771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1800</v>
      </c>
      <c r="F70" s="11" t="s">
        <v>1800</v>
      </c>
      <c r="G70" s="11" t="s">
        <v>1808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1800</v>
      </c>
      <c r="F71" s="11" t="s">
        <v>1800</v>
      </c>
      <c r="G71" s="11" t="s">
        <v>1809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1800</v>
      </c>
      <c r="F72" s="11" t="s">
        <v>1800</v>
      </c>
      <c r="G72" s="11" t="s">
        <v>1776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1800</v>
      </c>
      <c r="F73" s="11" t="s">
        <v>1800</v>
      </c>
      <c r="G73" s="11" t="s">
        <v>1804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1800</v>
      </c>
      <c r="F74" s="11" t="s">
        <v>1800</v>
      </c>
      <c r="G74" s="11" t="s">
        <v>750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1800</v>
      </c>
      <c r="F75" s="11" t="s">
        <v>1800</v>
      </c>
      <c r="G75" s="11" t="s">
        <v>1776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1800</v>
      </c>
      <c r="F76" s="11" t="s">
        <v>1800</v>
      </c>
      <c r="G76" s="11" t="s">
        <v>1772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1800</v>
      </c>
      <c r="F77" s="11" t="s">
        <v>1800</v>
      </c>
      <c r="G77" s="11" t="s">
        <v>1751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1800</v>
      </c>
      <c r="F78" s="11" t="s">
        <v>1800</v>
      </c>
      <c r="G78" s="11" t="s">
        <v>1774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1800</v>
      </c>
      <c r="F79" s="11" t="s">
        <v>1800</v>
      </c>
      <c r="G79" s="11" t="s">
        <v>1810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1800</v>
      </c>
      <c r="F80" s="11" t="s">
        <v>1860</v>
      </c>
      <c r="G80" s="11" t="s">
        <v>1861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1800</v>
      </c>
      <c r="F81" s="11" t="s">
        <v>1800</v>
      </c>
      <c r="G81" s="11" t="s">
        <v>1873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1800</v>
      </c>
      <c r="F82" s="11" t="s">
        <v>1800</v>
      </c>
      <c r="G82" s="11" t="s">
        <v>1771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1800</v>
      </c>
      <c r="F83" s="11" t="s">
        <v>1800</v>
      </c>
      <c r="G83" s="11" t="s">
        <v>1862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1800</v>
      </c>
      <c r="F84" s="11" t="s">
        <v>1800</v>
      </c>
      <c r="G84" s="11" t="s">
        <v>1940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1800</v>
      </c>
      <c r="F85" s="11" t="s">
        <v>1800</v>
      </c>
      <c r="G85" s="11" t="s">
        <v>1888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1800</v>
      </c>
      <c r="F86" s="11" t="s">
        <v>1800</v>
      </c>
      <c r="G86" s="11" t="s">
        <v>1802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1800</v>
      </c>
      <c r="F87" s="11" t="s">
        <v>1800</v>
      </c>
      <c r="G87" s="11" t="s">
        <v>1770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1800</v>
      </c>
      <c r="F88" s="11" t="s">
        <v>1800</v>
      </c>
      <c r="G88" s="11" t="s">
        <v>1771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1800</v>
      </c>
      <c r="F89" s="11" t="s">
        <v>1800</v>
      </c>
      <c r="G89" s="11" t="s">
        <v>1889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1800</v>
      </c>
      <c r="F90" s="11" t="s">
        <v>1800</v>
      </c>
      <c r="G90" s="11" t="s">
        <v>1941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1800</v>
      </c>
      <c r="F91" s="11" t="s">
        <v>1800</v>
      </c>
      <c r="G91" s="11" t="s">
        <v>1861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1800</v>
      </c>
      <c r="F92" s="11" t="s">
        <v>1800</v>
      </c>
      <c r="G92" s="11" t="s">
        <v>1768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1800</v>
      </c>
      <c r="F93" s="11" t="s">
        <v>1800</v>
      </c>
      <c r="G93" s="11" t="s">
        <v>1804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1800</v>
      </c>
      <c r="F94" s="11" t="s">
        <v>1800</v>
      </c>
      <c r="G94" s="11" t="s">
        <v>1776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1800</v>
      </c>
      <c r="F95" s="11" t="s">
        <v>1800</v>
      </c>
      <c r="G95" s="11" t="s">
        <v>1940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1800</v>
      </c>
      <c r="F96" s="11" t="s">
        <v>1800</v>
      </c>
      <c r="G96" s="11" t="s">
        <v>1942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1475</v>
      </c>
      <c r="B2" s="9" t="s">
        <v>33</v>
      </c>
      <c r="C2" s="9" t="s">
        <v>1065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1548</v>
      </c>
      <c r="C7" s="11">
        <v>1</v>
      </c>
      <c r="D7" s="11">
        <v>1</v>
      </c>
      <c r="E7" s="11" t="s">
        <v>1521</v>
      </c>
    </row>
    <row r="8" spans="1:5">
      <c r="A8" s="8"/>
      <c r="B8" s="11" t="s">
        <v>1548</v>
      </c>
      <c r="C8" s="11">
        <v>2</v>
      </c>
      <c r="D8" s="11">
        <v>1</v>
      </c>
      <c r="E8" s="11" t="s">
        <v>1522</v>
      </c>
    </row>
    <row r="9" spans="1:5">
      <c r="A9" s="8"/>
      <c r="B9" s="11" t="s">
        <v>1548</v>
      </c>
      <c r="C9" s="11">
        <v>3</v>
      </c>
      <c r="D9" s="11">
        <v>1</v>
      </c>
      <c r="E9" s="11" t="s">
        <v>1523</v>
      </c>
    </row>
    <row r="10" spans="1:5">
      <c r="A10" s="8"/>
      <c r="B10" s="11" t="s">
        <v>1548</v>
      </c>
      <c r="C10" s="11">
        <v>1</v>
      </c>
      <c r="D10" s="11">
        <v>2</v>
      </c>
      <c r="E10" s="11" t="s">
        <v>1542</v>
      </c>
    </row>
    <row r="11" spans="1:5">
      <c r="A11" s="8"/>
      <c r="B11" s="11" t="s">
        <v>1548</v>
      </c>
      <c r="C11" s="11">
        <v>2</v>
      </c>
      <c r="D11" s="11">
        <v>2</v>
      </c>
      <c r="E11" s="11" t="s">
        <v>1543</v>
      </c>
    </row>
    <row r="12" spans="1:5">
      <c r="A12" s="8"/>
      <c r="B12" s="11" t="s">
        <v>1548</v>
      </c>
      <c r="C12" s="11">
        <v>3</v>
      </c>
      <c r="D12" s="11">
        <v>2</v>
      </c>
      <c r="E12" s="11" t="s">
        <v>1544</v>
      </c>
    </row>
    <row r="13" spans="1:5">
      <c r="A13" s="8"/>
      <c r="B13" s="11" t="s">
        <v>1548</v>
      </c>
      <c r="C13" s="11">
        <v>1</v>
      </c>
      <c r="D13" s="11">
        <v>3</v>
      </c>
      <c r="E13" s="11" t="s">
        <v>1503</v>
      </c>
    </row>
    <row r="14" spans="1:5">
      <c r="A14" s="8"/>
      <c r="B14" s="11" t="s">
        <v>1548</v>
      </c>
      <c r="C14" s="11">
        <v>2</v>
      </c>
      <c r="D14" s="11">
        <v>3</v>
      </c>
      <c r="E14" s="11" t="s">
        <v>1504</v>
      </c>
    </row>
    <row r="15" spans="1:5">
      <c r="A15" s="8"/>
      <c r="B15" s="11" t="s">
        <v>1548</v>
      </c>
      <c r="C15" s="11">
        <v>3</v>
      </c>
      <c r="D15" s="11">
        <v>3</v>
      </c>
      <c r="E15" s="11" t="s">
        <v>1505</v>
      </c>
    </row>
    <row r="16" spans="1:5">
      <c r="A16" s="8"/>
      <c r="B16" s="11" t="s">
        <v>1548</v>
      </c>
      <c r="C16" s="11">
        <v>1</v>
      </c>
      <c r="D16" s="11">
        <v>4</v>
      </c>
      <c r="E16" s="11" t="s">
        <v>1536</v>
      </c>
    </row>
    <row r="17" spans="1:5">
      <c r="A17" s="8"/>
      <c r="B17" s="11" t="s">
        <v>1548</v>
      </c>
      <c r="C17" s="11">
        <v>2</v>
      </c>
      <c r="D17" s="11">
        <v>4</v>
      </c>
      <c r="E17" s="11" t="s">
        <v>1537</v>
      </c>
    </row>
    <row r="18" spans="1:5">
      <c r="A18" s="8"/>
      <c r="B18" s="11" t="s">
        <v>1548</v>
      </c>
      <c r="C18" s="11">
        <v>3</v>
      </c>
      <c r="D18" s="11">
        <v>4</v>
      </c>
      <c r="E18" s="11" t="s">
        <v>1538</v>
      </c>
    </row>
    <row r="19" spans="1:5">
      <c r="A19" s="8"/>
      <c r="B19" s="11" t="s">
        <v>1548</v>
      </c>
      <c r="C19" s="11">
        <v>1</v>
      </c>
      <c r="D19" s="11">
        <v>5</v>
      </c>
      <c r="E19" s="11" t="s">
        <v>1497</v>
      </c>
    </row>
    <row r="20" spans="1:5">
      <c r="A20" s="8"/>
      <c r="B20" s="11" t="s">
        <v>1548</v>
      </c>
      <c r="C20" s="11">
        <v>2</v>
      </c>
      <c r="D20" s="11">
        <v>5</v>
      </c>
      <c r="E20" s="11" t="s">
        <v>1498</v>
      </c>
    </row>
    <row r="21" spans="1:5">
      <c r="A21" s="8"/>
      <c r="B21" s="11" t="s">
        <v>1548</v>
      </c>
      <c r="C21" s="11">
        <v>3</v>
      </c>
      <c r="D21" s="11">
        <v>5</v>
      </c>
      <c r="E21" s="11" t="s">
        <v>1499</v>
      </c>
    </row>
    <row r="22" spans="1:5">
      <c r="A22" s="8"/>
      <c r="B22" s="11" t="s">
        <v>1548</v>
      </c>
      <c r="C22" s="11">
        <v>1</v>
      </c>
      <c r="D22" s="11">
        <v>6</v>
      </c>
      <c r="E22" s="11" t="s">
        <v>1533</v>
      </c>
    </row>
    <row r="23" spans="1:5">
      <c r="A23" s="8"/>
      <c r="B23" s="11" t="s">
        <v>1548</v>
      </c>
      <c r="C23" s="11">
        <v>2</v>
      </c>
      <c r="D23" s="11">
        <v>6</v>
      </c>
      <c r="E23" s="11" t="s">
        <v>1534</v>
      </c>
    </row>
    <row r="24" spans="1:5">
      <c r="A24" s="8"/>
      <c r="B24" s="11" t="s">
        <v>1548</v>
      </c>
      <c r="C24" s="11">
        <v>3</v>
      </c>
      <c r="D24" s="11">
        <v>6</v>
      </c>
      <c r="E24" s="11" t="s">
        <v>1535</v>
      </c>
    </row>
    <row r="25" spans="1:5">
      <c r="A25" s="8"/>
      <c r="B25" s="11" t="s">
        <v>1549</v>
      </c>
      <c r="C25" s="11">
        <v>1</v>
      </c>
      <c r="D25" s="11">
        <v>1</v>
      </c>
      <c r="E25" s="11" t="s">
        <v>1485</v>
      </c>
    </row>
    <row r="26" spans="1:5">
      <c r="A26" s="8"/>
      <c r="B26" s="11" t="s">
        <v>1549</v>
      </c>
      <c r="C26" s="11">
        <v>2</v>
      </c>
      <c r="D26" s="11">
        <v>1</v>
      </c>
      <c r="E26" s="11" t="s">
        <v>1486</v>
      </c>
    </row>
    <row r="27" spans="1:5">
      <c r="A27" s="8"/>
      <c r="B27" s="11" t="s">
        <v>1549</v>
      </c>
      <c r="C27" s="11">
        <v>3</v>
      </c>
      <c r="D27" s="11">
        <v>1</v>
      </c>
      <c r="E27" s="11" t="s">
        <v>1487</v>
      </c>
    </row>
    <row r="28" spans="1:5">
      <c r="A28" s="8"/>
      <c r="B28" s="11" t="s">
        <v>1549</v>
      </c>
      <c r="C28" s="11">
        <v>1</v>
      </c>
      <c r="D28" s="11">
        <v>2</v>
      </c>
      <c r="E28" s="11" t="s">
        <v>1491</v>
      </c>
    </row>
    <row r="29" spans="1:5">
      <c r="A29" s="8"/>
      <c r="B29" s="11" t="s">
        <v>1549</v>
      </c>
      <c r="C29" s="11">
        <v>2</v>
      </c>
      <c r="D29" s="11">
        <v>2</v>
      </c>
      <c r="E29" s="11" t="s">
        <v>1492</v>
      </c>
    </row>
    <row r="30" spans="1:5">
      <c r="A30" s="8"/>
      <c r="B30" s="11" t="s">
        <v>1549</v>
      </c>
      <c r="C30" s="11">
        <v>3</v>
      </c>
      <c r="D30" s="11">
        <v>2</v>
      </c>
      <c r="E30" s="11" t="s">
        <v>1493</v>
      </c>
    </row>
    <row r="31" spans="1:5">
      <c r="A31" s="8"/>
      <c r="B31" s="11" t="s">
        <v>1549</v>
      </c>
      <c r="C31" s="11">
        <v>1</v>
      </c>
      <c r="D31" s="11">
        <v>3</v>
      </c>
      <c r="E31" s="11" t="s">
        <v>1527</v>
      </c>
    </row>
    <row r="32" spans="1:5">
      <c r="A32" s="8"/>
      <c r="B32" s="11" t="s">
        <v>1549</v>
      </c>
      <c r="C32" s="11">
        <v>2</v>
      </c>
      <c r="D32" s="11">
        <v>3</v>
      </c>
      <c r="E32" s="11" t="s">
        <v>1528</v>
      </c>
    </row>
    <row r="33" spans="1:5">
      <c r="A33" s="8"/>
      <c r="B33" s="11" t="s">
        <v>1549</v>
      </c>
      <c r="C33" s="11">
        <v>3</v>
      </c>
      <c r="D33" s="11">
        <v>3</v>
      </c>
      <c r="E33" s="11" t="s">
        <v>1529</v>
      </c>
    </row>
    <row r="34" spans="1:5">
      <c r="A34" s="8"/>
      <c r="B34" s="11" t="s">
        <v>1549</v>
      </c>
      <c r="C34" s="11">
        <v>1</v>
      </c>
      <c r="D34" s="11">
        <v>4</v>
      </c>
      <c r="E34" s="11" t="s">
        <v>1524</v>
      </c>
    </row>
    <row r="35" spans="1:5">
      <c r="A35" s="8"/>
      <c r="B35" s="11" t="s">
        <v>1549</v>
      </c>
      <c r="C35" s="11">
        <v>2</v>
      </c>
      <c r="D35" s="11">
        <v>4</v>
      </c>
      <c r="E35" s="11" t="s">
        <v>1525</v>
      </c>
    </row>
    <row r="36" spans="1:5">
      <c r="A36" s="8"/>
      <c r="B36" s="11" t="s">
        <v>1549</v>
      </c>
      <c r="C36" s="11">
        <v>3</v>
      </c>
      <c r="D36" s="11">
        <v>4</v>
      </c>
      <c r="E36" s="11" t="s">
        <v>1526</v>
      </c>
    </row>
    <row r="37" spans="1:5">
      <c r="A37" s="8"/>
      <c r="B37" s="11" t="s">
        <v>1549</v>
      </c>
      <c r="C37" s="11">
        <v>1</v>
      </c>
      <c r="D37" s="11">
        <v>5</v>
      </c>
      <c r="E37" s="11" t="s">
        <v>1500</v>
      </c>
    </row>
    <row r="38" spans="1:5">
      <c r="A38" s="8"/>
      <c r="B38" s="11" t="s">
        <v>1549</v>
      </c>
      <c r="C38" s="11">
        <v>2</v>
      </c>
      <c r="D38" s="11">
        <v>5</v>
      </c>
      <c r="E38" s="11" t="s">
        <v>1501</v>
      </c>
    </row>
    <row r="39" spans="1:5">
      <c r="A39" s="8"/>
      <c r="B39" s="11" t="s">
        <v>1549</v>
      </c>
      <c r="C39" s="11">
        <v>3</v>
      </c>
      <c r="D39" s="11">
        <v>5</v>
      </c>
      <c r="E39" s="11" t="s">
        <v>1502</v>
      </c>
    </row>
    <row r="40" spans="1:5">
      <c r="A40" s="8"/>
      <c r="B40" s="11" t="s">
        <v>1549</v>
      </c>
      <c r="C40" s="11">
        <v>1</v>
      </c>
      <c r="D40" s="11">
        <v>6</v>
      </c>
      <c r="E40" s="11" t="s">
        <v>1482</v>
      </c>
    </row>
    <row r="41" spans="1:5">
      <c r="A41" s="8"/>
      <c r="B41" s="11" t="s">
        <v>1549</v>
      </c>
      <c r="C41" s="11">
        <v>2</v>
      </c>
      <c r="D41" s="11">
        <v>6</v>
      </c>
      <c r="E41" s="11" t="s">
        <v>1483</v>
      </c>
    </row>
    <row r="42" spans="1:5">
      <c r="A42" s="8"/>
      <c r="B42" s="11" t="s">
        <v>1549</v>
      </c>
      <c r="C42" s="11">
        <v>3</v>
      </c>
      <c r="D42" s="11">
        <v>6</v>
      </c>
      <c r="E42" s="11" t="s">
        <v>1484</v>
      </c>
    </row>
    <row r="43" spans="1:5">
      <c r="A43" s="8"/>
      <c r="B43" s="11" t="s">
        <v>1550</v>
      </c>
      <c r="C43" s="11">
        <v>1</v>
      </c>
      <c r="D43" s="11">
        <v>1</v>
      </c>
      <c r="E43" s="11" t="s">
        <v>1479</v>
      </c>
    </row>
    <row r="44" spans="1:5">
      <c r="A44" s="8"/>
      <c r="B44" s="11" t="s">
        <v>1550</v>
      </c>
      <c r="C44" s="11">
        <v>2</v>
      </c>
      <c r="D44" s="11">
        <v>1</v>
      </c>
      <c r="E44" s="11" t="s">
        <v>1480</v>
      </c>
    </row>
    <row r="45" spans="1:5">
      <c r="A45" s="8"/>
      <c r="B45" s="11" t="s">
        <v>1550</v>
      </c>
      <c r="C45" s="11">
        <v>3</v>
      </c>
      <c r="D45" s="11">
        <v>1</v>
      </c>
      <c r="E45" s="11" t="s">
        <v>1481</v>
      </c>
    </row>
    <row r="46" spans="1:5">
      <c r="A46" s="8"/>
      <c r="B46" s="11" t="s">
        <v>1550</v>
      </c>
      <c r="C46" s="11">
        <v>1</v>
      </c>
      <c r="D46" s="11">
        <v>2</v>
      </c>
      <c r="E46" s="11" t="s">
        <v>1530</v>
      </c>
    </row>
    <row r="47" spans="1:5">
      <c r="A47" s="8"/>
      <c r="B47" s="11" t="s">
        <v>1550</v>
      </c>
      <c r="C47" s="11">
        <v>2</v>
      </c>
      <c r="D47" s="11">
        <v>2</v>
      </c>
      <c r="E47" s="11" t="s">
        <v>1531</v>
      </c>
    </row>
    <row r="48" spans="1:5">
      <c r="A48" s="8"/>
      <c r="B48" s="11" t="s">
        <v>1550</v>
      </c>
      <c r="C48" s="11">
        <v>3</v>
      </c>
      <c r="D48" s="11">
        <v>2</v>
      </c>
      <c r="E48" s="11" t="s">
        <v>1532</v>
      </c>
    </row>
    <row r="49" spans="1:5">
      <c r="A49" s="8"/>
      <c r="B49" s="11" t="s">
        <v>1550</v>
      </c>
      <c r="C49" s="11">
        <v>1</v>
      </c>
      <c r="D49" s="11">
        <v>3</v>
      </c>
      <c r="E49" s="11" t="s">
        <v>1512</v>
      </c>
    </row>
    <row r="50" spans="1:5">
      <c r="A50" s="8"/>
      <c r="B50" s="11" t="s">
        <v>1550</v>
      </c>
      <c r="C50" s="11">
        <v>2</v>
      </c>
      <c r="D50" s="11">
        <v>3</v>
      </c>
      <c r="E50" s="11" t="s">
        <v>1513</v>
      </c>
    </row>
    <row r="51" spans="1:5">
      <c r="A51" s="8"/>
      <c r="B51" s="11" t="s">
        <v>1550</v>
      </c>
      <c r="C51" s="11">
        <v>3</v>
      </c>
      <c r="D51" s="11">
        <v>3</v>
      </c>
      <c r="E51" s="11" t="s">
        <v>1514</v>
      </c>
    </row>
    <row r="52" spans="1:5">
      <c r="A52" s="8"/>
      <c r="B52" s="11" t="s">
        <v>1550</v>
      </c>
      <c r="C52" s="11">
        <v>1</v>
      </c>
      <c r="D52" s="11">
        <v>4</v>
      </c>
      <c r="E52" s="11" t="s">
        <v>1539</v>
      </c>
    </row>
    <row r="53" spans="1:5">
      <c r="A53" s="8"/>
      <c r="B53" s="11" t="s">
        <v>1550</v>
      </c>
      <c r="C53" s="11">
        <v>2</v>
      </c>
      <c r="D53" s="11">
        <v>4</v>
      </c>
      <c r="E53" s="11" t="s">
        <v>1540</v>
      </c>
    </row>
    <row r="54" spans="1:5">
      <c r="A54" s="8"/>
      <c r="B54" s="11" t="s">
        <v>1550</v>
      </c>
      <c r="C54" s="11">
        <v>3</v>
      </c>
      <c r="D54" s="11">
        <v>4</v>
      </c>
      <c r="E54" s="11" t="s">
        <v>1541</v>
      </c>
    </row>
    <row r="55" spans="1:5">
      <c r="A55" s="8"/>
      <c r="B55" s="11" t="s">
        <v>1550</v>
      </c>
      <c r="C55" s="11">
        <v>1</v>
      </c>
      <c r="D55" s="11">
        <v>5</v>
      </c>
      <c r="E55" s="11" t="s">
        <v>1476</v>
      </c>
    </row>
    <row r="56" spans="1:5">
      <c r="A56" s="8"/>
      <c r="B56" s="11" t="s">
        <v>1550</v>
      </c>
      <c r="C56" s="11">
        <v>2</v>
      </c>
      <c r="D56" s="11">
        <v>5</v>
      </c>
      <c r="E56" s="11" t="s">
        <v>1477</v>
      </c>
    </row>
    <row r="57" spans="1:5">
      <c r="A57" s="8"/>
      <c r="B57" s="11" t="s">
        <v>1550</v>
      </c>
      <c r="C57" s="11">
        <v>3</v>
      </c>
      <c r="D57" s="11">
        <v>5</v>
      </c>
      <c r="E57" s="11" t="s">
        <v>1478</v>
      </c>
    </row>
    <row r="58" spans="1:5">
      <c r="A58" s="8"/>
      <c r="B58" s="11" t="s">
        <v>1550</v>
      </c>
      <c r="C58" s="11">
        <v>1</v>
      </c>
      <c r="D58" s="11">
        <v>6</v>
      </c>
      <c r="E58" s="11" t="s">
        <v>1509</v>
      </c>
    </row>
    <row r="59" spans="1:5">
      <c r="A59" s="8"/>
      <c r="B59" s="11" t="s">
        <v>1550</v>
      </c>
      <c r="C59" s="11" t="s">
        <v>187</v>
      </c>
      <c r="D59" s="11">
        <v>6</v>
      </c>
      <c r="E59" s="11" t="s">
        <v>1511</v>
      </c>
    </row>
    <row r="60" spans="1:5">
      <c r="A60" s="8"/>
      <c r="B60" s="11" t="s">
        <v>1550</v>
      </c>
      <c r="C60" s="11" t="s">
        <v>188</v>
      </c>
      <c r="D60" s="11">
        <v>6</v>
      </c>
      <c r="E60" s="11" t="s">
        <v>1510</v>
      </c>
    </row>
    <row r="61" spans="1:5">
      <c r="A61" s="8"/>
      <c r="B61" s="11" t="s">
        <v>1551</v>
      </c>
      <c r="C61" s="11">
        <v>1</v>
      </c>
      <c r="D61" s="11">
        <v>1</v>
      </c>
      <c r="E61" s="11" t="s">
        <v>1488</v>
      </c>
    </row>
    <row r="62" spans="1:5">
      <c r="A62" s="8"/>
      <c r="B62" s="11" t="s">
        <v>1551</v>
      </c>
      <c r="C62" s="11">
        <v>2</v>
      </c>
      <c r="D62" s="11">
        <v>1</v>
      </c>
      <c r="E62" s="11" t="s">
        <v>1489</v>
      </c>
    </row>
    <row r="63" spans="1:5">
      <c r="A63" s="8"/>
      <c r="B63" s="11" t="s">
        <v>1551</v>
      </c>
      <c r="C63" s="11">
        <v>3</v>
      </c>
      <c r="D63" s="11">
        <v>1</v>
      </c>
      <c r="E63" s="11" t="s">
        <v>1490</v>
      </c>
    </row>
    <row r="64" spans="1:5">
      <c r="A64" s="8"/>
      <c r="B64" s="11" t="s">
        <v>1551</v>
      </c>
      <c r="C64" s="11">
        <v>1</v>
      </c>
      <c r="D64" s="11">
        <v>2</v>
      </c>
      <c r="E64" s="11" t="s">
        <v>1518</v>
      </c>
    </row>
    <row r="65" spans="1:5">
      <c r="A65" s="8"/>
      <c r="B65" s="11" t="s">
        <v>1551</v>
      </c>
      <c r="C65" s="11">
        <v>2</v>
      </c>
      <c r="D65" s="11">
        <v>2</v>
      </c>
      <c r="E65" s="11" t="s">
        <v>1519</v>
      </c>
    </row>
    <row r="66" spans="1:5">
      <c r="A66" s="8"/>
      <c r="B66" s="11" t="s">
        <v>1551</v>
      </c>
      <c r="C66" s="11">
        <v>3</v>
      </c>
      <c r="D66" s="11">
        <v>2</v>
      </c>
      <c r="E66" s="11" t="s">
        <v>1520</v>
      </c>
    </row>
    <row r="67" spans="1:5">
      <c r="A67" s="8"/>
      <c r="B67" s="11" t="s">
        <v>1551</v>
      </c>
      <c r="C67" s="11">
        <v>1</v>
      </c>
      <c r="D67" s="11">
        <v>3</v>
      </c>
      <c r="E67" s="11" t="s">
        <v>1506</v>
      </c>
    </row>
    <row r="68" spans="1:5">
      <c r="A68" s="8"/>
      <c r="B68" s="11" t="s">
        <v>1551</v>
      </c>
      <c r="C68" s="11">
        <v>2</v>
      </c>
      <c r="D68" s="11">
        <v>3</v>
      </c>
      <c r="E68" s="11" t="s">
        <v>1507</v>
      </c>
    </row>
    <row r="69" spans="1:5">
      <c r="A69" s="8"/>
      <c r="B69" s="11" t="s">
        <v>1551</v>
      </c>
      <c r="C69" s="11">
        <v>3</v>
      </c>
      <c r="D69" s="11">
        <v>3</v>
      </c>
      <c r="E69" s="11" t="s">
        <v>1508</v>
      </c>
    </row>
    <row r="70" spans="1:5">
      <c r="A70" s="8"/>
      <c r="B70" s="11" t="s">
        <v>1551</v>
      </c>
      <c r="C70" s="11">
        <v>1</v>
      </c>
      <c r="D70" s="11">
        <v>4</v>
      </c>
      <c r="E70" s="11" t="s">
        <v>1545</v>
      </c>
    </row>
    <row r="71" spans="1:5">
      <c r="A71" s="8"/>
      <c r="B71" s="11" t="s">
        <v>1551</v>
      </c>
      <c r="C71" s="11">
        <v>2</v>
      </c>
      <c r="D71" s="11">
        <v>4</v>
      </c>
      <c r="E71" s="11" t="s">
        <v>1546</v>
      </c>
    </row>
    <row r="72" spans="1:5">
      <c r="A72" s="8"/>
      <c r="B72" s="11" t="s">
        <v>1551</v>
      </c>
      <c r="C72" s="11">
        <v>3</v>
      </c>
      <c r="D72" s="11">
        <v>4</v>
      </c>
      <c r="E72" s="11" t="s">
        <v>1547</v>
      </c>
    </row>
    <row r="73" spans="1:5">
      <c r="A73" s="8"/>
      <c r="B73" s="11" t="s">
        <v>1551</v>
      </c>
      <c r="C73" s="11">
        <v>1</v>
      </c>
      <c r="D73" s="11">
        <v>5</v>
      </c>
      <c r="E73" s="11" t="s">
        <v>1494</v>
      </c>
    </row>
    <row r="74" spans="1:5">
      <c r="A74" s="8"/>
      <c r="B74" s="11" t="s">
        <v>1551</v>
      </c>
      <c r="C74" s="11">
        <v>2</v>
      </c>
      <c r="D74" s="11">
        <v>5</v>
      </c>
      <c r="E74" s="11" t="s">
        <v>1495</v>
      </c>
    </row>
    <row r="75" spans="1:5">
      <c r="A75" s="8"/>
      <c r="B75" s="11" t="s">
        <v>1551</v>
      </c>
      <c r="C75" s="11">
        <v>3</v>
      </c>
      <c r="D75" s="11">
        <v>5</v>
      </c>
      <c r="E75" s="11" t="s">
        <v>1496</v>
      </c>
    </row>
    <row r="76" spans="1:5">
      <c r="A76" s="8"/>
      <c r="B76" s="11" t="s">
        <v>1551</v>
      </c>
      <c r="C76" s="11">
        <v>1</v>
      </c>
      <c r="D76" s="11">
        <v>6</v>
      </c>
      <c r="E76" s="11" t="s">
        <v>1515</v>
      </c>
    </row>
    <row r="77" spans="1:5">
      <c r="A77" s="8"/>
      <c r="B77" s="11" t="s">
        <v>1551</v>
      </c>
      <c r="C77" s="11">
        <v>2</v>
      </c>
      <c r="D77" s="11">
        <v>6</v>
      </c>
      <c r="E77" s="11" t="s">
        <v>1516</v>
      </c>
    </row>
    <row r="78" spans="1:5">
      <c r="A78" s="8"/>
      <c r="B78" s="11" t="s">
        <v>1551</v>
      </c>
      <c r="C78" s="11">
        <v>3</v>
      </c>
      <c r="D78" s="11">
        <v>6</v>
      </c>
      <c r="E78" s="11" t="s">
        <v>1517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V5" sqref="V5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1872</v>
      </c>
      <c r="B2" s="9" t="s">
        <v>720</v>
      </c>
      <c r="C2" s="9" t="s">
        <v>1864</v>
      </c>
      <c r="D2" s="9" t="s">
        <v>1865</v>
      </c>
      <c r="E2" s="9" t="s">
        <v>1867</v>
      </c>
      <c r="F2" s="9" t="s">
        <v>1869</v>
      </c>
      <c r="G2" s="9" t="s">
        <v>1870</v>
      </c>
      <c r="H2" s="9" t="s">
        <v>1871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1866</v>
      </c>
      <c r="E4" s="9" t="s">
        <v>1868</v>
      </c>
      <c r="F4" s="9" t="s">
        <v>1868</v>
      </c>
      <c r="G4" s="9" t="s">
        <v>1868</v>
      </c>
      <c r="H4" s="9" t="s">
        <v>1868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2024-06-17T14:43:10Z</dcterms:modified>
</cp:coreProperties>
</file>