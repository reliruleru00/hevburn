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DAA138A-8517-4065-88A1-6B8A92DE398E}" xr6:coauthVersionLast="47" xr6:coauthVersionMax="47" xr10:uidLastSave="{00000000-0000-0000-0000-000000000000}"/>
  <bookViews>
    <workbookView xWindow="-120" yWindow="-120" windowWidth="29040" windowHeight="15840" firstSheet="5" activeTab="14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skill_buff!$B$6:$P$220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0" l="1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34" i="59"/>
  <c r="F133" i="59"/>
  <c r="F132" i="59"/>
  <c r="F131" i="59"/>
  <c r="F130" i="59"/>
  <c r="F129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6" i="58"/>
  <c r="D138" i="58"/>
  <c r="D137" i="58"/>
  <c r="D303" i="58"/>
  <c r="D135" i="58"/>
  <c r="D302" i="58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<sst xmlns="http://schemas.openxmlformats.org/spreadsheetml/2006/main" count="3300" uniqueCount="1885">
  <si>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</si>
  <si>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</si>
  <si>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</si>
  <si>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</si>
  <si>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</si>
  <si>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</si>
  <si>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</si>
  <si>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</si>
  <si>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</si>
  <si>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</si>
  <si>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</si>
  <si>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</si>
  <si>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</si>
  <si>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</si>
  <si>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</si>
  <si>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</si>
  <si>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</si>
  <si>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</si>
  <si>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</si>
  <si>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</si>
  <si>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</si>
  <si>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</si>
  <si>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</si>
  <si>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</si>
  <si>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</si>
  <si>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</si>
  <si>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</si>
  <si>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</si>
  <si>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</si>
  <si>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</si>
  <si>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</si>
  <si>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</si>
  <si>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</si>
  <si>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</si>
  <si>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</si>
  <si>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</si>
  <si>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</si>
  <si>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</si>
  <si>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</si>
  <si>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</si>
  <si>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</si>
  <si>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</si>
  <si>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</si>
  <si>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</si>
  <si>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</si>
  <si>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</si>
  <si>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</si>
  <si>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</si>
  <si>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</si>
  <si>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</si>
  <si>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</si>
  <si>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</si>
  <si>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</si>
  <si>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</si>
  <si>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</si>
  <si>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</si>
  <si>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</si>
  <si>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</si>
  <si>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</si>
  <si>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</si>
  <si>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</si>
  <si>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</si>
  <si>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</si>
  <si>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</si>
  <si>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</si>
  <si>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</si>
  <si>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</si>
  <si>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</si>
  <si>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</si>
  <si>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</si>
  <si>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</si>
  <si>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</si>
  <si>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</si>
  <si>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</si>
  <si>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</si>
  <si>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</si>
  <si>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</si>
  <si>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</si>
  <si>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</si>
  <si>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</si>
  <si>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</si>
  <si>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</si>
  <si>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</si>
  <si>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</si>
  <si>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</si>
  <si>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</si>
  <si>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</si>
  <si>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</si>
  <si>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</si>
  <si>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</si>
  <si>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</si>
  <si>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</si>
  <si>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</si>
  <si>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</si>
  <si>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</si>
  <si>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</si>
  <si>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</si>
  <si>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</si>
  <si>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</si>
  <si>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</si>
  <si>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</si>
  <si>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</si>
  <si>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</si>
  <si>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</si>
  <si>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</si>
  <si>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</si>
  <si>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</si>
  <si>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</si>
  <si>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</si>
  <si>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</si>
  <si>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</si>
  <si>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</si>
  <si>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</si>
  <si>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</si>
  <si>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</si>
  <si>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</si>
  <si>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</si>
  <si>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</si>
  <si>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</si>
  <si>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</si>
  <si>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</si>
  <si>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</si>
  <si>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</si>
  <si>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</si>
  <si>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</si>
  <si>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</si>
  <si>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</si>
  <si>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</si>
  <si>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</si>
  <si>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</si>
  <si>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</si>
  <si>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</si>
  <si>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</si>
  <si>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</si>
  <si>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</si>
  <si>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</si>
  <si>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</si>
  <si>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</si>
  <si>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</si>
  <si>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</si>
  <si>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</si>
  <si>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</si>
  <si>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</si>
  <si>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</si>
  <si>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</si>
  <si>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</si>
  <si>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</si>
  <si>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</si>
  <si>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</si>
  <si>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</si>
  <si>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</si>
  <si>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</si>
  <si>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</si>
  <si>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</si>
  <si>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</si>
  <si>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</si>
  <si>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</si>
  <si>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</si>
  <si>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</si>
  <si>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</si>
  <si>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</si>
  <si>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</si>
  <si>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</si>
  <si>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</si>
  <si>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</si>
  <si>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</si>
  <si>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</si>
  <si>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</si>
  <si>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</si>
  <si>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</si>
  <si>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</si>
  <si>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</si>
  <si>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</si>
  <si>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</si>
  <si>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</si>
  <si>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</si>
  <si>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</si>
  <si>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</si>
  <si>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</si>
  <si>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</si>
  <si>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</si>
  <si>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</si>
  <si>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</si>
  <si>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</si>
  <si>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</si>
  <si>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</si>
  <si>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</si>
  <si>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</si>
  <si>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</si>
  <si>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</si>
  <si>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</si>
  <si>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</si>
  <si>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</si>
  <si>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</si>
  <si>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</si>
  <si>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</si>
  <si>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</si>
  <si>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</si>
  <si>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</si>
  <si>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</si>
  <si>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</si>
  <si>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</si>
  <si>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</si>
  <si>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</si>
  <si>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</si>
  <si>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</si>
  <si>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</si>
  <si>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</si>
  <si>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</si>
  <si>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</si>
  <si>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</si>
  <si>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</si>
  <si>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</si>
  <si>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</si>
  <si>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</si>
  <si>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</si>
  <si>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</si>
  <si>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</si>
  <si>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</si>
  <si>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</si>
  <si>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</si>
  <si>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</si>
  <si>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</si>
  <si>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</si>
  <si>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</si>
  <si>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</si>
  <si>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</si>
  <si>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</si>
  <si>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</si>
  <si>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</si>
  <si>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</si>
  <si>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</si>
  <si>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</si>
  <si>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</si>
  <si>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</si>
  <si>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</si>
  <si>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</si>
  <si>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</si>
  <si>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</si>
  <si>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</si>
  <si>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</si>
  <si>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</si>
  <si>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</si>
  <si>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</si>
  <si>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</si>
  <si>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</si>
  <si>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</si>
  <si>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</si>
  <si>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</si>
  <si>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</si>
  <si>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</si>
  <si>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</si>
  <si>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</si>
  <si>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</si>
  <si>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</si>
  <si>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</si>
  <si>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</si>
  <si>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</si>
  <si>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</si>
  <si>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</si>
  <si>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</si>
  <si>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</si>
  <si>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</si>
  <si>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</si>
  <si>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</si>
  <si>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</si>
  <si>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</si>
  <si>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</si>
  <si>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</si>
  <si>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</si>
  <si>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</si>
  <si>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</si>
  <si>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</si>
  <si>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</si>
  <si>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</si>
  <si>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</si>
  <si>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</si>
  <si>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</si>
  <si>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</si>
  <si>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</si>
  <si>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</si>
  <si>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</si>
  <si>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</si>
  <si>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</si>
  <si>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</si>
  <si>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</si>
  <si>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</si>
  <si>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</si>
  <si>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</si>
  <si>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</si>
  <si>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</si>
  <si>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</si>
  <si>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</si>
  <si>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</si>
  <si>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</si>
  <si>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</si>
  <si>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</si>
  <si>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</si>
  <si>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</si>
  <si>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</si>
  <si>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</si>
  <si>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</si>
  <si>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</si>
  <si>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</si>
  <si>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</si>
  <si>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</si>
  <si>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</si>
  <si>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</si>
  <si>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</si>
  <si>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</si>
  <si>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</si>
  <si>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</si>
  <si>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</si>
  <si>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</si>
  <si>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</si>
  <si>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</si>
  <si>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</si>
  <si>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</si>
  <si>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</si>
  <si>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</si>
  <si>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</si>
  <si>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</si>
  <si>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</si>
  <si>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</si>
  <si>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</si>
  <si>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</si>
  <si>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</si>
  <si>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</si>
  <si>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</si>
  <si>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</si>
  <si>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</si>
  <si>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</si>
  <si>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</si>
  <si>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</si>
  <si>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</si>
  <si>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</si>
  <si>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</si>
  <si>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</si>
  <si>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</si>
  <si>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</si>
  <si>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</si>
  <si>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</si>
  <si>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</si>
  <si>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</si>
  <si>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</si>
  <si>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</si>
  <si>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</si>
  <si>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</si>
  <si>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</si>
  <si>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</si>
  <si>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</si>
  <si>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</si>
  <si>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</si>
  <si>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</si>
  <si>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</si>
  <si>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</si>
  <si>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</si>
  <si>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</si>
  <si>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</si>
  <si>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</si>
  <si>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</si>
  <si>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</si>
  <si>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</si>
  <si>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</si>
  <si>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</si>
  <si>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</si>
  <si>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</si>
  <si>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</si>
  <si>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</si>
  <si>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</si>
  <si>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</si>
  <si>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</si>
  <si>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</si>
  <si>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</si>
  <si>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</si>
  <si>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</si>
  <si>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</si>
  <si>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</si>
  <si>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</si>
  <si>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</si>
  <si>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</si>
  <si>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</si>
  <si>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</si>
  <si>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</si>
  <si>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</si>
  <si>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</si>
  <si>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</si>
  <si>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</si>
  <si>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</si>
  <si>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</si>
  <si>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</si>
  <si>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</si>
  <si>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</si>
  <si>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</si>
  <si>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</si>
  <si>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</si>
  <si>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</si>
  <si>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</si>
  <si>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</si>
  <si>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</si>
  <si>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</si>
  <si>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</si>
  <si>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</si>
  <si>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</si>
  <si>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</si>
  <si>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</si>
  <si>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</si>
  <si>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</si>
  <si>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</si>
  <si>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</si>
  <si>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</si>
  <si>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</si>
  <si>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</si>
  <si>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</si>
  <si>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</si>
  <si>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</si>
  <si>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</si>
  <si>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</si>
  <si>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</si>
  <si>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</si>
  <si>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</si>
  <si>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</si>
  <si>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</si>
  <si>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</si>
  <si>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</si>
  <si>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</si>
  <si>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</si>
  <si>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</si>
  <si>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</si>
  <si>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</si>
  <si>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</si>
  <si>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</si>
  <si>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</si>
  <si>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</si>
  <si>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</si>
  <si>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</si>
  <si>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</si>
  <si>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</si>
  <si>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</si>
  <si>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</si>
  <si>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</si>
  <si>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</si>
  <si>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</si>
  <si>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</si>
  <si>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</si>
  <si>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</si>
  <si>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</si>
  <si>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</si>
  <si>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</si>
  <si>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</si>
  <si>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</si>
  <si>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</si>
  <si>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</si>
  <si>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</si>
  <si>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</si>
  <si>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</si>
  <si>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</si>
  <si>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</si>
  <si>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</si>
  <si>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</si>
  <si>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</si>
  <si>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</si>
  <si>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</si>
  <si>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</si>
  <si>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</si>
  <si>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</si>
  <si>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</si>
  <si>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</si>
  <si>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</si>
  <si>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</si>
  <si>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</si>
  <si>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</si>
  <si>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</si>
  <si>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</si>
  <si>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</si>
  <si>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</si>
  <si>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</si>
  <si>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</si>
  <si>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</si>
  <si>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</si>
  <si>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</si>
  <si>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</si>
  <si>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</si>
  <si>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</si>
  <si>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</si>
  <si>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</si>
  <si>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</si>
  <si>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</si>
  <si>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</si>
  <si>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</si>
  <si>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</si>
  <si>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</si>
  <si>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</si>
  <si>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</si>
  <si>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</si>
  <si>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</si>
  <si>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</si>
  <si>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</si>
  <si>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</si>
  <si>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</si>
  <si>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</si>
  <si>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</si>
  <si>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</si>
  <si>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</si>
  <si>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</si>
  <si>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</si>
  <si>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</si>
  <si>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</si>
  <si>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</si>
  <si>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</si>
  <si>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</si>
  <si>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</si>
  <si>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</si>
  <si>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</si>
  <si>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</si>
  <si>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</si>
  <si>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</si>
  <si>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</si>
  <si>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</si>
  <si>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</si>
  <si>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</si>
  <si>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</si>
  <si>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</si>
  <si>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</si>
  <si>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</si>
  <si>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</si>
  <si>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</si>
  <si>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</si>
  <si>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</si>
  <si>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</si>
  <si>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</si>
  <si>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</si>
  <si>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</si>
  <si>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</si>
  <si>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</si>
  <si>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</si>
  <si>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</si>
  <si>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</si>
  <si>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</si>
  <si>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</si>
  <si>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</si>
  <si>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</si>
  <si>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</si>
  <si>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</si>
  <si>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</si>
  <si>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</si>
  <si>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</si>
  <si>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</si>
  <si>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</si>
  <si>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</si>
  <si>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</si>
  <si>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</si>
  <si>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</si>
  <si>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</si>
  <si>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</si>
  <si>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</si>
  <si>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</si>
  <si>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</si>
  <si>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</si>
  <si>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</si>
  <si>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</si>
  <si>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</si>
  <si>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</si>
  <si>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</si>
  <si>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</si>
  <si>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</si>
  <si>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</si>
  <si>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</si>
  <si>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</si>
  <si>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</si>
  <si>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</si>
  <si>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</si>
  <si>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</si>
  <si>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</si>
  <si>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</si>
  <si>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</si>
  <si>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</si>
  <si>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</si>
  <si>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</si>
  <si>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</si>
  <si>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</si>
  <si>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</si>
  <si>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</si>
  <si>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</si>
  <si>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</si>
  <si>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</si>
  <si>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</si>
  <si>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</si>
  <si>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</si>
  <si>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</si>
  <si>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</si>
  <si>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</si>
  <si>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</si>
  <si>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</si>
  <si>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</si>
  <si>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</si>
  <si>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</si>
  <si>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</si>
  <si>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</si>
  <si>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</si>
  <si>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</si>
  <si>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</si>
  <si>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</si>
  <si>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</si>
  <si>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</si>
  <si>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</si>
  <si>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</si>
  <si>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</si>
  <si>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</si>
  <si>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</si>
  <si>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</si>
  <si>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</si>
  <si>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</si>
  <si>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</si>
  <si>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</si>
  <si>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</si>
  <si>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</si>
  <si>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</si>
  <si>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</si>
  <si>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</si>
  <si>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</si>
  <si>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</si>
  <si>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</si>
  <si>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</si>
  <si>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</si>
  <si>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</si>
  <si>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</si>
  <si>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</si>
  <si>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</si>
  <si>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</si>
  <si>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</si>
  <si>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</si>
  <si>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</si>
  <si>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</si>
  <si>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</si>
  <si>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</si>
  <si>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</si>
  <si>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</si>
  <si>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</si>
  <si>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</si>
  <si>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</si>
  <si>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</si>
  <si>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</si>
  <si>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</si>
  <si>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</si>
  <si>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</si>
  <si>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</si>
  <si>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</si>
  <si>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</si>
  <si>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</si>
  <si>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</si>
  <si>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</si>
  <si>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</si>
  <si>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</si>
  <si>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</si>
  <si>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</si>
  <si>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</si>
  <si>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</si>
  <si>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</si>
  <si>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</si>
  <si>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</si>
  <si>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</si>
  <si>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</si>
  <si>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</si>
  <si>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</si>
  <si>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</si>
  <si>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</si>
  <si>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</si>
  <si>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</si>
  <si>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</si>
  <si>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</si>
  <si>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</si>
  <si>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</si>
  <si>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</si>
  <si>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</si>
  <si>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</si>
  <si>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</si>
  <si>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</si>
  <si>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</si>
  <si>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</si>
  <si>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</si>
  <si>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</si>
  <si>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</si>
  <si>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</si>
  <si>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</si>
  <si>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</si>
  <si>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</si>
  <si>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</si>
  <si>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</si>
  <si>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</si>
  <si>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</si>
  <si>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</si>
  <si>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</si>
  <si>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</si>
  <si>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</si>
  <si>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</si>
  <si>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</si>
  <si>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</si>
  <si>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</si>
  <si>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</si>
  <si>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</si>
  <si>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</si>
  <si>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</si>
  <si>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</si>
  <si>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</si>
  <si>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</si>
  <si>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</si>
  <si>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</si>
  <si>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</si>
  <si>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</si>
  <si>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</si>
  <si>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</si>
  <si>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</si>
  <si>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</si>
  <si>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</si>
  <si>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</si>
  <si>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</si>
  <si>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</si>
  <si>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</si>
  <si>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</si>
  <si>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</si>
  <si>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</si>
  <si>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</si>
  <si>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</si>
  <si>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</si>
  <si>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</si>
  <si>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</si>
  <si>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</si>
  <si>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</si>
  <si>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</si>
  <si>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</si>
  <si>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</si>
  <si>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</si>
  <si>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</si>
  <si>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</si>
  <si>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</si>
  <si>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</si>
  <si>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</si>
  <si>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</si>
  <si>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</si>
  <si>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</si>
  <si>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</si>
  <si>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</si>
  <si>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</si>
  <si>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</si>
  <si>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</si>
  <si>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</si>
  <si>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</si>
  <si>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</si>
  <si>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</si>
  <si>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</si>
  <si>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</si>
  <si>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</si>
  <si>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</si>
  <si>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</si>
  <si>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</si>
  <si>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</si>
  <si>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</si>
  <si>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</si>
  <si>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</si>
  <si>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</si>
  <si>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</si>
  <si>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</si>
  <si>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</si>
  <si>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</si>
  <si>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</si>
  <si>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</si>
  <si>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</si>
  <si>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</si>
  <si>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</si>
  <si>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</si>
  <si>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</si>
  <si>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</si>
  <si>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</si>
  <si>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</si>
  <si>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</si>
  <si>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</si>
  <si>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</si>
  <si>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</si>
  <si>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</si>
  <si>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</si>
  <si>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</si>
  <si>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</si>
  <si>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</si>
  <si>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</si>
  <si>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</si>
  <si>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</si>
  <si>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</si>
  <si>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</si>
  <si>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</si>
  <si>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</si>
  <si>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</si>
  <si>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</si>
  <si>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</si>
  <si>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</si>
  <si>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</si>
  <si>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</si>
  <si>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</si>
  <si>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</si>
  <si>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</si>
  <si>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</si>
  <si>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</si>
  <si>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</si>
  <si>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</si>
  <si>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</si>
  <si>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</si>
  <si>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</si>
  <si>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</si>
  <si>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</si>
  <si>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</si>
  <si>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</si>
  <si>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</si>
  <si>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</si>
  <si>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</si>
  <si>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</si>
  <si>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</si>
  <si>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</si>
  <si>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</si>
  <si>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</si>
  <si>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</si>
  <si>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</si>
  <si>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</si>
  <si>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</si>
  <si>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</si>
  <si>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</si>
  <si>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</si>
  <si>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</si>
  <si>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</si>
  <si>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</si>
  <si>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</si>
  <si>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</si>
  <si>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</si>
  <si>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</si>
  <si>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</si>
  <si>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</si>
  <si>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</si>
  <si>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</si>
  <si>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</si>
  <si>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</si>
  <si>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</si>
  <si>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</si>
  <si>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</si>
  <si>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</si>
  <si>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</si>
  <si>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</si>
  <si>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</si>
  <si>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</si>
  <si>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</si>
  <si>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</si>
  <si>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</si>
  <si>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</si>
  <si>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</si>
  <si>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</si>
  <si>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</si>
  <si>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</si>
  <si>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</si>
  <si>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</si>
  <si>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</si>
  <si>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</si>
  <si>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</si>
  <si>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</si>
  <si>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</si>
  <si>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</si>
  <si>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</si>
  <si>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</si>
  <si>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</si>
  <si>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</si>
  <si>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</si>
  <si>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</si>
  <si>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</si>
  <si>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</si>
  <si>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</si>
  <si>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</si>
  <si>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</si>
  <si>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</si>
  <si>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</si>
  <si>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</si>
  <si>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</si>
  <si>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</si>
  <si>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</si>
  <si>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</si>
  <si>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</si>
  <si>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</si>
  <si>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</si>
  <si>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</si>
  <si>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</si>
  <si>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</si>
  <si>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</si>
  <si>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</si>
  <si>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</si>
  <si>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</si>
  <si>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</si>
  <si>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</si>
  <si>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</si>
  <si>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</si>
  <si>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</si>
  <si>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</si>
  <si>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</si>
  <si>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</si>
  <si>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</si>
  <si>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</si>
  <si>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</si>
  <si>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</si>
  <si>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</si>
  <si>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</si>
  <si>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</si>
  <si>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</si>
  <si>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</si>
  <si>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</si>
  <si>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</si>
  <si>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</si>
  <si>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</si>
  <si>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</si>
  <si>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</si>
  <si>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</si>
  <si>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</si>
  <si>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</si>
  <si>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</si>
  <si>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</si>
  <si>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</si>
  <si>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</si>
  <si>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</si>
  <si>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</si>
  <si>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</si>
  <si>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</si>
  <si>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</si>
  <si>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</si>
  <si>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</si>
  <si>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</si>
  <si>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</si>
  <si>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</si>
  <si>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</si>
  <si>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</si>
  <si>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</si>
  <si>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</si>
  <si>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</si>
  <si>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</si>
  <si>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</si>
  <si>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</si>
  <si>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</si>
  <si>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</si>
  <si>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</si>
  <si>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</si>
  <si>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</si>
  <si>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</si>
  <si>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</si>
  <si>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</si>
  <si>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</si>
  <si>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</si>
  <si>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</si>
  <si>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</si>
  <si>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</si>
  <si>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</si>
  <si>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</si>
  <si>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</si>
  <si>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</si>
  <si>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</si>
  <si>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</si>
  <si>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</si>
  <si>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</si>
  <si>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</si>
  <si>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</si>
  <si>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</si>
  <si>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</si>
  <si>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</si>
  <si>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</si>
  <si>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</si>
  <si>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</si>
  <si>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</si>
  <si>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</si>
  <si>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</si>
  <si>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</si>
  <si>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</si>
  <si>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</si>
  <si>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</si>
  <si>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</si>
  <si>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</si>
  <si>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</si>
  <si>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</si>
  <si>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</si>
  <si>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</si>
  <si>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</si>
  <si>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</si>
  <si>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</si>
  <si>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</si>
  <si>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</si>
  <si>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</si>
  <si>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</si>
  <si>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</si>
  <si>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</si>
  <si>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</si>
  <si>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</si>
  <si>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</si>
  <si>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</si>
  <si>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</si>
  <si>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</si>
  <si>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</si>
  <si>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</si>
  <si>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</si>
  <si>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</si>
  <si>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</si>
  <si>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</si>
  <si>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</si>
  <si>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</si>
  <si>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</si>
  <si>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</si>
  <si>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</si>
  <si>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</si>
  <si>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</si>
  <si>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</si>
  <si>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</si>
  <si>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</si>
  <si>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</si>
  <si>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</si>
  <si>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</si>
  <si>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</si>
  <si>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</si>
  <si>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</si>
  <si>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</si>
  <si>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</si>
  <si>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</si>
  <si>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</si>
  <si>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</si>
  <si>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</si>
  <si>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</si>
  <si>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</si>
  <si>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</si>
  <si>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</si>
  <si>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</si>
  <si>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</si>
  <si>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</si>
  <si>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</si>
  <si>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</si>
  <si>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</si>
  <si>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</si>
  <si>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</si>
  <si>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</si>
  <si>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</si>
  <si>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</si>
  <si>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</si>
  <si>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</si>
  <si>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</si>
  <si>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</si>
  <si>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</si>
  <si>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</si>
  <si>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</si>
  <si>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</si>
  <si>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</si>
  <si>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</si>
  <si>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</si>
  <si>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</si>
  <si>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</si>
  <si>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</si>
  <si>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</si>
  <si>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</si>
  <si>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</si>
  <si>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</si>
  <si>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</si>
  <si>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</si>
  <si>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</si>
  <si>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</si>
  <si>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</si>
  <si>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</si>
  <si>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</si>
  <si>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</si>
  <si>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</si>
  <si>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</si>
  <si>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</si>
  <si>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</si>
  <si>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</si>
  <si>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</si>
  <si>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</si>
  <si>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</si>
  <si>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</si>
  <si>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</si>
  <si>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</si>
  <si>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</si>
  <si>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</si>
  <si>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</si>
  <si>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</si>
  <si>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</si>
  <si>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</si>
  <si>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</si>
  <si>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</si>
  <si>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</si>
  <si>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</si>
  <si>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</si>
  <si>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</si>
  <si>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</si>
  <si>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</si>
  <si>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</si>
  <si>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</si>
  <si>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</si>
  <si>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</si>
  <si>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</si>
  <si>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</si>
  <si>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</si>
  <si>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</si>
  <si>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</si>
  <si>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</si>
  <si>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</si>
  <si>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</si>
  <si>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</si>
  <si>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</si>
  <si>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</si>
  <si>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</si>
  <si>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</si>
  <si>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</si>
  <si>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</si>
  <si>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</si>
  <si>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</si>
  <si>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</si>
  <si>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</si>
  <si>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</si>
  <si>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</si>
  <si>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</si>
  <si>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</si>
  <si>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</si>
  <si>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</si>
  <si>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</si>
  <si>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</si>
  <si>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</si>
  <si>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</si>
  <si>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</si>
  <si>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</si>
  <si>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</si>
  <si>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</si>
  <si>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</si>
  <si>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</si>
  <si>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</si>
  <si>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</si>
  <si>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</si>
  <si>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</si>
  <si>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</si>
  <si>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</si>
  <si>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</si>
  <si>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</si>
  <si>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</si>
  <si>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</si>
  <si>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</si>
  <si>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</si>
  <si>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</si>
  <si>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</si>
  <si>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</si>
  <si>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</si>
  <si>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</si>
  <si>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</si>
  <si>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</si>
  <si>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</si>
  <si>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</si>
  <si>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</si>
  <si>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</si>
  <si>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</si>
  <si>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</si>
  <si>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</si>
  <si>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</si>
  <si>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</si>
  <si>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</si>
  <si>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</si>
  <si>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</si>
  <si>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</si>
  <si>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</si>
  <si>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</si>
  <si>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</si>
  <si>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</si>
  <si>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</si>
  <si>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</si>
  <si>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</si>
  <si>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</si>
  <si>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</si>
  <si>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</si>
  <si>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</si>
  <si>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</si>
  <si>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</si>
  <si>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</si>
  <si>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</si>
  <si>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</si>
  <si>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</si>
  <si>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</si>
  <si>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</si>
  <si>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</si>
  <si>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</si>
  <si>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</si>
  <si>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</si>
  <si>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</si>
  <si>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</si>
  <si>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</si>
  <si>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</si>
  <si>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</si>
  <si>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</si>
  <si>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</si>
  <si>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</si>
  <si>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</si>
  <si>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</si>
  <si>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</si>
  <si>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</si>
  <si>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</si>
  <si>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</si>
  <si>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</si>
  <si>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</si>
  <si>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</si>
  <si>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</si>
  <si>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</si>
  <si>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</si>
  <si>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</si>
  <si>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</si>
  <si>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</si>
  <si>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</si>
  <si>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</si>
  <si>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</si>
  <si>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</si>
  <si>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</si>
  <si>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</si>
  <si>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</si>
  <si>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</si>
  <si>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</si>
  <si>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</si>
  <si>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</si>
  <si>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</si>
  <si>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</si>
  <si>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</si>
  <si>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</si>
  <si>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</si>
  <si>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</si>
  <si>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</si>
  <si>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</si>
  <si>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</si>
  <si>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</si>
  <si>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</si>
  <si>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</si>
  <si>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</si>
  <si>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</si>
  <si>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</si>
  <si>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</si>
  <si>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</si>
  <si>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</si>
  <si>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</si>
  <si>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</si>
  <si>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</si>
  <si>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</si>
  <si>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</si>
  <si>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</si>
  <si>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</si>
  <si>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</si>
  <si>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</si>
  <si>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</si>
  <si>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</si>
  <si>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</si>
  <si>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</si>
  <si>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</si>
  <si>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</si>
  <si>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</si>
  <si>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</si>
  <si>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</si>
  <si>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</si>
  <si>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</si>
  <si>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</si>
  <si>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</si>
  <si>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</si>
  <si>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</si>
  <si>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</si>
  <si>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</si>
  <si>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</si>
  <si>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</si>
  <si>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</si>
  <si>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</si>
  <si>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</si>
  <si>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</si>
  <si>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</si>
  <si>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</si>
  <si>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</si>
  <si>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</si>
  <si>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</si>
  <si>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</si>
  <si>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</si>
  <si>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</si>
  <si>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</si>
  <si>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</si>
  <si>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</si>
  <si>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</si>
  <si>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</si>
  <si>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</si>
  <si>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</si>
  <si>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</si>
  <si>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</si>
  <si>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</si>
  <si>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</si>
  <si>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</si>
  <si>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</si>
  <si>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</si>
  <si>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</si>
  <si>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</si>
  <si>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</si>
  <si>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</si>
  <si>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</si>
  <si>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</si>
  <si>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</si>
  <si>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</si>
  <si>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</si>
  <si>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</si>
  <si>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</si>
  <si>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</si>
  <si>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</si>
  <si>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</si>
  <si>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</si>
  <si>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</si>
  <si>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</si>
  <si>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</si>
  <si>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</si>
  <si>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</si>
  <si>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</si>
  <si>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</si>
  <si>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</si>
  <si>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</si>
  <si>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</si>
  <si>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</si>
  <si>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</si>
  <si>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</si>
  <si>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</si>
  <si>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</si>
  <si>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</si>
  <si>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</si>
  <si>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</si>
  <si>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</si>
  <si>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</si>
  <si>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</si>
  <si>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</si>
  <si>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</si>
  <si>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</si>
  <si>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</si>
  <si>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</si>
  <si>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</si>
  <si>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</si>
  <si>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</si>
  <si>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</si>
  <si>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</si>
  <si>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</si>
  <si>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</si>
  <si>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</si>
  <si>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</si>
  <si>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</si>
  <si>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</si>
  <si>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</si>
  <si>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</si>
  <si>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</si>
  <si>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</si>
  <si>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</si>
  <si>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</si>
  <si>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</si>
  <si>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</si>
  <si>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</si>
  <si>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</si>
  <si>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</si>
  <si>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</si>
  <si>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</si>
  <si>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</si>
  <si>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</si>
  <si>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</si>
  <si>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</si>
  <si>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</si>
  <si>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</si>
  <si>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</si>
  <si>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</si>
  <si>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</si>
  <si>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</si>
  <si>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</si>
  <si>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</si>
  <si>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</si>
  <si>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</si>
  <si>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</si>
  <si>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</si>
  <si>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</si>
  <si>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</si>
  <si>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</si>
  <si>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</si>
  <si>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</si>
  <si>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</si>
  <si>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</si>
  <si>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</si>
  <si>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</si>
  <si>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</si>
  <si>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</si>
  <si>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</si>
  <si>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</si>
  <si>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</si>
  <si>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</si>
  <si>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</si>
  <si>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</si>
  <si>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</si>
  <si>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</si>
  <si>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</si>
  <si>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</si>
  <si>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</si>
  <si>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</si>
  <si>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</si>
  <si>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</si>
  <si>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</si>
  <si>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</si>
  <si>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</si>
  <si>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</si>
  <si>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</si>
  <si>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</si>
  <si>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</si>
  <si>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</si>
  <si>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</si>
  <si>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</si>
  <si>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</si>
  <si>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</si>
  <si>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</si>
  <si>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</si>
  <si>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</si>
  <si>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</si>
  <si>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</si>
  <si>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</si>
  <si>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</si>
  <si>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</si>
  <si>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</si>
  <si>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</si>
  <si>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</si>
  <si>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</si>
  <si>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</si>
  <si>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</si>
  <si>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</si>
  <si>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</si>
  <si>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</si>
  <si>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</si>
  <si>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</si>
  <si>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</si>
  <si>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</si>
  <si>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</si>
  <si>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</si>
  <si>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</si>
  <si>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</si>
  <si>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</si>
  <si>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</si>
  <si>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</si>
  <si>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</si>
  <si>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</si>
  <si>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</si>
  <si>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</si>
  <si>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</si>
  <si>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</si>
  <si>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</si>
  <si>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</si>
  <si>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</si>
  <si>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</si>
  <si>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</si>
  <si>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</si>
  <si>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</si>
  <si>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</si>
  <si>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</si>
  <si>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</si>
  <si>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</si>
  <si>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</si>
  <si>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</si>
  <si>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</si>
  <si>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</si>
  <si>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</si>
  <si>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</si>
  <si>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</si>
  <si>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</si>
  <si>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</si>
  <si>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</si>
  <si>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</si>
  <si>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</si>
  <si>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</si>
  <si>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</si>
  <si>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</si>
  <si>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</si>
  <si>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</si>
  <si>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</si>
  <si>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</si>
  <si>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</si>
  <si>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</si>
  <si>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</si>
  <si>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</si>
  <si>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</si>
  <si>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</si>
  <si>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</si>
  <si>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</si>
  <si>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</si>
  <si>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</si>
  <si>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</si>
  <si>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</si>
  <si>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</si>
  <si>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</si>
  <si>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</si>
  <si>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</si>
  <si>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</si>
  <si>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</si>
  <si>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</si>
  <si>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</si>
  <si>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</si>
  <si>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</si>
  <si>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</si>
  <si>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</si>
  <si>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</si>
  <si>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</si>
  <si>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</si>
  <si>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</si>
  <si>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</si>
  <si>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</si>
  <si>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</si>
  <si>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</si>
  <si>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</si>
  <si>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</si>
  <si>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</si>
  <si>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</si>
  <si>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</si>
  <si>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</si>
  <si>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</si>
  <si>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</si>
  <si>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</si>
  <si>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</si>
  <si>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</si>
  <si>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</si>
  <si>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</si>
  <si>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</si>
  <si>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</si>
  <si>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</si>
  <si>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</si>
  <si>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</si>
  <si>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</si>
  <si>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</si>
  <si>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</si>
  <si>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</si>
  <si>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</si>
  <si>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</si>
  <si>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</si>
  <si>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</si>
  <si>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</si>
  <si>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</si>
  <si>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</si>
  <si>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</si>
  <si>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</si>
  <si>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</si>
  <si>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</si>
  <si>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</si>
  <si>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</si>
  <si>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</si>
  <si>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</si>
  <si>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</si>
  <si>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</si>
  <si>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</si>
  <si>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</si>
  <si>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</si>
  <si>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</si>
  <si>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</si>
  <si>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</si>
  <si>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</si>
  <si>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</si>
  <si>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</si>
  <si>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</si>
  <si>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</si>
  <si>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</si>
  <si>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</si>
  <si>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</si>
  <si>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</si>
  <si>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</si>
  <si>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</si>
  <si>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</si>
  <si>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</si>
  <si>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</si>
  <si>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</si>
  <si>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</si>
  <si>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</si>
  <si>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</si>
  <si>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</si>
  <si>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</si>
  <si>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</si>
  <si>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</si>
  <si>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</si>
  <si>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</si>
  <si>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</si>
  <si>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</si>
  <si>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</si>
  <si>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</si>
  <si>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</si>
  <si>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</si>
  <si>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</si>
  <si>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</si>
  <si>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</si>
  <si>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</si>
  <si>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</si>
  <si>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</si>
  <si>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</si>
  <si>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</si>
  <si>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</si>
  <si>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</si>
  <si>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</si>
  <si>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</si>
  <si>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</si>
  <si>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</si>
  <si>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</si>
  <si>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</si>
  <si>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</si>
  <si>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</si>
  <si>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</si>
  <si>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</si>
  <si>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</si>
  <si>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</si>
  <si>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</si>
  <si>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</si>
  <si>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</si>
  <si>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</si>
  <si>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</si>
  <si>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</si>
  <si>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</si>
  <si>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</si>
  <si>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</si>
  <si>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</si>
  <si>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</si>
  <si>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</si>
  <si>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</si>
  <si>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</si>
  <si>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</si>
  <si>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</si>
  <si>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</si>
  <si>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</si>
  <si>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</si>
  <si>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</si>
  <si>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</si>
  <si>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</si>
  <si>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</si>
  <si>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</si>
  <si>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</si>
  <si>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</si>
  <si>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</si>
  <si>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</si>
  <si>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</si>
  <si>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</si>
  <si>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</si>
  <si>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</si>
  <si>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</si>
  <si>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</si>
  <si>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</si>
  <si>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</si>
  <si>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</si>
  <si>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</si>
  <si>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</si>
  <si>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</si>
  <si>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</si>
  <si>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</si>
  <si>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</si>
  <si>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</si>
  <si>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</si>
  <si>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</si>
  <si>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</si>
  <si>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</si>
  <si>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</si>
  <si>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</si>
  <si>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</si>
  <si>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</si>
  <si>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</si>
  <si>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</si>
  <si>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</si>
  <si>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</si>
  <si>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</si>
  <si>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</si>
  <si>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</si>
  <si>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</si>
  <si>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</si>
  <si>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</si>
  <si>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</si>
  <si>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</si>
  <si>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</si>
  <si>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</si>
  <si>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</si>
  <si>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</si>
  <si>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</si>
  <si>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</si>
  <si>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</si>
  <si>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</si>
  <si>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</si>
  <si>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</si>
  <si>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</si>
  <si>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</si>
  <si>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</si>
  <si>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</si>
  <si>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</si>
  <si>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</si>
  <si>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</si>
  <si>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</si>
  <si>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</si>
  <si>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</si>
  <si>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</si>
  <si>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</si>
  <si>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</si>
  <si>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</si>
  <si>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</si>
  <si>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</si>
  <si>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</si>
  <si>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</si>
  <si>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</si>
  <si>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</si>
  <si>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</si>
  <si>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</si>
  <si>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</si>
  <si>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</si>
  <si>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</si>
  <si>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</si>
  <si>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</si>
  <si>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</si>
  <si>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</si>
  <si>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</si>
  <si>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</si>
  <si>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</si>
  <si>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</si>
  <si>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</si>
  <si>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</si>
  <si>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</si>
  <si>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</si>
  <si>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</si>
  <si>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</si>
  <si>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</si>
  <si>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</si>
  <si>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</si>
  <si>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</si>
  <si>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</si>
  <si>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</si>
  <si>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</si>
  <si>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</si>
  <si>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</si>
  <si>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</si>
  <si>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</si>
  <si>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</si>
  <si>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</si>
  <si>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</si>
  <si>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</si>
  <si>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</si>
  <si>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</si>
  <si>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</si>
  <si>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</si>
  <si>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</si>
  <si>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</si>
  <si>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</si>
  <si>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</si>
  <si>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</si>
  <si>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</si>
  <si>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</si>
  <si>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</si>
  <si>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</si>
  <si>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</si>
  <si>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</si>
  <si>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</si>
  <si>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</si>
  <si>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</si>
  <si>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</si>
  <si>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</si>
  <si>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</si>
  <si>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</si>
  <si>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</si>
  <si>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</si>
  <si>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</si>
  <si>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</si>
  <si>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</si>
  <si>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</si>
  <si>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</si>
  <si>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</si>
  <si>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</si>
  <si>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</si>
  <si>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</si>
  <si>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</si>
  <si>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</si>
  <si>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</si>
  <si>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</si>
  <si>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</si>
  <si>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</si>
  <si>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</si>
  <si>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</si>
  <si>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</si>
  <si>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</si>
  <si>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</si>
  <si>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</si>
  <si>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</si>
  <si>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</si>
  <si>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</si>
  <si>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</si>
  <si>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</si>
  <si>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</si>
  <si>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</si>
  <si>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</si>
  <si>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</si>
  <si>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</si>
  <si>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</si>
  <si>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</si>
  <si>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</si>
  <si>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</si>
  <si>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</si>
  <si>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</si>
  <si>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</si>
  <si>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</si>
  <si>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</si>
  <si>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</si>
  <si>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</si>
  <si>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</si>
  <si>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</si>
  <si>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</si>
  <si>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</si>
  <si>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</si>
  <si>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</si>
  <si>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</si>
  <si>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</si>
  <si>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</si>
  <si>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</si>
  <si>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</si>
  <si>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</si>
  <si>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</si>
  <si>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</si>
  <si>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</si>
  <si>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</si>
  <si>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</si>
  <si>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</si>
  <si>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</si>
  <si>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</si>
  <si>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</si>
  <si>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</si>
  <si>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</si>
  <si>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</si>
  <si>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</si>
  <si>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</si>
  <si>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</si>
  <si>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</si>
  <si>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</si>
  <si>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</si>
  <si>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</si>
  <si>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</si>
  <si>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</si>
  <si>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</si>
  <si>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</si>
  <si>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</si>
  <si>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</si>
  <si>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</si>
  <si>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</si>
  <si>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</si>
  <si>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</si>
  <si>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</si>
  <si>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</si>
  <si>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</si>
  <si>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</si>
  <si>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</si>
  <si>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</si>
  <si>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</si>
  <si>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</si>
  <si>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</si>
  <si>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</si>
  <si>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</si>
  <si>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</si>
  <si>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</si>
  <si>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</si>
  <si>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</si>
  <si>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</si>
  <si>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</si>
  <si>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</si>
  <si>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</si>
  <si>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</si>
  <si>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</si>
  <si>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</si>
  <si>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</si>
  <si>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</si>
  <si>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</si>
  <si>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</si>
  <si>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</si>
  <si>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</si>
  <si>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</si>
  <si>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</si>
  <si>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</si>
  <si>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</si>
  <si>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</si>
  <si>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</si>
  <si>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</si>
  <si>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</si>
  <si>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敵の攻撃力がアップ</t>
    <phoneticPr fontId="1"/>
  </si>
  <si>
    <t>Re</t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</si>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</sst>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  <xf numFmtId="49" fontId="0" fillId="0" borderId="1" xfId="0" applyNumberFormat="1" applyBorder="1"/>
    <xf numFmtId="0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1875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1875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3"/>
  <sheetViews>
    <sheetView workbookViewId="0">
      <selection activeCell="D3" sqref="D3:R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1873</v>
      </c>
      <c r="B3" s="21"/>
      <c r="C3" s="21"/>
      <c r="D3" s="21" t="s">
        <v>209</v>
      </c>
      <c r="E3" s="21">
        <v>290</v>
      </c>
      <c r="F3" s="21">
        <v>44000</v>
      </c>
      <c r="G3" s="21">
        <v>265000</v>
      </c>
      <c r="H3" s="21">
        <v>8</v>
      </c>
      <c r="I3" s="21">
        <v>999</v>
      </c>
      <c r="J3" s="21">
        <v>100</v>
      </c>
      <c r="K3" s="21">
        <v>100</v>
      </c>
      <c r="L3" s="21">
        <v>100</v>
      </c>
      <c r="M3" s="21">
        <v>100</v>
      </c>
      <c r="N3" s="21">
        <v>100</v>
      </c>
      <c r="O3" s="21">
        <v>0</v>
      </c>
      <c r="P3" s="21">
        <v>0</v>
      </c>
      <c r="Q3" s="21">
        <v>0</v>
      </c>
      <c r="R3" s="21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D23" sqref="D23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1820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1841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1842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1819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1843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1844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1845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3"/>
  <sheetViews>
    <sheetView topLeftCell="B1" zoomScale="85" zoomScaleNormal="85" workbookViewId="0">
      <pane ySplit="6" topLeftCell="A109" activePane="bottomLeft" state="frozen"/>
      <selection activeCell="C1" sqref="C1"/>
      <selection pane="bottomLeft" activeCell="S127" sqref="S127:S13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1874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7</v>
      </c>
      <c r="C131" s="15">
        <v>1</v>
      </c>
      <c r="D131" s="11" t="s">
        <v>584</v>
      </c>
      <c r="E131" s="15">
        <v>400</v>
      </c>
      <c r="F131" s="11" t="s">
        <v>812</v>
      </c>
      <c r="G131" s="15">
        <v>235000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2</v>
      </c>
      <c r="D132" s="11" t="s">
        <v>585</v>
      </c>
      <c r="E132" s="15">
        <v>380</v>
      </c>
      <c r="F132" s="11" t="s">
        <v>813</v>
      </c>
      <c r="G132" s="15">
        <v>175000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3</v>
      </c>
      <c r="D133" s="11" t="s">
        <v>586</v>
      </c>
      <c r="E133" s="15">
        <v>360</v>
      </c>
      <c r="F133" s="11" t="s">
        <v>814</v>
      </c>
      <c r="G133" s="15">
        <v>124000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4</v>
      </c>
      <c r="D134" s="11" t="s">
        <v>587</v>
      </c>
      <c r="E134" s="15">
        <v>340</v>
      </c>
      <c r="F134" s="11" t="s">
        <v>815</v>
      </c>
      <c r="G134" s="15">
        <v>82500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8</v>
      </c>
      <c r="C135" s="15">
        <v>1</v>
      </c>
      <c r="D135" s="11" t="s">
        <v>887</v>
      </c>
      <c r="E135" s="15">
        <v>370</v>
      </c>
      <c r="F135" s="11" t="s">
        <v>903</v>
      </c>
      <c r="G135" s="15">
        <v>320900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2</v>
      </c>
      <c r="D136" s="11" t="s">
        <v>889</v>
      </c>
      <c r="E136" s="15">
        <v>370</v>
      </c>
      <c r="F136" s="11" t="s">
        <v>902</v>
      </c>
      <c r="G136" s="15">
        <v>2911200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3</v>
      </c>
      <c r="D137" s="11" t="s">
        <v>888</v>
      </c>
      <c r="E137" s="15">
        <v>355</v>
      </c>
      <c r="F137" s="11" t="s">
        <v>905</v>
      </c>
      <c r="G137" s="15">
        <v>238600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4</v>
      </c>
      <c r="D138" s="11" t="s">
        <v>890</v>
      </c>
      <c r="E138" s="15">
        <v>355</v>
      </c>
      <c r="F138" s="11" t="s">
        <v>904</v>
      </c>
      <c r="G138" s="15">
        <v>2164700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5</v>
      </c>
      <c r="D139" s="11" t="s">
        <v>722</v>
      </c>
      <c r="E139" s="15">
        <v>340</v>
      </c>
      <c r="F139" s="11" t="s">
        <v>793</v>
      </c>
      <c r="G139" s="15">
        <v>10000000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6</v>
      </c>
      <c r="D140" s="11" t="s">
        <v>723</v>
      </c>
      <c r="E140" s="15">
        <v>330</v>
      </c>
      <c r="F140" s="11" t="s">
        <v>816</v>
      </c>
      <c r="G140" s="15">
        <v>4000000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1</v>
      </c>
      <c r="D141" s="11" t="s">
        <v>849</v>
      </c>
      <c r="E141" s="15">
        <v>290</v>
      </c>
      <c r="F141" s="11" t="s">
        <v>838</v>
      </c>
      <c r="G141" s="15">
        <v>4500000</v>
      </c>
      <c r="H141" s="15">
        <v>5</v>
      </c>
      <c r="I141" s="15">
        <v>400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150</v>
      </c>
      <c r="P141" s="15">
        <v>50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2</v>
      </c>
      <c r="D142" s="11" t="s">
        <v>850</v>
      </c>
      <c r="E142" s="15">
        <v>360</v>
      </c>
      <c r="F142" s="11" t="s">
        <v>839</v>
      </c>
      <c r="G142" s="15">
        <v>12000000</v>
      </c>
      <c r="H142" s="15">
        <v>5</v>
      </c>
      <c r="I142" s="15">
        <v>300</v>
      </c>
      <c r="J142" s="15">
        <v>250</v>
      </c>
      <c r="K142" s="15">
        <v>250</v>
      </c>
      <c r="L142" s="15">
        <v>250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3</v>
      </c>
      <c r="D143" s="11" t="s">
        <v>1670</v>
      </c>
      <c r="E143" s="15">
        <v>400</v>
      </c>
      <c r="F143" s="11" t="s">
        <v>1671</v>
      </c>
      <c r="G143" s="15">
        <v>42000000</v>
      </c>
      <c r="H143" s="15">
        <v>5</v>
      </c>
      <c r="I143" s="15">
        <v>700</v>
      </c>
      <c r="J143" s="15">
        <v>100</v>
      </c>
      <c r="K143" s="15">
        <v>400</v>
      </c>
      <c r="L143" s="15">
        <v>100</v>
      </c>
      <c r="M143" s="15">
        <v>100</v>
      </c>
      <c r="N143" s="15">
        <v>400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1</v>
      </c>
      <c r="D144" s="11" t="s">
        <v>879</v>
      </c>
      <c r="E144" s="15">
        <v>360</v>
      </c>
      <c r="F144" s="11" t="s">
        <v>880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2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3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4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5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6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7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8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9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10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</sheetData>
  <phoneticPr fontId="1"/>
  <dataValidations count="1">
    <dataValidation type="list" allowBlank="1" showInputMessage="1" showErrorMessage="1" sqref="A7:A153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358" zoomScale="85" zoomScaleNormal="85" workbookViewId="0">
      <selection activeCell="P495" sqref="P49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1865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1640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1678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1673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1676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593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533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1674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1677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589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1675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1679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1681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1680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1682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1683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118" activePane="bottomLeft" state="frozen"/>
      <selection pane="bottomLeft" activeCell="A137" sqref="A137:XFD13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1658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737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737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737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737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737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737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737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737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1660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737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737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737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737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737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737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737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737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513</v>
      </c>
      <c r="K302" s="15">
        <v>2565</v>
      </c>
      <c r="L302" s="15">
        <v>3</v>
      </c>
      <c r="M302" s="15">
        <v>1.375</v>
      </c>
      <c r="N302" s="15">
        <v>0</v>
      </c>
      <c r="O302" s="15">
        <v>0</v>
      </c>
      <c r="P302" s="14">
        <v>1</v>
      </c>
      <c r="Q302" s="11"/>
      <c r="R302" s="15"/>
      <c r="S302" s="15"/>
      <c r="T302" s="15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1"/>
      <c r="F303" s="15">
        <v>0</v>
      </c>
      <c r="G303" s="15">
        <v>1</v>
      </c>
      <c r="H303" s="15">
        <v>2</v>
      </c>
      <c r="I303" s="15">
        <v>5</v>
      </c>
      <c r="J303" s="15">
        <v>1556.25</v>
      </c>
      <c r="K303" s="15">
        <v>7781.25</v>
      </c>
      <c r="L303" s="15">
        <v>1</v>
      </c>
      <c r="M303" s="15">
        <v>2.5</v>
      </c>
      <c r="N303" s="15">
        <v>0</v>
      </c>
      <c r="O303" s="15">
        <v>0</v>
      </c>
      <c r="P303" s="14">
        <v>2</v>
      </c>
      <c r="Q303" s="11"/>
      <c r="R303" s="15"/>
      <c r="S303" s="15"/>
      <c r="T303" s="15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20"/>
  <sheetViews>
    <sheetView zoomScale="85" zoomScaleNormal="85" workbookViewId="0">
      <pane ySplit="6" topLeftCell="A20" activePane="bottomLeft" state="frozen"/>
      <selection pane="bottomLeft" activeCell="K18" sqref="K18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1867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1868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1851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1850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1000</v>
      </c>
      <c r="C129" s="15">
        <v>1005</v>
      </c>
      <c r="D129" s="15">
        <v>0</v>
      </c>
      <c r="E129" s="15">
        <v>0</v>
      </c>
      <c r="F129" s="14" t="str">
        <f>VLOOKUP(C129,skill_list!B:C,2)</f>
        <v>アタックライズ</v>
      </c>
      <c r="G129" s="11"/>
      <c r="H129" s="15">
        <v>50</v>
      </c>
      <c r="I129" s="15">
        <v>65</v>
      </c>
      <c r="J129" s="15">
        <v>450</v>
      </c>
      <c r="K129" s="15">
        <v>1</v>
      </c>
      <c r="L129" s="15">
        <v>7</v>
      </c>
      <c r="M129" s="15">
        <v>0</v>
      </c>
      <c r="N129" s="15">
        <v>1</v>
      </c>
      <c r="O129" s="15">
        <v>0</v>
      </c>
      <c r="P129" s="15"/>
    </row>
    <row r="130" spans="1:16">
      <c r="A130" s="8"/>
      <c r="B130" s="15">
        <v>1001</v>
      </c>
      <c r="C130" s="15">
        <v>21</v>
      </c>
      <c r="D130" s="15">
        <v>0</v>
      </c>
      <c r="E130" s="15">
        <v>0</v>
      </c>
      <c r="F130" s="14" t="str">
        <f>VLOOKUP(C130,skill_list!B:C,2)</f>
        <v>エンハンス</v>
      </c>
      <c r="G130" s="11"/>
      <c r="H130" s="15">
        <v>50</v>
      </c>
      <c r="I130" s="15">
        <v>65</v>
      </c>
      <c r="J130" s="15">
        <v>208</v>
      </c>
      <c r="K130" s="15">
        <v>10</v>
      </c>
      <c r="L130" s="15">
        <v>4</v>
      </c>
      <c r="M130" s="15">
        <v>0</v>
      </c>
      <c r="N130" s="15">
        <v>1</v>
      </c>
      <c r="O130" s="15">
        <v>0</v>
      </c>
      <c r="P130" s="15"/>
    </row>
    <row r="131" spans="1:16">
      <c r="A131" s="8"/>
      <c r="B131" s="15">
        <v>1002</v>
      </c>
      <c r="C131" s="15">
        <v>48</v>
      </c>
      <c r="D131" s="15">
        <v>0</v>
      </c>
      <c r="E131" s="15">
        <v>0</v>
      </c>
      <c r="F131" s="14" t="str">
        <f>VLOOKUP(C131,skill_list!B:C,2)</f>
        <v>エンハンス</v>
      </c>
      <c r="G131" s="11"/>
      <c r="H131" s="15">
        <v>50</v>
      </c>
      <c r="I131" s="15">
        <v>65</v>
      </c>
      <c r="J131" s="15">
        <v>208</v>
      </c>
      <c r="K131" s="15">
        <v>10</v>
      </c>
      <c r="L131" s="15">
        <v>4</v>
      </c>
      <c r="M131" s="15">
        <v>0</v>
      </c>
      <c r="N131" s="15">
        <v>1</v>
      </c>
      <c r="O131" s="15">
        <v>0</v>
      </c>
      <c r="P131" s="15"/>
    </row>
    <row r="132" spans="1:16">
      <c r="A132" s="8"/>
      <c r="B132" s="15">
        <v>1003</v>
      </c>
      <c r="C132" s="15">
        <v>84</v>
      </c>
      <c r="D132" s="15">
        <v>0</v>
      </c>
      <c r="E132" s="15">
        <v>0</v>
      </c>
      <c r="F132" s="14" t="str">
        <f>VLOOKUP(C132,skill_list!B:C,2)</f>
        <v>エンハンス</v>
      </c>
      <c r="G132" s="11"/>
      <c r="H132" s="15">
        <v>50</v>
      </c>
      <c r="I132" s="15">
        <v>65</v>
      </c>
      <c r="J132" s="15">
        <v>208</v>
      </c>
      <c r="K132" s="15">
        <v>10</v>
      </c>
      <c r="L132" s="15">
        <v>4</v>
      </c>
      <c r="M132" s="15">
        <v>0</v>
      </c>
      <c r="N132" s="15">
        <v>1</v>
      </c>
      <c r="O132" s="15">
        <v>0</v>
      </c>
      <c r="P132" s="15"/>
    </row>
    <row r="133" spans="1:16">
      <c r="A133" s="8"/>
      <c r="B133" s="15">
        <v>1004</v>
      </c>
      <c r="C133" s="15">
        <v>112</v>
      </c>
      <c r="D133" s="15">
        <v>0</v>
      </c>
      <c r="E133" s="15">
        <v>0</v>
      </c>
      <c r="F133" s="14" t="str">
        <f>VLOOKUP(C133,skill_list!B:C,2)</f>
        <v>エンハンス</v>
      </c>
      <c r="G133" s="11"/>
      <c r="H133" s="15">
        <v>50</v>
      </c>
      <c r="I133" s="15">
        <v>65</v>
      </c>
      <c r="J133" s="15">
        <v>208</v>
      </c>
      <c r="K133" s="15">
        <v>10</v>
      </c>
      <c r="L133" s="15">
        <v>4</v>
      </c>
      <c r="M133" s="15">
        <v>0</v>
      </c>
      <c r="N133" s="15">
        <v>1</v>
      </c>
      <c r="O133" s="15">
        <v>0</v>
      </c>
      <c r="P133" s="15"/>
    </row>
    <row r="134" spans="1:16">
      <c r="A134" s="8"/>
      <c r="B134" s="15">
        <v>1005</v>
      </c>
      <c r="C134" s="15">
        <v>140</v>
      </c>
      <c r="D134" s="15">
        <v>0</v>
      </c>
      <c r="E134" s="15">
        <v>0</v>
      </c>
      <c r="F134" s="14" t="str">
        <f>VLOOKUP(C134,skill_list!B:C,2)</f>
        <v>エンハンス</v>
      </c>
      <c r="G134" s="11"/>
      <c r="H134" s="15">
        <v>50</v>
      </c>
      <c r="I134" s="15">
        <v>65</v>
      </c>
      <c r="J134" s="15">
        <v>208</v>
      </c>
      <c r="K134" s="15">
        <v>10</v>
      </c>
      <c r="L134" s="15">
        <v>4</v>
      </c>
      <c r="M134" s="15">
        <v>0</v>
      </c>
      <c r="N134" s="15">
        <v>1</v>
      </c>
      <c r="O134" s="15">
        <v>0</v>
      </c>
      <c r="P134" s="15"/>
    </row>
    <row r="135" spans="1:16">
      <c r="A135" s="8"/>
      <c r="B135" s="15">
        <v>1006</v>
      </c>
      <c r="C135" s="15">
        <v>156</v>
      </c>
      <c r="D135" s="15">
        <v>0</v>
      </c>
      <c r="E135" s="15">
        <v>0</v>
      </c>
      <c r="F135" s="14" t="str">
        <f>VLOOKUP(C135,skill_list!B:C,2)</f>
        <v>エンハンス</v>
      </c>
      <c r="G135" s="11"/>
      <c r="H135" s="15">
        <v>50</v>
      </c>
      <c r="I135" s="15">
        <v>65</v>
      </c>
      <c r="J135" s="15">
        <v>208</v>
      </c>
      <c r="K135" s="15">
        <v>10</v>
      </c>
      <c r="L135" s="15">
        <v>4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1007</v>
      </c>
      <c r="C136" s="15">
        <v>172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1008</v>
      </c>
      <c r="C137" s="15">
        <v>88</v>
      </c>
      <c r="D137" s="15">
        <v>0</v>
      </c>
      <c r="E137" s="15">
        <v>0</v>
      </c>
      <c r="F137" s="14" t="str">
        <f>VLOOKUP(C137,skill_list!B:C,2)</f>
        <v>導きの号令</v>
      </c>
      <c r="G137" s="11"/>
      <c r="H137" s="15">
        <v>50</v>
      </c>
      <c r="I137" s="15">
        <v>65</v>
      </c>
      <c r="J137" s="15">
        <v>224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1009</v>
      </c>
      <c r="C138" s="15">
        <v>221</v>
      </c>
      <c r="D138" s="15">
        <v>0</v>
      </c>
      <c r="E138" s="15">
        <v>0</v>
      </c>
      <c r="F138" s="14" t="str">
        <f>VLOOKUP(C138,skill_list!B:C,2)</f>
        <v>クールダウン</v>
      </c>
      <c r="G138" s="11"/>
      <c r="H138" s="15">
        <v>75</v>
      </c>
      <c r="I138" s="15">
        <v>90</v>
      </c>
      <c r="J138" s="15">
        <v>200</v>
      </c>
      <c r="K138" s="15">
        <v>10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1010</v>
      </c>
      <c r="C139" s="15">
        <v>240</v>
      </c>
      <c r="D139" s="15">
        <v>0</v>
      </c>
      <c r="E139" s="15">
        <v>0</v>
      </c>
      <c r="F139" s="14" t="str">
        <f>VLOOKUP(C139,skill_list!B:C,2)</f>
        <v>クールダウン</v>
      </c>
      <c r="G139" s="11"/>
      <c r="H139" s="15">
        <v>75</v>
      </c>
      <c r="I139" s="15">
        <v>90</v>
      </c>
      <c r="J139" s="15">
        <v>200</v>
      </c>
      <c r="K139" s="15">
        <v>10</v>
      </c>
      <c r="L139" s="15">
        <v>7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1011</v>
      </c>
      <c r="C140" s="15">
        <v>284</v>
      </c>
      <c r="D140" s="15">
        <v>0</v>
      </c>
      <c r="E140" s="15">
        <v>0</v>
      </c>
      <c r="F140" s="14" t="str">
        <f>VLOOKUP(C140,skill_list!B:C,2)</f>
        <v>クールダウン</v>
      </c>
      <c r="G140" s="11"/>
      <c r="H140" s="15">
        <v>75</v>
      </c>
      <c r="I140" s="15">
        <v>90</v>
      </c>
      <c r="J140" s="15">
        <v>200</v>
      </c>
      <c r="K140" s="15">
        <v>10</v>
      </c>
      <c r="L140" s="15">
        <v>7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1012</v>
      </c>
      <c r="C141" s="15">
        <v>330</v>
      </c>
      <c r="D141" s="15">
        <v>0</v>
      </c>
      <c r="E141" s="15">
        <v>0</v>
      </c>
      <c r="F141" s="14" t="str">
        <f>VLOOKUP(C141,skill_list!B:C,2)</f>
        <v>クールダウン</v>
      </c>
      <c r="G141" s="11"/>
      <c r="H141" s="15">
        <v>75</v>
      </c>
      <c r="I141" s="15">
        <v>90</v>
      </c>
      <c r="J141" s="15">
        <v>200</v>
      </c>
      <c r="K141" s="15">
        <v>10</v>
      </c>
      <c r="L141" s="15">
        <v>7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1013</v>
      </c>
      <c r="C142" s="15">
        <v>49</v>
      </c>
      <c r="D142" s="15">
        <v>0</v>
      </c>
      <c r="E142" s="15">
        <v>0</v>
      </c>
      <c r="F142" s="14" t="str">
        <f>VLOOKUP(C142,skill_list!B:C,2)</f>
        <v>ドーピング</v>
      </c>
      <c r="G142" s="11"/>
      <c r="H142" s="15">
        <v>75</v>
      </c>
      <c r="I142" s="15">
        <v>90</v>
      </c>
      <c r="J142" s="15">
        <v>216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1014</v>
      </c>
      <c r="C143" s="15">
        <v>299</v>
      </c>
      <c r="D143" s="15">
        <v>0</v>
      </c>
      <c r="E143" s="15">
        <v>0</v>
      </c>
      <c r="F143" s="14" t="str">
        <f>VLOOKUP(C143,skill_list!B:C,2)</f>
        <v>臥龍天命</v>
      </c>
      <c r="G143" s="11"/>
      <c r="H143" s="15">
        <v>75</v>
      </c>
      <c r="I143" s="15">
        <v>90</v>
      </c>
      <c r="J143" s="15">
        <v>216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1015</v>
      </c>
      <c r="C144" s="15">
        <v>316</v>
      </c>
      <c r="D144" s="15">
        <v>0</v>
      </c>
      <c r="E144" s="15">
        <v>0</v>
      </c>
      <c r="F144" s="14" t="str">
        <f>VLOOKUP(C144,skill_list!B:C,2)</f>
        <v>決戦前夜</v>
      </c>
      <c r="G144" s="11"/>
      <c r="H144" s="15">
        <v>75</v>
      </c>
      <c r="I144" s="15">
        <v>90</v>
      </c>
      <c r="J144" s="15">
        <v>216</v>
      </c>
      <c r="K144" s="15">
        <v>10</v>
      </c>
      <c r="L144" s="15">
        <v>5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1016</v>
      </c>
      <c r="C145" s="15">
        <v>188</v>
      </c>
      <c r="D145" s="15">
        <v>0</v>
      </c>
      <c r="E145" s="15">
        <v>0</v>
      </c>
      <c r="F145" s="14" t="str">
        <f>VLOOKUP(C145,skill_list!B:C,2)</f>
        <v>フィルエンハンス</v>
      </c>
      <c r="G145" s="11"/>
      <c r="H145" s="15">
        <v>50</v>
      </c>
      <c r="I145" s="15">
        <v>65</v>
      </c>
      <c r="J145" s="15">
        <v>232</v>
      </c>
      <c r="K145" s="15">
        <v>10</v>
      </c>
      <c r="L145" s="15">
        <v>6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1017</v>
      </c>
      <c r="C146" s="15">
        <v>268</v>
      </c>
      <c r="D146" s="15">
        <v>0</v>
      </c>
      <c r="E146" s="15">
        <v>0</v>
      </c>
      <c r="F146" s="14" t="str">
        <f>VLOOKUP(C146,skill_list!B:C,2)</f>
        <v>フィルエンハンス</v>
      </c>
      <c r="G146" s="11"/>
      <c r="H146" s="15">
        <v>50</v>
      </c>
      <c r="I146" s="15">
        <v>65</v>
      </c>
      <c r="J146" s="15">
        <v>232</v>
      </c>
      <c r="K146" s="15">
        <v>10</v>
      </c>
      <c r="L146" s="15">
        <v>6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1018</v>
      </c>
      <c r="C147" s="15">
        <v>273</v>
      </c>
      <c r="D147" s="15">
        <v>0</v>
      </c>
      <c r="E147" s="15">
        <v>0</v>
      </c>
      <c r="F147" s="14" t="str">
        <f>VLOOKUP(C147,skill_list!B:C,2)</f>
        <v>フィルエンハンス</v>
      </c>
      <c r="G147" s="11"/>
      <c r="H147" s="15">
        <v>50</v>
      </c>
      <c r="I147" s="15">
        <v>65</v>
      </c>
      <c r="J147" s="15">
        <v>232</v>
      </c>
      <c r="K147" s="15">
        <v>10</v>
      </c>
      <c r="L147" s="15">
        <v>6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1019</v>
      </c>
      <c r="C148" s="15">
        <v>295</v>
      </c>
      <c r="D148" s="15">
        <v>0</v>
      </c>
      <c r="E148" s="15">
        <v>0</v>
      </c>
      <c r="F148" s="14" t="str">
        <f>VLOOKUP(C148,skill_list!B:C,2)</f>
        <v>フィルエンハンス</v>
      </c>
      <c r="G148" s="11"/>
      <c r="H148" s="15">
        <v>50</v>
      </c>
      <c r="I148" s="15">
        <v>65</v>
      </c>
      <c r="J148" s="15">
        <v>232</v>
      </c>
      <c r="K148" s="15">
        <v>10</v>
      </c>
      <c r="L148" s="15">
        <v>6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1020</v>
      </c>
      <c r="C149" s="15">
        <v>62</v>
      </c>
      <c r="D149" s="15">
        <v>0</v>
      </c>
      <c r="E149" s="15">
        <v>0</v>
      </c>
      <c r="F149" s="14" t="str">
        <f>VLOOKUP(C149,skill_list!B:C,2)</f>
        <v>キリングエッジ</v>
      </c>
      <c r="G149" s="11"/>
      <c r="H149" s="15">
        <v>35</v>
      </c>
      <c r="I149" s="15">
        <v>50</v>
      </c>
      <c r="J149" s="15">
        <v>129</v>
      </c>
      <c r="K149" s="15">
        <v>1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1021</v>
      </c>
      <c r="C150" s="15">
        <v>109</v>
      </c>
      <c r="D150" s="15">
        <v>0</v>
      </c>
      <c r="E150" s="15">
        <v>0</v>
      </c>
      <c r="F150" s="14" t="str">
        <f>VLOOKUP(C150,skill_list!B:C,2)</f>
        <v>ハネ殺し</v>
      </c>
      <c r="G150" s="11"/>
      <c r="H150" s="15">
        <v>35</v>
      </c>
      <c r="I150" s="15">
        <v>50</v>
      </c>
      <c r="J150" s="15">
        <v>120</v>
      </c>
      <c r="K150" s="15">
        <v>1</v>
      </c>
      <c r="L150" s="15">
        <v>7</v>
      </c>
      <c r="M150" s="15">
        <v>0</v>
      </c>
      <c r="N150" s="15">
        <v>1</v>
      </c>
      <c r="O150" s="15">
        <v>999</v>
      </c>
      <c r="P150" s="15"/>
    </row>
    <row r="151" spans="1:16">
      <c r="A151" s="8"/>
      <c r="B151" s="15">
        <v>1022</v>
      </c>
      <c r="C151" s="15">
        <v>288</v>
      </c>
      <c r="D151" s="15">
        <v>0</v>
      </c>
      <c r="E151" s="15">
        <v>0</v>
      </c>
      <c r="F151" s="14" t="str">
        <f>VLOOKUP(C151,skill_list!B:C,2)</f>
        <v>デディケイトギフト</v>
      </c>
      <c r="G151" s="11"/>
      <c r="H151" s="15">
        <v>75</v>
      </c>
      <c r="I151" s="15">
        <v>90</v>
      </c>
      <c r="J151" s="15">
        <v>200</v>
      </c>
      <c r="K151" s="15">
        <v>10</v>
      </c>
      <c r="L151" s="15">
        <v>3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1023</v>
      </c>
      <c r="C152" s="15">
        <v>217</v>
      </c>
      <c r="D152" s="15">
        <v>0</v>
      </c>
      <c r="E152" s="15">
        <v>0</v>
      </c>
      <c r="F152" s="14" t="str">
        <f>VLOOKUP(C152,skill_list!B:C,2)</f>
        <v>空</v>
      </c>
      <c r="G152" s="11"/>
      <c r="H152" s="15">
        <v>50</v>
      </c>
      <c r="I152" s="15">
        <v>65</v>
      </c>
      <c r="J152" s="15">
        <v>200</v>
      </c>
      <c r="K152" s="15">
        <v>10</v>
      </c>
      <c r="L152" s="15">
        <v>7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1024</v>
      </c>
      <c r="C153" s="15">
        <v>267</v>
      </c>
      <c r="D153" s="15">
        <v>0</v>
      </c>
      <c r="E153" s="15">
        <v>0</v>
      </c>
      <c r="F153" s="14" t="str">
        <f>VLOOKUP(C153,skill_list!B:C,2)</f>
        <v>細雪</v>
      </c>
      <c r="G153" s="11"/>
      <c r="H153" s="15">
        <v>75</v>
      </c>
      <c r="I153" s="15">
        <v>90</v>
      </c>
      <c r="J153" s="15">
        <v>208</v>
      </c>
      <c r="K153" s="15">
        <v>10</v>
      </c>
      <c r="L153" s="15">
        <v>7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1025</v>
      </c>
      <c r="C154" s="15">
        <v>45</v>
      </c>
      <c r="D154" s="15">
        <v>0</v>
      </c>
      <c r="E154" s="15">
        <v>0</v>
      </c>
      <c r="F154" s="14" t="str">
        <f>VLOOKUP(C154,skill_list!B:C,2)</f>
        <v>残心撃</v>
      </c>
      <c r="G154" s="11"/>
      <c r="H154" s="15">
        <v>35</v>
      </c>
      <c r="I154" s="15">
        <v>50</v>
      </c>
      <c r="J154" s="15">
        <v>126</v>
      </c>
      <c r="K154" s="15">
        <v>1</v>
      </c>
      <c r="L154" s="15">
        <v>7</v>
      </c>
      <c r="M154" s="15">
        <v>0</v>
      </c>
      <c r="N154" s="15">
        <v>1</v>
      </c>
      <c r="O154" s="15">
        <v>999</v>
      </c>
      <c r="P154" s="15"/>
    </row>
    <row r="155" spans="1:16">
      <c r="A155" s="8"/>
      <c r="B155" s="15">
        <v>1026</v>
      </c>
      <c r="C155" s="15">
        <v>414</v>
      </c>
      <c r="D155" s="15">
        <v>0</v>
      </c>
      <c r="E155" s="15">
        <v>0</v>
      </c>
      <c r="F155" s="14" t="str">
        <f>VLOOKUP(C155,skill_list!B:C,2)</f>
        <v>デヴォーション</v>
      </c>
      <c r="G155" s="11"/>
      <c r="H155" s="15">
        <v>75</v>
      </c>
      <c r="I155" s="15">
        <v>90</v>
      </c>
      <c r="J155" s="15">
        <v>216</v>
      </c>
      <c r="K155" s="15">
        <v>10</v>
      </c>
      <c r="L155" s="15">
        <v>5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1027</v>
      </c>
      <c r="C156" s="15">
        <v>419</v>
      </c>
      <c r="D156" s="15">
        <v>0</v>
      </c>
      <c r="E156" s="15">
        <v>0</v>
      </c>
      <c r="F156" s="14" t="str">
        <f>VLOOKUP(C156,skill_list!B:C,2)</f>
        <v>セルフパッション</v>
      </c>
      <c r="G156" s="11"/>
      <c r="H156" s="15">
        <v>75</v>
      </c>
      <c r="I156" s="15">
        <v>90</v>
      </c>
      <c r="J156" s="15">
        <v>224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1101</v>
      </c>
      <c r="C157" s="15">
        <v>367</v>
      </c>
      <c r="D157" s="15">
        <v>1</v>
      </c>
      <c r="E157" s="15">
        <v>4</v>
      </c>
      <c r="F157" s="14" t="str">
        <f>VLOOKUP(C157,skill_list!B:C,2)</f>
        <v>ホーリーエンハンス</v>
      </c>
      <c r="G157" s="11"/>
      <c r="H157" s="15">
        <v>65</v>
      </c>
      <c r="I157" s="15">
        <v>80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1102</v>
      </c>
      <c r="C158" s="15">
        <v>365</v>
      </c>
      <c r="D158" s="15">
        <v>1</v>
      </c>
      <c r="E158" s="15">
        <v>5</v>
      </c>
      <c r="F158" s="14" t="str">
        <f>VLOOKUP(C158,skill_list!B:C,2)</f>
        <v>赤面スティグマ</v>
      </c>
      <c r="G158" s="11"/>
      <c r="H158" s="15">
        <v>65</v>
      </c>
      <c r="I158" s="15">
        <v>80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1103</v>
      </c>
      <c r="C159" s="15">
        <v>326</v>
      </c>
      <c r="D159" s="15">
        <v>1</v>
      </c>
      <c r="E159" s="15">
        <v>2</v>
      </c>
      <c r="F159" s="14" t="str">
        <f>VLOOKUP(C159,skill_list!B:C,2)</f>
        <v>淡雪</v>
      </c>
      <c r="G159" s="11"/>
      <c r="H159" s="15">
        <v>65</v>
      </c>
      <c r="I159" s="15">
        <v>80</v>
      </c>
      <c r="J159" s="15">
        <v>192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1104</v>
      </c>
      <c r="C160" s="15">
        <v>360</v>
      </c>
      <c r="D160" s="15">
        <v>1</v>
      </c>
      <c r="E160" s="15">
        <v>5</v>
      </c>
      <c r="F160" s="14" t="str">
        <f>VLOOKUP(C160,skill_list!B:C,2)</f>
        <v>被害妄想</v>
      </c>
      <c r="G160" s="11"/>
      <c r="H160" s="15">
        <v>65</v>
      </c>
      <c r="I160" s="15">
        <v>80</v>
      </c>
      <c r="J160" s="15">
        <v>192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1105</v>
      </c>
      <c r="C161" s="15">
        <v>253</v>
      </c>
      <c r="D161" s="15">
        <v>1</v>
      </c>
      <c r="E161" s="15">
        <v>3</v>
      </c>
      <c r="F161" s="14" t="str">
        <f>VLOOKUP(C161,skill_list!B:C,2)</f>
        <v>ライトニングロア</v>
      </c>
      <c r="G161" s="11"/>
      <c r="H161" s="15">
        <v>40</v>
      </c>
      <c r="I161" s="15">
        <v>55</v>
      </c>
      <c r="J161" s="15">
        <v>129</v>
      </c>
      <c r="K161" s="15">
        <v>1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1106</v>
      </c>
      <c r="C162" s="15">
        <v>219</v>
      </c>
      <c r="D162" s="15">
        <v>1</v>
      </c>
      <c r="E162" s="15">
        <v>4</v>
      </c>
      <c r="F162" s="14" t="str">
        <f>VLOOKUP(C162,skill_list!B:C,2)</f>
        <v>夢十夜</v>
      </c>
      <c r="G162" s="11"/>
      <c r="H162" s="15">
        <v>40</v>
      </c>
      <c r="I162" s="15">
        <v>55</v>
      </c>
      <c r="J162" s="15">
        <v>132</v>
      </c>
      <c r="K162" s="15">
        <v>1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1107</v>
      </c>
      <c r="C163" s="15">
        <v>333</v>
      </c>
      <c r="D163" s="15">
        <v>1</v>
      </c>
      <c r="E163" s="15">
        <v>5</v>
      </c>
      <c r="F163" s="14" t="str">
        <f>VLOOKUP(C163,skill_list!B:C,2)</f>
        <v>大切り盛り</v>
      </c>
      <c r="G163" s="11"/>
      <c r="H163" s="15">
        <v>40</v>
      </c>
      <c r="I163" s="15">
        <v>55</v>
      </c>
      <c r="J163" s="15">
        <v>123</v>
      </c>
      <c r="K163" s="15">
        <v>1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1108</v>
      </c>
      <c r="C164" s="15">
        <v>398</v>
      </c>
      <c r="D164" s="15">
        <v>1</v>
      </c>
      <c r="E164" s="15">
        <v>3</v>
      </c>
      <c r="F164" s="14" t="str">
        <f>VLOOKUP(C164,skill_list!B:C,2)</f>
        <v>とある衝撃</v>
      </c>
      <c r="G164" s="11"/>
      <c r="H164" s="15">
        <v>65</v>
      </c>
      <c r="I164" s="15">
        <v>80</v>
      </c>
      <c r="J164" s="15">
        <v>200</v>
      </c>
      <c r="K164" s="15">
        <v>10</v>
      </c>
      <c r="L164" s="15">
        <v>7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1109</v>
      </c>
      <c r="C165" s="15">
        <v>406</v>
      </c>
      <c r="D165" s="15">
        <v>1</v>
      </c>
      <c r="E165" s="15">
        <v>2</v>
      </c>
      <c r="F165" s="14" t="str">
        <f>VLOOKUP(C165,skill_list!B:C,2)</f>
        <v>北風のスバル</v>
      </c>
      <c r="G165" s="11"/>
      <c r="H165" s="15">
        <v>65</v>
      </c>
      <c r="I165" s="15">
        <v>80</v>
      </c>
      <c r="J165" s="15">
        <v>192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1110</v>
      </c>
      <c r="C166" s="15">
        <v>453</v>
      </c>
      <c r="D166" s="15">
        <v>1</v>
      </c>
      <c r="E166" s="15">
        <v>3</v>
      </c>
      <c r="F166" s="14" t="str">
        <f>VLOOKUP(C166,skill_list!B:C,2)</f>
        <v>ねこじゃらし</v>
      </c>
      <c r="G166" s="11"/>
      <c r="H166" s="15">
        <v>65</v>
      </c>
      <c r="I166" s="15">
        <v>80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1111</v>
      </c>
      <c r="C167" s="15">
        <v>457</v>
      </c>
      <c r="D167" s="15">
        <v>1</v>
      </c>
      <c r="E167" s="15">
        <v>5</v>
      </c>
      <c r="F167" s="14" t="str">
        <f>VLOOKUP(C167,skill_list!B:C,2)</f>
        <v>ピクシースマイル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1201</v>
      </c>
      <c r="C168" s="15">
        <v>308</v>
      </c>
      <c r="D168" s="15">
        <v>2</v>
      </c>
      <c r="E168" s="15">
        <v>0</v>
      </c>
      <c r="F168" s="14" t="str">
        <f>VLOOKUP(C168,skill_list!B:C,2)</f>
        <v>インサイト</v>
      </c>
      <c r="G168" s="11"/>
      <c r="H168" s="15">
        <v>35</v>
      </c>
      <c r="I168" s="15">
        <v>50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1202</v>
      </c>
      <c r="C169" s="15">
        <v>443</v>
      </c>
      <c r="D169" s="15">
        <v>2</v>
      </c>
      <c r="E169" s="15">
        <v>0</v>
      </c>
      <c r="F169" s="14" t="str">
        <f>VLOOKUP(C169,skill_list!B:C,2)</f>
        <v>炯眼の構え</v>
      </c>
      <c r="G169" s="11"/>
      <c r="H169" s="15">
        <v>35</v>
      </c>
      <c r="I169" s="15">
        <v>50</v>
      </c>
      <c r="J169" s="15">
        <v>200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1300</v>
      </c>
      <c r="C170" s="15">
        <v>1009</v>
      </c>
      <c r="D170" s="15">
        <v>3</v>
      </c>
      <c r="E170" s="15">
        <v>0</v>
      </c>
      <c r="F170" s="14" t="str">
        <f>VLOOKUP(C170,skill_list!B:C,2)</f>
        <v>ソフニング</v>
      </c>
      <c r="G170" s="11"/>
      <c r="H170" s="15">
        <v>30</v>
      </c>
      <c r="I170" s="15">
        <v>45</v>
      </c>
      <c r="J170" s="15">
        <v>200</v>
      </c>
      <c r="K170" s="15">
        <v>1</v>
      </c>
      <c r="L170" s="15">
        <v>1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1301</v>
      </c>
      <c r="C171" s="15">
        <v>173</v>
      </c>
      <c r="D171" s="15">
        <v>3</v>
      </c>
      <c r="E171" s="15">
        <v>0</v>
      </c>
      <c r="F171" s="14" t="str">
        <f>VLOOKUP(C171,skill_list!B:C,2)</f>
        <v>臥龍演舞斬</v>
      </c>
      <c r="G171" s="11"/>
      <c r="H171" s="15">
        <v>30</v>
      </c>
      <c r="I171" s="15">
        <v>45</v>
      </c>
      <c r="J171" s="15">
        <v>123</v>
      </c>
      <c r="K171" s="15">
        <v>1</v>
      </c>
      <c r="L171" s="15">
        <v>1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1302</v>
      </c>
      <c r="C172" s="15">
        <v>16</v>
      </c>
      <c r="D172" s="15">
        <v>3</v>
      </c>
      <c r="E172" s="15">
        <v>0</v>
      </c>
      <c r="F172" s="14" t="str">
        <f>VLOOKUP(C172,skill_list!B:C,2)</f>
        <v>ハードブレード</v>
      </c>
      <c r="G172" s="11"/>
      <c r="H172" s="15">
        <v>30</v>
      </c>
      <c r="I172" s="15">
        <v>45</v>
      </c>
      <c r="J172" s="15">
        <v>129</v>
      </c>
      <c r="K172" s="15">
        <v>1</v>
      </c>
      <c r="L172" s="15">
        <v>1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1303</v>
      </c>
      <c r="C173" s="15">
        <v>70</v>
      </c>
      <c r="D173" s="15">
        <v>3</v>
      </c>
      <c r="E173" s="15">
        <v>0</v>
      </c>
      <c r="F173" s="14" t="str">
        <f>VLOOKUP(C173,skill_list!B:C,2)</f>
        <v>ウィザードショット</v>
      </c>
      <c r="G173" s="11"/>
      <c r="H173" s="15">
        <v>30</v>
      </c>
      <c r="I173" s="15">
        <v>45</v>
      </c>
      <c r="J173" s="15">
        <v>117</v>
      </c>
      <c r="K173" s="15">
        <v>1</v>
      </c>
      <c r="L173" s="15">
        <v>1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1304</v>
      </c>
      <c r="C174" s="15">
        <v>459</v>
      </c>
      <c r="D174" s="15">
        <v>3</v>
      </c>
      <c r="E174" s="15">
        <v>0</v>
      </c>
      <c r="F174" s="14" t="str">
        <f>VLOOKUP(C174,skill_list!B:C,2)</f>
        <v>螳螂之斧</v>
      </c>
      <c r="G174" s="11"/>
      <c r="H174" s="15">
        <v>20</v>
      </c>
      <c r="I174" s="15">
        <v>30</v>
      </c>
      <c r="J174" s="15">
        <v>134</v>
      </c>
      <c r="K174" s="15">
        <v>1</v>
      </c>
      <c r="L174" s="15">
        <v>2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1351</v>
      </c>
      <c r="C175" s="15">
        <v>116</v>
      </c>
      <c r="D175" s="15">
        <v>3</v>
      </c>
      <c r="E175" s="15">
        <v>0</v>
      </c>
      <c r="F175" s="14" t="str">
        <f>VLOOKUP(C175,skill_list!B:C,2)</f>
        <v>レイジングシャウト</v>
      </c>
      <c r="G175" s="11"/>
      <c r="H175" s="15">
        <v>20</v>
      </c>
      <c r="I175" s="15">
        <v>30</v>
      </c>
      <c r="J175" s="15">
        <v>120</v>
      </c>
      <c r="K175" s="15">
        <v>1</v>
      </c>
      <c r="L175" s="15">
        <v>2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1352</v>
      </c>
      <c r="C176" s="15">
        <v>126</v>
      </c>
      <c r="D176" s="15">
        <v>3</v>
      </c>
      <c r="E176" s="15">
        <v>0</v>
      </c>
      <c r="F176" s="14" t="str">
        <f>VLOOKUP(C176,skill_list!B:C,2)</f>
        <v>ラブカ・ブレード</v>
      </c>
      <c r="G176" s="11"/>
      <c r="H176" s="15">
        <v>20</v>
      </c>
      <c r="I176" s="15">
        <v>30</v>
      </c>
      <c r="J176" s="15">
        <v>123</v>
      </c>
      <c r="K176" s="15">
        <v>1</v>
      </c>
      <c r="L176" s="15">
        <v>2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1401</v>
      </c>
      <c r="C177" s="15">
        <v>204</v>
      </c>
      <c r="D177" s="15">
        <v>4</v>
      </c>
      <c r="E177" s="15">
        <v>3</v>
      </c>
      <c r="F177" s="14" t="str">
        <f>VLOOKUP(C177,skill_list!B:C,2)</f>
        <v>ミストイングレイブ</v>
      </c>
      <c r="G177" s="11"/>
      <c r="H177" s="15">
        <v>45</v>
      </c>
      <c r="I177" s="15">
        <v>60</v>
      </c>
      <c r="J177" s="15">
        <v>126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1402</v>
      </c>
      <c r="C178" s="15">
        <v>322</v>
      </c>
      <c r="D178" s="15">
        <v>4</v>
      </c>
      <c r="E178" s="15">
        <v>5</v>
      </c>
      <c r="F178" s="14" t="str">
        <f>VLOOKUP(C178,skill_list!B:C,2)</f>
        <v>先に逝くなよ</v>
      </c>
      <c r="G178" s="11"/>
      <c r="H178" s="15">
        <v>45</v>
      </c>
      <c r="I178" s="15">
        <v>60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1403</v>
      </c>
      <c r="C179" s="15">
        <v>282</v>
      </c>
      <c r="D179" s="15">
        <v>4</v>
      </c>
      <c r="E179" s="15">
        <v>1</v>
      </c>
      <c r="F179" s="14" t="str">
        <f>VLOOKUP(C179,skill_list!B:C,2)</f>
        <v>ヴィクタープラクティス</v>
      </c>
      <c r="G179" s="11"/>
      <c r="H179" s="15">
        <v>45</v>
      </c>
      <c r="I179" s="15">
        <v>60</v>
      </c>
      <c r="J179" s="15">
        <v>123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1404</v>
      </c>
      <c r="C180" s="15">
        <v>222</v>
      </c>
      <c r="D180" s="15">
        <v>4</v>
      </c>
      <c r="E180" s="15">
        <v>4</v>
      </c>
      <c r="F180" s="14" t="str">
        <f>VLOOKUP(C180,skill_list!B:C,2)</f>
        <v>夜雨</v>
      </c>
      <c r="G180" s="11"/>
      <c r="H180" s="15">
        <v>45</v>
      </c>
      <c r="I180" s="15">
        <v>60</v>
      </c>
      <c r="J180" s="15">
        <v>131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1405</v>
      </c>
      <c r="C181" s="15">
        <v>222</v>
      </c>
      <c r="D181" s="15">
        <v>4</v>
      </c>
      <c r="E181" s="15">
        <v>5</v>
      </c>
      <c r="F181" s="14" t="str">
        <f>VLOOKUP(C181,skill_list!B:C,2)</f>
        <v>夜雨</v>
      </c>
      <c r="G181" s="11"/>
      <c r="H181" s="15">
        <v>45</v>
      </c>
      <c r="I181" s="15">
        <v>60</v>
      </c>
      <c r="J181" s="15">
        <v>131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1406</v>
      </c>
      <c r="C182" s="15">
        <v>438</v>
      </c>
      <c r="D182" s="15">
        <v>4</v>
      </c>
      <c r="E182" s="15">
        <v>2</v>
      </c>
      <c r="F182" s="14" t="str">
        <f>VLOOKUP(C182,skill_list!B:C,2)</f>
        <v>コールドクラッシュ</v>
      </c>
      <c r="G182" s="11"/>
      <c r="H182" s="15">
        <v>45</v>
      </c>
      <c r="I182" s="15">
        <v>60</v>
      </c>
      <c r="J182" s="15">
        <v>132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1451</v>
      </c>
      <c r="C183" s="15">
        <v>241</v>
      </c>
      <c r="D183" s="15">
        <v>4</v>
      </c>
      <c r="E183" s="15">
        <v>1</v>
      </c>
      <c r="F183" s="14" t="str">
        <f>VLOOKUP(C183,skill_list!B:C,2)</f>
        <v>怒裂昂</v>
      </c>
      <c r="G183" s="11"/>
      <c r="H183" s="15">
        <v>30</v>
      </c>
      <c r="I183" s="15">
        <v>45</v>
      </c>
      <c r="J183" s="15">
        <v>129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1452</v>
      </c>
      <c r="C184" s="15">
        <v>77</v>
      </c>
      <c r="D184" s="15">
        <v>4</v>
      </c>
      <c r="E184" s="15">
        <v>2</v>
      </c>
      <c r="F184" s="14" t="str">
        <f>VLOOKUP(C184,skill_list!B:C,2)</f>
        <v>ビスコッティ</v>
      </c>
      <c r="G184" s="11"/>
      <c r="H184" s="15">
        <v>30</v>
      </c>
      <c r="I184" s="15">
        <v>45</v>
      </c>
      <c r="J184" s="15">
        <v>129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1453</v>
      </c>
      <c r="C185" s="15">
        <v>404</v>
      </c>
      <c r="D185" s="15">
        <v>4</v>
      </c>
      <c r="E185" s="15">
        <v>3</v>
      </c>
      <c r="F185" s="14" t="str">
        <f>VLOOKUP(C185,skill_list!B:C,2)</f>
        <v>ザヴィーシマスチ</v>
      </c>
      <c r="G185" s="11"/>
      <c r="H185" s="15">
        <v>30</v>
      </c>
      <c r="I185" s="15">
        <v>45</v>
      </c>
      <c r="J185" s="15">
        <v>129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1454</v>
      </c>
      <c r="C186" s="15">
        <v>468</v>
      </c>
      <c r="D186" s="15">
        <v>4</v>
      </c>
      <c r="E186" s="15">
        <v>5</v>
      </c>
      <c r="F186" s="14" t="str">
        <f>VLOOKUP(C186,skill_list!B:C,2)</f>
        <v>ヌラルジャ</v>
      </c>
      <c r="G186" s="11"/>
      <c r="H186" s="15">
        <v>30</v>
      </c>
      <c r="I186" s="15">
        <v>45</v>
      </c>
      <c r="J186" s="15">
        <v>129</v>
      </c>
      <c r="K186" s="15">
        <v>1</v>
      </c>
      <c r="L186" s="15">
        <v>2</v>
      </c>
      <c r="M186" s="15">
        <v>0</v>
      </c>
      <c r="N186" s="15">
        <v>1</v>
      </c>
      <c r="O186" s="15">
        <v>999</v>
      </c>
      <c r="P186" s="15"/>
    </row>
    <row r="187" spans="1:16">
      <c r="A187" s="8"/>
      <c r="B187" s="15">
        <v>1501</v>
      </c>
      <c r="C187" s="15">
        <v>94</v>
      </c>
      <c r="D187" s="15">
        <v>5</v>
      </c>
      <c r="E187" s="15">
        <v>0</v>
      </c>
      <c r="F187" s="14" t="str">
        <f>VLOOKUP(C187,skill_list!B:C,2)</f>
        <v>呪怨の矢</v>
      </c>
      <c r="G187" s="11"/>
      <c r="H187" s="15">
        <v>35</v>
      </c>
      <c r="I187" s="15">
        <v>50</v>
      </c>
      <c r="J187" s="15">
        <v>120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1502</v>
      </c>
      <c r="C188" s="15">
        <v>272</v>
      </c>
      <c r="D188" s="15">
        <v>5</v>
      </c>
      <c r="E188" s="15">
        <v>0</v>
      </c>
      <c r="F188" s="14" t="str">
        <f>VLOOKUP(C188,skill_list!B:C,2)</f>
        <v>ディープブロー</v>
      </c>
      <c r="G188" s="11"/>
      <c r="H188" s="15">
        <v>35</v>
      </c>
      <c r="I188" s="15">
        <v>50</v>
      </c>
      <c r="J188" s="15">
        <v>120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1551</v>
      </c>
      <c r="C189" s="15">
        <v>195</v>
      </c>
      <c r="D189" s="15">
        <v>5</v>
      </c>
      <c r="E189" s="15">
        <v>0</v>
      </c>
      <c r="F189" s="14" t="str">
        <f>VLOOKUP(C189,skill_list!B:C,2)</f>
        <v>ネイキッドイレイザー</v>
      </c>
      <c r="G189" s="11"/>
      <c r="H189" s="15">
        <v>35</v>
      </c>
      <c r="I189" s="15">
        <v>50</v>
      </c>
      <c r="J189" s="15">
        <v>132</v>
      </c>
      <c r="K189" s="15">
        <v>1</v>
      </c>
      <c r="L189" s="15">
        <v>2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1552</v>
      </c>
      <c r="C190" s="15">
        <v>218</v>
      </c>
      <c r="D190" s="15">
        <v>5</v>
      </c>
      <c r="E190" s="15">
        <v>0</v>
      </c>
      <c r="F190" s="14" t="str">
        <f>VLOOKUP(C190,skill_list!B:C,2)</f>
        <v>薙の矢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1553</v>
      </c>
      <c r="C191" s="15">
        <v>343</v>
      </c>
      <c r="D191" s="15">
        <v>5</v>
      </c>
      <c r="E191" s="15">
        <v>0</v>
      </c>
      <c r="F191" s="14" t="str">
        <f>VLOOKUP(C191,skill_list!B:C,2)</f>
        <v>大海原</v>
      </c>
      <c r="G191" s="11"/>
      <c r="H191" s="15">
        <v>35</v>
      </c>
      <c r="I191" s="15">
        <v>50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1600</v>
      </c>
      <c r="C192" s="15">
        <v>1001</v>
      </c>
      <c r="D192" s="15">
        <v>6</v>
      </c>
      <c r="E192" s="15">
        <v>0</v>
      </c>
      <c r="F192" s="14" t="str">
        <f>VLOOKUP(C192,skill_list!B:C,2)</f>
        <v>クリティカルシンキング</v>
      </c>
      <c r="G192" s="11"/>
      <c r="H192" s="15">
        <v>40</v>
      </c>
      <c r="I192" s="15">
        <v>70</v>
      </c>
      <c r="J192" s="15">
        <v>450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1601</v>
      </c>
      <c r="C193" s="15">
        <v>71</v>
      </c>
      <c r="D193" s="15">
        <v>6</v>
      </c>
      <c r="E193" s="15">
        <v>0</v>
      </c>
      <c r="F193" s="14" t="str">
        <f>VLOOKUP(C193,skill_list!B:C,2)</f>
        <v>ルーンバースト</v>
      </c>
      <c r="G193" s="11"/>
      <c r="H193" s="15">
        <v>35</v>
      </c>
      <c r="I193" s="15">
        <v>45</v>
      </c>
      <c r="J193" s="15">
        <v>132</v>
      </c>
      <c r="K193" s="15">
        <v>1</v>
      </c>
      <c r="L193" s="15">
        <v>7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1602</v>
      </c>
      <c r="C194" s="15">
        <v>255</v>
      </c>
      <c r="D194" s="15">
        <v>6</v>
      </c>
      <c r="E194" s="15">
        <v>0</v>
      </c>
      <c r="F194" s="14" t="str">
        <f>VLOOKUP(C194,skill_list!B:C,2)</f>
        <v>ホールドアップマインド</v>
      </c>
      <c r="G194" s="11"/>
      <c r="H194" s="15">
        <v>35</v>
      </c>
      <c r="I194" s="15">
        <v>45</v>
      </c>
      <c r="J194" s="15">
        <v>224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1603</v>
      </c>
      <c r="C195" s="15">
        <v>372</v>
      </c>
      <c r="D195" s="15">
        <v>6</v>
      </c>
      <c r="E195" s="15">
        <v>0</v>
      </c>
      <c r="F195" s="14" t="str">
        <f>VLOOKUP(C195,skill_list!B:C,2)</f>
        <v>冀望</v>
      </c>
      <c r="G195" s="11"/>
      <c r="H195" s="15">
        <v>40</v>
      </c>
      <c r="I195" s="15">
        <v>70</v>
      </c>
      <c r="J195" s="15">
        <v>216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1604</v>
      </c>
      <c r="C196" s="15">
        <v>454</v>
      </c>
      <c r="D196" s="15">
        <v>6</v>
      </c>
      <c r="E196" s="15">
        <v>0</v>
      </c>
      <c r="F196" s="14" t="str">
        <f>VLOOKUP(C196,skill_list!B:C,2)</f>
        <v>一途なスマイル</v>
      </c>
      <c r="G196" s="11"/>
      <c r="H196" s="15">
        <v>40</v>
      </c>
      <c r="I196" s="15">
        <v>70</v>
      </c>
      <c r="J196" s="15">
        <v>232</v>
      </c>
      <c r="K196" s="15">
        <v>10</v>
      </c>
      <c r="L196" s="15">
        <v>3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1605</v>
      </c>
      <c r="C197" s="15">
        <v>463</v>
      </c>
      <c r="D197" s="15">
        <v>6</v>
      </c>
      <c r="E197" s="15">
        <v>0</v>
      </c>
      <c r="F197" s="14" t="str">
        <f>VLOOKUP(C197,skill_list!B:C,2)</f>
        <v>おしおき</v>
      </c>
      <c r="G197" s="11"/>
      <c r="H197" s="15">
        <v>40</v>
      </c>
      <c r="I197" s="15">
        <v>70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1700</v>
      </c>
      <c r="C198" s="15">
        <v>1006</v>
      </c>
      <c r="D198" s="15">
        <v>7</v>
      </c>
      <c r="E198" s="15">
        <v>0</v>
      </c>
      <c r="F198" s="14" t="str">
        <f>VLOOKUP(C198,skill_list!B:C,2)</f>
        <v>コンセントレーション</v>
      </c>
      <c r="G198" s="11"/>
      <c r="H198" s="15">
        <v>10</v>
      </c>
      <c r="I198" s="15">
        <v>20</v>
      </c>
      <c r="J198" s="15">
        <v>450</v>
      </c>
      <c r="K198" s="15">
        <v>1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1701</v>
      </c>
      <c r="C199" s="15">
        <v>454</v>
      </c>
      <c r="D199" s="15">
        <v>7</v>
      </c>
      <c r="E199" s="15">
        <v>0</v>
      </c>
      <c r="F199" s="14" t="str">
        <f>VLOOKUP(C199,skill_list!B:C,2)</f>
        <v>一途なスマイル</v>
      </c>
      <c r="G199" s="11"/>
      <c r="H199" s="15">
        <v>30</v>
      </c>
      <c r="I199" s="15">
        <v>30</v>
      </c>
      <c r="J199" s="15">
        <v>0</v>
      </c>
      <c r="K199" s="15">
        <v>1</v>
      </c>
      <c r="L199" s="15">
        <v>3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2001</v>
      </c>
      <c r="C200" s="15">
        <v>372</v>
      </c>
      <c r="D200" s="15">
        <v>10</v>
      </c>
      <c r="E200" s="15">
        <v>0</v>
      </c>
      <c r="F200" s="14" t="str">
        <f>VLOOKUP(C200,skill_list!B:C,2)</f>
        <v>冀望</v>
      </c>
      <c r="G200" s="11"/>
      <c r="H200" s="15">
        <v>20</v>
      </c>
      <c r="I200" s="15">
        <v>30</v>
      </c>
      <c r="J200" s="15">
        <v>216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2002</v>
      </c>
      <c r="C201" s="15">
        <v>157</v>
      </c>
      <c r="D201" s="15">
        <v>10</v>
      </c>
      <c r="E201" s="15">
        <v>0</v>
      </c>
      <c r="F201" s="14" t="str">
        <f>VLOOKUP(C201,skill_list!B:C,2)</f>
        <v>聖域のカンタータ</v>
      </c>
      <c r="G201" s="11"/>
      <c r="H201" s="15">
        <v>20</v>
      </c>
      <c r="I201" s="15">
        <v>30</v>
      </c>
      <c r="J201" s="15">
        <v>216</v>
      </c>
      <c r="K201" s="15">
        <v>10</v>
      </c>
      <c r="L201" s="15">
        <v>6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2003</v>
      </c>
      <c r="C202" s="15">
        <v>340</v>
      </c>
      <c r="D202" s="15">
        <v>10</v>
      </c>
      <c r="E202" s="15">
        <v>0</v>
      </c>
      <c r="F202" s="14" t="str">
        <f>VLOOKUP(C202,skill_list!B:C,2)</f>
        <v>メイドの嗜み</v>
      </c>
      <c r="G202" s="11"/>
      <c r="H202" s="15">
        <v>20</v>
      </c>
      <c r="I202" s="15">
        <v>30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2004</v>
      </c>
      <c r="C203" s="15">
        <v>470</v>
      </c>
      <c r="D203" s="15">
        <v>10</v>
      </c>
      <c r="E203" s="15">
        <v>0</v>
      </c>
      <c r="F203" s="14" t="str">
        <f>VLOOKUP(C203,skill_list!B:C,2)</f>
        <v>春爛漫</v>
      </c>
      <c r="G203" s="11"/>
      <c r="H203" s="15">
        <v>20</v>
      </c>
      <c r="I203" s="15">
        <v>30</v>
      </c>
      <c r="J203" s="15">
        <v>216</v>
      </c>
      <c r="K203" s="15">
        <v>1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2051</v>
      </c>
      <c r="C204" s="15">
        <v>226</v>
      </c>
      <c r="D204" s="15">
        <v>10</v>
      </c>
      <c r="E204" s="15">
        <v>0</v>
      </c>
      <c r="F204" s="14" t="str">
        <f>VLOOKUP(C204,skill_list!B:C,2)</f>
        <v>ハイセンス・ショット</v>
      </c>
      <c r="G204" s="11"/>
      <c r="H204" s="15">
        <v>20</v>
      </c>
      <c r="I204" s="15">
        <v>30</v>
      </c>
      <c r="J204" s="15">
        <v>123</v>
      </c>
      <c r="K204" s="15">
        <v>1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2052</v>
      </c>
      <c r="C205" s="15">
        <v>163</v>
      </c>
      <c r="D205" s="15">
        <v>10</v>
      </c>
      <c r="E205" s="15">
        <v>0</v>
      </c>
      <c r="F205" s="14" t="str">
        <f>VLOOKUP(C205,skill_list!B:C,2)</f>
        <v>残心</v>
      </c>
      <c r="G205" s="11"/>
      <c r="H205" s="15">
        <v>20</v>
      </c>
      <c r="I205" s="15">
        <v>30</v>
      </c>
      <c r="J205" s="15">
        <v>123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2053</v>
      </c>
      <c r="C206" s="15">
        <v>228</v>
      </c>
      <c r="D206" s="15">
        <v>10</v>
      </c>
      <c r="E206" s="15">
        <v>0</v>
      </c>
      <c r="F206" s="14" t="str">
        <f>VLOOKUP(C206,skill_list!B:C,2)</f>
        <v>喧嘩上等！！</v>
      </c>
      <c r="G206" s="11"/>
      <c r="H206" s="15">
        <v>20</v>
      </c>
      <c r="I206" s="15">
        <v>30</v>
      </c>
      <c r="J206" s="15">
        <v>132</v>
      </c>
      <c r="K206" s="15">
        <v>1</v>
      </c>
      <c r="L206" s="15">
        <v>7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2201</v>
      </c>
      <c r="C207" s="15">
        <v>315</v>
      </c>
      <c r="D207" s="15">
        <v>12</v>
      </c>
      <c r="E207" s="15">
        <v>0</v>
      </c>
      <c r="F207" s="14" t="str">
        <f>VLOOKUP(C207,skill_list!B:C,2)</f>
        <v>ファーストラヴ</v>
      </c>
      <c r="G207" s="11"/>
      <c r="H207" s="15">
        <v>50</v>
      </c>
      <c r="I207" s="15">
        <v>50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999</v>
      </c>
      <c r="P207" s="15"/>
    </row>
    <row r="208" spans="1:16">
      <c r="A208" s="8"/>
      <c r="B208" s="15">
        <v>2300</v>
      </c>
      <c r="C208" s="15">
        <v>1003</v>
      </c>
      <c r="D208" s="15">
        <v>13</v>
      </c>
      <c r="E208" s="15">
        <v>0</v>
      </c>
      <c r="F208" s="14" t="str">
        <f>VLOOKUP(C208,skill_list!B:C,2)</f>
        <v>ドライブゲイン</v>
      </c>
      <c r="G208" s="11"/>
      <c r="H208" s="15">
        <v>15</v>
      </c>
      <c r="I208" s="15">
        <v>15</v>
      </c>
      <c r="J208" s="15">
        <v>0</v>
      </c>
      <c r="K208" s="15">
        <v>1</v>
      </c>
      <c r="L208" s="15">
        <v>0</v>
      </c>
      <c r="M208" s="15">
        <v>0</v>
      </c>
      <c r="N208" s="15">
        <v>0</v>
      </c>
      <c r="O208" s="15">
        <v>0</v>
      </c>
      <c r="P208" s="15"/>
    </row>
    <row r="209" spans="1:16">
      <c r="A209" s="8"/>
      <c r="B209" s="15">
        <v>2401</v>
      </c>
      <c r="C209" s="15">
        <v>293</v>
      </c>
      <c r="D209" s="15">
        <v>14</v>
      </c>
      <c r="E209" s="15">
        <v>0</v>
      </c>
      <c r="F209" s="14" t="str">
        <f>VLOOKUP(C209,skill_list!B:C,2)</f>
        <v>きらめきのエール</v>
      </c>
      <c r="G209" s="11"/>
      <c r="H209" s="15">
        <v>0</v>
      </c>
      <c r="I209" s="15">
        <v>0</v>
      </c>
      <c r="J209" s="15">
        <v>0</v>
      </c>
      <c r="K209" s="15">
        <v>1</v>
      </c>
      <c r="L209" s="15">
        <v>4</v>
      </c>
      <c r="M209" s="15">
        <v>0</v>
      </c>
      <c r="N209" s="15">
        <v>2</v>
      </c>
      <c r="O209" s="15">
        <v>0</v>
      </c>
      <c r="P209" s="15"/>
    </row>
    <row r="210" spans="1:16">
      <c r="A210" s="8"/>
      <c r="B210" s="15">
        <v>2501</v>
      </c>
      <c r="C210" s="15">
        <v>275</v>
      </c>
      <c r="D210" s="15">
        <v>15</v>
      </c>
      <c r="E210" s="15">
        <v>0</v>
      </c>
      <c r="F210" s="14" t="str">
        <f>VLOOKUP(C210,skill_list!B:C,2)</f>
        <v>カースサイス</v>
      </c>
      <c r="G210" s="11"/>
      <c r="H210" s="15">
        <v>0</v>
      </c>
      <c r="I210" s="15">
        <v>0</v>
      </c>
      <c r="J210" s="15">
        <v>0</v>
      </c>
      <c r="K210" s="15">
        <v>1</v>
      </c>
      <c r="L210" s="15">
        <v>1</v>
      </c>
      <c r="M210" s="15">
        <v>0</v>
      </c>
      <c r="N210" s="15">
        <v>2</v>
      </c>
      <c r="O210" s="15">
        <v>0</v>
      </c>
      <c r="P210" s="15"/>
    </row>
    <row r="211" spans="1:16">
      <c r="A211" s="8"/>
      <c r="B211" s="15">
        <v>2502</v>
      </c>
      <c r="C211" s="15">
        <v>374</v>
      </c>
      <c r="D211" s="15">
        <v>15</v>
      </c>
      <c r="E211" s="15">
        <v>0</v>
      </c>
      <c r="F211" s="14" t="str">
        <f>VLOOKUP(C211,skill_list!B:C,2)</f>
        <v>天変の相</v>
      </c>
      <c r="G211" s="11"/>
      <c r="H211" s="15">
        <v>0</v>
      </c>
      <c r="I211" s="15">
        <v>0</v>
      </c>
      <c r="J211" s="15">
        <v>0</v>
      </c>
      <c r="K211" s="15">
        <v>1</v>
      </c>
      <c r="L211" s="15">
        <v>1</v>
      </c>
      <c r="M211" s="15">
        <v>0</v>
      </c>
      <c r="N211" s="15">
        <v>2</v>
      </c>
      <c r="O211" s="15">
        <v>0</v>
      </c>
      <c r="P211" s="15"/>
    </row>
    <row r="212" spans="1:16">
      <c r="A212" s="8"/>
      <c r="B212" s="15">
        <v>2503</v>
      </c>
      <c r="C212" s="15">
        <v>265</v>
      </c>
      <c r="D212" s="15">
        <v>15</v>
      </c>
      <c r="E212" s="15">
        <v>0</v>
      </c>
      <c r="F212" s="14" t="str">
        <f>VLOOKUP(C212,skill_list!B:C,2)</f>
        <v>神妙</v>
      </c>
      <c r="G212" s="11"/>
      <c r="H212" s="15">
        <v>0</v>
      </c>
      <c r="I212" s="15">
        <v>0</v>
      </c>
      <c r="J212" s="15">
        <v>0</v>
      </c>
      <c r="K212" s="15">
        <v>1</v>
      </c>
      <c r="L212" s="15">
        <v>2</v>
      </c>
      <c r="M212" s="15">
        <v>0</v>
      </c>
      <c r="N212" s="15">
        <v>2</v>
      </c>
      <c r="O212" s="15">
        <v>0</v>
      </c>
      <c r="P212" s="15"/>
    </row>
    <row r="213" spans="1:16">
      <c r="A213" s="8"/>
      <c r="B213" s="15">
        <v>2504</v>
      </c>
      <c r="C213" s="15">
        <v>411</v>
      </c>
      <c r="D213" s="15">
        <v>15</v>
      </c>
      <c r="E213" s="15">
        <v>0</v>
      </c>
      <c r="F213" s="14" t="str">
        <f>VLOOKUP(C213,skill_list!B:C,2)</f>
        <v>ナイトフォール</v>
      </c>
      <c r="G213" s="11"/>
      <c r="H213" s="15">
        <v>0</v>
      </c>
      <c r="I213" s="15">
        <v>0</v>
      </c>
      <c r="J213" s="15">
        <v>0</v>
      </c>
      <c r="K213" s="15">
        <v>1</v>
      </c>
      <c r="L213" s="15">
        <v>1</v>
      </c>
      <c r="M213" s="15">
        <v>0</v>
      </c>
      <c r="N213" s="15">
        <v>2</v>
      </c>
      <c r="O213" s="15">
        <v>0</v>
      </c>
      <c r="P213" s="15"/>
    </row>
    <row r="214" spans="1:16">
      <c r="A214" s="8"/>
      <c r="B214" s="15">
        <v>2601</v>
      </c>
      <c r="C214" s="15">
        <v>325</v>
      </c>
      <c r="D214" s="15">
        <v>16</v>
      </c>
      <c r="E214" s="15">
        <v>0</v>
      </c>
      <c r="F214" s="14" t="str">
        <f>VLOOKUP(C214,skill_list!B:C,2)</f>
        <v>イチコロスマイル</v>
      </c>
      <c r="G214" s="11"/>
      <c r="H214" s="15">
        <v>5</v>
      </c>
      <c r="I214" s="15">
        <v>5</v>
      </c>
      <c r="J214" s="15">
        <v>0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2602</v>
      </c>
      <c r="C215" s="15">
        <v>378</v>
      </c>
      <c r="D215" s="15">
        <v>16</v>
      </c>
      <c r="E215" s="15">
        <v>0</v>
      </c>
      <c r="F215" s="14" t="str">
        <f>VLOOKUP(C215,skill_list!B:C,2)</f>
        <v>バックラッシュ</v>
      </c>
      <c r="G215" s="11"/>
      <c r="H215" s="15">
        <v>5</v>
      </c>
      <c r="I215" s="15">
        <v>5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2603</v>
      </c>
      <c r="C216" s="15">
        <v>419</v>
      </c>
      <c r="D216" s="15">
        <v>16</v>
      </c>
      <c r="E216" s="15">
        <v>0</v>
      </c>
      <c r="F216" s="14" t="str">
        <f>VLOOKUP(C216,skill_list!B:C,2)</f>
        <v>セルフパッション</v>
      </c>
      <c r="G216" s="11"/>
      <c r="H216" s="15">
        <v>5</v>
      </c>
      <c r="I216" s="15">
        <v>5</v>
      </c>
      <c r="J216" s="15">
        <v>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2701</v>
      </c>
      <c r="C217" s="15">
        <v>189</v>
      </c>
      <c r="D217" s="15">
        <v>17</v>
      </c>
      <c r="E217" s="15">
        <v>0</v>
      </c>
      <c r="F217" s="14" t="str">
        <f>VLOOKUP(C217,skill_list!B:C,2)</f>
        <v>心意活性</v>
      </c>
      <c r="G217" s="11"/>
      <c r="H217" s="15">
        <v>2</v>
      </c>
      <c r="I217" s="15">
        <v>3</v>
      </c>
      <c r="J217" s="15">
        <v>129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2702</v>
      </c>
      <c r="C218" s="15">
        <v>255</v>
      </c>
      <c r="D218" s="15">
        <v>17</v>
      </c>
      <c r="E218" s="15">
        <v>0</v>
      </c>
      <c r="F218" s="14" t="str">
        <f>VLOOKUP(C218,skill_list!B:C,2)</f>
        <v>ホールドアップマインド</v>
      </c>
      <c r="G218" s="11"/>
      <c r="H218" s="15">
        <v>2</v>
      </c>
      <c r="I218" s="15">
        <v>2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2703</v>
      </c>
      <c r="C219" s="15">
        <v>236</v>
      </c>
      <c r="D219" s="15">
        <v>17</v>
      </c>
      <c r="E219" s="15">
        <v>0</v>
      </c>
      <c r="F219" s="14" t="str">
        <f>VLOOKUP(C219,skill_list!B:C,2)</f>
        <v>ブリリアント・グローリー</v>
      </c>
      <c r="G219" s="11"/>
      <c r="H219" s="15">
        <v>2</v>
      </c>
      <c r="I219" s="15">
        <v>3</v>
      </c>
      <c r="J219" s="15">
        <v>208</v>
      </c>
      <c r="K219" s="15">
        <v>1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3300</v>
      </c>
      <c r="C220" s="15">
        <v>1007</v>
      </c>
      <c r="D220" s="15">
        <v>23</v>
      </c>
      <c r="E220" s="15">
        <v>0</v>
      </c>
      <c r="F220" s="14" t="str">
        <f>VLOOKUP(C220,skill_list!B:C,2)</f>
        <v>ポイントケア</v>
      </c>
      <c r="G220" s="11"/>
      <c r="H220" s="15">
        <v>3</v>
      </c>
      <c r="I220" s="15">
        <v>3</v>
      </c>
      <c r="J220" s="15">
        <v>0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</sheetData>
  <autoFilter ref="B6:P220" xr:uid="{401BDCFC-C7C7-426C-A276-7FBF75833C9C}"/>
  <phoneticPr fontId="1"/>
  <dataValidations count="1">
    <dataValidation type="list" allowBlank="1" showInputMessage="1" showErrorMessage="1" sqref="A7:A22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M33" sqref="M33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0</v>
      </c>
      <c r="D20" s="15">
        <v>0</v>
      </c>
      <c r="F20" t="s">
        <v>1864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92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1001</v>
      </c>
      <c r="F125" s="11" t="s">
        <v>1072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1002</v>
      </c>
      <c r="F126" s="11" t="s">
        <v>1075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1003</v>
      </c>
      <c r="F127" s="11" t="s">
        <v>1079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1004</v>
      </c>
      <c r="F128" s="11" t="s">
        <v>1081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1005</v>
      </c>
      <c r="F129" s="11" t="s">
        <v>1083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1006</v>
      </c>
      <c r="F130" s="11" t="s">
        <v>1088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1007</v>
      </c>
      <c r="F131" s="11" t="s">
        <v>1093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1008</v>
      </c>
      <c r="F132" s="11" t="s">
        <v>1096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1009</v>
      </c>
      <c r="F133" s="11" t="s">
        <v>1103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1010</v>
      </c>
      <c r="F134" s="11" t="s">
        <v>1106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1011</v>
      </c>
      <c r="F135" s="11" t="s">
        <v>1109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1012</v>
      </c>
      <c r="F136" s="11" t="s">
        <v>1115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1013</v>
      </c>
      <c r="F137" s="11" t="s">
        <v>1117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1014</v>
      </c>
      <c r="F138" s="11" t="s">
        <v>1122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1015</v>
      </c>
      <c r="F139" s="11" t="s">
        <v>1125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1016</v>
      </c>
      <c r="F140" s="11" t="s">
        <v>1130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1017</v>
      </c>
      <c r="F141" s="11" t="s">
        <v>1131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1018</v>
      </c>
      <c r="F142" s="11" t="s">
        <v>1076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1019</v>
      </c>
      <c r="F143" s="11" t="s">
        <v>1094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1020</v>
      </c>
      <c r="F144" s="11" t="s">
        <v>1102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1021</v>
      </c>
      <c r="F145" s="11" t="s">
        <v>1135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1022</v>
      </c>
      <c r="F146" s="11" t="s">
        <v>1086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1023</v>
      </c>
      <c r="F147" s="11" t="s">
        <v>1077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1024</v>
      </c>
      <c r="F148" s="11" t="s">
        <v>1111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1025</v>
      </c>
      <c r="F149" s="11" t="s">
        <v>1120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1026</v>
      </c>
      <c r="F150" s="11" t="s">
        <v>1127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1027</v>
      </c>
      <c r="F151" s="11" t="s">
        <v>1098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1028</v>
      </c>
      <c r="F152" s="11" t="s">
        <v>1099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1029</v>
      </c>
      <c r="F153" s="11" t="s">
        <v>1074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1030</v>
      </c>
      <c r="F154" s="11" t="s">
        <v>1128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1031</v>
      </c>
      <c r="F155" s="11" t="s">
        <v>1090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1032</v>
      </c>
      <c r="F156" s="11" t="s">
        <v>1100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1033</v>
      </c>
      <c r="F157" s="11" t="s">
        <v>1118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1034</v>
      </c>
      <c r="F158" s="11" t="s">
        <v>1105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1035</v>
      </c>
      <c r="F159" s="11" t="s">
        <v>1080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1036</v>
      </c>
      <c r="F160" s="11" t="s">
        <v>1073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1037</v>
      </c>
      <c r="F161" s="11" t="s">
        <v>1132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1038</v>
      </c>
      <c r="F162" s="11" t="s">
        <v>1084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1039</v>
      </c>
      <c r="F163" s="11" t="s">
        <v>1104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1040</v>
      </c>
      <c r="F164" s="11" t="s">
        <v>1112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1041</v>
      </c>
      <c r="F165" s="11" t="s">
        <v>1087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1042</v>
      </c>
      <c r="F166" s="11" t="s">
        <v>1119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1043</v>
      </c>
      <c r="F167" s="11" t="s">
        <v>1123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1044</v>
      </c>
      <c r="F168" s="11" t="s">
        <v>1092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1045</v>
      </c>
      <c r="F169" s="11" t="s">
        <v>1095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1046</v>
      </c>
      <c r="F170" s="11" t="s">
        <v>1129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1047</v>
      </c>
      <c r="F171" s="11" t="s">
        <v>1136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1048</v>
      </c>
      <c r="F172" s="11" t="s">
        <v>1116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1049</v>
      </c>
      <c r="F173" s="11" t="s">
        <v>1114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1050</v>
      </c>
      <c r="F174" s="11" t="s">
        <v>1089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1051</v>
      </c>
      <c r="F175" s="11" t="s">
        <v>1097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1052</v>
      </c>
      <c r="F176" s="11" t="s">
        <v>1082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1053</v>
      </c>
      <c r="F177" s="11" t="s">
        <v>1110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1054</v>
      </c>
      <c r="F178" s="11" t="s">
        <v>1134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1055</v>
      </c>
      <c r="F179" s="11" t="s">
        <v>1108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1056</v>
      </c>
      <c r="F180" s="11" t="s">
        <v>1107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1057</v>
      </c>
      <c r="F181" s="11" t="s">
        <v>1339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1058</v>
      </c>
      <c r="F182" s="11" t="s">
        <v>1124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1059</v>
      </c>
      <c r="F183" s="11" t="s">
        <v>1126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1060</v>
      </c>
      <c r="F184" s="11" t="s">
        <v>1078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1061</v>
      </c>
      <c r="F185" s="11" t="s">
        <v>1121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1062</v>
      </c>
      <c r="F186" s="11" t="s">
        <v>1133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1063</v>
      </c>
      <c r="F187" s="11" t="s">
        <v>1101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1064</v>
      </c>
      <c r="F188" s="11" t="s">
        <v>1113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1065</v>
      </c>
      <c r="F189" s="11" t="s">
        <v>1085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1066</v>
      </c>
      <c r="F190" s="11" t="s">
        <v>833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1067</v>
      </c>
      <c r="F191" s="11" t="s">
        <v>1091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1068</v>
      </c>
      <c r="F192" s="11" t="s">
        <v>1137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1630</v>
      </c>
      <c r="F193" s="11" t="s">
        <v>1633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1816</v>
      </c>
      <c r="F194" s="11" t="s">
        <v>1848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907</v>
      </c>
      <c r="F195" s="11" t="s">
        <v>997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908</v>
      </c>
      <c r="F196" s="11" t="s">
        <v>996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909</v>
      </c>
      <c r="F197" s="11" t="s">
        <v>995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910</v>
      </c>
      <c r="F198" s="11" t="s">
        <v>994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911</v>
      </c>
      <c r="F199" s="11" t="s">
        <v>999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912</v>
      </c>
      <c r="F200" s="11" t="s">
        <v>993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913</v>
      </c>
      <c r="F201" s="11" t="s">
        <v>992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914</v>
      </c>
      <c r="F202" s="11" t="s">
        <v>991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915</v>
      </c>
      <c r="F203" s="11" t="s">
        <v>1340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916</v>
      </c>
      <c r="F204" s="11" t="s">
        <v>990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917</v>
      </c>
      <c r="F205" s="11" t="s">
        <v>989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918</v>
      </c>
      <c r="F206" s="11" t="s">
        <v>988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919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920</v>
      </c>
      <c r="F208" s="11" t="s">
        <v>986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921</v>
      </c>
      <c r="F209" s="11" t="s">
        <v>985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922</v>
      </c>
      <c r="F210" s="11" t="s">
        <v>984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924</v>
      </c>
      <c r="F212" s="11" t="s">
        <v>982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925</v>
      </c>
      <c r="F213" s="11" t="s">
        <v>998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926</v>
      </c>
      <c r="F214" s="11" t="s">
        <v>976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927</v>
      </c>
      <c r="F215" s="11" t="s">
        <v>975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928</v>
      </c>
      <c r="F216" s="11" t="s">
        <v>974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929</v>
      </c>
      <c r="F217" s="11" t="s">
        <v>973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930</v>
      </c>
      <c r="F218" s="11" t="s">
        <v>972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931</v>
      </c>
      <c r="F219" s="11" t="s">
        <v>1000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932</v>
      </c>
      <c r="F220" s="11" t="s">
        <v>971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933</v>
      </c>
      <c r="F221" s="11" t="s">
        <v>970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934</v>
      </c>
      <c r="F222" s="11" t="s">
        <v>969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935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936</v>
      </c>
      <c r="F224" s="11" t="s">
        <v>967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937</v>
      </c>
      <c r="F225" s="11" t="s">
        <v>966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938</v>
      </c>
      <c r="F226" s="11" t="s">
        <v>965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939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940</v>
      </c>
      <c r="F228" s="11" t="s">
        <v>963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941</v>
      </c>
      <c r="F229" s="11" t="s">
        <v>962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942</v>
      </c>
      <c r="F230" s="11" t="s">
        <v>961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943</v>
      </c>
      <c r="F231" s="11" t="s">
        <v>960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945</v>
      </c>
      <c r="F233" s="11" t="s">
        <v>958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946</v>
      </c>
      <c r="F234" s="11" t="s">
        <v>957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947</v>
      </c>
      <c r="F235" s="11" t="s">
        <v>956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948</v>
      </c>
      <c r="F236" s="11" t="s">
        <v>955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949</v>
      </c>
      <c r="F237" s="11" t="s">
        <v>981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950</v>
      </c>
      <c r="F238" s="11" t="s">
        <v>980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951</v>
      </c>
      <c r="F239" s="11" t="s">
        <v>979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952</v>
      </c>
      <c r="F240" s="11" t="s">
        <v>978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953</v>
      </c>
      <c r="F241" s="11" t="s">
        <v>977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954</v>
      </c>
      <c r="F242" s="11" t="s">
        <v>1341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51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1598</v>
      </c>
      <c r="E76" s="11" t="s">
        <v>1598</v>
      </c>
      <c r="F76" s="15">
        <v>5</v>
      </c>
      <c r="G76" s="15">
        <v>1</v>
      </c>
      <c r="H76" s="15" t="s">
        <v>1599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1162</v>
      </c>
      <c r="E82" s="11" t="s">
        <v>1163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1228</v>
      </c>
      <c r="E83" s="11" t="s">
        <v>1164</v>
      </c>
      <c r="F83" s="15">
        <v>0</v>
      </c>
      <c r="G83" s="15">
        <v>0</v>
      </c>
      <c r="H83" s="15" t="s">
        <v>1600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1229</v>
      </c>
      <c r="E84" s="11" t="s">
        <v>1165</v>
      </c>
      <c r="F84" s="15">
        <v>0</v>
      </c>
      <c r="G84" s="15">
        <v>0</v>
      </c>
      <c r="H84" s="15" t="s">
        <v>1601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1620</v>
      </c>
      <c r="D87" s="11" t="s">
        <v>1621</v>
      </c>
      <c r="E87" s="11" t="s">
        <v>1621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1622</v>
      </c>
      <c r="D88" s="11" t="s">
        <v>1623</v>
      </c>
      <c r="E88" s="11" t="s">
        <v>1623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1624</v>
      </c>
      <c r="D89" s="11" t="s">
        <v>1625</v>
      </c>
      <c r="E89" s="11" t="s">
        <v>1625</v>
      </c>
      <c r="F89" s="15">
        <v>1</v>
      </c>
      <c r="G89" s="15">
        <v>0</v>
      </c>
      <c r="H89" s="15" t="s">
        <v>1662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1852</v>
      </c>
      <c r="D90" s="11" t="s">
        <v>1853</v>
      </c>
      <c r="E90" s="11" t="s">
        <v>1853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1854</v>
      </c>
      <c r="E91" s="11" t="s">
        <v>1166</v>
      </c>
      <c r="F91" s="15">
        <v>1</v>
      </c>
      <c r="G91" s="15">
        <v>1</v>
      </c>
      <c r="H91" s="15" t="s">
        <v>1602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1855</v>
      </c>
      <c r="D92" s="11" t="s">
        <v>1856</v>
      </c>
      <c r="E92" s="11" t="s">
        <v>1857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1230</v>
      </c>
      <c r="E93" s="11" t="s">
        <v>737</v>
      </c>
      <c r="F93" s="15">
        <v>0</v>
      </c>
      <c r="G93" s="15">
        <v>1</v>
      </c>
      <c r="H93" s="15" t="s">
        <v>1603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1231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1232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1604</v>
      </c>
      <c r="D96" s="11" t="s">
        <v>1557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1605</v>
      </c>
      <c r="D97" s="11" t="s">
        <v>1233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1283</v>
      </c>
      <c r="D98" s="11" t="s">
        <v>1234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1284</v>
      </c>
      <c r="D99" s="11" t="s">
        <v>1235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1285</v>
      </c>
      <c r="D100" s="11" t="s">
        <v>1236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1606</v>
      </c>
      <c r="D101" s="11" t="s">
        <v>1558</v>
      </c>
      <c r="E101" s="11" t="s">
        <v>737</v>
      </c>
      <c r="F101" s="15">
        <v>0</v>
      </c>
      <c r="G101" s="15">
        <v>3</v>
      </c>
      <c r="H101" s="15" t="s">
        <v>1607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1629</v>
      </c>
      <c r="D102" s="11" t="s">
        <v>1639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1608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1237</v>
      </c>
      <c r="E104" s="11" t="s">
        <v>737</v>
      </c>
      <c r="F104" s="15">
        <v>2</v>
      </c>
      <c r="G104" s="15">
        <v>1</v>
      </c>
      <c r="H104" s="15" t="s">
        <v>1212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1238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1239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1240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1241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1609</v>
      </c>
      <c r="D109" s="11" t="s">
        <v>1559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1610</v>
      </c>
      <c r="D110" s="11" t="s">
        <v>1560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1167</v>
      </c>
      <c r="D111" s="11" t="s">
        <v>1242</v>
      </c>
      <c r="E111" s="11" t="s">
        <v>737</v>
      </c>
      <c r="F111" s="15">
        <v>2</v>
      </c>
      <c r="G111" s="15">
        <v>1</v>
      </c>
      <c r="H111" s="15" t="s">
        <v>1568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1611</v>
      </c>
      <c r="D112" s="11" t="s">
        <v>1243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883</v>
      </c>
      <c r="D113" s="11" t="s">
        <v>1244</v>
      </c>
      <c r="E113" s="11" t="s">
        <v>737</v>
      </c>
      <c r="F113" s="15">
        <v>2</v>
      </c>
      <c r="G113" s="15">
        <v>1</v>
      </c>
      <c r="H113" s="15" t="s">
        <v>1612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1286</v>
      </c>
      <c r="D114" s="11" t="s">
        <v>1245</v>
      </c>
      <c r="E114" s="11" t="s">
        <v>737</v>
      </c>
      <c r="F114" s="15">
        <v>2</v>
      </c>
      <c r="G114" s="15">
        <v>1</v>
      </c>
      <c r="H114" s="15" t="s">
        <v>1246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1287</v>
      </c>
      <c r="D115" s="11" t="s">
        <v>1247</v>
      </c>
      <c r="E115" s="11" t="s">
        <v>737</v>
      </c>
      <c r="F115" s="15">
        <v>2</v>
      </c>
      <c r="G115" s="15">
        <v>1</v>
      </c>
      <c r="H115" s="15" t="s">
        <v>1248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1288</v>
      </c>
      <c r="D116" s="11" t="s">
        <v>1249</v>
      </c>
      <c r="E116" s="11" t="s">
        <v>737</v>
      </c>
      <c r="F116" s="15">
        <v>2</v>
      </c>
      <c r="G116" s="15">
        <v>1</v>
      </c>
      <c r="H116" s="15" t="s">
        <v>1568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1289</v>
      </c>
      <c r="D117" s="11" t="s">
        <v>1250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1290</v>
      </c>
      <c r="D118" s="11" t="s">
        <v>1251</v>
      </c>
      <c r="E118" s="11" t="s">
        <v>737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1626</v>
      </c>
      <c r="D119" s="11" t="s">
        <v>1627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1858</v>
      </c>
      <c r="D120" s="11" t="s">
        <v>1859</v>
      </c>
      <c r="E120" s="11" t="s">
        <v>737</v>
      </c>
      <c r="F120" s="15">
        <v>2</v>
      </c>
      <c r="G120" s="15">
        <v>3</v>
      </c>
      <c r="H120" s="15" t="s">
        <v>1860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1861</v>
      </c>
      <c r="D121" s="11" t="s">
        <v>1862</v>
      </c>
      <c r="E121" s="11" t="s">
        <v>737</v>
      </c>
      <c r="F121" s="15">
        <v>2</v>
      </c>
      <c r="G121" s="15">
        <v>3</v>
      </c>
      <c r="H121" s="15" t="s">
        <v>1863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1252</v>
      </c>
      <c r="E122" s="11" t="s">
        <v>737</v>
      </c>
      <c r="F122" s="15">
        <v>2</v>
      </c>
      <c r="G122" s="15">
        <v>1</v>
      </c>
      <c r="H122" s="15" t="s">
        <v>1569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1253</v>
      </c>
      <c r="E124" s="11" t="s">
        <v>737</v>
      </c>
      <c r="F124" s="15">
        <v>3</v>
      </c>
      <c r="G124" s="15">
        <v>1</v>
      </c>
      <c r="H124" s="15" t="s">
        <v>1254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1168</v>
      </c>
      <c r="D125" s="11" t="s">
        <v>1169</v>
      </c>
      <c r="E125" s="11" t="s">
        <v>737</v>
      </c>
      <c r="F125" s="15">
        <v>0</v>
      </c>
      <c r="G125" s="15">
        <v>0</v>
      </c>
      <c r="H125" s="15" t="s">
        <v>1613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1614</v>
      </c>
      <c r="E126" s="11" t="s">
        <v>737</v>
      </c>
      <c r="F126" s="15">
        <v>0</v>
      </c>
      <c r="G126" s="15">
        <v>0</v>
      </c>
      <c r="H126" s="15" t="s">
        <v>1615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1616</v>
      </c>
      <c r="D127" s="11" t="s">
        <v>1617</v>
      </c>
      <c r="E127" s="11" t="s">
        <v>737</v>
      </c>
      <c r="F127" s="15">
        <v>0</v>
      </c>
      <c r="G127" s="15">
        <v>0</v>
      </c>
      <c r="H127" s="15" t="s">
        <v>1601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1618</v>
      </c>
      <c r="E128" s="11" t="s">
        <v>737</v>
      </c>
      <c r="F128" s="15">
        <v>4</v>
      </c>
      <c r="G128" s="15">
        <v>3</v>
      </c>
      <c r="H128" s="15" t="s">
        <v>1619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1291</v>
      </c>
      <c r="D129" s="11" t="s">
        <v>1255</v>
      </c>
      <c r="E129" s="11" t="s">
        <v>737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1292</v>
      </c>
      <c r="D130" s="11" t="s">
        <v>1256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3"/>
  <sheetViews>
    <sheetView zoomScale="85" zoomScaleNormal="85" workbookViewId="0">
      <pane ySplit="6" topLeftCell="A60" activePane="bottomLeft" state="frozen"/>
      <selection pane="bottomLeft" activeCell="G76" sqref="G76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1869</v>
      </c>
      <c r="G80" s="11" t="s">
        <v>1870</v>
      </c>
      <c r="H80" s="15">
        <v>10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1872</v>
      </c>
      <c r="H81" s="15">
        <v>10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1871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3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0"/>
  <sheetViews>
    <sheetView tabSelected="1" zoomScale="85" zoomScaleNormal="85" workbookViewId="0">
      <selection activeCell="H11" sqref="H1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1884</v>
      </c>
      <c r="B2" s="9" t="s">
        <v>721</v>
      </c>
      <c r="C2" s="9" t="s">
        <v>1876</v>
      </c>
      <c r="D2" s="9" t="s">
        <v>1877</v>
      </c>
      <c r="E2" s="9" t="s">
        <v>1879</v>
      </c>
      <c r="F2" s="9" t="s">
        <v>1881</v>
      </c>
      <c r="G2" s="9" t="s">
        <v>1882</v>
      </c>
      <c r="H2" s="9" t="s">
        <v>1883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1878</v>
      </c>
      <c r="E4" s="9" t="s">
        <v>1880</v>
      </c>
      <c r="F4" s="9" t="s">
        <v>1880</v>
      </c>
      <c r="G4" s="9" t="s">
        <v>1880</v>
      </c>
      <c r="H4" s="9" t="s">
        <v>1880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22">
        <v>48</v>
      </c>
      <c r="C7" s="22">
        <v>2</v>
      </c>
      <c r="D7" s="22">
        <v>0.47</v>
      </c>
      <c r="E7" s="22">
        <v>1.04</v>
      </c>
      <c r="F7" s="22">
        <v>1.05</v>
      </c>
      <c r="G7" s="22">
        <v>1.0549999999999999</v>
      </c>
      <c r="H7" s="22">
        <v>1.05</v>
      </c>
    </row>
    <row r="8" spans="1:8">
      <c r="A8" s="8"/>
      <c r="B8" s="22">
        <v>49</v>
      </c>
      <c r="C8" s="22">
        <v>2</v>
      </c>
      <c r="D8" s="22">
        <v>0.47</v>
      </c>
      <c r="E8" s="22">
        <v>1.04</v>
      </c>
      <c r="F8" s="22">
        <v>1.05</v>
      </c>
      <c r="G8" s="22">
        <v>1.0549999999999999</v>
      </c>
      <c r="H8" s="22">
        <v>1.05</v>
      </c>
    </row>
    <row r="9" spans="1:8">
      <c r="A9" s="8"/>
      <c r="B9" s="22">
        <v>50</v>
      </c>
      <c r="C9" s="22">
        <v>2</v>
      </c>
      <c r="D9" s="22">
        <v>0.47</v>
      </c>
      <c r="E9" s="22">
        <v>1.018</v>
      </c>
      <c r="F9" s="22">
        <v>1.022</v>
      </c>
      <c r="G9" s="22">
        <v>1.03</v>
      </c>
      <c r="H9" s="22">
        <v>1.0449999999999999</v>
      </c>
    </row>
    <row r="10" spans="1:8">
      <c r="A10" s="8"/>
      <c r="B10" s="22">
        <v>51</v>
      </c>
      <c r="C10" s="22">
        <v>1</v>
      </c>
      <c r="D10" s="22">
        <v>0.67</v>
      </c>
      <c r="E10" s="22">
        <v>1.02</v>
      </c>
      <c r="F10" s="22">
        <v>1.02</v>
      </c>
      <c r="G10" s="22">
        <v>1.04</v>
      </c>
      <c r="H10" s="22">
        <v>1.05</v>
      </c>
    </row>
  </sheetData>
  <phoneticPr fontId="1"/>
  <dataValidations count="1">
    <dataValidation type="list" allowBlank="1" showInputMessage="1" showErrorMessage="1" sqref="A7:A10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2024-05-23T14:34:18Z</dcterms:modified>
</cp:coreProperties>
</file>