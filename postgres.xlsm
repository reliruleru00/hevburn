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F176246-4F6A-4445-BF39-E509D6346C8F}" xr6:coauthVersionLast="47" xr6:coauthVersionMax="47" xr10:uidLastSave="{00000000-0000-0000-0000-000000000000}"/>
  <bookViews>
    <workbookView xWindow="28680" yWindow="-120" windowWidth="29040" windowHeight="15840" firstSheet="5" activeTab="13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skill_buff!$B$6:$P$264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0" i="58" l="1"/>
  <c r="F141" i="59"/>
  <c r="F140" i="59"/>
  <c r="F183" i="59"/>
  <c r="F171" i="59"/>
  <c r="F139" i="59"/>
  <c r="F138" i="59"/>
  <c r="F256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64" i="59"/>
  <c r="F263" i="59"/>
  <c r="F262" i="59"/>
  <c r="F261" i="59"/>
  <c r="F260" i="59"/>
  <c r="F259" i="59"/>
  <c r="F258" i="59"/>
  <c r="F257" i="59"/>
  <c r="F255" i="59"/>
  <c r="F248" i="59"/>
  <c r="F254" i="59"/>
  <c r="F253" i="59"/>
  <c r="F252" i="59"/>
  <c r="F251" i="59"/>
  <c r="F250" i="59"/>
  <c r="F249" i="59"/>
  <c r="F247" i="59"/>
  <c r="F136" i="59"/>
  <c r="F135" i="59"/>
  <c r="F246" i="59"/>
  <c r="F245" i="59"/>
  <c r="F216" i="59"/>
  <c r="F170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44" i="59"/>
  <c r="F243" i="59"/>
  <c r="F242" i="59"/>
  <c r="F241" i="59"/>
  <c r="F240" i="59"/>
  <c r="F130" i="59"/>
  <c r="F131" i="59"/>
  <c r="F132" i="59"/>
  <c r="F239" i="59"/>
  <c r="F133" i="59"/>
  <c r="F134" i="59"/>
  <c r="F129" i="59"/>
  <c r="F226" i="59"/>
  <c r="A1" i="60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2" i="59"/>
  <c r="F181" i="59"/>
  <c r="F180" i="59"/>
  <c r="F179" i="59"/>
  <c r="F178" i="59"/>
  <c r="F177" i="59"/>
  <c r="F176" i="59"/>
  <c r="F175" i="59"/>
  <c r="F174" i="59"/>
  <c r="F173" i="59"/>
  <c r="F172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<sst xmlns="http://schemas.openxmlformats.org/spreadsheetml/2006/main" count="3646" uniqueCount="1945">
  <si>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</si>
  <si>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</si>
  <si>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</si>
  <si>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</si>
  <si>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</si>
  <si>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</si>
  <si>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</si>
  <si>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</si>
  <si>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</si>
  <si>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</si>
  <si>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</si>
  <si>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</si>
  <si>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</si>
  <si>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</si>
  <si>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</si>
  <si>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</si>
  <si>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</si>
  <si>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</si>
  <si>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</si>
  <si>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</si>
  <si>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</si>
  <si>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</si>
  <si>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</si>
  <si>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</si>
  <si>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</si>
  <si>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</si>
  <si>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</si>
  <si>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</si>
  <si>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</si>
  <si>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</si>
  <si>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</si>
  <si>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</si>
  <si>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</si>
  <si>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</si>
  <si>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</si>
  <si>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</si>
  <si>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</si>
  <si>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</si>
  <si>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</si>
  <si>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</si>
  <si>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</si>
  <si>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</si>
  <si>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</si>
  <si>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</si>
  <si>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</si>
  <si>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</si>
  <si>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</si>
  <si>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</si>
  <si>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</si>
  <si>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</si>
  <si>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</si>
  <si>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</si>
  <si>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</si>
  <si>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</si>
  <si>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</si>
  <si>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</si>
  <si>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</si>
  <si>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</si>
  <si>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</si>
  <si>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</si>
  <si>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</si>
  <si>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</si>
  <si>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</si>
  <si>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</si>
  <si>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</si>
  <si>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</si>
  <si>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</si>
  <si>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</si>
  <si>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</si>
  <si>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</si>
  <si>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</si>
  <si>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</si>
  <si>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</si>
  <si>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</si>
  <si>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</si>
  <si>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</si>
  <si>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</si>
  <si>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</si>
  <si>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</si>
  <si>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</si>
  <si>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</si>
  <si>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</si>
  <si>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</si>
  <si>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</si>
  <si>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</si>
  <si>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</si>
  <si>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</si>
  <si>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</si>
  <si>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</si>
  <si>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</si>
  <si>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</si>
  <si>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</si>
  <si>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</si>
  <si>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</si>
  <si>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</si>
  <si>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</si>
  <si>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</si>
  <si>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</si>
  <si>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</si>
  <si>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</si>
  <si>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</si>
  <si>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</si>
  <si>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</si>
  <si>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</si>
  <si>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</si>
  <si>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</si>
  <si>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</si>
  <si>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</si>
  <si>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</si>
  <si>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</si>
  <si>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</si>
  <si>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</si>
  <si>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</si>
  <si>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</si>
  <si>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</si>
  <si>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</si>
  <si>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</si>
  <si>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</si>
  <si>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</si>
  <si>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</si>
  <si>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</si>
  <si>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</si>
  <si>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</si>
  <si>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</si>
  <si>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</si>
  <si>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</si>
  <si>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</si>
  <si>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</si>
  <si>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</si>
  <si>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</si>
  <si>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</si>
  <si>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</si>
  <si>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</si>
  <si>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</si>
  <si>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</si>
  <si>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</si>
  <si>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</si>
  <si>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</si>
  <si>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</si>
  <si>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</si>
  <si>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</si>
  <si>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</si>
  <si>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</si>
  <si>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</si>
  <si>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</si>
  <si>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</si>
  <si>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</si>
  <si>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</si>
  <si>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</si>
  <si>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</si>
  <si>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</si>
  <si>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</si>
  <si>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</si>
  <si>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</si>
  <si>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</si>
  <si>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</si>
  <si>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</si>
  <si>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</si>
  <si>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</si>
  <si>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</si>
  <si>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</si>
  <si>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</si>
  <si>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</si>
  <si>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</si>
  <si>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</si>
  <si>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</si>
  <si>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</si>
  <si>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</si>
  <si>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</si>
  <si>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</si>
  <si>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</si>
  <si>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</si>
  <si>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</si>
  <si>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</si>
  <si>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</si>
  <si>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</si>
  <si>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</si>
  <si>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</si>
  <si>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</si>
  <si>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</si>
  <si>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</si>
  <si>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</si>
  <si>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</si>
  <si>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</si>
  <si>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</si>
  <si>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</si>
  <si>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</si>
  <si>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</si>
  <si>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</si>
  <si>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</si>
  <si>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</si>
  <si>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</si>
  <si>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</si>
  <si>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</si>
  <si>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</si>
  <si>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</si>
  <si>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</si>
  <si>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</si>
  <si>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</si>
  <si>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</si>
  <si>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</si>
  <si>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</si>
  <si>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</si>
  <si>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</si>
  <si>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</si>
  <si>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</si>
  <si>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</si>
  <si>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</si>
  <si>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</si>
  <si>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</si>
  <si>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</si>
  <si>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</si>
  <si>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</si>
  <si>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</si>
  <si>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</si>
  <si>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</si>
  <si>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</si>
  <si>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</si>
  <si>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</si>
  <si>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</si>
  <si>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</si>
  <si>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</si>
  <si>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</si>
  <si>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</si>
  <si>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</si>
  <si>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</si>
  <si>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</si>
  <si>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</si>
  <si>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</si>
  <si>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</si>
  <si>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</si>
  <si>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</si>
  <si>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</si>
  <si>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</si>
  <si>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</si>
  <si>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</si>
  <si>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</si>
  <si>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</si>
  <si>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</si>
  <si>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</si>
  <si>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</si>
  <si>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</si>
  <si>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</si>
  <si>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</si>
  <si>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</si>
  <si>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</si>
  <si>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</si>
  <si>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</si>
  <si>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</si>
  <si>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</si>
  <si>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</si>
  <si>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</si>
  <si>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</si>
  <si>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</si>
  <si>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</si>
  <si>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</si>
  <si>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</si>
  <si>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</si>
  <si>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</si>
  <si>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</si>
  <si>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</si>
  <si>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</si>
  <si>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</si>
  <si>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</si>
  <si>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</si>
  <si>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</si>
  <si>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</si>
  <si>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</si>
  <si>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</si>
  <si>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</si>
  <si>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</si>
  <si>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</si>
  <si>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</si>
  <si>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</si>
  <si>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</si>
  <si>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</si>
  <si>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</si>
  <si>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</si>
  <si>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</si>
  <si>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</si>
  <si>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</si>
  <si>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</si>
  <si>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</si>
  <si>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</si>
  <si>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</si>
  <si>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</si>
  <si>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</si>
  <si>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</si>
  <si>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</si>
  <si>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</si>
  <si>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</si>
  <si>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</si>
  <si>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</si>
  <si>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</si>
  <si>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</si>
  <si>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</si>
  <si>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</si>
  <si>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</si>
  <si>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</si>
  <si>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</si>
  <si>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</si>
  <si>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</si>
  <si>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</si>
  <si>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</si>
  <si>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</si>
  <si>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</si>
  <si>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</si>
  <si>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</si>
  <si>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</si>
  <si>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</si>
  <si>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</si>
  <si>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</si>
  <si>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</si>
  <si>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</si>
  <si>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</si>
  <si>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</si>
  <si>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</si>
  <si>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</si>
  <si>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</si>
  <si>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</si>
  <si>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</si>
  <si>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</si>
  <si>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</si>
  <si>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</si>
  <si>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</si>
  <si>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</si>
  <si>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</si>
  <si>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</si>
  <si>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</si>
  <si>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</si>
  <si>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</si>
  <si>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</si>
  <si>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</si>
  <si>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</si>
  <si>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</si>
  <si>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</si>
  <si>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</si>
  <si>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</si>
  <si>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</si>
  <si>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</si>
  <si>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</si>
  <si>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</si>
  <si>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</si>
  <si>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</si>
  <si>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</si>
  <si>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</si>
  <si>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</si>
  <si>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</si>
  <si>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</si>
  <si>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</si>
  <si>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</si>
  <si>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</si>
  <si>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</si>
  <si>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</si>
  <si>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</si>
  <si>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</si>
  <si>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</si>
  <si>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</si>
  <si>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</si>
  <si>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</si>
  <si>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</si>
  <si>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</si>
  <si>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</si>
  <si>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</si>
  <si>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</si>
  <si>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</si>
  <si>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</si>
  <si>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</si>
  <si>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</si>
  <si>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</si>
  <si>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</si>
  <si>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</si>
  <si>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</si>
  <si>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</si>
  <si>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</si>
  <si>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</si>
  <si>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</si>
  <si>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</si>
  <si>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</si>
  <si>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</si>
  <si>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</si>
  <si>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</si>
  <si>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</si>
  <si>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</si>
  <si>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</si>
  <si>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</si>
  <si>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</si>
  <si>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</si>
  <si>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</si>
  <si>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</si>
  <si>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</si>
  <si>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</si>
  <si>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</si>
  <si>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</si>
  <si>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</si>
  <si>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</si>
  <si>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</si>
  <si>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</si>
  <si>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</si>
  <si>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</si>
  <si>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</si>
  <si>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</si>
  <si>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</si>
  <si>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</si>
  <si>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</si>
  <si>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</si>
  <si>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</si>
  <si>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</si>
  <si>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</si>
  <si>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</si>
  <si>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</si>
  <si>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</si>
  <si>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</si>
  <si>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</si>
  <si>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</si>
  <si>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</si>
  <si>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</si>
  <si>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</si>
  <si>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</si>
  <si>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</si>
  <si>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</si>
  <si>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</si>
  <si>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</si>
  <si>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</si>
  <si>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</si>
  <si>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</si>
  <si>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</si>
  <si>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</si>
  <si>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</si>
  <si>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</si>
  <si>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</si>
  <si>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</si>
  <si>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</si>
  <si>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</si>
  <si>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</si>
  <si>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</si>
  <si>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</si>
  <si>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</si>
  <si>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</si>
  <si>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</si>
  <si>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</si>
  <si>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</si>
  <si>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</si>
  <si>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</si>
  <si>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</si>
  <si>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</si>
  <si>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</si>
  <si>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</si>
  <si>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</si>
  <si>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</si>
  <si>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</si>
  <si>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</si>
  <si>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</si>
  <si>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</si>
  <si>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</si>
  <si>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</si>
  <si>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</si>
  <si>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</si>
  <si>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</si>
  <si>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</si>
  <si>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</si>
  <si>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</si>
  <si>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</si>
  <si>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</si>
  <si>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</si>
  <si>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</si>
  <si>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</si>
  <si>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</si>
  <si>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</si>
  <si>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</si>
  <si>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</si>
  <si>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</si>
  <si>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</si>
  <si>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</si>
  <si>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</si>
  <si>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</si>
  <si>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</si>
  <si>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</si>
  <si>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</si>
  <si>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</si>
  <si>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</si>
  <si>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</si>
  <si>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</si>
  <si>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</si>
  <si>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</si>
  <si>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</si>
  <si>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</si>
  <si>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</si>
  <si>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</si>
  <si>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</si>
  <si>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</si>
  <si>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</si>
  <si>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</si>
  <si>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</si>
  <si>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</si>
  <si>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</si>
  <si>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</si>
  <si>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</si>
  <si>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</si>
  <si>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</si>
  <si>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</si>
  <si>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</si>
  <si>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</si>
  <si>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</si>
  <si>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</si>
  <si>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</si>
  <si>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</si>
  <si>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</si>
  <si>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</si>
  <si>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</si>
  <si>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</si>
  <si>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</si>
  <si>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</si>
  <si>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</si>
  <si>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</si>
  <si>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</si>
  <si>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</si>
  <si>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</si>
  <si>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</si>
  <si>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</si>
  <si>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</si>
  <si>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</si>
  <si>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</si>
  <si>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</si>
  <si>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</si>
  <si>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</si>
  <si>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</si>
  <si>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</si>
  <si>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</si>
  <si>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</si>
  <si>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</si>
  <si>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</si>
  <si>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</si>
  <si>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</si>
  <si>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</si>
  <si>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</si>
  <si>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</si>
  <si>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</si>
  <si>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</si>
  <si>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</si>
  <si>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</si>
  <si>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</si>
  <si>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</si>
  <si>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</si>
  <si>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</si>
  <si>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</si>
  <si>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</si>
  <si>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</si>
  <si>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</si>
  <si>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</si>
  <si>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</si>
  <si>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</si>
  <si>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</si>
  <si>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</si>
  <si>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</si>
  <si>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</si>
  <si>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</si>
  <si>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</si>
  <si>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</si>
  <si>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</si>
  <si>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</si>
  <si>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</si>
  <si>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</si>
  <si>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</si>
  <si>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</si>
  <si>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</si>
  <si>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</si>
  <si>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</si>
  <si>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</si>
  <si>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</si>
  <si>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</si>
  <si>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</si>
  <si>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</si>
  <si>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</si>
  <si>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</si>
  <si>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</si>
  <si>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</si>
  <si>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</si>
  <si>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</si>
  <si>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</si>
  <si>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</si>
  <si>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</si>
  <si>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</si>
  <si>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</si>
  <si>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</si>
  <si>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</si>
  <si>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</si>
  <si>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</si>
  <si>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</si>
  <si>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</si>
  <si>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</si>
  <si>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</si>
  <si>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</si>
  <si>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</si>
  <si>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</si>
  <si>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</si>
  <si>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</si>
  <si>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</si>
  <si>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</si>
  <si>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</si>
  <si>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</si>
  <si>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</si>
  <si>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</si>
  <si>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</si>
  <si>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</si>
  <si>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</si>
  <si>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</si>
  <si>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</si>
  <si>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</si>
  <si>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</si>
  <si>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</si>
  <si>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</si>
  <si>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</si>
  <si>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</si>
  <si>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</si>
  <si>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</si>
  <si>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</si>
  <si>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</si>
  <si>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</si>
  <si>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</si>
  <si>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</si>
  <si>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</si>
  <si>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</si>
  <si>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</si>
  <si>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</si>
  <si>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</si>
  <si>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</si>
  <si>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</si>
  <si>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</si>
  <si>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</si>
  <si>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</si>
  <si>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</si>
  <si>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</si>
  <si>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</si>
  <si>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</si>
  <si>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</si>
  <si>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</si>
  <si>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</si>
  <si>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</si>
  <si>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</si>
  <si>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</si>
  <si>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</si>
  <si>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</si>
  <si>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</si>
  <si>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</si>
  <si>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</si>
  <si>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</si>
  <si>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</si>
  <si>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</si>
  <si>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</si>
  <si>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</si>
  <si>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</si>
  <si>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</si>
  <si>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</si>
  <si>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</si>
  <si>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</si>
  <si>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</si>
  <si>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</si>
  <si>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</si>
  <si>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</si>
  <si>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</si>
  <si>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</si>
  <si>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</si>
  <si>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</si>
  <si>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</si>
  <si>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</si>
  <si>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</si>
  <si>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</si>
  <si>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</si>
  <si>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</si>
  <si>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</si>
  <si>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</si>
  <si>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</si>
  <si>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</si>
  <si>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</si>
  <si>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</si>
  <si>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</si>
  <si>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</si>
  <si>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</si>
  <si>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</si>
  <si>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</si>
  <si>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</si>
  <si>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</si>
  <si>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</si>
  <si>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</si>
  <si>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</si>
  <si>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</si>
  <si>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</si>
  <si>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</si>
  <si>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</si>
  <si>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</si>
  <si>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</si>
  <si>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</si>
  <si>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</si>
  <si>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</si>
  <si>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</si>
  <si>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</si>
  <si>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</si>
  <si>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</si>
  <si>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</si>
  <si>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</si>
  <si>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</si>
  <si>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</si>
  <si>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</si>
  <si>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</si>
  <si>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</si>
  <si>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</si>
  <si>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</si>
  <si>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</si>
  <si>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</si>
  <si>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</si>
  <si>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</si>
  <si>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</si>
  <si>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</si>
  <si>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</si>
  <si>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</si>
  <si>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</si>
  <si>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</si>
  <si>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</si>
  <si>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</si>
  <si>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</si>
  <si>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</si>
  <si>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</si>
  <si>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</si>
  <si>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</si>
  <si>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</si>
  <si>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</si>
  <si>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</si>
  <si>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</si>
  <si>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</si>
  <si>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</si>
  <si>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</si>
  <si>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</si>
  <si>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</si>
  <si>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</si>
  <si>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</si>
  <si>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</si>
  <si>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</si>
  <si>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</si>
  <si>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</si>
  <si>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</si>
  <si>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</si>
  <si>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</si>
  <si>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</si>
  <si>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</si>
  <si>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</si>
  <si>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</si>
  <si>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</si>
  <si>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</si>
  <si>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</si>
  <si>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</si>
  <si>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</si>
  <si>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</si>
  <si>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</si>
  <si>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</si>
  <si>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</si>
  <si>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</si>
  <si>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</si>
  <si>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</si>
  <si>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</si>
  <si>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</si>
  <si>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</si>
  <si>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</si>
  <si>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</si>
  <si>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</si>
  <si>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</si>
  <si>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</si>
  <si>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</si>
  <si>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</si>
  <si>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</si>
  <si>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</si>
  <si>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</si>
  <si>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</si>
  <si>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</si>
  <si>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</si>
  <si>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</si>
  <si>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</si>
  <si>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</si>
  <si>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</si>
  <si>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</si>
  <si>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</si>
  <si>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</si>
  <si>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</si>
  <si>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</si>
  <si>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</si>
  <si>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</si>
  <si>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</si>
  <si>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</si>
  <si>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</si>
  <si>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</si>
  <si>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</si>
  <si>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</si>
  <si>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</si>
  <si>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</si>
  <si>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</si>
  <si>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</si>
  <si>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</si>
  <si>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</si>
  <si>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</si>
  <si>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</si>
  <si>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</si>
  <si>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</si>
  <si>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</si>
  <si>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</si>
  <si>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</si>
  <si>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</si>
  <si>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</si>
  <si>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</si>
  <si>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</si>
  <si>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</si>
  <si>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</si>
  <si>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</si>
  <si>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</si>
  <si>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</si>
  <si>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</si>
  <si>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</si>
  <si>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</si>
  <si>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</si>
  <si>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</si>
  <si>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</si>
  <si>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</si>
  <si>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</si>
  <si>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</si>
  <si>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</si>
  <si>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</si>
  <si>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</si>
  <si>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</si>
  <si>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</si>
  <si>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</si>
  <si>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</si>
  <si>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</si>
  <si>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</si>
  <si>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</si>
  <si>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</si>
  <si>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</si>
  <si>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</si>
  <si>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</si>
  <si>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</si>
  <si>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</si>
  <si>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</si>
  <si>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</si>
  <si>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</si>
  <si>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</si>
  <si>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</si>
  <si>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</si>
  <si>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</si>
  <si>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</si>
  <si>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</si>
  <si>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</si>
  <si>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</si>
  <si>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</si>
  <si>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</si>
  <si>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</si>
  <si>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</si>
  <si>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</si>
  <si>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</si>
  <si>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</si>
  <si>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</si>
  <si>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</si>
  <si>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</si>
  <si>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</si>
  <si>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</si>
  <si>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</si>
  <si>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</si>
  <si>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</si>
  <si>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</si>
  <si>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</si>
  <si>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</si>
  <si>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</si>
  <si>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</si>
  <si>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</si>
  <si>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</si>
  <si>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</si>
  <si>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</si>
  <si>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</si>
  <si>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</si>
  <si>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</si>
  <si>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</si>
  <si>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</si>
  <si>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</si>
  <si>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</si>
  <si>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</si>
  <si>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</si>
  <si>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</si>
  <si>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</si>
  <si>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</si>
  <si>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</si>
  <si>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</si>
  <si>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</si>
  <si>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</si>
  <si>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</si>
  <si>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</si>
  <si>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</si>
  <si>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</si>
  <si>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</si>
  <si>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</si>
  <si>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</si>
  <si>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</si>
  <si>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</si>
  <si>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</si>
  <si>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</si>
  <si>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</si>
  <si>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</si>
  <si>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</si>
  <si>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</si>
  <si>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</si>
  <si>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</si>
  <si>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</si>
  <si>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</si>
  <si>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</si>
  <si>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</si>
  <si>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</si>
  <si>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</si>
  <si>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</si>
  <si>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</si>
  <si>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</si>
  <si>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</si>
  <si>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</si>
  <si>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</si>
  <si>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</si>
  <si>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</si>
  <si>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</si>
  <si>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</si>
  <si>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</si>
  <si>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</si>
  <si>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</si>
  <si>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</si>
  <si>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</si>
  <si>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</si>
  <si>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</si>
  <si>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</si>
  <si>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</si>
  <si>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</si>
  <si>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</si>
  <si>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</si>
  <si>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</si>
  <si>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</si>
  <si>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</si>
  <si>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</si>
  <si>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</si>
  <si>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</si>
  <si>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</si>
  <si>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</si>
  <si>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</si>
  <si>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</si>
  <si>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</si>
  <si>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</si>
  <si>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</si>
  <si>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</si>
  <si>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</si>
  <si>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</si>
  <si>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</si>
  <si>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</si>
  <si>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</si>
  <si>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</si>
  <si>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</si>
  <si>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</si>
  <si>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</si>
  <si>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</si>
  <si>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</si>
  <si>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</si>
  <si>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</si>
  <si>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</si>
  <si>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</si>
  <si>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</si>
  <si>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</si>
  <si>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</si>
  <si>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</si>
  <si>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</si>
  <si>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</si>
  <si>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</si>
  <si>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</si>
  <si>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</si>
  <si>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</si>
  <si>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</si>
  <si>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</si>
  <si>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</si>
  <si>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</si>
  <si>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</si>
  <si>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</si>
  <si>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</si>
  <si>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</si>
  <si>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</si>
  <si>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</si>
  <si>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</si>
  <si>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</si>
  <si>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</si>
  <si>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</si>
  <si>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</si>
  <si>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</si>
  <si>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</si>
  <si>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</si>
  <si>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</si>
  <si>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</si>
  <si>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</si>
  <si>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</si>
  <si>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</si>
  <si>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</si>
  <si>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</si>
  <si>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</si>
  <si>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</si>
  <si>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</si>
  <si>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</si>
  <si>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</si>
  <si>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</si>
  <si>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</si>
  <si>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</si>
  <si>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</si>
  <si>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</si>
  <si>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</si>
  <si>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</si>
  <si>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</si>
  <si>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</si>
  <si>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</si>
  <si>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</si>
  <si>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</si>
  <si>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</si>
  <si>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</si>
  <si>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</si>
  <si>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</si>
  <si>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</si>
  <si>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</si>
  <si>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</si>
  <si>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</si>
  <si>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</si>
  <si>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</si>
  <si>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</si>
  <si>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</si>
  <si>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</si>
  <si>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</si>
  <si>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</si>
  <si>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</si>
  <si>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</si>
  <si>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</si>
  <si>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</si>
  <si>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</si>
  <si>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</si>
  <si>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</si>
  <si>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</si>
  <si>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</si>
  <si>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</si>
  <si>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</si>
  <si>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</si>
  <si>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</si>
  <si>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</si>
  <si>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</si>
  <si>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</si>
  <si>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</si>
  <si>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</si>
  <si>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</si>
  <si>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</si>
  <si>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</si>
  <si>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</si>
  <si>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</si>
  <si>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</si>
  <si>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</si>
  <si>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</si>
  <si>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</si>
  <si>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</si>
  <si>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</si>
  <si>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</si>
  <si>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</si>
  <si>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</si>
  <si>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</si>
  <si>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</si>
  <si>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</si>
  <si>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</si>
  <si>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</si>
  <si>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</si>
  <si>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</si>
  <si>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</si>
  <si>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</si>
  <si>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</si>
  <si>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</si>
  <si>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</si>
  <si>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</si>
  <si>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</si>
  <si>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</si>
  <si>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</si>
  <si>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</si>
  <si>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</si>
  <si>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</si>
  <si>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</si>
  <si>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</si>
  <si>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</si>
  <si>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</si>
  <si>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</si>
  <si>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</si>
  <si>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</si>
  <si>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</si>
  <si>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</si>
  <si>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</si>
  <si>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</si>
  <si>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</si>
  <si>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</si>
  <si>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</si>
  <si>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</si>
  <si>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</si>
  <si>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</si>
  <si>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</si>
  <si>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</si>
  <si>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</si>
  <si>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</si>
  <si>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</si>
  <si>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</si>
  <si>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</si>
  <si>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</si>
  <si>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</si>
  <si>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</si>
  <si>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</si>
  <si>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</si>
  <si>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</si>
  <si>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</si>
  <si>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</si>
  <si>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</si>
  <si>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</si>
  <si>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</si>
  <si>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</si>
  <si>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</si>
  <si>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</si>
  <si>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</si>
  <si>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</si>
  <si>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</si>
  <si>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</si>
  <si>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</si>
  <si>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</si>
  <si>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</si>
  <si>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</si>
  <si>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</si>
  <si>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</si>
  <si>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</si>
  <si>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</si>
  <si>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</si>
  <si>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</si>
  <si>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</si>
  <si>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</si>
  <si>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</si>
  <si>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</si>
  <si>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</si>
  <si>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</si>
  <si>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</si>
  <si>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</si>
  <si>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</si>
  <si>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</si>
  <si>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</si>
  <si>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</si>
  <si>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</si>
  <si>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</si>
  <si>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</si>
  <si>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</si>
  <si>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</si>
  <si>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</si>
  <si>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</si>
  <si>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</si>
  <si>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</si>
  <si>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</si>
  <si>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</si>
  <si>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</si>
  <si>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</si>
  <si>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</si>
  <si>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</si>
  <si>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</si>
  <si>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</si>
  <si>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</si>
  <si>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</si>
  <si>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</si>
  <si>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</si>
  <si>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</si>
  <si>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</si>
  <si>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</si>
  <si>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</si>
  <si>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</si>
  <si>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</si>
  <si>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</si>
  <si>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</si>
  <si>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</si>
  <si>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</si>
  <si>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</si>
  <si>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</si>
  <si>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</si>
  <si>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</si>
  <si>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</si>
  <si>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</si>
  <si>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</si>
  <si>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</si>
  <si>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</si>
  <si>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</si>
  <si>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</si>
  <si>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</si>
  <si>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</si>
  <si>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</si>
  <si>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</si>
  <si>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</si>
  <si>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</si>
  <si>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</si>
  <si>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</si>
  <si>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</si>
  <si>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</si>
  <si>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</si>
  <si>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</si>
  <si>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</si>
  <si>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</si>
  <si>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</si>
  <si>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</si>
  <si>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</si>
  <si>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</si>
  <si>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</si>
  <si>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</si>
  <si>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</si>
  <si>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</si>
  <si>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</si>
  <si>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</si>
  <si>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</si>
  <si>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</si>
  <si>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</si>
  <si>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</si>
  <si>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</si>
  <si>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</si>
  <si>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</si>
  <si>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</si>
  <si>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</si>
  <si>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</si>
  <si>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</si>
  <si>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</si>
  <si>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</si>
  <si>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</si>
  <si>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</si>
  <si>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</si>
  <si>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</si>
  <si>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</si>
  <si>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</si>
  <si>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</si>
  <si>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</si>
  <si>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</si>
  <si>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</si>
  <si>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</si>
  <si>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</si>
  <si>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</si>
  <si>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</si>
  <si>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</si>
  <si>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</si>
  <si>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</si>
  <si>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</si>
  <si>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</si>
  <si>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</si>
  <si>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</si>
  <si>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</si>
  <si>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</si>
  <si>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</si>
  <si>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</si>
  <si>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</si>
  <si>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</si>
  <si>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</si>
  <si>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</si>
  <si>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</si>
  <si>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</si>
  <si>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</si>
  <si>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</si>
  <si>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</si>
  <si>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</si>
  <si>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</si>
  <si>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</si>
  <si>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</si>
  <si>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</si>
  <si>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</si>
  <si>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</si>
  <si>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</si>
  <si>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</si>
  <si>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</si>
  <si>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</si>
  <si>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</si>
  <si>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</si>
  <si>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</si>
  <si>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</si>
  <si>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</si>
  <si>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</si>
  <si>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</si>
  <si>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</si>
  <si>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</si>
  <si>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</si>
  <si>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</si>
  <si>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</si>
  <si>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</si>
  <si>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</si>
  <si>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</si>
  <si>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</si>
  <si>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</si>
  <si>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</si>
  <si>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</si>
  <si>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</si>
  <si>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</si>
  <si>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</si>
  <si>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</si>
  <si>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</si>
  <si>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</si>
  <si>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</si>
  <si>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</si>
  <si>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</si>
  <si>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</si>
  <si>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</si>
  <si>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</si>
  <si>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</si>
  <si>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</si>
  <si>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</si>
  <si>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</si>
  <si>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</si>
  <si>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</si>
  <si>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</si>
  <si>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</si>
  <si>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</si>
  <si>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</si>
  <si>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</si>
  <si>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</si>
  <si>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</si>
  <si>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</si>
  <si>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</si>
  <si>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</si>
  <si>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</si>
  <si>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</si>
  <si>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</si>
  <si>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</si>
  <si>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</si>
  <si>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</si>
  <si>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</si>
  <si>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</si>
  <si>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</si>
  <si>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</si>
  <si>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</si>
  <si>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</si>
  <si>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</si>
  <si>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</si>
  <si>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</si>
  <si>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</si>
  <si>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</si>
  <si>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</si>
  <si>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</si>
  <si>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</si>
  <si>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</si>
  <si>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</si>
  <si>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</si>
  <si>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</si>
  <si>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</si>
  <si>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</si>
  <si>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</si>
  <si>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</si>
  <si>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</si>
  <si>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</si>
  <si>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</si>
  <si>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</si>
  <si>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</si>
  <si>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</si>
  <si>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</si>
  <si>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</si>
  <si>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</si>
  <si>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</si>
  <si>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</si>
  <si>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</si>
  <si>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</si>
  <si>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</si>
  <si>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</si>
  <si>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</si>
  <si>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</si>
  <si>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</si>
  <si>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</si>
  <si>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</si>
  <si>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</si>
  <si>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</si>
  <si>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</si>
  <si>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</si>
  <si>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</si>
  <si>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</si>
  <si>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</si>
  <si>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</si>
  <si>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</si>
  <si>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</si>
  <si>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</si>
  <si>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</si>
  <si>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</si>
  <si>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</si>
  <si>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</si>
  <si>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</si>
  <si>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</si>
  <si>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</si>
  <si>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</si>
  <si>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</si>
  <si>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</si>
  <si>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</si>
  <si>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</si>
  <si>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</si>
  <si>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</si>
  <si>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</si>
  <si>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</si>
  <si>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</si>
  <si>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</si>
  <si>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</si>
  <si>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</si>
  <si>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</si>
  <si>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</si>
  <si>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</si>
  <si>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</si>
  <si>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</si>
  <si>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</si>
  <si>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</si>
  <si>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</si>
  <si>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</si>
  <si>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</si>
  <si>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</si>
  <si>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</si>
  <si>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</si>
  <si>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</si>
  <si>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</si>
  <si>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</si>
  <si>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</si>
  <si>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</si>
  <si>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</si>
  <si>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</si>
  <si>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</si>
  <si>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</si>
  <si>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</si>
  <si>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</si>
  <si>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</si>
  <si>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</si>
  <si>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</si>
  <si>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</si>
  <si>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</si>
  <si>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</si>
  <si>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</si>
  <si>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</si>
  <si>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</si>
  <si>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</si>
  <si>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</si>
  <si>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</si>
  <si>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</si>
  <si>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</si>
  <si>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</si>
  <si>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</si>
  <si>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</si>
  <si>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</si>
  <si>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</si>
  <si>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</si>
  <si>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</si>
  <si>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</si>
  <si>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</si>
  <si>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</si>
  <si>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</si>
  <si>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</si>
  <si>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</si>
  <si>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</si>
  <si>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</si>
  <si>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</si>
  <si>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</si>
  <si>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</si>
  <si>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</si>
  <si>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</si>
  <si>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</si>
  <si>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</si>
  <si>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</si>
  <si>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</si>
  <si>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</si>
  <si>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</si>
  <si>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</si>
  <si>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</si>
  <si>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</si>
  <si>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</si>
  <si>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</si>
  <si>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</si>
  <si>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</si>
  <si>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</si>
  <si>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</si>
  <si>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</si>
  <si>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</si>
  <si>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</si>
  <si>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</si>
  <si>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</si>
  <si>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</si>
  <si>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</si>
  <si>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</si>
  <si>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</si>
  <si>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</si>
  <si>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</si>
  <si>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</si>
  <si>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</si>
  <si>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</si>
  <si>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</si>
  <si>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</si>
  <si>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</si>
  <si>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</si>
  <si>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</si>
  <si>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</si>
  <si>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</si>
  <si>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</si>
  <si>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</si>
  <si>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</si>
  <si>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</si>
  <si>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</si>
  <si>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</si>
  <si>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</si>
  <si>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</si>
  <si>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</si>
  <si>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</si>
  <si>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</si>
  <si>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</si>
  <si>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</si>
  <si>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</si>
  <si>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</si>
  <si>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</si>
  <si>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</si>
  <si>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</si>
  <si>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</si>
  <si>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</si>
  <si>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</si>
  <si>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</si>
  <si>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</si>
  <si>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</si>
  <si>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</si>
  <si>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</si>
  <si>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</si>
  <si>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</si>
  <si>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</si>
  <si>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</si>
  <si>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</si>
  <si>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</si>
  <si>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</si>
  <si>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</si>
  <si>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</si>
  <si>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</si>
  <si>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</si>
  <si>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</si>
  <si>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</si>
  <si>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</si>
  <si>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</si>
  <si>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</si>
  <si>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</si>
  <si>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</si>
  <si>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</si>
  <si>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</si>
  <si>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</si>
  <si>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</si>
  <si>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</si>
  <si>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</si>
  <si>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</si>
  <si>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</si>
  <si>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</si>
  <si>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</si>
  <si>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</si>
  <si>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</si>
  <si>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</si>
  <si>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</si>
  <si>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</si>
  <si>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</si>
  <si>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</si>
  <si>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</si>
  <si>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</si>
  <si>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</si>
  <si>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</si>
  <si>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</si>
  <si>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</si>
  <si>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</si>
  <si>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</si>
  <si>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</si>
  <si>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</si>
  <si>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</si>
  <si>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</si>
  <si>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</si>
  <si>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</si>
  <si>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</si>
  <si>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</si>
  <si>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</si>
  <si>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</si>
  <si>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</si>
  <si>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</si>
  <si>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</si>
  <si>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</si>
  <si>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</si>
  <si>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</si>
  <si>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</si>
  <si>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</si>
  <si>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</si>
  <si>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</si>
  <si>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</si>
  <si>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</si>
  <si>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</si>
  <si>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</si>
  <si>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</si>
  <si>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</si>
  <si>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</si>
  <si>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</si>
  <si>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</si>
  <si>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</si>
  <si>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</si>
  <si>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</si>
  <si>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</si>
  <si>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</si>
  <si>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</si>
  <si>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</si>
  <si>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</si>
  <si>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</si>
  <si>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</si>
  <si>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</si>
  <si>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</si>
  <si>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</si>
  <si>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</si>
  <si>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</si>
  <si>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</si>
  <si>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</si>
  <si>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</si>
  <si>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</si>
  <si>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</si>
  <si>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</si>
  <si>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</si>
  <si>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</si>
  <si>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</si>
  <si>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</si>
  <si>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</si>
  <si>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</si>
  <si>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</si>
  <si>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</si>
  <si>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</si>
  <si>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</si>
  <si>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</si>
  <si>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</si>
  <si>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</si>
  <si>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</si>
  <si>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</si>
  <si>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</si>
  <si>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</si>
  <si>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</si>
  <si>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</si>
  <si>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</si>
  <si>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</si>
  <si>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</si>
  <si>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</si>
  <si>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</si>
  <si>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</si>
  <si>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</si>
  <si>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</si>
  <si>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</si>
  <si>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</si>
  <si>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</si>
  <si>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</si>
  <si>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</si>
  <si>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</si>
  <si>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</si>
  <si>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</si>
  <si>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</si>
  <si>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</si>
  <si>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</si>
  <si>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</si>
  <si>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</si>
  <si>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</si>
  <si>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</si>
  <si>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</si>
  <si>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</si>
  <si>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</si>
  <si>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</si>
  <si>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</si>
  <si>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</si>
  <si>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</si>
  <si>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</si>
  <si>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</si>
  <si>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</si>
  <si>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</si>
  <si>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</si>
  <si>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</si>
  <si>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</si>
  <si>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</si>
  <si>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</si>
  <si>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</si>
  <si>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</si>
  <si>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</si>
  <si>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</si>
  <si>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</si>
  <si>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</si>
  <si>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</si>
  <si>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</si>
  <si>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</si>
  <si>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</si>
  <si>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</si>
  <si>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</si>
  <si>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</si>
  <si>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</si>
  <si>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</si>
  <si>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</si>
  <si>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</si>
  <si>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</si>
  <si>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</si>
  <si>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</si>
  <si>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</si>
  <si>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</si>
  <si>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</si>
  <si>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</si>
  <si>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</si>
  <si>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</si>
  <si>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</si>
  <si>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</si>
  <si>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</si>
  <si>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</si>
  <si>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</si>
  <si>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</si>
  <si>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</si>
  <si>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</si>
  <si>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</si>
  <si>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</si>
  <si>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</si>
  <si>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</si>
  <si>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</si>
  <si>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</si>
  <si>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</si>
  <si>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</si>
  <si>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</si>
  <si>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</si>
  <si>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</si>
  <si>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</si>
  <si>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</si>
  <si>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</si>
  <si>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</si>
  <si>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</si>
  <si>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</si>
  <si>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</si>
  <si>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</si>
  <si>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</si>
  <si>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</si>
  <si>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</si>
  <si>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</si>
  <si>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</si>
  <si>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</si>
  <si>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</si>
  <si>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</si>
  <si>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</si>
  <si>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</si>
  <si>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</si>
  <si>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</si>
  <si>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</si>
  <si>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</si>
  <si>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</si>
  <si>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</si>
  <si>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</si>
  <si>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</si>
  <si>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</si>
  <si>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</si>
  <si>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</si>
  <si>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</si>
  <si>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</si>
  <si>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</si>
  <si>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</si>
  <si>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</si>
  <si>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</si>
  <si>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</si>
  <si>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</si>
  <si>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</si>
  <si>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</si>
  <si>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</si>
  <si>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</si>
  <si>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</si>
  <si>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</si>
  <si>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</si>
  <si>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</si>
  <si>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</si>
  <si>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</si>
  <si>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</si>
  <si>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</si>
  <si>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</si>
  <si>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</si>
  <si>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</si>
  <si>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</si>
  <si>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</si>
  <si>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</si>
  <si>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</si>
  <si>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</si>
  <si>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</si>
  <si>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</si>
  <si>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</si>
  <si>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</si>
  <si>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</si>
  <si>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</si>
  <si>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</si>
  <si>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</si>
  <si>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</si>
  <si>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</si>
  <si>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</si>
  <si>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</si>
  <si>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</si>
  <si>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</si>
  <si>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</si>
  <si>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</si>
  <si>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</si>
  <si>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</si>
  <si>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</si>
  <si>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</si>
  <si>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</si>
  <si>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</si>
  <si>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</si>
  <si>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</si>
  <si>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</si>
  <si>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</si>
  <si>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</si>
  <si>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</si>
  <si>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</si>
  <si>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</si>
  <si>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</si>
  <si>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</si>
  <si>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</si>
  <si>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</si>
  <si>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</si>
  <si>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</si>
  <si>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</si>
  <si>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</si>
  <si>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</si>
  <si>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</si>
  <si>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</si>
  <si>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</si>
  <si>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</si>
  <si>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</si>
  <si>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</si>
  <si>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</si>
  <si>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</si>
  <si>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</si>
  <si>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</si>
  <si>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</si>
  <si>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</si>
  <si>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</si>
  <si>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</si>
  <si>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</si>
  <si>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</si>
  <si>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</si>
  <si>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</si>
  <si>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</si>
  <si>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</si>
  <si>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</si>
  <si>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</si>
  <si>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</si>
  <si>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</si>
  <si>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</si>
  <si>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</si>
  <si>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</si>
  <si>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</si>
  <si>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</si>
  <si>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</si>
  <si>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</si>
  <si>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</si>
  <si>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</si>
  <si>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</si>
  <si>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</si>
  <si>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</si>
  <si>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</si>
  <si>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</si>
  <si>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</si>
  <si>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</si>
  <si>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</si>
  <si>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</si>
  <si>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</si>
  <si>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</si>
  <si>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</si>
  <si>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</si>
  <si>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</si>
  <si>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</si>
  <si>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</si>
  <si>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</si>
  <si>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</si>
  <si>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</si>
  <si>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</si>
  <si>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</si>
  <si>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</si>
  <si>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</si>
  <si>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</si>
  <si>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</si>
  <si>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</si>
  <si>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</si>
  <si>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</si>
  <si>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</si>
  <si>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</si>
  <si>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</si>
  <si>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</si>
  <si>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</si>
  <si>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</si>
  <si>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</si>
  <si>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</si>
  <si>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</si>
  <si>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</si>
  <si>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</si>
  <si>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</si>
  <si>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</si>
  <si>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</si>
  <si>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</si>
  <si>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</si>
  <si>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</si>
  <si>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</si>
  <si>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</si>
  <si>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</si>
  <si>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</si>
  <si>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</si>
  <si>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</si>
  <si>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</si>
  <si>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</si>
  <si>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</si>
  <si>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</si>
  <si>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</si>
  <si>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</si>
  <si>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</si>
  <si>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</si>
  <si>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</si>
  <si>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</si>
  <si>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</si>
  <si>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</si>
  <si>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</si>
  <si>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</si>
  <si>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</si>
  <si>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</si>
  <si>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</si>
  <si>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</si>
  <si>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</si>
  <si>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</si>
  <si>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</si>
  <si>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</si>
  <si>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</si>
  <si>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</si>
  <si>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聖女の守護</t>
  </si>
  <si>
    <t>花舞う、可憐のフレア</t>
  </si>
  <si>
    <t>星屑の航路+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</si>
  <si>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</si>
  <si>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</si>
  <si>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</si>
  <si>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</si>
  <si>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</si>
  <si>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</si>
  <si>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</si>
  <si>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</si>
  <si>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</si>
  <si>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</si>
  <si>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</si>
  <si>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</si>
  <si>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</si>
  <si>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</si>
  <si>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</si>
  <si>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</si>
  <si>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</si>
  <si>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</si>
  <si>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</si>
  <si>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</si>
  <si>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</si>
  <si>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</si>
  <si>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</si>
  <si>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敵の攻撃力10%アップ、火弱点に変化</t>
    <rPh sb="2" eb="5">
      <t>コウゲキリョク</t>
    </rPh>
    <rPh sb="12" eb="13">
      <t>ヒ</t>
    </rPh>
    <rPh sb="13" eb="15">
      <t>ジャクテン</t>
    </rPh>
    <rPh sb="16" eb="18">
      <t>ヘンカ</t>
    </rPh>
    <phoneticPr fontId="1"/>
  </si>
  <si>
    <t>5ターン毎にSPが3減少</t>
    <rPh sb="10" eb="12">
      <t>ゲンショウ</t>
    </rPh>
    <phoneticPr fontId="1"/>
  </si>
  <si>
    <t>行動パターンが変化</t>
    <rPh sb="0" eb="2">
      <t>コウドウ</t>
    </rPh>
    <rPh sb="7" eb="9">
      <t>ヘンカ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</si>
</sst>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24" activePane="bottomLeft" state="frozen"/>
      <selection activeCell="C1" sqref="C1"/>
      <selection pane="bottomLeft" activeCell="F145" sqref="F14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1924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1924</v>
      </c>
      <c r="E75" s="15">
        <v>420</v>
      </c>
      <c r="F75" s="11" t="s">
        <v>1930</v>
      </c>
      <c r="G75" s="15">
        <v>500000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1926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1927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1928</v>
      </c>
      <c r="E78" s="15">
        <v>380</v>
      </c>
      <c r="F78" s="11" t="s">
        <v>1931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1929</v>
      </c>
      <c r="E79" s="15">
        <v>380</v>
      </c>
      <c r="F79" s="11" t="s">
        <v>1932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1925</v>
      </c>
      <c r="E122" s="15">
        <v>380</v>
      </c>
      <c r="F122" s="11" t="s">
        <v>1933</v>
      </c>
      <c r="G122" s="15">
        <v>25000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250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1925</v>
      </c>
      <c r="E123" s="15">
        <v>420</v>
      </c>
      <c r="F123" s="11" t="s">
        <v>1934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1926</v>
      </c>
      <c r="E124" s="15">
        <v>420</v>
      </c>
      <c r="F124" s="11" t="s">
        <v>1935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1927</v>
      </c>
      <c r="E125" s="15">
        <v>420</v>
      </c>
      <c r="F125" s="11" t="s">
        <v>1936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1928</v>
      </c>
      <c r="E126" s="15">
        <v>420</v>
      </c>
      <c r="F126" s="11" t="s">
        <v>1937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1929</v>
      </c>
      <c r="E127" s="15">
        <v>420</v>
      </c>
      <c r="F127" s="11" t="s">
        <v>1937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1939</v>
      </c>
      <c r="E144" s="15">
        <v>340</v>
      </c>
      <c r="F144" s="11" t="s">
        <v>1940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1922</v>
      </c>
      <c r="E155" s="15">
        <v>355</v>
      </c>
      <c r="F155" s="11" t="s">
        <v>1938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1923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84" activePane="bottomLeft" state="frozen"/>
      <selection pane="bottomLeft" activeCell="H498" sqref="H498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1836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1916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1917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1920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1921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1918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1919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124" activePane="bottomLeft" state="frozen"/>
      <selection pane="bottomLeft" activeCell="B140" sqref="B140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4"/>
      <c r="F140" s="14">
        <v>5</v>
      </c>
      <c r="G140" s="14">
        <v>0</v>
      </c>
      <c r="H140" s="14">
        <v>0</v>
      </c>
      <c r="I140" s="15">
        <v>1</v>
      </c>
      <c r="J140" s="14">
        <v>2025</v>
      </c>
      <c r="K140" s="14">
        <v>10125</v>
      </c>
      <c r="L140" s="14">
        <v>6</v>
      </c>
      <c r="M140" s="14">
        <v>3.125</v>
      </c>
      <c r="N140" s="14">
        <v>0</v>
      </c>
      <c r="O140" s="14">
        <v>0</v>
      </c>
      <c r="P140" s="14">
        <v>1</v>
      </c>
      <c r="Q140" s="14"/>
      <c r="R140" s="14"/>
      <c r="S140" s="14"/>
      <c r="T140" s="14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4"/>
      <c r="F141" s="14">
        <v>2</v>
      </c>
      <c r="G141" s="14">
        <v>1</v>
      </c>
      <c r="H141" s="14">
        <v>0</v>
      </c>
      <c r="I141" s="15">
        <v>0</v>
      </c>
      <c r="J141" s="14">
        <v>2042.25</v>
      </c>
      <c r="K141" s="14">
        <v>10211.25</v>
      </c>
      <c r="L141" s="14">
        <v>3</v>
      </c>
      <c r="M141" s="14">
        <v>2.9</v>
      </c>
      <c r="N141" s="14">
        <v>30</v>
      </c>
      <c r="O141" s="14">
        <v>0</v>
      </c>
      <c r="P141" s="14">
        <v>2</v>
      </c>
      <c r="Q141" s="14"/>
      <c r="R141" s="14"/>
      <c r="S141" s="14"/>
      <c r="T141" s="14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64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/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134</v>
      </c>
      <c r="C139" s="15">
        <v>490</v>
      </c>
      <c r="D139" s="15">
        <v>7</v>
      </c>
      <c r="E139" s="15">
        <v>0</v>
      </c>
      <c r="F139" s="14" t="str">
        <f>VLOOKUP(C139,skill_list!B:C,2)</f>
        <v>星屑の航路+</v>
      </c>
      <c r="G139" s="11"/>
      <c r="H139" s="15">
        <v>30</v>
      </c>
      <c r="I139" s="15">
        <v>30</v>
      </c>
      <c r="J139" s="15">
        <v>264</v>
      </c>
      <c r="K139" s="15">
        <v>17</v>
      </c>
      <c r="L139" s="15">
        <v>6</v>
      </c>
      <c r="M139" s="15">
        <v>0</v>
      </c>
      <c r="N139" s="15">
        <v>3</v>
      </c>
      <c r="O139" s="15">
        <v>0</v>
      </c>
      <c r="P139" s="15">
        <v>1</v>
      </c>
    </row>
    <row r="140" spans="1:16">
      <c r="A140" s="8"/>
      <c r="B140" s="15">
        <v>135</v>
      </c>
      <c r="C140" s="15">
        <v>489</v>
      </c>
      <c r="D140" s="15">
        <v>23</v>
      </c>
      <c r="E140" s="15">
        <v>0</v>
      </c>
      <c r="F140" s="14" t="str">
        <f>VLOOKUP(C140,skill_list!B:C,2)</f>
        <v>惚のヴァージンロード</v>
      </c>
      <c r="G140" s="11"/>
      <c r="H140" s="15">
        <v>5</v>
      </c>
      <c r="I140" s="15">
        <v>5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136</v>
      </c>
      <c r="C141" s="15">
        <v>489</v>
      </c>
      <c r="D141" s="15">
        <v>99</v>
      </c>
      <c r="E141" s="15">
        <v>0</v>
      </c>
      <c r="F141" s="14" t="str">
        <f>VLOOKUP(C141,skill_list!B:C,2)</f>
        <v>惚のヴァージンロード</v>
      </c>
      <c r="G141" s="11"/>
      <c r="H141" s="15">
        <v>0</v>
      </c>
      <c r="I141" s="15">
        <v>0</v>
      </c>
      <c r="J141" s="15">
        <v>0</v>
      </c>
      <c r="K141" s="15">
        <v>1</v>
      </c>
      <c r="L141" s="15">
        <v>0</v>
      </c>
      <c r="M141" s="15">
        <v>9</v>
      </c>
      <c r="N141" s="15">
        <v>0</v>
      </c>
      <c r="O141" s="15">
        <v>0</v>
      </c>
      <c r="P141" s="15"/>
    </row>
    <row r="142" spans="1:16">
      <c r="A142" s="8"/>
      <c r="B142" s="15">
        <v>1000</v>
      </c>
      <c r="C142" s="15">
        <v>1005</v>
      </c>
      <c r="D142" s="15">
        <v>0</v>
      </c>
      <c r="E142" s="15">
        <v>0</v>
      </c>
      <c r="F142" s="14" t="str">
        <f>VLOOKUP(C142,skill_list!B:C,2)</f>
        <v>アタックライズ</v>
      </c>
      <c r="G142" s="11"/>
      <c r="H142" s="15">
        <v>50</v>
      </c>
      <c r="I142" s="15">
        <v>65</v>
      </c>
      <c r="J142" s="15">
        <v>450</v>
      </c>
      <c r="K142" s="15">
        <v>1</v>
      </c>
      <c r="L142" s="15">
        <v>7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1001</v>
      </c>
      <c r="C143" s="15">
        <v>21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1002</v>
      </c>
      <c r="C144" s="15">
        <v>48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1003</v>
      </c>
      <c r="C145" s="15">
        <v>84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1004</v>
      </c>
      <c r="C146" s="15">
        <v>112</v>
      </c>
      <c r="D146" s="15">
        <v>0</v>
      </c>
      <c r="E146" s="15">
        <v>0</v>
      </c>
      <c r="F146" s="14" t="str">
        <f>VLOOKUP(C146,skill_list!B:C,2)</f>
        <v>エンハンス</v>
      </c>
      <c r="G146" s="11"/>
      <c r="H146" s="15">
        <v>50</v>
      </c>
      <c r="I146" s="15">
        <v>65</v>
      </c>
      <c r="J146" s="15">
        <v>208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1005</v>
      </c>
      <c r="C147" s="15">
        <v>140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1006</v>
      </c>
      <c r="C148" s="15">
        <v>156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1007</v>
      </c>
      <c r="C149" s="15">
        <v>172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1008</v>
      </c>
      <c r="C150" s="15">
        <v>88</v>
      </c>
      <c r="D150" s="15">
        <v>0</v>
      </c>
      <c r="E150" s="15">
        <v>0</v>
      </c>
      <c r="F150" s="14" t="str">
        <f>VLOOKUP(C150,skill_list!B:C,2)</f>
        <v>導きの号令</v>
      </c>
      <c r="G150" s="11"/>
      <c r="H150" s="15">
        <v>50</v>
      </c>
      <c r="I150" s="15">
        <v>65</v>
      </c>
      <c r="J150" s="15">
        <v>224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1009</v>
      </c>
      <c r="C151" s="15">
        <v>221</v>
      </c>
      <c r="D151" s="15">
        <v>0</v>
      </c>
      <c r="E151" s="15">
        <v>0</v>
      </c>
      <c r="F151" s="14" t="str">
        <f>VLOOKUP(C151,skill_list!B:C,2)</f>
        <v>クールダウン</v>
      </c>
      <c r="G151" s="11"/>
      <c r="H151" s="15">
        <v>75</v>
      </c>
      <c r="I151" s="15">
        <v>90</v>
      </c>
      <c r="J151" s="15">
        <v>200</v>
      </c>
      <c r="K151" s="15">
        <v>10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1010</v>
      </c>
      <c r="C152" s="15">
        <v>240</v>
      </c>
      <c r="D152" s="15">
        <v>0</v>
      </c>
      <c r="E152" s="15">
        <v>0</v>
      </c>
      <c r="F152" s="14" t="str">
        <f>VLOOKUP(C152,skill_list!B:C,2)</f>
        <v>クールダウン</v>
      </c>
      <c r="G152" s="11"/>
      <c r="H152" s="15">
        <v>75</v>
      </c>
      <c r="I152" s="15">
        <v>90</v>
      </c>
      <c r="J152" s="15">
        <v>200</v>
      </c>
      <c r="K152" s="15">
        <v>10</v>
      </c>
      <c r="L152" s="15">
        <v>7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1011</v>
      </c>
      <c r="C153" s="15">
        <v>284</v>
      </c>
      <c r="D153" s="15">
        <v>0</v>
      </c>
      <c r="E153" s="15">
        <v>0</v>
      </c>
      <c r="F153" s="14" t="str">
        <f>VLOOKUP(C153,skill_list!B:C,2)</f>
        <v>クールダウン</v>
      </c>
      <c r="G153" s="11"/>
      <c r="H153" s="15">
        <v>75</v>
      </c>
      <c r="I153" s="15">
        <v>90</v>
      </c>
      <c r="J153" s="15">
        <v>200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1012</v>
      </c>
      <c r="C154" s="15">
        <v>336</v>
      </c>
      <c r="D154" s="15">
        <v>0</v>
      </c>
      <c r="E154" s="15">
        <v>0</v>
      </c>
      <c r="F154" s="14" t="str">
        <f>VLOOKUP(C154,skill_list!B:C,2)</f>
        <v>クールダウン</v>
      </c>
      <c r="G154" s="11"/>
      <c r="H154" s="15">
        <v>75</v>
      </c>
      <c r="I154" s="15">
        <v>90</v>
      </c>
      <c r="J154" s="15">
        <v>200</v>
      </c>
      <c r="K154" s="15">
        <v>10</v>
      </c>
      <c r="L154" s="15">
        <v>7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1013</v>
      </c>
      <c r="C155" s="15">
        <v>49</v>
      </c>
      <c r="D155" s="15">
        <v>0</v>
      </c>
      <c r="E155" s="15">
        <v>0</v>
      </c>
      <c r="F155" s="14" t="str">
        <f>VLOOKUP(C155,skill_list!B:C,2)</f>
        <v>ドーピング</v>
      </c>
      <c r="G155" s="11"/>
      <c r="H155" s="15">
        <v>75</v>
      </c>
      <c r="I155" s="15">
        <v>90</v>
      </c>
      <c r="J155" s="15">
        <v>216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1014</v>
      </c>
      <c r="C156" s="15">
        <v>299</v>
      </c>
      <c r="D156" s="15">
        <v>0</v>
      </c>
      <c r="E156" s="15">
        <v>0</v>
      </c>
      <c r="F156" s="14" t="str">
        <f>VLOOKUP(C156,skill_list!B:C,2)</f>
        <v>臥龍天命</v>
      </c>
      <c r="G156" s="11"/>
      <c r="H156" s="15">
        <v>75</v>
      </c>
      <c r="I156" s="15">
        <v>90</v>
      </c>
      <c r="J156" s="15">
        <v>216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1015</v>
      </c>
      <c r="C157" s="15">
        <v>322</v>
      </c>
      <c r="D157" s="15">
        <v>0</v>
      </c>
      <c r="E157" s="15">
        <v>0</v>
      </c>
      <c r="F157" s="14" t="str">
        <f>VLOOKUP(C157,skill_list!B:C,2)</f>
        <v>決戦前夜</v>
      </c>
      <c r="G157" s="11"/>
      <c r="H157" s="15">
        <v>75</v>
      </c>
      <c r="I157" s="15">
        <v>90</v>
      </c>
      <c r="J157" s="15">
        <v>216</v>
      </c>
      <c r="K157" s="15">
        <v>10</v>
      </c>
      <c r="L157" s="15">
        <v>5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1016</v>
      </c>
      <c r="C158" s="15">
        <v>188</v>
      </c>
      <c r="D158" s="15">
        <v>0</v>
      </c>
      <c r="E158" s="15">
        <v>0</v>
      </c>
      <c r="F158" s="14" t="str">
        <f>VLOOKUP(C158,skill_list!B:C,2)</f>
        <v>フィルエンハンス</v>
      </c>
      <c r="G158" s="11"/>
      <c r="H158" s="15">
        <v>50</v>
      </c>
      <c r="I158" s="15">
        <v>65</v>
      </c>
      <c r="J158" s="15">
        <v>232</v>
      </c>
      <c r="K158" s="15">
        <v>10</v>
      </c>
      <c r="L158" s="15">
        <v>6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1017</v>
      </c>
      <c r="C159" s="15">
        <v>268</v>
      </c>
      <c r="D159" s="15">
        <v>0</v>
      </c>
      <c r="E159" s="15">
        <v>0</v>
      </c>
      <c r="F159" s="14" t="str">
        <f>VLOOKUP(C159,skill_list!B:C,2)</f>
        <v>フィルエンハンス</v>
      </c>
      <c r="G159" s="11"/>
      <c r="H159" s="15">
        <v>50</v>
      </c>
      <c r="I159" s="15">
        <v>65</v>
      </c>
      <c r="J159" s="15">
        <v>232</v>
      </c>
      <c r="K159" s="15">
        <v>10</v>
      </c>
      <c r="L159" s="15">
        <v>6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1018</v>
      </c>
      <c r="C160" s="15">
        <v>273</v>
      </c>
      <c r="D160" s="15">
        <v>0</v>
      </c>
      <c r="E160" s="15">
        <v>0</v>
      </c>
      <c r="F160" s="14" t="str">
        <f>VLOOKUP(C160,skill_list!B:C,2)</f>
        <v>フィルエンハンス</v>
      </c>
      <c r="G160" s="11"/>
      <c r="H160" s="15">
        <v>50</v>
      </c>
      <c r="I160" s="15">
        <v>65</v>
      </c>
      <c r="J160" s="15">
        <v>232</v>
      </c>
      <c r="K160" s="15">
        <v>10</v>
      </c>
      <c r="L160" s="15">
        <v>6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1019</v>
      </c>
      <c r="C161" s="15">
        <v>295</v>
      </c>
      <c r="D161" s="15">
        <v>0</v>
      </c>
      <c r="E161" s="15">
        <v>0</v>
      </c>
      <c r="F161" s="14" t="str">
        <f>VLOOKUP(C161,skill_list!B:C,2)</f>
        <v>フィルエンハンス</v>
      </c>
      <c r="G161" s="11"/>
      <c r="H161" s="15">
        <v>50</v>
      </c>
      <c r="I161" s="15">
        <v>65</v>
      </c>
      <c r="J161" s="15">
        <v>232</v>
      </c>
      <c r="K161" s="15">
        <v>10</v>
      </c>
      <c r="L161" s="15">
        <v>6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1020</v>
      </c>
      <c r="C162" s="15">
        <v>62</v>
      </c>
      <c r="D162" s="15">
        <v>0</v>
      </c>
      <c r="E162" s="15">
        <v>0</v>
      </c>
      <c r="F162" s="14" t="str">
        <f>VLOOKUP(C162,skill_list!B:C,2)</f>
        <v>キリングエッジ</v>
      </c>
      <c r="G162" s="11"/>
      <c r="H162" s="15">
        <v>35</v>
      </c>
      <c r="I162" s="15">
        <v>50</v>
      </c>
      <c r="J162" s="15">
        <v>129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1021</v>
      </c>
      <c r="C163" s="15">
        <v>109</v>
      </c>
      <c r="D163" s="15">
        <v>0</v>
      </c>
      <c r="E163" s="15">
        <v>0</v>
      </c>
      <c r="F163" s="14" t="str">
        <f>VLOOKUP(C163,skill_list!B:C,2)</f>
        <v>ハネ殺し</v>
      </c>
      <c r="G163" s="11"/>
      <c r="H163" s="15">
        <v>35</v>
      </c>
      <c r="I163" s="15">
        <v>50</v>
      </c>
      <c r="J163" s="15">
        <v>120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1022</v>
      </c>
      <c r="C164" s="15">
        <v>288</v>
      </c>
      <c r="D164" s="15">
        <v>0</v>
      </c>
      <c r="E164" s="15">
        <v>0</v>
      </c>
      <c r="F164" s="14" t="str">
        <f>VLOOKUP(C164,skill_list!B:C,2)</f>
        <v>デディケイトギフト</v>
      </c>
      <c r="G164" s="11"/>
      <c r="H164" s="15">
        <v>75</v>
      </c>
      <c r="I164" s="15">
        <v>90</v>
      </c>
      <c r="J164" s="15">
        <v>200</v>
      </c>
      <c r="K164" s="15">
        <v>10</v>
      </c>
      <c r="L164" s="15">
        <v>3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1023</v>
      </c>
      <c r="C165" s="15">
        <v>217</v>
      </c>
      <c r="D165" s="15">
        <v>0</v>
      </c>
      <c r="E165" s="15">
        <v>0</v>
      </c>
      <c r="F165" s="14" t="str">
        <f>VLOOKUP(C165,skill_list!B:C,2)</f>
        <v>空</v>
      </c>
      <c r="G165" s="11"/>
      <c r="H165" s="15">
        <v>50</v>
      </c>
      <c r="I165" s="15">
        <v>65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1024</v>
      </c>
      <c r="C166" s="15">
        <v>267</v>
      </c>
      <c r="D166" s="15">
        <v>0</v>
      </c>
      <c r="E166" s="15">
        <v>0</v>
      </c>
      <c r="F166" s="14" t="str">
        <f>VLOOKUP(C166,skill_list!B:C,2)</f>
        <v>細雪</v>
      </c>
      <c r="G166" s="11"/>
      <c r="H166" s="15">
        <v>75</v>
      </c>
      <c r="I166" s="15">
        <v>90</v>
      </c>
      <c r="J166" s="15">
        <v>208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1025</v>
      </c>
      <c r="C167" s="15">
        <v>45</v>
      </c>
      <c r="D167" s="15">
        <v>0</v>
      </c>
      <c r="E167" s="15">
        <v>0</v>
      </c>
      <c r="F167" s="14" t="str">
        <f>VLOOKUP(C167,skill_list!B:C,2)</f>
        <v>残心撃</v>
      </c>
      <c r="G167" s="11"/>
      <c r="H167" s="15">
        <v>35</v>
      </c>
      <c r="I167" s="15">
        <v>50</v>
      </c>
      <c r="J167" s="15">
        <v>126</v>
      </c>
      <c r="K167" s="15">
        <v>1</v>
      </c>
      <c r="L167" s="15">
        <v>7</v>
      </c>
      <c r="M167" s="15">
        <v>0</v>
      </c>
      <c r="N167" s="15">
        <v>1</v>
      </c>
      <c r="O167" s="15">
        <v>999</v>
      </c>
      <c r="P167" s="15"/>
    </row>
    <row r="168" spans="1:16">
      <c r="A168" s="8"/>
      <c r="B168" s="15">
        <v>1026</v>
      </c>
      <c r="C168" s="15">
        <v>420</v>
      </c>
      <c r="D168" s="15">
        <v>0</v>
      </c>
      <c r="E168" s="15">
        <v>0</v>
      </c>
      <c r="F168" s="14" t="str">
        <f>VLOOKUP(C168,skill_list!B:C,2)</f>
        <v>デヴォーション</v>
      </c>
      <c r="G168" s="11"/>
      <c r="H168" s="15">
        <v>75</v>
      </c>
      <c r="I168" s="15">
        <v>90</v>
      </c>
      <c r="J168" s="15">
        <v>216</v>
      </c>
      <c r="K168" s="15">
        <v>10</v>
      </c>
      <c r="L168" s="15">
        <v>5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1027</v>
      </c>
      <c r="C169" s="15">
        <v>425</v>
      </c>
      <c r="D169" s="15">
        <v>0</v>
      </c>
      <c r="E169" s="15">
        <v>0</v>
      </c>
      <c r="F169" s="14" t="str">
        <f>VLOOKUP(C169,skill_list!B:C,2)</f>
        <v>セルフパッション</v>
      </c>
      <c r="G169" s="11"/>
      <c r="H169" s="15">
        <v>75</v>
      </c>
      <c r="I169" s="15">
        <v>90</v>
      </c>
      <c r="J169" s="15">
        <v>224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1028</v>
      </c>
      <c r="C170" s="15">
        <v>482</v>
      </c>
      <c r="D170" s="15">
        <v>0</v>
      </c>
      <c r="E170" s="15">
        <v>0</v>
      </c>
      <c r="F170" s="14" t="str">
        <f>VLOOKUP(C170,skill_list!B:C,2)</f>
        <v>解けない謎はない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1029</v>
      </c>
      <c r="C171" s="15">
        <v>488</v>
      </c>
      <c r="D171" s="15">
        <v>0</v>
      </c>
      <c r="E171" s="15">
        <v>0</v>
      </c>
      <c r="F171" s="14" t="str">
        <f>VLOOKUP(C171,skill_list!B:C,2)</f>
        <v>クリャートヴァ</v>
      </c>
      <c r="G171" s="11"/>
      <c r="H171" s="15">
        <v>50</v>
      </c>
      <c r="I171" s="15">
        <v>65</v>
      </c>
      <c r="J171" s="15">
        <v>232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1101</v>
      </c>
      <c r="C172" s="15">
        <v>373</v>
      </c>
      <c r="D172" s="15">
        <v>1</v>
      </c>
      <c r="E172" s="15">
        <v>4</v>
      </c>
      <c r="F172" s="14" t="str">
        <f>VLOOKUP(C172,skill_list!B:C,2)</f>
        <v>ホーリーエンハンス</v>
      </c>
      <c r="G172" s="11"/>
      <c r="H172" s="15">
        <v>65</v>
      </c>
      <c r="I172" s="15">
        <v>80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1102</v>
      </c>
      <c r="C173" s="15">
        <v>371</v>
      </c>
      <c r="D173" s="15">
        <v>1</v>
      </c>
      <c r="E173" s="15">
        <v>5</v>
      </c>
      <c r="F173" s="14" t="str">
        <f>VLOOKUP(C173,skill_list!B:C,2)</f>
        <v>赤面スティグマ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1103</v>
      </c>
      <c r="C174" s="15">
        <v>332</v>
      </c>
      <c r="D174" s="15">
        <v>1</v>
      </c>
      <c r="E174" s="15">
        <v>2</v>
      </c>
      <c r="F174" s="14" t="str">
        <f>VLOOKUP(C174,skill_list!B:C,2)</f>
        <v>淡雪</v>
      </c>
      <c r="G174" s="11"/>
      <c r="H174" s="15">
        <v>65</v>
      </c>
      <c r="I174" s="15">
        <v>80</v>
      </c>
      <c r="J174" s="15">
        <v>192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1104</v>
      </c>
      <c r="C175" s="15">
        <v>366</v>
      </c>
      <c r="D175" s="15">
        <v>1</v>
      </c>
      <c r="E175" s="15">
        <v>5</v>
      </c>
      <c r="F175" s="14" t="str">
        <f>VLOOKUP(C175,skill_list!B:C,2)</f>
        <v>被害妄想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1105</v>
      </c>
      <c r="C176" s="15">
        <v>253</v>
      </c>
      <c r="D176" s="15">
        <v>1</v>
      </c>
      <c r="E176" s="15">
        <v>3</v>
      </c>
      <c r="F176" s="14" t="str">
        <f>VLOOKUP(C176,skill_list!B:C,2)</f>
        <v>ライトニングロア</v>
      </c>
      <c r="G176" s="11"/>
      <c r="H176" s="15">
        <v>40</v>
      </c>
      <c r="I176" s="15">
        <v>55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1106</v>
      </c>
      <c r="C177" s="15">
        <v>219</v>
      </c>
      <c r="D177" s="15">
        <v>1</v>
      </c>
      <c r="E177" s="15">
        <v>4</v>
      </c>
      <c r="F177" s="14" t="str">
        <f>VLOOKUP(C177,skill_list!B:C,2)</f>
        <v>夢十夜</v>
      </c>
      <c r="G177" s="11"/>
      <c r="H177" s="15">
        <v>40</v>
      </c>
      <c r="I177" s="15">
        <v>55</v>
      </c>
      <c r="J177" s="15">
        <v>132</v>
      </c>
      <c r="K177" s="15">
        <v>1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1107</v>
      </c>
      <c r="C178" s="15">
        <v>339</v>
      </c>
      <c r="D178" s="15">
        <v>1</v>
      </c>
      <c r="E178" s="15">
        <v>5</v>
      </c>
      <c r="F178" s="14" t="str">
        <f>VLOOKUP(C178,skill_list!B:C,2)</f>
        <v>大切り盛り</v>
      </c>
      <c r="G178" s="11"/>
      <c r="H178" s="15">
        <v>40</v>
      </c>
      <c r="I178" s="15">
        <v>55</v>
      </c>
      <c r="J178" s="15">
        <v>123</v>
      </c>
      <c r="K178" s="15">
        <v>1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1108</v>
      </c>
      <c r="C179" s="15">
        <v>404</v>
      </c>
      <c r="D179" s="15">
        <v>1</v>
      </c>
      <c r="E179" s="15">
        <v>3</v>
      </c>
      <c r="F179" s="14" t="str">
        <f>VLOOKUP(C179,skill_list!B:C,2)</f>
        <v>とある衝撃</v>
      </c>
      <c r="G179" s="11"/>
      <c r="H179" s="15">
        <v>65</v>
      </c>
      <c r="I179" s="15">
        <v>80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1109</v>
      </c>
      <c r="C180" s="15">
        <v>412</v>
      </c>
      <c r="D180" s="15">
        <v>1</v>
      </c>
      <c r="E180" s="15">
        <v>2</v>
      </c>
      <c r="F180" s="14" t="str">
        <f>VLOOKUP(C180,skill_list!B:C,2)</f>
        <v>北風のスバル</v>
      </c>
      <c r="G180" s="11"/>
      <c r="H180" s="15">
        <v>65</v>
      </c>
      <c r="I180" s="15">
        <v>80</v>
      </c>
      <c r="J180" s="15">
        <v>192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1110</v>
      </c>
      <c r="C181" s="15">
        <v>461</v>
      </c>
      <c r="D181" s="15">
        <v>1</v>
      </c>
      <c r="E181" s="15">
        <v>3</v>
      </c>
      <c r="F181" s="14" t="str">
        <f>VLOOKUP(C181,skill_list!B:C,2)</f>
        <v>ねこじゃらし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1111</v>
      </c>
      <c r="C182" s="15">
        <v>465</v>
      </c>
      <c r="D182" s="15">
        <v>1</v>
      </c>
      <c r="E182" s="15">
        <v>5</v>
      </c>
      <c r="F182" s="14" t="str">
        <f>VLOOKUP(C182,skill_list!B:C,2)</f>
        <v>ピクシースマイル</v>
      </c>
      <c r="G182" s="11"/>
      <c r="H182" s="15">
        <v>65</v>
      </c>
      <c r="I182" s="15">
        <v>80</v>
      </c>
      <c r="J182" s="15">
        <v>208</v>
      </c>
      <c r="K182" s="15">
        <v>10</v>
      </c>
      <c r="L182" s="15">
        <v>4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1112</v>
      </c>
      <c r="C183" s="15">
        <v>488</v>
      </c>
      <c r="D183" s="15">
        <v>1</v>
      </c>
      <c r="E183" s="15">
        <v>5</v>
      </c>
      <c r="F183" s="14" t="str">
        <f>VLOOKUP(C183,skill_list!B:C,2)</f>
        <v>クリャートヴァ</v>
      </c>
      <c r="G183" s="11"/>
      <c r="H183" s="15">
        <v>65</v>
      </c>
      <c r="I183" s="15">
        <v>80</v>
      </c>
      <c r="J183" s="15">
        <v>232</v>
      </c>
      <c r="K183" s="15">
        <v>10</v>
      </c>
      <c r="L183" s="15">
        <v>4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1201</v>
      </c>
      <c r="C184" s="15">
        <v>310</v>
      </c>
      <c r="D184" s="15">
        <v>2</v>
      </c>
      <c r="E184" s="15">
        <v>0</v>
      </c>
      <c r="F184" s="14" t="str">
        <f>VLOOKUP(C184,skill_list!B:C,2)</f>
        <v>インサイト</v>
      </c>
      <c r="G184" s="11"/>
      <c r="H184" s="15">
        <v>35</v>
      </c>
      <c r="I184" s="15">
        <v>50</v>
      </c>
      <c r="J184" s="15">
        <v>200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1202</v>
      </c>
      <c r="C185" s="15">
        <v>451</v>
      </c>
      <c r="D185" s="15">
        <v>2</v>
      </c>
      <c r="E185" s="15">
        <v>0</v>
      </c>
      <c r="F185" s="14" t="str">
        <f>VLOOKUP(C185,skill_list!B:C,2)</f>
        <v>炯眼の構え</v>
      </c>
      <c r="G185" s="11"/>
      <c r="H185" s="15">
        <v>35</v>
      </c>
      <c r="I185" s="15">
        <v>50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1300</v>
      </c>
      <c r="C186" s="15">
        <v>1009</v>
      </c>
      <c r="D186" s="15">
        <v>3</v>
      </c>
      <c r="E186" s="15">
        <v>0</v>
      </c>
      <c r="F186" s="14" t="str">
        <f>VLOOKUP(C186,skill_list!B:C,2)</f>
        <v>ソフニング</v>
      </c>
      <c r="G186" s="11"/>
      <c r="H186" s="15">
        <v>30</v>
      </c>
      <c r="I186" s="15">
        <v>45</v>
      </c>
      <c r="J186" s="15">
        <v>200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1301</v>
      </c>
      <c r="C187" s="15">
        <v>173</v>
      </c>
      <c r="D187" s="15">
        <v>3</v>
      </c>
      <c r="E187" s="15">
        <v>0</v>
      </c>
      <c r="F187" s="14" t="str">
        <f>VLOOKUP(C187,skill_list!B:C,2)</f>
        <v>臥龍演舞斬</v>
      </c>
      <c r="G187" s="11"/>
      <c r="H187" s="15">
        <v>30</v>
      </c>
      <c r="I187" s="15">
        <v>45</v>
      </c>
      <c r="J187" s="15">
        <v>123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1302</v>
      </c>
      <c r="C188" s="15">
        <v>16</v>
      </c>
      <c r="D188" s="15">
        <v>3</v>
      </c>
      <c r="E188" s="15">
        <v>0</v>
      </c>
      <c r="F188" s="14" t="str">
        <f>VLOOKUP(C188,skill_list!B:C,2)</f>
        <v>ハードブレード</v>
      </c>
      <c r="G188" s="11"/>
      <c r="H188" s="15">
        <v>30</v>
      </c>
      <c r="I188" s="15">
        <v>45</v>
      </c>
      <c r="J188" s="15">
        <v>129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1303</v>
      </c>
      <c r="C189" s="15">
        <v>70</v>
      </c>
      <c r="D189" s="15">
        <v>3</v>
      </c>
      <c r="E189" s="15">
        <v>0</v>
      </c>
      <c r="F189" s="14" t="str">
        <f>VLOOKUP(C189,skill_list!B:C,2)</f>
        <v>ウィザードショット</v>
      </c>
      <c r="G189" s="11"/>
      <c r="H189" s="15">
        <v>30</v>
      </c>
      <c r="I189" s="15">
        <v>45</v>
      </c>
      <c r="J189" s="15">
        <v>117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1304</v>
      </c>
      <c r="C190" s="15">
        <v>467</v>
      </c>
      <c r="D190" s="15">
        <v>3</v>
      </c>
      <c r="E190" s="15">
        <v>0</v>
      </c>
      <c r="F190" s="14" t="str">
        <f>VLOOKUP(C190,skill_list!B:C,2)</f>
        <v>螳螂之斧</v>
      </c>
      <c r="G190" s="11"/>
      <c r="H190" s="15">
        <v>20</v>
      </c>
      <c r="I190" s="15">
        <v>30</v>
      </c>
      <c r="J190" s="15">
        <v>134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1351</v>
      </c>
      <c r="C191" s="15">
        <v>116</v>
      </c>
      <c r="D191" s="15">
        <v>3</v>
      </c>
      <c r="E191" s="15">
        <v>0</v>
      </c>
      <c r="F191" s="14" t="str">
        <f>VLOOKUP(C191,skill_list!B:C,2)</f>
        <v>レイジングシャウト</v>
      </c>
      <c r="G191" s="11"/>
      <c r="H191" s="15">
        <v>20</v>
      </c>
      <c r="I191" s="15">
        <v>30</v>
      </c>
      <c r="J191" s="15">
        <v>120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1352</v>
      </c>
      <c r="C192" s="15">
        <v>126</v>
      </c>
      <c r="D192" s="15">
        <v>3</v>
      </c>
      <c r="E192" s="15">
        <v>0</v>
      </c>
      <c r="F192" s="14" t="str">
        <f>VLOOKUP(C192,skill_list!B:C,2)</f>
        <v>ラブカ・ブレード</v>
      </c>
      <c r="G192" s="11"/>
      <c r="H192" s="15">
        <v>20</v>
      </c>
      <c r="I192" s="15">
        <v>30</v>
      </c>
      <c r="J192" s="15">
        <v>123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1401</v>
      </c>
      <c r="C193" s="15">
        <v>204</v>
      </c>
      <c r="D193" s="15">
        <v>4</v>
      </c>
      <c r="E193" s="15">
        <v>3</v>
      </c>
      <c r="F193" s="14" t="str">
        <f>VLOOKUP(C193,skill_list!B:C,2)</f>
        <v>ミストイングレイブ</v>
      </c>
      <c r="G193" s="11"/>
      <c r="H193" s="15">
        <v>45</v>
      </c>
      <c r="I193" s="15">
        <v>60</v>
      </c>
      <c r="J193" s="15">
        <v>126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1402</v>
      </c>
      <c r="C194" s="15">
        <v>328</v>
      </c>
      <c r="D194" s="15">
        <v>4</v>
      </c>
      <c r="E194" s="15">
        <v>5</v>
      </c>
      <c r="F194" s="14" t="str">
        <f>VLOOKUP(C194,skill_list!B:C,2)</f>
        <v>先に逝くなよ</v>
      </c>
      <c r="G194" s="11"/>
      <c r="H194" s="15">
        <v>45</v>
      </c>
      <c r="I194" s="15">
        <v>60</v>
      </c>
      <c r="J194" s="15">
        <v>123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1403</v>
      </c>
      <c r="C195" s="15">
        <v>282</v>
      </c>
      <c r="D195" s="15">
        <v>4</v>
      </c>
      <c r="E195" s="15">
        <v>1</v>
      </c>
      <c r="F195" s="14" t="str">
        <f>VLOOKUP(C195,skill_list!B:C,2)</f>
        <v>ヴィクタープラクティス</v>
      </c>
      <c r="G195" s="11"/>
      <c r="H195" s="15">
        <v>45</v>
      </c>
      <c r="I195" s="15">
        <v>60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1404</v>
      </c>
      <c r="C196" s="15">
        <v>222</v>
      </c>
      <c r="D196" s="15">
        <v>4</v>
      </c>
      <c r="E196" s="15">
        <v>4</v>
      </c>
      <c r="F196" s="14" t="str">
        <f>VLOOKUP(C196,skill_list!B:C,2)</f>
        <v>夜雨</v>
      </c>
      <c r="G196" s="11"/>
      <c r="H196" s="15">
        <v>45</v>
      </c>
      <c r="I196" s="15">
        <v>60</v>
      </c>
      <c r="J196" s="15">
        <v>131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1405</v>
      </c>
      <c r="C197" s="15">
        <v>222</v>
      </c>
      <c r="D197" s="15">
        <v>4</v>
      </c>
      <c r="E197" s="15">
        <v>5</v>
      </c>
      <c r="F197" s="14" t="str">
        <f>VLOOKUP(C197,skill_list!B:C,2)</f>
        <v>夜雨</v>
      </c>
      <c r="G197" s="11"/>
      <c r="H197" s="15">
        <v>45</v>
      </c>
      <c r="I197" s="15">
        <v>60</v>
      </c>
      <c r="J197" s="15">
        <v>131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1406</v>
      </c>
      <c r="C198" s="15">
        <v>446</v>
      </c>
      <c r="D198" s="15">
        <v>4</v>
      </c>
      <c r="E198" s="15">
        <v>2</v>
      </c>
      <c r="F198" s="14" t="str">
        <f>VLOOKUP(C198,skill_list!B:C,2)</f>
        <v>コールドクラッシュ</v>
      </c>
      <c r="G198" s="11"/>
      <c r="H198" s="15">
        <v>45</v>
      </c>
      <c r="I198" s="15">
        <v>60</v>
      </c>
      <c r="J198" s="15">
        <v>132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1451</v>
      </c>
      <c r="C199" s="15">
        <v>241</v>
      </c>
      <c r="D199" s="15">
        <v>4</v>
      </c>
      <c r="E199" s="15">
        <v>1</v>
      </c>
      <c r="F199" s="14" t="str">
        <f>VLOOKUP(C199,skill_list!B:C,2)</f>
        <v>怒裂昂</v>
      </c>
      <c r="G199" s="11"/>
      <c r="H199" s="15">
        <v>30</v>
      </c>
      <c r="I199" s="15">
        <v>45</v>
      </c>
      <c r="J199" s="15">
        <v>129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1452</v>
      </c>
      <c r="C200" s="15">
        <v>77</v>
      </c>
      <c r="D200" s="15">
        <v>4</v>
      </c>
      <c r="E200" s="15">
        <v>2</v>
      </c>
      <c r="F200" s="14" t="str">
        <f>VLOOKUP(C200,skill_list!B:C,2)</f>
        <v>ビスコッティ</v>
      </c>
      <c r="G200" s="11"/>
      <c r="H200" s="15">
        <v>30</v>
      </c>
      <c r="I200" s="15">
        <v>45</v>
      </c>
      <c r="J200" s="15">
        <v>129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1453</v>
      </c>
      <c r="C201" s="15">
        <v>410</v>
      </c>
      <c r="D201" s="15">
        <v>4</v>
      </c>
      <c r="E201" s="15">
        <v>3</v>
      </c>
      <c r="F201" s="14" t="str">
        <f>VLOOKUP(C201,skill_list!B:C,2)</f>
        <v>ザヴィーシマスチ</v>
      </c>
      <c r="G201" s="11"/>
      <c r="H201" s="15">
        <v>30</v>
      </c>
      <c r="I201" s="15">
        <v>45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1454</v>
      </c>
      <c r="C202" s="15">
        <v>476</v>
      </c>
      <c r="D202" s="15">
        <v>4</v>
      </c>
      <c r="E202" s="15">
        <v>5</v>
      </c>
      <c r="F202" s="14" t="str">
        <f>VLOOKUP(C202,skill_list!B:C,2)</f>
        <v>ヌラルジャ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2</v>
      </c>
      <c r="M202" s="15">
        <v>0</v>
      </c>
      <c r="N202" s="15">
        <v>1</v>
      </c>
      <c r="O202" s="15">
        <v>999</v>
      </c>
      <c r="P202" s="15"/>
    </row>
    <row r="203" spans="1:16">
      <c r="A203" s="8"/>
      <c r="B203" s="15">
        <v>1501</v>
      </c>
      <c r="C203" s="15">
        <v>94</v>
      </c>
      <c r="D203" s="15">
        <v>5</v>
      </c>
      <c r="E203" s="15">
        <v>0</v>
      </c>
      <c r="F203" s="14" t="str">
        <f>VLOOKUP(C203,skill_list!B:C,2)</f>
        <v>呪怨の矢</v>
      </c>
      <c r="G203" s="11"/>
      <c r="H203" s="15">
        <v>35</v>
      </c>
      <c r="I203" s="15">
        <v>50</v>
      </c>
      <c r="J203" s="15">
        <v>120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1502</v>
      </c>
      <c r="C204" s="15">
        <v>272</v>
      </c>
      <c r="D204" s="15">
        <v>5</v>
      </c>
      <c r="E204" s="15">
        <v>0</v>
      </c>
      <c r="F204" s="14" t="str">
        <f>VLOOKUP(C204,skill_list!B:C,2)</f>
        <v>ディープブロー</v>
      </c>
      <c r="G204" s="11"/>
      <c r="H204" s="15">
        <v>35</v>
      </c>
      <c r="I204" s="15">
        <v>50</v>
      </c>
      <c r="J204" s="15">
        <v>120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1551</v>
      </c>
      <c r="C205" s="15">
        <v>195</v>
      </c>
      <c r="D205" s="15">
        <v>5</v>
      </c>
      <c r="E205" s="15">
        <v>0</v>
      </c>
      <c r="F205" s="14" t="str">
        <f>VLOOKUP(C205,skill_list!B:C,2)</f>
        <v>ネイキッドイレイザー</v>
      </c>
      <c r="G205" s="11"/>
      <c r="H205" s="15">
        <v>35</v>
      </c>
      <c r="I205" s="15">
        <v>50</v>
      </c>
      <c r="J205" s="15">
        <v>132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1552</v>
      </c>
      <c r="C206" s="15">
        <v>218</v>
      </c>
      <c r="D206" s="15">
        <v>5</v>
      </c>
      <c r="E206" s="15">
        <v>0</v>
      </c>
      <c r="F206" s="14" t="str">
        <f>VLOOKUP(C206,skill_list!B:C,2)</f>
        <v>薙の矢</v>
      </c>
      <c r="G206" s="11"/>
      <c r="H206" s="15">
        <v>35</v>
      </c>
      <c r="I206" s="15">
        <v>50</v>
      </c>
      <c r="J206" s="15">
        <v>126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1553</v>
      </c>
      <c r="C207" s="15">
        <v>349</v>
      </c>
      <c r="D207" s="15">
        <v>5</v>
      </c>
      <c r="E207" s="15">
        <v>0</v>
      </c>
      <c r="F207" s="14" t="str">
        <f>VLOOKUP(C207,skill_list!B:C,2)</f>
        <v>大海原</v>
      </c>
      <c r="G207" s="11"/>
      <c r="H207" s="15">
        <v>35</v>
      </c>
      <c r="I207" s="15">
        <v>50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1600</v>
      </c>
      <c r="C208" s="15">
        <v>1001</v>
      </c>
      <c r="D208" s="15">
        <v>6</v>
      </c>
      <c r="E208" s="15">
        <v>0</v>
      </c>
      <c r="F208" s="14" t="str">
        <f>VLOOKUP(C208,skill_list!B:C,2)</f>
        <v>クリティカルシンキング</v>
      </c>
      <c r="G208" s="11"/>
      <c r="H208" s="15">
        <v>40</v>
      </c>
      <c r="I208" s="15">
        <v>70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1601</v>
      </c>
      <c r="C209" s="15">
        <v>71</v>
      </c>
      <c r="D209" s="15">
        <v>6</v>
      </c>
      <c r="E209" s="15">
        <v>0</v>
      </c>
      <c r="F209" s="14" t="str">
        <f>VLOOKUP(C209,skill_list!B:C,2)</f>
        <v>ルーンバースト</v>
      </c>
      <c r="G209" s="11"/>
      <c r="H209" s="15">
        <v>35</v>
      </c>
      <c r="I209" s="15">
        <v>45</v>
      </c>
      <c r="J209" s="15">
        <v>132</v>
      </c>
      <c r="K209" s="15">
        <v>1</v>
      </c>
      <c r="L209" s="15">
        <v>7</v>
      </c>
      <c r="M209" s="15">
        <v>0</v>
      </c>
      <c r="N209" s="15">
        <v>1</v>
      </c>
      <c r="O209" s="15">
        <v>999</v>
      </c>
      <c r="P209" s="15"/>
    </row>
    <row r="210" spans="1:16">
      <c r="A210" s="8"/>
      <c r="B210" s="15">
        <v>1602</v>
      </c>
      <c r="C210" s="15">
        <v>255</v>
      </c>
      <c r="D210" s="15">
        <v>6</v>
      </c>
      <c r="E210" s="15">
        <v>0</v>
      </c>
      <c r="F210" s="14" t="str">
        <f>VLOOKUP(C210,skill_list!B:C,2)</f>
        <v>ホールドアップマインド</v>
      </c>
      <c r="G210" s="11"/>
      <c r="H210" s="15">
        <v>35</v>
      </c>
      <c r="I210" s="15">
        <v>45</v>
      </c>
      <c r="J210" s="15">
        <v>224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1603</v>
      </c>
      <c r="C211" s="15">
        <v>378</v>
      </c>
      <c r="D211" s="15">
        <v>6</v>
      </c>
      <c r="E211" s="15">
        <v>0</v>
      </c>
      <c r="F211" s="14" t="str">
        <f>VLOOKUP(C211,skill_list!B:C,2)</f>
        <v>冀望</v>
      </c>
      <c r="G211" s="11"/>
      <c r="H211" s="15">
        <v>40</v>
      </c>
      <c r="I211" s="15">
        <v>70</v>
      </c>
      <c r="J211" s="15">
        <v>216</v>
      </c>
      <c r="K211" s="15">
        <v>10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1604</v>
      </c>
      <c r="C212" s="15">
        <v>462</v>
      </c>
      <c r="D212" s="15">
        <v>6</v>
      </c>
      <c r="E212" s="15">
        <v>0</v>
      </c>
      <c r="F212" s="14" t="str">
        <f>VLOOKUP(C212,skill_list!B:C,2)</f>
        <v>一途なスマイル</v>
      </c>
      <c r="G212" s="11"/>
      <c r="H212" s="15">
        <v>40</v>
      </c>
      <c r="I212" s="15">
        <v>70</v>
      </c>
      <c r="J212" s="15">
        <v>232</v>
      </c>
      <c r="K212" s="15">
        <v>10</v>
      </c>
      <c r="L212" s="15">
        <v>3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1605</v>
      </c>
      <c r="C213" s="15">
        <v>471</v>
      </c>
      <c r="D213" s="15">
        <v>6</v>
      </c>
      <c r="E213" s="15">
        <v>0</v>
      </c>
      <c r="F213" s="14" t="str">
        <f>VLOOKUP(C213,skill_list!B:C,2)</f>
        <v>おしおき</v>
      </c>
      <c r="G213" s="11"/>
      <c r="H213" s="15">
        <v>40</v>
      </c>
      <c r="I213" s="15">
        <v>70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1700</v>
      </c>
      <c r="C214" s="15">
        <v>1006</v>
      </c>
      <c r="D214" s="15">
        <v>7</v>
      </c>
      <c r="E214" s="15">
        <v>0</v>
      </c>
      <c r="F214" s="14" t="str">
        <f>VLOOKUP(C214,skill_list!B:C,2)</f>
        <v>コンセントレーション</v>
      </c>
      <c r="G214" s="11"/>
      <c r="H214" s="15">
        <v>10</v>
      </c>
      <c r="I214" s="15">
        <v>20</v>
      </c>
      <c r="J214" s="15">
        <v>450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1701</v>
      </c>
      <c r="C215" s="15">
        <v>462</v>
      </c>
      <c r="D215" s="15">
        <v>7</v>
      </c>
      <c r="E215" s="15">
        <v>0</v>
      </c>
      <c r="F215" s="14" t="str">
        <f>VLOOKUP(C215,skill_list!B:C,2)</f>
        <v>一途なスマイル</v>
      </c>
      <c r="G215" s="11"/>
      <c r="H215" s="15">
        <v>30</v>
      </c>
      <c r="I215" s="15">
        <v>30</v>
      </c>
      <c r="J215" s="15">
        <v>0</v>
      </c>
      <c r="K215" s="15">
        <v>1</v>
      </c>
      <c r="L215" s="15">
        <v>3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1702</v>
      </c>
      <c r="C216" s="15">
        <v>482</v>
      </c>
      <c r="D216" s="15">
        <v>7</v>
      </c>
      <c r="E216" s="15">
        <v>0</v>
      </c>
      <c r="F216" s="14" t="str">
        <f>VLOOKUP(C216,skill_list!B:C,2)</f>
        <v>解けない謎はない</v>
      </c>
      <c r="G216" s="11"/>
      <c r="H216" s="15">
        <v>30</v>
      </c>
      <c r="I216" s="15">
        <v>30</v>
      </c>
      <c r="J216" s="15">
        <v>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2001</v>
      </c>
      <c r="C217" s="15">
        <v>378</v>
      </c>
      <c r="D217" s="15">
        <v>10</v>
      </c>
      <c r="E217" s="15">
        <v>0</v>
      </c>
      <c r="F217" s="14" t="str">
        <f>VLOOKUP(C217,skill_list!B:C,2)</f>
        <v>冀望</v>
      </c>
      <c r="G217" s="11"/>
      <c r="H217" s="15">
        <v>20</v>
      </c>
      <c r="I217" s="15">
        <v>30</v>
      </c>
      <c r="J217" s="15">
        <v>216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2002</v>
      </c>
      <c r="C218" s="15">
        <v>157</v>
      </c>
      <c r="D218" s="15">
        <v>10</v>
      </c>
      <c r="E218" s="15">
        <v>0</v>
      </c>
      <c r="F218" s="14" t="str">
        <f>VLOOKUP(C218,skill_list!B:C,2)</f>
        <v>聖域のカンタータ</v>
      </c>
      <c r="G218" s="11"/>
      <c r="H218" s="15">
        <v>20</v>
      </c>
      <c r="I218" s="15">
        <v>30</v>
      </c>
      <c r="J218" s="15">
        <v>216</v>
      </c>
      <c r="K218" s="15">
        <v>10</v>
      </c>
      <c r="L218" s="15">
        <v>6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2003</v>
      </c>
      <c r="C219" s="15">
        <v>346</v>
      </c>
      <c r="D219" s="15">
        <v>10</v>
      </c>
      <c r="E219" s="15">
        <v>0</v>
      </c>
      <c r="F219" s="14" t="str">
        <f>VLOOKUP(C219,skill_list!B:C,2)</f>
        <v>メイドの嗜み</v>
      </c>
      <c r="G219" s="11"/>
      <c r="H219" s="15">
        <v>20</v>
      </c>
      <c r="I219" s="15">
        <v>30</v>
      </c>
      <c r="J219" s="15">
        <v>200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2004</v>
      </c>
      <c r="C220" s="15">
        <v>478</v>
      </c>
      <c r="D220" s="15">
        <v>10</v>
      </c>
      <c r="E220" s="15">
        <v>0</v>
      </c>
      <c r="F220" s="14" t="str">
        <f>VLOOKUP(C220,skill_list!B:C,2)</f>
        <v>春爛漫</v>
      </c>
      <c r="G220" s="11"/>
      <c r="H220" s="15">
        <v>20</v>
      </c>
      <c r="I220" s="15">
        <v>30</v>
      </c>
      <c r="J220" s="15">
        <v>216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2051</v>
      </c>
      <c r="C221" s="15">
        <v>226</v>
      </c>
      <c r="D221" s="15">
        <v>10</v>
      </c>
      <c r="E221" s="15">
        <v>0</v>
      </c>
      <c r="F221" s="14" t="str">
        <f>VLOOKUP(C221,skill_list!B:C,2)</f>
        <v>ハイセンス・ショット</v>
      </c>
      <c r="G221" s="11"/>
      <c r="H221" s="15">
        <v>20</v>
      </c>
      <c r="I221" s="15">
        <v>30</v>
      </c>
      <c r="J221" s="15">
        <v>123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2052</v>
      </c>
      <c r="C222" s="15">
        <v>163</v>
      </c>
      <c r="D222" s="15">
        <v>10</v>
      </c>
      <c r="E222" s="15">
        <v>0</v>
      </c>
      <c r="F222" s="14" t="str">
        <f>VLOOKUP(C222,skill_list!B:C,2)</f>
        <v>残心</v>
      </c>
      <c r="G222" s="11"/>
      <c r="H222" s="15">
        <v>20</v>
      </c>
      <c r="I222" s="15">
        <v>30</v>
      </c>
      <c r="J222" s="15">
        <v>123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2053</v>
      </c>
      <c r="C223" s="15">
        <v>228</v>
      </c>
      <c r="D223" s="15">
        <v>10</v>
      </c>
      <c r="E223" s="15">
        <v>0</v>
      </c>
      <c r="F223" s="14" t="str">
        <f>VLOOKUP(C223,skill_list!B:C,2)</f>
        <v>喧嘩上等！！</v>
      </c>
      <c r="G223" s="11"/>
      <c r="H223" s="15">
        <v>20</v>
      </c>
      <c r="I223" s="15">
        <v>30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2201</v>
      </c>
      <c r="C224" s="15">
        <v>321</v>
      </c>
      <c r="D224" s="15">
        <v>12</v>
      </c>
      <c r="E224" s="15">
        <v>0</v>
      </c>
      <c r="F224" s="14" t="str">
        <f>VLOOKUP(C224,skill_list!B:C,2)</f>
        <v>ファーストラヴ</v>
      </c>
      <c r="G224" s="11"/>
      <c r="H224" s="15">
        <v>50</v>
      </c>
      <c r="I224" s="15">
        <v>50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999</v>
      </c>
      <c r="P224" s="15"/>
    </row>
    <row r="225" spans="1:16">
      <c r="A225" s="8"/>
      <c r="B225" s="15">
        <v>2300</v>
      </c>
      <c r="C225" s="15">
        <v>1003</v>
      </c>
      <c r="D225" s="15">
        <v>13</v>
      </c>
      <c r="E225" s="15">
        <v>0</v>
      </c>
      <c r="F225" s="14" t="str">
        <f>VLOOKUP(C225,skill_list!B:C,2)</f>
        <v>ドライブゲイン</v>
      </c>
      <c r="G225" s="11"/>
      <c r="H225" s="15">
        <v>15</v>
      </c>
      <c r="I225" s="15">
        <v>15</v>
      </c>
      <c r="J225" s="15">
        <v>0</v>
      </c>
      <c r="K225" s="15">
        <v>1</v>
      </c>
      <c r="L225" s="15">
        <v>0</v>
      </c>
      <c r="M225" s="15">
        <v>0</v>
      </c>
      <c r="N225" s="15">
        <v>0</v>
      </c>
      <c r="O225" s="15">
        <v>0</v>
      </c>
      <c r="P225" s="15"/>
    </row>
    <row r="226" spans="1:16">
      <c r="A226" s="8"/>
      <c r="B226" s="15">
        <v>2301</v>
      </c>
      <c r="C226" s="15">
        <v>123</v>
      </c>
      <c r="D226" s="15">
        <v>13</v>
      </c>
      <c r="E226" s="15">
        <v>0</v>
      </c>
      <c r="F226" s="14" t="str">
        <f>VLOOKUP(C226,skill_list!B:C,2)</f>
        <v>サービス・エース</v>
      </c>
      <c r="G226" s="11"/>
      <c r="H226" s="15">
        <v>10</v>
      </c>
      <c r="I226" s="15">
        <v>15</v>
      </c>
      <c r="J226" s="15">
        <v>117</v>
      </c>
      <c r="K226" s="15">
        <v>1</v>
      </c>
      <c r="L226" s="15">
        <v>0</v>
      </c>
      <c r="M226" s="15">
        <v>0</v>
      </c>
      <c r="N226" s="15">
        <v>0</v>
      </c>
      <c r="O226" s="15">
        <v>0</v>
      </c>
      <c r="P226" s="15"/>
    </row>
    <row r="227" spans="1:16">
      <c r="A227" s="8"/>
      <c r="B227" s="15">
        <v>2401</v>
      </c>
      <c r="C227" s="15">
        <v>293</v>
      </c>
      <c r="D227" s="15">
        <v>14</v>
      </c>
      <c r="E227" s="15">
        <v>0</v>
      </c>
      <c r="F227" s="14" t="str">
        <f>VLOOKUP(C227,skill_list!B:C,2)</f>
        <v>きらめきのエール</v>
      </c>
      <c r="G227" s="11"/>
      <c r="H227" s="15">
        <v>0</v>
      </c>
      <c r="I227" s="15">
        <v>0</v>
      </c>
      <c r="J227" s="15">
        <v>0</v>
      </c>
      <c r="K227" s="15">
        <v>1</v>
      </c>
      <c r="L227" s="15">
        <v>4</v>
      </c>
      <c r="M227" s="15">
        <v>0</v>
      </c>
      <c r="N227" s="15">
        <v>2</v>
      </c>
      <c r="O227" s="15">
        <v>0</v>
      </c>
      <c r="P227" s="15"/>
    </row>
    <row r="228" spans="1:16">
      <c r="A228" s="8"/>
      <c r="B228" s="15">
        <v>2501</v>
      </c>
      <c r="C228" s="15">
        <v>275</v>
      </c>
      <c r="D228" s="15">
        <v>15</v>
      </c>
      <c r="E228" s="15">
        <v>0</v>
      </c>
      <c r="F228" s="14" t="str">
        <f>VLOOKUP(C228,skill_list!B:C,2)</f>
        <v>カースサイス</v>
      </c>
      <c r="G228" s="11"/>
      <c r="H228" s="15">
        <v>0</v>
      </c>
      <c r="I228" s="15">
        <v>0</v>
      </c>
      <c r="J228" s="15">
        <v>0</v>
      </c>
      <c r="K228" s="15">
        <v>1</v>
      </c>
      <c r="L228" s="15">
        <v>1</v>
      </c>
      <c r="M228" s="15">
        <v>0</v>
      </c>
      <c r="N228" s="15">
        <v>2</v>
      </c>
      <c r="O228" s="15">
        <v>0</v>
      </c>
      <c r="P228" s="15"/>
    </row>
    <row r="229" spans="1:16">
      <c r="A229" s="8"/>
      <c r="B229" s="15">
        <v>2502</v>
      </c>
      <c r="C229" s="15">
        <v>380</v>
      </c>
      <c r="D229" s="15">
        <v>15</v>
      </c>
      <c r="E229" s="15">
        <v>0</v>
      </c>
      <c r="F229" s="14" t="str">
        <f>VLOOKUP(C229,skill_list!B:C,2)</f>
        <v>天変の相</v>
      </c>
      <c r="G229" s="11"/>
      <c r="H229" s="15">
        <v>0</v>
      </c>
      <c r="I229" s="15">
        <v>0</v>
      </c>
      <c r="J229" s="15">
        <v>0</v>
      </c>
      <c r="K229" s="15">
        <v>1</v>
      </c>
      <c r="L229" s="15">
        <v>1</v>
      </c>
      <c r="M229" s="15">
        <v>0</v>
      </c>
      <c r="N229" s="15">
        <v>2</v>
      </c>
      <c r="O229" s="15">
        <v>0</v>
      </c>
      <c r="P229" s="15"/>
    </row>
    <row r="230" spans="1:16">
      <c r="A230" s="8"/>
      <c r="B230" s="15">
        <v>2503</v>
      </c>
      <c r="C230" s="15">
        <v>265</v>
      </c>
      <c r="D230" s="15">
        <v>15</v>
      </c>
      <c r="E230" s="15">
        <v>0</v>
      </c>
      <c r="F230" s="14" t="str">
        <f>VLOOKUP(C230,skill_list!B:C,2)</f>
        <v>神妙</v>
      </c>
      <c r="G230" s="11"/>
      <c r="H230" s="15">
        <v>0</v>
      </c>
      <c r="I230" s="15">
        <v>0</v>
      </c>
      <c r="J230" s="15">
        <v>0</v>
      </c>
      <c r="K230" s="15">
        <v>1</v>
      </c>
      <c r="L230" s="15">
        <v>2</v>
      </c>
      <c r="M230" s="15">
        <v>0</v>
      </c>
      <c r="N230" s="15">
        <v>2</v>
      </c>
      <c r="O230" s="15">
        <v>0</v>
      </c>
      <c r="P230" s="15"/>
    </row>
    <row r="231" spans="1:16">
      <c r="A231" s="8"/>
      <c r="B231" s="15">
        <v>2504</v>
      </c>
      <c r="C231" s="15">
        <v>417</v>
      </c>
      <c r="D231" s="15">
        <v>15</v>
      </c>
      <c r="E231" s="15">
        <v>0</v>
      </c>
      <c r="F231" s="14" t="str">
        <f>VLOOKUP(C231,skill_list!B:C,2)</f>
        <v>ナイトフォール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1</v>
      </c>
      <c r="M231" s="15">
        <v>0</v>
      </c>
      <c r="N231" s="15">
        <v>2</v>
      </c>
      <c r="O231" s="15">
        <v>0</v>
      </c>
      <c r="P231" s="15"/>
    </row>
    <row r="232" spans="1:16">
      <c r="A232" s="8"/>
      <c r="B232" s="15">
        <v>2601</v>
      </c>
      <c r="C232" s="15">
        <v>331</v>
      </c>
      <c r="D232" s="15">
        <v>16</v>
      </c>
      <c r="E232" s="15">
        <v>0</v>
      </c>
      <c r="F232" s="14" t="str">
        <f>VLOOKUP(C232,skill_list!B:C,2)</f>
        <v>イチコロスマイル</v>
      </c>
      <c r="G232" s="11"/>
      <c r="H232" s="15">
        <v>5</v>
      </c>
      <c r="I232" s="15">
        <v>5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2602</v>
      </c>
      <c r="C233" s="15">
        <v>384</v>
      </c>
      <c r="D233" s="15">
        <v>16</v>
      </c>
      <c r="E233" s="15">
        <v>0</v>
      </c>
      <c r="F233" s="14" t="str">
        <f>VLOOKUP(C233,skill_list!B:C,2)</f>
        <v>バックラッシュ</v>
      </c>
      <c r="G233" s="11"/>
      <c r="H233" s="15">
        <v>5</v>
      </c>
      <c r="I233" s="15">
        <v>5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2603</v>
      </c>
      <c r="C234" s="15">
        <v>425</v>
      </c>
      <c r="D234" s="15">
        <v>16</v>
      </c>
      <c r="E234" s="15">
        <v>0</v>
      </c>
      <c r="F234" s="14" t="str">
        <f>VLOOKUP(C234,skill_list!B:C,2)</f>
        <v>セルフパッション</v>
      </c>
      <c r="G234" s="11"/>
      <c r="H234" s="15">
        <v>5</v>
      </c>
      <c r="I234" s="15">
        <v>5</v>
      </c>
      <c r="J234" s="15">
        <v>0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2701</v>
      </c>
      <c r="C235" s="15">
        <v>189</v>
      </c>
      <c r="D235" s="15">
        <v>17</v>
      </c>
      <c r="E235" s="15">
        <v>0</v>
      </c>
      <c r="F235" s="14" t="str">
        <f>VLOOKUP(C235,skill_list!B:C,2)</f>
        <v>心意活性</v>
      </c>
      <c r="G235" s="11"/>
      <c r="H235" s="15">
        <v>2</v>
      </c>
      <c r="I235" s="15">
        <v>3</v>
      </c>
      <c r="J235" s="15">
        <v>129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2702</v>
      </c>
      <c r="C236" s="15">
        <v>255</v>
      </c>
      <c r="D236" s="15">
        <v>17</v>
      </c>
      <c r="E236" s="15">
        <v>0</v>
      </c>
      <c r="F236" s="14" t="str">
        <f>VLOOKUP(C236,skill_list!B:C,2)</f>
        <v>ホールドアップマインド</v>
      </c>
      <c r="G236" s="11"/>
      <c r="H236" s="15">
        <v>2</v>
      </c>
      <c r="I236" s="15">
        <v>2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2703</v>
      </c>
      <c r="C237" s="15">
        <v>236</v>
      </c>
      <c r="D237" s="15">
        <v>17</v>
      </c>
      <c r="E237" s="15">
        <v>0</v>
      </c>
      <c r="F237" s="14" t="str">
        <f>VLOOKUP(C237,skill_list!B:C,2)</f>
        <v>ブリリアント・グローリー</v>
      </c>
      <c r="G237" s="11"/>
      <c r="H237" s="15">
        <v>2</v>
      </c>
      <c r="I237" s="15">
        <v>3</v>
      </c>
      <c r="J237" s="15">
        <v>208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3300</v>
      </c>
      <c r="C238" s="15">
        <v>1007</v>
      </c>
      <c r="D238" s="15">
        <v>23</v>
      </c>
      <c r="E238" s="15">
        <v>0</v>
      </c>
      <c r="F238" s="14" t="str">
        <f>VLOOKUP(C238,skill_list!B:C,2)</f>
        <v>ポイントケア</v>
      </c>
      <c r="G238" s="11"/>
      <c r="H238" s="15">
        <v>3</v>
      </c>
      <c r="I238" s="15">
        <v>3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3401</v>
      </c>
      <c r="C239" s="15">
        <v>137</v>
      </c>
      <c r="D239" s="15">
        <v>24</v>
      </c>
      <c r="E239" s="15">
        <v>0</v>
      </c>
      <c r="F239" s="14" t="str">
        <f>VLOOKUP(C239,skill_list!B:C,2)</f>
        <v>サイクロンブレード</v>
      </c>
      <c r="G239" s="11"/>
      <c r="H239" s="15">
        <v>0</v>
      </c>
      <c r="I239" s="15">
        <v>0</v>
      </c>
      <c r="J239" s="15">
        <v>0</v>
      </c>
      <c r="K239" s="15">
        <v>0</v>
      </c>
      <c r="L239" s="15">
        <v>7</v>
      </c>
      <c r="M239" s="15">
        <v>0</v>
      </c>
      <c r="N239" s="15">
        <v>2</v>
      </c>
      <c r="O239" s="15">
        <v>999</v>
      </c>
      <c r="P239" s="15"/>
    </row>
    <row r="240" spans="1:16">
      <c r="A240" s="8"/>
      <c r="B240" s="15">
        <v>3402</v>
      </c>
      <c r="C240" s="15">
        <v>211</v>
      </c>
      <c r="D240" s="15">
        <v>24</v>
      </c>
      <c r="E240" s="15">
        <v>0</v>
      </c>
      <c r="F240" s="14" t="str">
        <f>VLOOKUP(C240,skill_list!B:C,2)</f>
        <v>我忘恍惚</v>
      </c>
      <c r="G240" s="11"/>
      <c r="H240" s="15">
        <v>0</v>
      </c>
      <c r="I240" s="15">
        <v>0</v>
      </c>
      <c r="J240" s="15">
        <v>0</v>
      </c>
      <c r="K240" s="15">
        <v>0</v>
      </c>
      <c r="L240" s="15">
        <v>7</v>
      </c>
      <c r="M240" s="15">
        <v>0</v>
      </c>
      <c r="N240" s="15">
        <v>2</v>
      </c>
      <c r="O240" s="15">
        <v>1</v>
      </c>
      <c r="P240" s="15"/>
    </row>
    <row r="241" spans="1:16">
      <c r="A241" s="8"/>
      <c r="B241" s="15">
        <v>3403</v>
      </c>
      <c r="C241" s="15">
        <v>229</v>
      </c>
      <c r="D241" s="15">
        <v>24</v>
      </c>
      <c r="E241" s="15">
        <v>0</v>
      </c>
      <c r="F241" s="14" t="str">
        <f>VLOOKUP(C241,skill_list!B:C,2)</f>
        <v>フューリーインパルス</v>
      </c>
      <c r="G241" s="11"/>
      <c r="H241" s="15">
        <v>0</v>
      </c>
      <c r="I241" s="15">
        <v>0</v>
      </c>
      <c r="J241" s="15">
        <v>0</v>
      </c>
      <c r="K241" s="15">
        <v>0</v>
      </c>
      <c r="L241" s="15">
        <v>7</v>
      </c>
      <c r="M241" s="15">
        <v>0</v>
      </c>
      <c r="N241" s="15">
        <v>2</v>
      </c>
      <c r="O241" s="15">
        <v>999</v>
      </c>
      <c r="P241" s="15"/>
    </row>
    <row r="242" spans="1:16">
      <c r="A242" s="8"/>
      <c r="B242" s="15">
        <v>3404</v>
      </c>
      <c r="C242" s="15">
        <v>243</v>
      </c>
      <c r="D242" s="15">
        <v>24</v>
      </c>
      <c r="E242" s="15">
        <v>0</v>
      </c>
      <c r="F242" s="14" t="str">
        <f>VLOOKUP(C242,skill_list!B:C,2)</f>
        <v>銀蜂</v>
      </c>
      <c r="G242" s="11"/>
      <c r="H242" s="15">
        <v>0</v>
      </c>
      <c r="I242" s="15">
        <v>0</v>
      </c>
      <c r="J242" s="15">
        <v>0</v>
      </c>
      <c r="K242" s="15">
        <v>0</v>
      </c>
      <c r="L242" s="15">
        <v>7</v>
      </c>
      <c r="M242" s="15">
        <v>0</v>
      </c>
      <c r="N242" s="15">
        <v>2</v>
      </c>
      <c r="O242" s="15">
        <v>999</v>
      </c>
      <c r="P242" s="15"/>
    </row>
    <row r="243" spans="1:16">
      <c r="A243" s="8"/>
      <c r="B243" s="15">
        <v>3405</v>
      </c>
      <c r="C243" s="15">
        <v>322</v>
      </c>
      <c r="D243" s="15">
        <v>24</v>
      </c>
      <c r="E243" s="15">
        <v>0</v>
      </c>
      <c r="F243" s="14" t="str">
        <f>VLOOKUP(C243,skill_list!B:C,2)</f>
        <v>決戦前夜</v>
      </c>
      <c r="G243" s="11"/>
      <c r="H243" s="15">
        <v>0</v>
      </c>
      <c r="I243" s="15">
        <v>0</v>
      </c>
      <c r="J243" s="15">
        <v>0</v>
      </c>
      <c r="K243" s="15">
        <v>0</v>
      </c>
      <c r="L243" s="15">
        <v>7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3406</v>
      </c>
      <c r="C244" s="15">
        <v>473</v>
      </c>
      <c r="D244" s="15">
        <v>24</v>
      </c>
      <c r="E244" s="15">
        <v>0</v>
      </c>
      <c r="F244" s="14" t="str">
        <f>VLOOKUP(C244,skill_list!B:C,2)</f>
        <v>朝霜</v>
      </c>
      <c r="G244" s="11"/>
      <c r="H244" s="15">
        <v>0</v>
      </c>
      <c r="I244" s="15">
        <v>0</v>
      </c>
      <c r="J244" s="15">
        <v>0</v>
      </c>
      <c r="K244" s="15">
        <v>0</v>
      </c>
      <c r="L244" s="15">
        <v>7</v>
      </c>
      <c r="M244" s="15">
        <v>0</v>
      </c>
      <c r="N244" s="15">
        <v>2</v>
      </c>
      <c r="O244" s="15">
        <v>999</v>
      </c>
      <c r="P244" s="15"/>
    </row>
    <row r="245" spans="1:16">
      <c r="A245" s="8"/>
      <c r="B245" s="15">
        <v>3501</v>
      </c>
      <c r="C245" s="15">
        <v>38</v>
      </c>
      <c r="D245" s="15">
        <v>25</v>
      </c>
      <c r="E245" s="15">
        <v>0</v>
      </c>
      <c r="F245" s="14" t="str">
        <f>VLOOKUP(C245,skill_list!B:C,2)</f>
        <v>プロヴォーク</v>
      </c>
      <c r="G245" s="11"/>
      <c r="H245" s="15">
        <v>2</v>
      </c>
      <c r="I245" s="15">
        <v>3</v>
      </c>
      <c r="J245" s="15">
        <v>208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3502</v>
      </c>
      <c r="C246" s="15">
        <v>65</v>
      </c>
      <c r="D246" s="15">
        <v>25</v>
      </c>
      <c r="E246" s="15">
        <v>0</v>
      </c>
      <c r="F246" s="14" t="str">
        <f>VLOOKUP(C246,skill_list!B:C,2)</f>
        <v>ポラリスの輝き</v>
      </c>
      <c r="G246" s="11"/>
      <c r="H246" s="15">
        <v>2</v>
      </c>
      <c r="I246" s="15">
        <v>3</v>
      </c>
      <c r="J246" s="15">
        <v>129</v>
      </c>
      <c r="K246" s="15">
        <v>0</v>
      </c>
      <c r="L246" s="15">
        <v>7</v>
      </c>
      <c r="M246" s="15">
        <v>0</v>
      </c>
      <c r="N246" s="15">
        <v>3</v>
      </c>
      <c r="O246" s="15">
        <v>999</v>
      </c>
      <c r="P246" s="15"/>
    </row>
    <row r="247" spans="1:16">
      <c r="A247" s="8"/>
      <c r="B247" s="15">
        <v>3503</v>
      </c>
      <c r="C247" s="15">
        <v>129</v>
      </c>
      <c r="D247" s="15">
        <v>25</v>
      </c>
      <c r="E247" s="15">
        <v>0</v>
      </c>
      <c r="F247" s="14" t="str">
        <f>VLOOKUP(C247,skill_list!B:C,2)</f>
        <v>ライオンハート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3504</v>
      </c>
      <c r="C248" s="15">
        <v>160</v>
      </c>
      <c r="D248" s="15">
        <v>25</v>
      </c>
      <c r="E248" s="15">
        <v>0</v>
      </c>
      <c r="F248" s="14" t="str">
        <f>VLOOKUP(C248,skill_list!B:C,2)</f>
        <v>ギャザー・バッシュ</v>
      </c>
      <c r="G248" s="11"/>
      <c r="H248" s="15">
        <v>2</v>
      </c>
      <c r="I248" s="15">
        <v>3</v>
      </c>
      <c r="J248" s="15">
        <v>117</v>
      </c>
      <c r="K248" s="15">
        <v>0</v>
      </c>
      <c r="L248" s="15">
        <v>7</v>
      </c>
      <c r="M248" s="15">
        <v>0</v>
      </c>
      <c r="N248" s="15">
        <v>3</v>
      </c>
      <c r="O248" s="15">
        <v>999</v>
      </c>
      <c r="P248" s="15"/>
    </row>
    <row r="249" spans="1:16">
      <c r="A249" s="8"/>
      <c r="B249" s="15">
        <v>3505</v>
      </c>
      <c r="C249" s="15">
        <v>233</v>
      </c>
      <c r="D249" s="15">
        <v>25</v>
      </c>
      <c r="E249" s="15">
        <v>0</v>
      </c>
      <c r="F249" s="14" t="str">
        <f>VLOOKUP(C249,skill_list!B:C,2)</f>
        <v>プロヴォーク</v>
      </c>
      <c r="G249" s="11"/>
      <c r="H249" s="15">
        <v>2</v>
      </c>
      <c r="I249" s="15">
        <v>3</v>
      </c>
      <c r="J249" s="15">
        <v>208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3506</v>
      </c>
      <c r="C250" s="15">
        <v>257</v>
      </c>
      <c r="D250" s="15">
        <v>25</v>
      </c>
      <c r="E250" s="15">
        <v>0</v>
      </c>
      <c r="F250" s="14" t="str">
        <f>VLOOKUP(C250,skill_list!B:C,2)</f>
        <v>プリンシプルチャンダス</v>
      </c>
      <c r="G250" s="11"/>
      <c r="H250" s="15">
        <v>2</v>
      </c>
      <c r="I250" s="15">
        <v>3</v>
      </c>
      <c r="J250" s="15">
        <v>131</v>
      </c>
      <c r="K250" s="15">
        <v>0</v>
      </c>
      <c r="L250" s="15">
        <v>7</v>
      </c>
      <c r="M250" s="15">
        <v>0</v>
      </c>
      <c r="N250" s="15">
        <v>3</v>
      </c>
      <c r="O250" s="15">
        <v>999</v>
      </c>
      <c r="P250" s="15"/>
    </row>
    <row r="251" spans="1:16">
      <c r="A251" s="8"/>
      <c r="B251" s="15">
        <v>3507</v>
      </c>
      <c r="C251" s="15">
        <v>326</v>
      </c>
      <c r="D251" s="15">
        <v>25</v>
      </c>
      <c r="E251" s="15">
        <v>0</v>
      </c>
      <c r="F251" s="14" t="str">
        <f>VLOOKUP(C251,skill_list!B:C,2)</f>
        <v>籠の鳥</v>
      </c>
      <c r="G251" s="11"/>
      <c r="H251" s="15">
        <v>2</v>
      </c>
      <c r="I251" s="15">
        <v>3</v>
      </c>
      <c r="J251" s="15">
        <v>184</v>
      </c>
      <c r="K251" s="15">
        <v>0</v>
      </c>
      <c r="L251" s="15">
        <v>7</v>
      </c>
      <c r="M251" s="15">
        <v>0</v>
      </c>
      <c r="N251" s="15">
        <v>3</v>
      </c>
      <c r="O251" s="15">
        <v>0</v>
      </c>
      <c r="P251" s="15"/>
    </row>
    <row r="252" spans="1:16">
      <c r="A252" s="8"/>
      <c r="B252" s="15">
        <v>3508</v>
      </c>
      <c r="C252" s="15">
        <v>341</v>
      </c>
      <c r="D252" s="15">
        <v>25</v>
      </c>
      <c r="E252" s="15">
        <v>0</v>
      </c>
      <c r="F252" s="14" t="str">
        <f>VLOOKUP(C252,skill_list!B:C,2)</f>
        <v>ご注文を伺います</v>
      </c>
      <c r="G252" s="11"/>
      <c r="H252" s="15">
        <v>2</v>
      </c>
      <c r="I252" s="15">
        <v>3</v>
      </c>
      <c r="J252" s="15">
        <v>192</v>
      </c>
      <c r="K252" s="15">
        <v>0</v>
      </c>
      <c r="L252" s="15">
        <v>7</v>
      </c>
      <c r="M252" s="15">
        <v>0</v>
      </c>
      <c r="N252" s="15">
        <v>3</v>
      </c>
      <c r="O252" s="15">
        <v>0</v>
      </c>
      <c r="P252" s="15"/>
    </row>
    <row r="253" spans="1:16">
      <c r="A253" s="8"/>
      <c r="B253" s="15">
        <v>3509</v>
      </c>
      <c r="C253" s="15">
        <v>358</v>
      </c>
      <c r="D253" s="15">
        <v>25</v>
      </c>
      <c r="E253" s="15">
        <v>0</v>
      </c>
      <c r="F253" s="14" t="str">
        <f>VLOOKUP(C253,skill_list!B:C,2)</f>
        <v>決意の夜</v>
      </c>
      <c r="G253" s="11"/>
      <c r="H253" s="15">
        <v>2</v>
      </c>
      <c r="I253" s="15">
        <v>3</v>
      </c>
      <c r="J253" s="15">
        <v>184</v>
      </c>
      <c r="K253" s="15">
        <v>0</v>
      </c>
      <c r="L253" s="15">
        <v>7</v>
      </c>
      <c r="M253" s="15">
        <v>0</v>
      </c>
      <c r="N253" s="15">
        <v>3</v>
      </c>
      <c r="O253" s="15">
        <v>0</v>
      </c>
      <c r="P253" s="15"/>
    </row>
    <row r="254" spans="1:16">
      <c r="A254" s="8"/>
      <c r="B254" s="15">
        <v>3510</v>
      </c>
      <c r="C254" s="15">
        <v>434</v>
      </c>
      <c r="D254" s="15">
        <v>25</v>
      </c>
      <c r="E254" s="15">
        <v>0</v>
      </c>
      <c r="F254" s="14" t="str">
        <f>VLOOKUP(C254,skill_list!B:C,2)</f>
        <v>シンコペーション</v>
      </c>
      <c r="G254" s="11"/>
      <c r="H254" s="15">
        <v>2</v>
      </c>
      <c r="I254" s="15">
        <v>3</v>
      </c>
      <c r="J254" s="15">
        <v>184</v>
      </c>
      <c r="K254" s="15">
        <v>0</v>
      </c>
      <c r="L254" s="15">
        <v>7</v>
      </c>
      <c r="M254" s="15">
        <v>0</v>
      </c>
      <c r="N254" s="15">
        <v>3</v>
      </c>
      <c r="O254" s="15">
        <v>0</v>
      </c>
      <c r="P254" s="15"/>
    </row>
    <row r="255" spans="1:16">
      <c r="A255" s="8"/>
      <c r="B255" s="15">
        <v>3511</v>
      </c>
      <c r="C255" s="15">
        <v>461</v>
      </c>
      <c r="D255" s="15">
        <v>25</v>
      </c>
      <c r="E255" s="15">
        <v>0</v>
      </c>
      <c r="F255" s="14" t="str">
        <f>VLOOKUP(C255,skill_list!B:C,2)</f>
        <v>ねこじゃらし</v>
      </c>
      <c r="G255" s="11"/>
      <c r="H255" s="15">
        <v>2</v>
      </c>
      <c r="I255" s="15">
        <v>3</v>
      </c>
      <c r="J255" s="15">
        <v>200</v>
      </c>
      <c r="K255" s="15">
        <v>0</v>
      </c>
      <c r="L255" s="15">
        <v>7</v>
      </c>
      <c r="M255" s="15">
        <v>0</v>
      </c>
      <c r="N255" s="15">
        <v>3</v>
      </c>
      <c r="O255" s="15">
        <v>0</v>
      </c>
      <c r="P255" s="15"/>
    </row>
    <row r="256" spans="1:16">
      <c r="A256" s="8"/>
      <c r="B256" s="15">
        <v>3512</v>
      </c>
      <c r="C256" s="15">
        <v>486</v>
      </c>
      <c r="D256" s="15">
        <v>25</v>
      </c>
      <c r="E256" s="15">
        <v>0</v>
      </c>
      <c r="F256" s="14" t="str">
        <f>VLOOKUP(C256,skill_list!B:C,2)</f>
        <v>聖女の守護</v>
      </c>
      <c r="G256" s="11"/>
      <c r="H256" s="15">
        <v>2</v>
      </c>
      <c r="I256" s="15">
        <v>3</v>
      </c>
      <c r="J256" s="15">
        <v>160</v>
      </c>
      <c r="K256" s="15">
        <v>0</v>
      </c>
      <c r="L256" s="15">
        <v>7</v>
      </c>
      <c r="M256" s="15">
        <v>0</v>
      </c>
      <c r="N256" s="15">
        <v>3</v>
      </c>
      <c r="O256" s="15">
        <v>0</v>
      </c>
      <c r="P256" s="15"/>
    </row>
    <row r="257" spans="1:16">
      <c r="A257" s="8"/>
      <c r="B257" s="15">
        <v>3601</v>
      </c>
      <c r="C257" s="15">
        <v>88</v>
      </c>
      <c r="D257" s="15">
        <v>26</v>
      </c>
      <c r="E257" s="15">
        <v>0</v>
      </c>
      <c r="F257" s="14" t="str">
        <f>VLOOKUP(C257,skill_list!B:C,2)</f>
        <v>導きの号令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6">
      <c r="A258" s="8"/>
      <c r="B258" s="15">
        <v>3602</v>
      </c>
      <c r="C258" s="15">
        <v>217</v>
      </c>
      <c r="D258" s="15">
        <v>26</v>
      </c>
      <c r="E258" s="15">
        <v>0</v>
      </c>
      <c r="F258" s="14" t="str">
        <f>VLOOKUP(C258,skill_list!B:C,2)</f>
        <v>空</v>
      </c>
      <c r="G258" s="11"/>
      <c r="H258" s="15">
        <v>0</v>
      </c>
      <c r="I258" s="15">
        <v>0</v>
      </c>
      <c r="J258" s="15">
        <v>0</v>
      </c>
      <c r="K258" s="15">
        <v>0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3603</v>
      </c>
      <c r="C259" s="15">
        <v>267</v>
      </c>
      <c r="D259" s="15">
        <v>26</v>
      </c>
      <c r="E259" s="15">
        <v>0</v>
      </c>
      <c r="F259" s="14" t="str">
        <f>VLOOKUP(C259,skill_list!B:C,2)</f>
        <v>細雪</v>
      </c>
      <c r="G259" s="11"/>
      <c r="H259" s="15">
        <v>0</v>
      </c>
      <c r="I259" s="15">
        <v>0</v>
      </c>
      <c r="J259" s="15">
        <v>0</v>
      </c>
      <c r="K259" s="15">
        <v>0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3604</v>
      </c>
      <c r="C260" s="15">
        <v>346</v>
      </c>
      <c r="D260" s="15">
        <v>26</v>
      </c>
      <c r="E260" s="15">
        <v>0</v>
      </c>
      <c r="F260" s="14" t="str">
        <f>VLOOKUP(C260,skill_list!B:C,2)</f>
        <v>メイドの嗜み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3605</v>
      </c>
      <c r="C261" s="15">
        <v>371</v>
      </c>
      <c r="D261" s="15">
        <v>26</v>
      </c>
      <c r="E261" s="15">
        <v>0</v>
      </c>
      <c r="F261" s="14" t="str">
        <f>VLOOKUP(C261,skill_list!B:C,2)</f>
        <v>赤面スティグマ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3606</v>
      </c>
      <c r="C262" s="15">
        <v>380</v>
      </c>
      <c r="D262" s="15">
        <v>26</v>
      </c>
      <c r="E262" s="15">
        <v>0</v>
      </c>
      <c r="F262" s="14" t="str">
        <f>VLOOKUP(C262,skill_list!B:C,2)</f>
        <v>天変の相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3607</v>
      </c>
      <c r="C263" s="15">
        <v>404</v>
      </c>
      <c r="D263" s="15">
        <v>26</v>
      </c>
      <c r="E263" s="15">
        <v>0</v>
      </c>
      <c r="F263" s="14" t="str">
        <f>VLOOKUP(C263,skill_list!B:C,2)</f>
        <v>とある衝撃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1</v>
      </c>
      <c r="O263" s="15">
        <v>0</v>
      </c>
      <c r="P263" s="15"/>
    </row>
    <row r="264" spans="1:16">
      <c r="A264" s="8"/>
      <c r="B264" s="15">
        <v>3608</v>
      </c>
      <c r="C264" s="15">
        <v>471</v>
      </c>
      <c r="D264" s="15">
        <v>26</v>
      </c>
      <c r="E264" s="15">
        <v>0</v>
      </c>
      <c r="F264" s="14" t="str">
        <f>VLOOKUP(C264,skill_list!B:C,2)</f>
        <v>おしおき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1</v>
      </c>
      <c r="O264" s="15">
        <v>0</v>
      </c>
      <c r="P264" s="15"/>
    </row>
  </sheetData>
  <autoFilter ref="B6:P264" xr:uid="{401BDCFC-C7C7-426C-A276-7FBF75833C9C}"/>
  <phoneticPr fontId="1"/>
  <dataValidations count="1">
    <dataValidation type="list" allowBlank="1" showInputMessage="1" showErrorMessage="1" sqref="A7:A264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9" activePane="bottomLeft" state="frozen"/>
      <selection pane="bottomLeft" activeCell="B128" sqref="B128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15" activePane="bottomLeft" state="frozen"/>
      <selection pane="bottomLeft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1941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1943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1942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1943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1944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2024-06-13T14:55:13Z</dcterms:modified>
</cp:coreProperties>
</file>