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4335739-3471-46FC-ABB7-DC41B1E47518}" xr6:coauthVersionLast="47" xr6:coauthVersionMax="47" xr10:uidLastSave="{00000000-0000-0000-0000-000000000000}"/>
  <bookViews>
    <workbookView xWindow="-120" yWindow="-120" windowWidth="29040" windowHeight="15840" firstSheet="11"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ability!$A$6:$O$183</definedName>
    <definedName name="_xlnm._FilterDatabase" localSheetId="14" hidden="1">grade_!$B$6:$V$162</definedName>
    <definedName name="_xlnm._FilterDatabase" localSheetId="2" hidden="1">MAIN!$F:$F</definedName>
    <definedName name="_xlnm._FilterDatabase" localSheetId="8" hidden="1">skill_attack!$B$6:$V$349</definedName>
    <definedName name="_xlnm._FilterDatabase" localSheetId="9" hidden="1">skill_buff!$B$6:$R$398</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2" l="1"/>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<sst xmlns="http://schemas.openxmlformats.org/spreadsheetml/2006/main" count="5147" uniqueCount="2500">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</sst>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2154</v>
      </c>
      <c r="E3" s="17" t="s">
        <v>2452</v>
      </c>
      <c r="F3" s="17" t="s">
        <v>2453</v>
      </c>
      <c r="G3" s="13" t="s">
        <v>1651</v>
      </c>
      <c r="H3" s="13" t="s">
        <v>1660</v>
      </c>
      <c r="I3" s="13"/>
      <c r="J3" s="13" t="s">
        <v>1656</v>
      </c>
      <c r="K3" s="13" t="s">
        <v>2454</v>
      </c>
      <c r="L3" s="13"/>
      <c r="M3" s="13" t="s">
        <v>2455</v>
      </c>
      <c r="N3" s="13" t="s">
        <v>2456</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2458</v>
      </c>
      <c r="D9" s="13">
        <f>$C$4</f>
        <v>19</v>
      </c>
      <c r="E9" s="13">
        <v>0</v>
      </c>
      <c r="F9" s="18">
        <v>12</v>
      </c>
      <c r="G9" s="18">
        <v>141</v>
      </c>
      <c r="H9" s="18">
        <v>10</v>
      </c>
      <c r="I9" s="18">
        <v>0</v>
      </c>
      <c r="J9" s="18">
        <v>0</v>
      </c>
      <c r="M9">
        <f>105+F9*3</f>
        <v>141</v>
      </c>
    </row>
    <row r="10" spans="1:20">
      <c r="B10" s="13">
        <f>B9+1</f>
        <v>590</v>
      </c>
      <c r="C10" s="18" t="s">
        <v>2460</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698</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5" sqref="P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2462</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2302</v>
      </c>
    </row>
    <row r="54" spans="3:4">
      <c r="C54">
        <v>106</v>
      </c>
      <c r="D54" t="s">
        <v>2306</v>
      </c>
    </row>
    <row r="55" spans="3:4">
      <c r="C55">
        <v>107</v>
      </c>
      <c r="D55"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101</v>
      </c>
      <c r="C55" s="11" t="s">
        <v>178</v>
      </c>
      <c r="D55" s="11" t="s">
        <v>179</v>
      </c>
      <c r="E55" s="11" t="s">
        <v>829</v>
      </c>
      <c r="F55" s="13">
        <v>1</v>
      </c>
      <c r="G55" s="14">
        <v>2</v>
      </c>
      <c r="H55" t="s">
        <v>2308</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2303</v>
      </c>
      <c r="D59" s="11" t="s">
        <v>2304</v>
      </c>
      <c r="E59" s="11" t="s">
        <v>829</v>
      </c>
      <c r="F59" s="13">
        <v>1</v>
      </c>
      <c r="G59" s="14">
        <v>4</v>
      </c>
      <c r="H59" t="s">
        <v>2315</v>
      </c>
    </row>
    <row r="60" spans="1:20">
      <c r="A60" s="8"/>
      <c r="B60" s="13">
        <v>106</v>
      </c>
      <c r="C60" s="11" t="s">
        <v>2306</v>
      </c>
      <c r="D60" s="11" t="s">
        <v>2307</v>
      </c>
      <c r="E60" s="11" t="s">
        <v>829</v>
      </c>
      <c r="F60" s="13">
        <v>1</v>
      </c>
      <c r="G60" s="14">
        <v>4</v>
      </c>
      <c r="H60" t="s">
        <v>2308</v>
      </c>
    </row>
    <row r="61" spans="1:20">
      <c r="A61" s="8"/>
      <c r="B61" s="13">
        <v>107</v>
      </c>
      <c r="C61" s="11" t="s">
        <v>2310</v>
      </c>
      <c r="D61" s="11" t="s">
        <v>2311</v>
      </c>
      <c r="E61" s="11" t="s">
        <v>829</v>
      </c>
      <c r="F61" s="13">
        <v>2</v>
      </c>
      <c r="G61" s="14">
        <v>3</v>
      </c>
      <c r="H61" t="s">
        <v>1640</v>
      </c>
    </row>
    <row r="62" spans="1:20">
      <c r="A62" s="8"/>
      <c r="B62" s="13">
        <v>501</v>
      </c>
      <c r="C62" s="11" t="s">
        <v>2349</v>
      </c>
      <c r="D62" s="11" t="s">
        <v>2350</v>
      </c>
      <c r="E62" s="11" t="s">
        <v>2351</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2480</v>
      </c>
      <c r="E235" s="14">
        <v>554</v>
      </c>
      <c r="F235" s="11" t="s">
        <v>2481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2477</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2478</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2479</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2476</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2475</v>
      </c>
      <c r="E240" s="14">
        <v>763</v>
      </c>
      <c r="F240" s="11" t="s">
        <v>2482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2471</v>
      </c>
      <c r="E253" s="14">
        <v>420</v>
      </c>
      <c r="F253" s="11" t="s">
        <v>2470</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84" activePane="bottomLeft" state="frozen"/>
      <selection pane="bottomLeft" activeCell="B489" sqref="B4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10</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4</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2457</v>
      </c>
      <c r="D491" s="14">
        <v>19</v>
      </c>
      <c r="E491" s="14">
        <v>0</v>
      </c>
      <c r="F491" s="14">
        <v>12</v>
      </c>
      <c r="G491" s="14">
        <v>143</v>
      </c>
      <c r="H491" s="14">
        <v>10</v>
      </c>
      <c r="I491" s="14">
        <v>0</v>
      </c>
      <c r="J491" s="14">
        <v>0</v>
      </c>
      <c r="K491" s="14">
        <v>11</v>
      </c>
      <c r="L491" s="14">
        <v>4</v>
      </c>
    </row>
    <row r="492" spans="1:12">
      <c r="A492" s="8"/>
      <c r="B492" s="14">
        <v>588</v>
      </c>
      <c r="C492" s="14" t="s">
        <v>2459</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2029</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0</v>
      </c>
      <c r="H507" s="14">
        <v>1</v>
      </c>
      <c r="I507" s="14">
        <v>0</v>
      </c>
      <c r="J507" s="14">
        <v>7</v>
      </c>
      <c r="K507" s="14"/>
      <c r="L507" s="14"/>
    </row>
    <row r="508" spans="1:12">
      <c r="A508" s="8"/>
      <c r="B508" s="14">
        <v>9012</v>
      </c>
      <c r="C508" s="14" t="s">
        <v>1755</v>
      </c>
      <c r="D508" s="14">
        <v>0</v>
      </c>
      <c r="E508" s="14">
        <v>0</v>
      </c>
      <c r="F508" s="14">
        <v>6</v>
      </c>
      <c r="G508" s="14">
        <v>0</v>
      </c>
      <c r="H508" s="14">
        <v>1</v>
      </c>
      <c r="I508" s="14">
        <v>0</v>
      </c>
      <c r="J508" s="14">
        <v>7</v>
      </c>
      <c r="K508" s="14"/>
      <c r="L508" s="14"/>
    </row>
    <row r="509" spans="1:12">
      <c r="A509" s="8"/>
      <c r="B509" s="14">
        <v>9013</v>
      </c>
      <c r="C509" s="14" t="s">
        <v>1522</v>
      </c>
      <c r="D509" s="14">
        <v>0</v>
      </c>
      <c r="E509" s="14">
        <v>0</v>
      </c>
      <c r="F509" s="14">
        <v>6</v>
      </c>
      <c r="G509" s="14">
        <v>0</v>
      </c>
      <c r="H509" s="14">
        <v>1</v>
      </c>
      <c r="I509" s="14">
        <v>0</v>
      </c>
      <c r="J509" s="14">
        <v>7</v>
      </c>
      <c r="K509" s="14"/>
      <c r="L509" s="14"/>
    </row>
    <row r="510" spans="1:12">
      <c r="A510" s="8"/>
      <c r="B510" s="14">
        <v>9014</v>
      </c>
      <c r="C510" s="14" t="s">
        <v>1756</v>
      </c>
      <c r="D510" s="14">
        <v>0</v>
      </c>
      <c r="E510" s="14">
        <v>0</v>
      </c>
      <c r="F510" s="14">
        <v>6</v>
      </c>
      <c r="G510" s="14">
        <v>0</v>
      </c>
      <c r="H510" s="14">
        <v>1</v>
      </c>
      <c r="I510" s="14">
        <v>0</v>
      </c>
      <c r="J510" s="14">
        <v>7</v>
      </c>
      <c r="K510" s="14"/>
      <c r="L510" s="14"/>
    </row>
    <row r="511" spans="1:12">
      <c r="A511" s="8"/>
      <c r="B511" s="14">
        <v>9015</v>
      </c>
      <c r="C511" s="14" t="s">
        <v>1757</v>
      </c>
      <c r="D511" s="14">
        <v>0</v>
      </c>
      <c r="E511" s="14">
        <v>0</v>
      </c>
      <c r="F511" s="14">
        <v>6</v>
      </c>
      <c r="G511" s="14">
        <v>0</v>
      </c>
      <c r="H511" s="14">
        <v>1</v>
      </c>
      <c r="I511" s="14">
        <v>0</v>
      </c>
      <c r="J511" s="14">
        <v>7</v>
      </c>
      <c r="K511" s="14"/>
      <c r="L511" s="14"/>
    </row>
    <row r="512" spans="1:12">
      <c r="A512" s="8"/>
      <c r="B512" s="14">
        <v>9999</v>
      </c>
      <c r="C512" s="14" t="s">
        <v>2375</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332" activePane="bottomLeft" state="frozen"/>
      <selection pane="bottomLeft" activeCell="I261" sqref="I260:I26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2469</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2469</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2459</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2027</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2086</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2086</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2337</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2340</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2433</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2457</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97"/>
  <sheetViews>
    <sheetView zoomScale="85" zoomScaleNormal="85" workbookViewId="0">
      <pane ySplit="6" topLeftCell="A187" activePane="bottomLeft" state="frozen"/>
      <selection pane="bottomLeft" activeCell="O208" sqref="O20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2467</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2459</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2459</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2459</v>
      </c>
      <c r="G208" s="14"/>
      <c r="H208" s="14">
        <v>1</v>
      </c>
      <c r="I208" s="14">
        <v>1</v>
      </c>
      <c r="J208" s="13">
        <v>1</v>
      </c>
      <c r="K208" s="14">
        <v>1</v>
      </c>
      <c r="L208" s="14">
        <v>7</v>
      </c>
      <c r="M208" s="14">
        <v>0</v>
      </c>
      <c r="N208" s="14">
        <v>0</v>
      </c>
      <c r="O208" s="14">
        <v>0</v>
      </c>
      <c r="P208" s="14">
        <v>175</v>
      </c>
      <c r="Q208" s="14"/>
      <c r="R208" s="14">
        <v>4</v>
      </c>
    </row>
    <row r="209" spans="1:18">
      <c r="A209" s="8"/>
      <c r="B209" s="14">
        <v>1000</v>
      </c>
      <c r="C209" s="14">
        <v>9005</v>
      </c>
      <c r="D209" s="14">
        <v>0</v>
      </c>
      <c r="E209" s="14">
        <v>0</v>
      </c>
      <c r="F209" s="14" t="s">
        <v>564</v>
      </c>
      <c r="G209" s="14"/>
      <c r="H209" s="14">
        <v>50</v>
      </c>
      <c r="I209" s="14">
        <v>65</v>
      </c>
      <c r="J209" s="14">
        <v>450</v>
      </c>
      <c r="K209" s="14">
        <v>1</v>
      </c>
      <c r="L209" s="14">
        <v>3</v>
      </c>
      <c r="M209" s="14">
        <v>0</v>
      </c>
      <c r="N209" s="14">
        <v>0</v>
      </c>
      <c r="O209" s="14">
        <v>0</v>
      </c>
      <c r="P209" s="14"/>
      <c r="Q209" s="14"/>
      <c r="R209" s="14"/>
    </row>
    <row r="210" spans="1:18">
      <c r="A210" s="8"/>
      <c r="B210" s="14">
        <v>1001</v>
      </c>
      <c r="C210" s="14">
        <v>21</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1002</v>
      </c>
      <c r="C211" s="14">
        <v>48</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1003</v>
      </c>
      <c r="C212" s="14">
        <v>84</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1004</v>
      </c>
      <c r="C213" s="14">
        <v>112</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1005</v>
      </c>
      <c r="C214" s="14">
        <v>140</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1006</v>
      </c>
      <c r="C215" s="14">
        <v>156</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1007</v>
      </c>
      <c r="C216" s="14">
        <v>172</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1008</v>
      </c>
      <c r="C217" s="14">
        <v>88</v>
      </c>
      <c r="D217" s="14">
        <v>0</v>
      </c>
      <c r="E217" s="14">
        <v>0</v>
      </c>
      <c r="F217" s="14" t="s">
        <v>283</v>
      </c>
      <c r="G217" s="14"/>
      <c r="H217" s="14">
        <v>50</v>
      </c>
      <c r="I217" s="14">
        <v>65</v>
      </c>
      <c r="J217" s="14">
        <v>224</v>
      </c>
      <c r="K217" s="14">
        <v>10</v>
      </c>
      <c r="L217" s="14">
        <v>4</v>
      </c>
      <c r="M217" s="14">
        <v>0</v>
      </c>
      <c r="N217" s="14">
        <v>0</v>
      </c>
      <c r="O217" s="14">
        <v>0</v>
      </c>
      <c r="P217" s="14"/>
      <c r="Q217" s="14"/>
      <c r="R217" s="14"/>
    </row>
    <row r="218" spans="1:18">
      <c r="A218" s="8"/>
      <c r="B218" s="14">
        <v>1009</v>
      </c>
      <c r="C218" s="14">
        <v>221</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1010</v>
      </c>
      <c r="C219" s="14">
        <v>240</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1011</v>
      </c>
      <c r="C220" s="14">
        <v>284</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1012</v>
      </c>
      <c r="C221" s="14">
        <v>336</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1013</v>
      </c>
      <c r="C222" s="14">
        <v>49</v>
      </c>
      <c r="D222" s="14">
        <v>0</v>
      </c>
      <c r="E222" s="14">
        <v>0</v>
      </c>
      <c r="F222" s="14" t="s">
        <v>285</v>
      </c>
      <c r="G222" s="14"/>
      <c r="H222" s="14">
        <v>75</v>
      </c>
      <c r="I222" s="14">
        <v>90</v>
      </c>
      <c r="J222" s="14">
        <v>216</v>
      </c>
      <c r="K222" s="14">
        <v>10</v>
      </c>
      <c r="L222" s="14">
        <v>4</v>
      </c>
      <c r="M222" s="14">
        <v>0</v>
      </c>
      <c r="N222" s="14">
        <v>0</v>
      </c>
      <c r="O222" s="14">
        <v>0</v>
      </c>
      <c r="P222" s="14"/>
      <c r="Q222" s="14"/>
      <c r="R222" s="14"/>
    </row>
    <row r="223" spans="1:18">
      <c r="A223" s="8"/>
      <c r="B223" s="14">
        <v>1014</v>
      </c>
      <c r="C223" s="14">
        <v>299</v>
      </c>
      <c r="D223" s="14">
        <v>0</v>
      </c>
      <c r="E223" s="14">
        <v>0</v>
      </c>
      <c r="F223" s="14" t="s">
        <v>286</v>
      </c>
      <c r="G223" s="14"/>
      <c r="H223" s="14">
        <v>75</v>
      </c>
      <c r="I223" s="14">
        <v>90</v>
      </c>
      <c r="J223" s="14">
        <v>216</v>
      </c>
      <c r="K223" s="14">
        <v>10</v>
      </c>
      <c r="L223" s="14">
        <v>4</v>
      </c>
      <c r="M223" s="14">
        <v>0</v>
      </c>
      <c r="N223" s="14">
        <v>0</v>
      </c>
      <c r="O223" s="14">
        <v>0</v>
      </c>
      <c r="P223" s="14"/>
      <c r="Q223" s="14"/>
      <c r="R223" s="14"/>
    </row>
    <row r="224" spans="1:18">
      <c r="A224" s="8"/>
      <c r="B224" s="14">
        <v>1015</v>
      </c>
      <c r="C224" s="14">
        <v>322</v>
      </c>
      <c r="D224" s="14">
        <v>0</v>
      </c>
      <c r="E224" s="14">
        <v>0</v>
      </c>
      <c r="F224" s="14" t="s">
        <v>287</v>
      </c>
      <c r="G224" s="14"/>
      <c r="H224" s="14">
        <v>75</v>
      </c>
      <c r="I224" s="14">
        <v>90</v>
      </c>
      <c r="J224" s="14">
        <v>216</v>
      </c>
      <c r="K224" s="14">
        <v>10</v>
      </c>
      <c r="L224" s="14">
        <v>5</v>
      </c>
      <c r="M224" s="14">
        <v>0</v>
      </c>
      <c r="N224" s="14">
        <v>0</v>
      </c>
      <c r="O224" s="14">
        <v>0</v>
      </c>
      <c r="P224" s="14"/>
      <c r="Q224" s="14"/>
      <c r="R224" s="14"/>
    </row>
    <row r="225" spans="1:18">
      <c r="A225" s="8"/>
      <c r="B225" s="14">
        <v>1016</v>
      </c>
      <c r="C225" s="14">
        <v>188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1017</v>
      </c>
      <c r="C226" s="14">
        <v>268</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1018</v>
      </c>
      <c r="C227" s="14">
        <v>273</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1019</v>
      </c>
      <c r="C228" s="14">
        <v>295</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1020</v>
      </c>
      <c r="C229" s="14">
        <v>62</v>
      </c>
      <c r="D229" s="14">
        <v>0</v>
      </c>
      <c r="E229" s="14">
        <v>0</v>
      </c>
      <c r="F229" s="14" t="s">
        <v>288</v>
      </c>
      <c r="G229" s="14"/>
      <c r="H229" s="14">
        <v>35</v>
      </c>
      <c r="I229" s="14">
        <v>50</v>
      </c>
      <c r="J229" s="14">
        <v>129</v>
      </c>
      <c r="K229" s="14">
        <v>1</v>
      </c>
      <c r="L229" s="14">
        <v>7</v>
      </c>
      <c r="M229" s="14">
        <v>0</v>
      </c>
      <c r="N229" s="14">
        <v>0</v>
      </c>
      <c r="O229" s="14">
        <v>0</v>
      </c>
      <c r="P229" s="14">
        <v>999</v>
      </c>
      <c r="Q229" s="14"/>
      <c r="R229" s="14"/>
    </row>
    <row r="230" spans="1:18">
      <c r="A230" s="8"/>
      <c r="B230" s="14">
        <v>1021</v>
      </c>
      <c r="C230" s="14">
        <v>109</v>
      </c>
      <c r="D230" s="14">
        <v>0</v>
      </c>
      <c r="E230" s="14">
        <v>0</v>
      </c>
      <c r="F230" s="14" t="s">
        <v>508</v>
      </c>
      <c r="G230" s="14"/>
      <c r="H230" s="14">
        <v>35</v>
      </c>
      <c r="I230" s="14">
        <v>50</v>
      </c>
      <c r="J230" s="14">
        <v>120</v>
      </c>
      <c r="K230" s="14">
        <v>1</v>
      </c>
      <c r="L230" s="14">
        <v>7</v>
      </c>
      <c r="M230" s="14">
        <v>0</v>
      </c>
      <c r="N230" s="14">
        <v>0</v>
      </c>
      <c r="O230" s="14">
        <v>0</v>
      </c>
      <c r="P230" s="14">
        <v>999</v>
      </c>
      <c r="Q230" s="14"/>
      <c r="R230" s="14"/>
    </row>
    <row r="231" spans="1:18">
      <c r="A231" s="8"/>
      <c r="B231" s="14">
        <v>1022</v>
      </c>
      <c r="C231" s="14">
        <v>288</v>
      </c>
      <c r="D231" s="14">
        <v>0</v>
      </c>
      <c r="E231" s="14">
        <v>0</v>
      </c>
      <c r="F231" s="14" t="s">
        <v>565</v>
      </c>
      <c r="G231" s="14"/>
      <c r="H231" s="14">
        <v>75</v>
      </c>
      <c r="I231" s="14">
        <v>90</v>
      </c>
      <c r="J231" s="14">
        <v>200</v>
      </c>
      <c r="K231" s="14">
        <v>10</v>
      </c>
      <c r="L231" s="14">
        <v>3</v>
      </c>
      <c r="M231" s="14">
        <v>0</v>
      </c>
      <c r="N231" s="14">
        <v>0</v>
      </c>
      <c r="O231" s="14">
        <v>0</v>
      </c>
      <c r="P231" s="14"/>
      <c r="Q231" s="14"/>
      <c r="R231" s="14"/>
    </row>
    <row r="232" spans="1:18">
      <c r="A232" s="8"/>
      <c r="B232" s="14">
        <v>1023</v>
      </c>
      <c r="C232" s="14">
        <v>217</v>
      </c>
      <c r="D232" s="14">
        <v>0</v>
      </c>
      <c r="E232" s="14">
        <v>0</v>
      </c>
      <c r="F232" s="14" t="s">
        <v>566</v>
      </c>
      <c r="G232" s="14"/>
      <c r="H232" s="14">
        <v>50</v>
      </c>
      <c r="I232" s="14">
        <v>65</v>
      </c>
      <c r="J232" s="14">
        <v>200</v>
      </c>
      <c r="K232" s="14">
        <v>10</v>
      </c>
      <c r="L232" s="14">
        <v>7</v>
      </c>
      <c r="M232" s="14">
        <v>0</v>
      </c>
      <c r="N232" s="14">
        <v>0</v>
      </c>
      <c r="O232" s="14">
        <v>0</v>
      </c>
      <c r="P232" s="14"/>
      <c r="Q232" s="14"/>
      <c r="R232" s="14"/>
    </row>
    <row r="233" spans="1:18">
      <c r="A233" s="8"/>
      <c r="B233" s="14">
        <v>1024</v>
      </c>
      <c r="C233" s="14">
        <v>267</v>
      </c>
      <c r="D233" s="14">
        <v>0</v>
      </c>
      <c r="E233" s="14">
        <v>0</v>
      </c>
      <c r="F233" s="14" t="s">
        <v>289</v>
      </c>
      <c r="G233" s="14"/>
      <c r="H233" s="14">
        <v>75</v>
      </c>
      <c r="I233" s="14">
        <v>90</v>
      </c>
      <c r="J233" s="14">
        <v>208</v>
      </c>
      <c r="K233" s="14">
        <v>10</v>
      </c>
      <c r="L233" s="14">
        <v>7</v>
      </c>
      <c r="M233" s="14">
        <v>0</v>
      </c>
      <c r="N233" s="14">
        <v>0</v>
      </c>
      <c r="O233" s="14">
        <v>0</v>
      </c>
      <c r="P233" s="14"/>
      <c r="Q233" s="14"/>
      <c r="R233" s="14"/>
    </row>
    <row r="234" spans="1:18">
      <c r="A234" s="8"/>
      <c r="B234" s="14">
        <v>1025</v>
      </c>
      <c r="C234" s="14">
        <v>45</v>
      </c>
      <c r="D234" s="14">
        <v>0</v>
      </c>
      <c r="E234" s="14">
        <v>0</v>
      </c>
      <c r="F234" s="14" t="s">
        <v>567</v>
      </c>
      <c r="G234" s="14"/>
      <c r="H234" s="14">
        <v>35</v>
      </c>
      <c r="I234" s="14">
        <v>50</v>
      </c>
      <c r="J234" s="14">
        <v>126</v>
      </c>
      <c r="K234" s="14">
        <v>1</v>
      </c>
      <c r="L234" s="14">
        <v>7</v>
      </c>
      <c r="M234" s="14">
        <v>0</v>
      </c>
      <c r="N234" s="14">
        <v>0</v>
      </c>
      <c r="O234" s="14">
        <v>0</v>
      </c>
      <c r="P234" s="14">
        <v>999</v>
      </c>
      <c r="Q234" s="14"/>
      <c r="R234" s="14"/>
    </row>
    <row r="235" spans="1:18">
      <c r="A235" s="8"/>
      <c r="B235" s="14">
        <v>1026</v>
      </c>
      <c r="C235" s="14">
        <v>420</v>
      </c>
      <c r="D235" s="14">
        <v>0</v>
      </c>
      <c r="E235" s="14">
        <v>0</v>
      </c>
      <c r="F235" s="14" t="s">
        <v>588</v>
      </c>
      <c r="G235" s="14"/>
      <c r="H235" s="14">
        <v>75</v>
      </c>
      <c r="I235" s="14">
        <v>90</v>
      </c>
      <c r="J235" s="14">
        <v>216</v>
      </c>
      <c r="K235" s="14">
        <v>10</v>
      </c>
      <c r="L235" s="14">
        <v>5</v>
      </c>
      <c r="M235" s="14">
        <v>0</v>
      </c>
      <c r="N235" s="14">
        <v>0</v>
      </c>
      <c r="O235" s="14">
        <v>0</v>
      </c>
      <c r="P235" s="14"/>
      <c r="Q235" s="14"/>
      <c r="R235" s="14"/>
    </row>
    <row r="236" spans="1:18">
      <c r="A236" s="8"/>
      <c r="B236" s="14">
        <v>1027</v>
      </c>
      <c r="C236" s="14">
        <v>425</v>
      </c>
      <c r="D236" s="14">
        <v>0</v>
      </c>
      <c r="E236" s="14">
        <v>0</v>
      </c>
      <c r="F236" s="14" t="s">
        <v>822</v>
      </c>
      <c r="G236" s="14"/>
      <c r="H236" s="14">
        <v>75</v>
      </c>
      <c r="I236" s="14">
        <v>90</v>
      </c>
      <c r="J236" s="14">
        <v>224</v>
      </c>
      <c r="K236" s="14">
        <v>10</v>
      </c>
      <c r="L236" s="14">
        <v>7</v>
      </c>
      <c r="M236" s="14">
        <v>0</v>
      </c>
      <c r="N236" s="14">
        <v>0</v>
      </c>
      <c r="O236" s="14">
        <v>0</v>
      </c>
      <c r="P236" s="14"/>
      <c r="Q236" s="14"/>
      <c r="R236" s="14"/>
    </row>
    <row r="237" spans="1:18">
      <c r="A237" s="8"/>
      <c r="B237" s="14">
        <v>1028</v>
      </c>
      <c r="C237" s="14">
        <v>483</v>
      </c>
      <c r="D237" s="14">
        <v>0</v>
      </c>
      <c r="E237" s="14">
        <v>0</v>
      </c>
      <c r="F237" s="14" t="s">
        <v>1603</v>
      </c>
      <c r="G237" s="14"/>
      <c r="H237" s="14">
        <v>50</v>
      </c>
      <c r="I237" s="14">
        <v>65</v>
      </c>
      <c r="J237" s="14">
        <v>224</v>
      </c>
      <c r="K237" s="14">
        <v>10</v>
      </c>
      <c r="L237" s="14">
        <v>7</v>
      </c>
      <c r="M237" s="14">
        <v>0</v>
      </c>
      <c r="N237" s="14">
        <v>0</v>
      </c>
      <c r="O237" s="14">
        <v>0</v>
      </c>
      <c r="P237" s="14"/>
      <c r="Q237" s="14"/>
      <c r="R237" s="14"/>
    </row>
    <row r="238" spans="1:18">
      <c r="A238" s="8"/>
      <c r="B238" s="14">
        <v>1029</v>
      </c>
      <c r="C238" s="14">
        <v>489</v>
      </c>
      <c r="D238" s="14">
        <v>0</v>
      </c>
      <c r="E238" s="14">
        <v>0</v>
      </c>
      <c r="F238" s="14" t="s">
        <v>1629</v>
      </c>
      <c r="G238" s="14"/>
      <c r="H238" s="14">
        <v>50</v>
      </c>
      <c r="I238" s="14">
        <v>65</v>
      </c>
      <c r="J238" s="14">
        <v>232</v>
      </c>
      <c r="K238" s="14">
        <v>10</v>
      </c>
      <c r="L238" s="14">
        <v>3</v>
      </c>
      <c r="M238" s="14">
        <v>0</v>
      </c>
      <c r="N238" s="14">
        <v>0</v>
      </c>
      <c r="O238" s="14">
        <v>0</v>
      </c>
      <c r="P238" s="14"/>
      <c r="Q238" s="14"/>
      <c r="R238" s="14"/>
    </row>
    <row r="239" spans="1:18">
      <c r="A239" s="8"/>
      <c r="B239" s="14">
        <v>1030</v>
      </c>
      <c r="C239" s="14">
        <v>510</v>
      </c>
      <c r="D239" s="14">
        <v>0</v>
      </c>
      <c r="E239" s="14">
        <v>0</v>
      </c>
      <c r="F239" s="14" t="s">
        <v>1809</v>
      </c>
      <c r="G239" s="14"/>
      <c r="H239" s="14">
        <v>50</v>
      </c>
      <c r="I239" s="14">
        <v>65</v>
      </c>
      <c r="J239" s="14">
        <v>216</v>
      </c>
      <c r="K239" s="14">
        <v>10</v>
      </c>
      <c r="L239" s="14">
        <v>4</v>
      </c>
      <c r="M239" s="14">
        <v>0</v>
      </c>
      <c r="N239" s="14">
        <v>0</v>
      </c>
      <c r="O239" s="14">
        <v>0</v>
      </c>
      <c r="P239" s="14"/>
      <c r="Q239" s="14"/>
      <c r="R239" s="14"/>
    </row>
    <row r="240" spans="1:18">
      <c r="A240" s="8"/>
      <c r="B240" s="14">
        <v>1031</v>
      </c>
      <c r="C240" s="14">
        <v>551</v>
      </c>
      <c r="D240" s="14">
        <v>0</v>
      </c>
      <c r="E240" s="14">
        <v>0</v>
      </c>
      <c r="F240" s="14" t="s">
        <v>2077</v>
      </c>
      <c r="G240" s="14"/>
      <c r="H240" s="14">
        <v>75</v>
      </c>
      <c r="I240" s="14">
        <v>90</v>
      </c>
      <c r="J240" s="14">
        <v>232</v>
      </c>
      <c r="K240" s="14">
        <v>10</v>
      </c>
      <c r="L240" s="14">
        <v>3</v>
      </c>
      <c r="M240" s="14">
        <v>0</v>
      </c>
      <c r="N240" s="14">
        <v>0</v>
      </c>
      <c r="O240" s="14">
        <v>0</v>
      </c>
      <c r="P240" s="14"/>
      <c r="Q240" s="14"/>
      <c r="R240" s="14"/>
    </row>
    <row r="241" spans="1:18">
      <c r="A241" s="8"/>
      <c r="B241" s="14">
        <v>1032</v>
      </c>
      <c r="C241" s="14">
        <v>565</v>
      </c>
      <c r="D241" s="14">
        <v>0</v>
      </c>
      <c r="E241" s="14">
        <v>0</v>
      </c>
      <c r="F241" s="14" t="s">
        <v>2165</v>
      </c>
      <c r="G241" s="14"/>
      <c r="H241" s="14">
        <v>75</v>
      </c>
      <c r="I241" s="14">
        <v>90</v>
      </c>
      <c r="J241" s="14">
        <v>126</v>
      </c>
      <c r="K241" s="14">
        <v>10</v>
      </c>
      <c r="L241" s="14">
        <v>3</v>
      </c>
      <c r="M241" s="14">
        <v>0</v>
      </c>
      <c r="N241" s="14">
        <v>0</v>
      </c>
      <c r="O241" s="14">
        <v>0</v>
      </c>
      <c r="P241" s="14"/>
      <c r="Q241" s="14"/>
      <c r="R241" s="14"/>
    </row>
    <row r="242" spans="1:18">
      <c r="A242" s="8"/>
      <c r="B242" s="14">
        <v>1033</v>
      </c>
      <c r="C242" s="14">
        <v>577</v>
      </c>
      <c r="D242" s="14">
        <v>0</v>
      </c>
      <c r="E242" s="14">
        <v>0</v>
      </c>
      <c r="F242" s="14" t="s">
        <v>2339</v>
      </c>
      <c r="G242" s="14"/>
      <c r="H242" s="14">
        <v>100</v>
      </c>
      <c r="I242" s="14">
        <v>130</v>
      </c>
      <c r="J242" s="14">
        <v>216</v>
      </c>
      <c r="K242" s="14">
        <v>10</v>
      </c>
      <c r="L242" s="14">
        <v>4</v>
      </c>
      <c r="M242" s="14">
        <v>0</v>
      </c>
      <c r="N242" s="14">
        <v>3</v>
      </c>
      <c r="O242" s="14">
        <v>0</v>
      </c>
      <c r="P242" s="14"/>
      <c r="Q242" s="14"/>
      <c r="R242" s="14"/>
    </row>
    <row r="243" spans="1:18">
      <c r="A243" s="8"/>
      <c r="B243" s="14">
        <v>1101</v>
      </c>
      <c r="C243" s="14">
        <v>373</v>
      </c>
      <c r="D243" s="14">
        <v>1</v>
      </c>
      <c r="E243" s="14">
        <v>4</v>
      </c>
      <c r="F243" s="14" t="s">
        <v>290</v>
      </c>
      <c r="G243" s="14"/>
      <c r="H243" s="14">
        <v>65</v>
      </c>
      <c r="I243" s="14">
        <v>80</v>
      </c>
      <c r="J243" s="14">
        <v>208</v>
      </c>
      <c r="K243" s="14">
        <v>10</v>
      </c>
      <c r="L243" s="14">
        <v>4</v>
      </c>
      <c r="M243" s="14">
        <v>0</v>
      </c>
      <c r="N243" s="14">
        <v>0</v>
      </c>
      <c r="O243" s="14">
        <v>0</v>
      </c>
      <c r="P243" s="14"/>
      <c r="Q243" s="14"/>
      <c r="R243" s="14"/>
    </row>
    <row r="244" spans="1:18">
      <c r="A244" s="8"/>
      <c r="B244" s="14">
        <v>1102</v>
      </c>
      <c r="C244" s="14">
        <v>371</v>
      </c>
      <c r="D244" s="14">
        <v>1</v>
      </c>
      <c r="E244" s="14">
        <v>5</v>
      </c>
      <c r="F244" s="14" t="s">
        <v>291</v>
      </c>
      <c r="G244" s="14"/>
      <c r="H244" s="14">
        <v>65</v>
      </c>
      <c r="I244" s="14">
        <v>80</v>
      </c>
      <c r="J244" s="14">
        <v>200</v>
      </c>
      <c r="K244" s="14">
        <v>10</v>
      </c>
      <c r="L244" s="14">
        <v>7</v>
      </c>
      <c r="M244" s="14">
        <v>0</v>
      </c>
      <c r="N244" s="14">
        <v>0</v>
      </c>
      <c r="O244" s="14">
        <v>0</v>
      </c>
      <c r="P244" s="14"/>
      <c r="Q244" s="14"/>
      <c r="R244" s="14"/>
    </row>
    <row r="245" spans="1:18">
      <c r="A245" s="8"/>
      <c r="B245" s="14">
        <v>1103</v>
      </c>
      <c r="C245" s="14">
        <v>332</v>
      </c>
      <c r="D245" s="14">
        <v>1</v>
      </c>
      <c r="E245" s="14">
        <v>2</v>
      </c>
      <c r="F245" s="14" t="s">
        <v>568</v>
      </c>
      <c r="G245" s="14"/>
      <c r="H245" s="14">
        <v>65</v>
      </c>
      <c r="I245" s="14">
        <v>80</v>
      </c>
      <c r="J245" s="14">
        <v>192</v>
      </c>
      <c r="K245" s="14">
        <v>10</v>
      </c>
      <c r="L245" s="14">
        <v>7</v>
      </c>
      <c r="M245" s="14">
        <v>0</v>
      </c>
      <c r="N245" s="14">
        <v>0</v>
      </c>
      <c r="O245" s="14">
        <v>0</v>
      </c>
      <c r="P245" s="14"/>
      <c r="Q245" s="14"/>
      <c r="R245" s="14"/>
    </row>
    <row r="246" spans="1:18">
      <c r="A246" s="8"/>
      <c r="B246" s="14">
        <v>1104</v>
      </c>
      <c r="C246" s="14">
        <v>366</v>
      </c>
      <c r="D246" s="14">
        <v>1</v>
      </c>
      <c r="E246" s="14">
        <v>5</v>
      </c>
      <c r="F246" s="14" t="s">
        <v>569</v>
      </c>
      <c r="G246" s="14"/>
      <c r="H246" s="14">
        <v>65</v>
      </c>
      <c r="I246" s="14">
        <v>80</v>
      </c>
      <c r="J246" s="14">
        <v>192</v>
      </c>
      <c r="K246" s="14">
        <v>10</v>
      </c>
      <c r="L246" s="14">
        <v>7</v>
      </c>
      <c r="M246" s="14">
        <v>0</v>
      </c>
      <c r="N246" s="14">
        <v>0</v>
      </c>
      <c r="O246" s="14">
        <v>0</v>
      </c>
      <c r="P246" s="14"/>
      <c r="Q246" s="14"/>
      <c r="R246" s="14"/>
    </row>
    <row r="247" spans="1:18">
      <c r="A247" s="8"/>
      <c r="B247" s="14">
        <v>1105</v>
      </c>
      <c r="C247" s="14">
        <v>253</v>
      </c>
      <c r="D247" s="14">
        <v>1</v>
      </c>
      <c r="E247" s="14">
        <v>3</v>
      </c>
      <c r="F247" s="14" t="s">
        <v>570</v>
      </c>
      <c r="G247" s="14"/>
      <c r="H247" s="14">
        <v>40</v>
      </c>
      <c r="I247" s="14">
        <v>55</v>
      </c>
      <c r="J247" s="14">
        <v>129</v>
      </c>
      <c r="K247" s="14">
        <v>1</v>
      </c>
      <c r="L247" s="14">
        <v>7</v>
      </c>
      <c r="M247" s="14">
        <v>0</v>
      </c>
      <c r="N247" s="14">
        <v>0</v>
      </c>
      <c r="O247" s="14">
        <v>0</v>
      </c>
      <c r="P247" s="14">
        <v>999</v>
      </c>
      <c r="Q247" s="14"/>
      <c r="R247" s="14"/>
    </row>
    <row r="248" spans="1:18">
      <c r="A248" s="8"/>
      <c r="B248" s="14">
        <v>1106</v>
      </c>
      <c r="C248" s="14">
        <v>219</v>
      </c>
      <c r="D248" s="14">
        <v>1</v>
      </c>
      <c r="E248" s="14">
        <v>4</v>
      </c>
      <c r="F248" s="14" t="s">
        <v>571</v>
      </c>
      <c r="G248" s="14"/>
      <c r="H248" s="14">
        <v>40</v>
      </c>
      <c r="I248" s="14">
        <v>55</v>
      </c>
      <c r="J248" s="14">
        <v>132</v>
      </c>
      <c r="K248" s="14">
        <v>1</v>
      </c>
      <c r="L248" s="14">
        <v>7</v>
      </c>
      <c r="M248" s="14">
        <v>0</v>
      </c>
      <c r="N248" s="14">
        <v>0</v>
      </c>
      <c r="O248" s="14">
        <v>0</v>
      </c>
      <c r="P248" s="14">
        <v>999</v>
      </c>
      <c r="Q248" s="14"/>
      <c r="R248" s="14"/>
    </row>
    <row r="249" spans="1:18">
      <c r="A249" s="8"/>
      <c r="B249" s="14">
        <v>1107</v>
      </c>
      <c r="C249" s="14">
        <v>339</v>
      </c>
      <c r="D249" s="14">
        <v>1</v>
      </c>
      <c r="E249" s="14">
        <v>5</v>
      </c>
      <c r="F249" s="14" t="s">
        <v>572</v>
      </c>
      <c r="G249" s="14"/>
      <c r="H249" s="14">
        <v>40</v>
      </c>
      <c r="I249" s="14">
        <v>55</v>
      </c>
      <c r="J249" s="14">
        <v>123</v>
      </c>
      <c r="K249" s="14">
        <v>1</v>
      </c>
      <c r="L249" s="14">
        <v>7</v>
      </c>
      <c r="M249" s="14">
        <v>0</v>
      </c>
      <c r="N249" s="14">
        <v>0</v>
      </c>
      <c r="O249" s="14">
        <v>0</v>
      </c>
      <c r="P249" s="14">
        <v>999</v>
      </c>
      <c r="Q249" s="14"/>
      <c r="R249" s="14"/>
    </row>
    <row r="250" spans="1:18">
      <c r="A250" s="8"/>
      <c r="B250" s="14">
        <v>1108</v>
      </c>
      <c r="C250" s="14">
        <v>404</v>
      </c>
      <c r="D250" s="14">
        <v>1</v>
      </c>
      <c r="E250" s="14">
        <v>3</v>
      </c>
      <c r="F250" s="14" t="s">
        <v>573</v>
      </c>
      <c r="G250" s="14"/>
      <c r="H250" s="14">
        <v>65</v>
      </c>
      <c r="I250" s="14">
        <v>80</v>
      </c>
      <c r="J250" s="14">
        <v>200</v>
      </c>
      <c r="K250" s="14">
        <v>10</v>
      </c>
      <c r="L250" s="14">
        <v>7</v>
      </c>
      <c r="M250" s="14">
        <v>0</v>
      </c>
      <c r="N250" s="14">
        <v>0</v>
      </c>
      <c r="O250" s="14">
        <v>0</v>
      </c>
      <c r="P250" s="14"/>
      <c r="Q250" s="14"/>
      <c r="R250" s="14"/>
    </row>
    <row r="251" spans="1:18">
      <c r="A251" s="8"/>
      <c r="B251" s="14">
        <v>1109</v>
      </c>
      <c r="C251" s="14">
        <v>412</v>
      </c>
      <c r="D251" s="14">
        <v>1</v>
      </c>
      <c r="E251" s="14">
        <v>2</v>
      </c>
      <c r="F251" s="14" t="s">
        <v>574</v>
      </c>
      <c r="G251" s="14"/>
      <c r="H251" s="14">
        <v>65</v>
      </c>
      <c r="I251" s="14">
        <v>80</v>
      </c>
      <c r="J251" s="14">
        <v>192</v>
      </c>
      <c r="K251" s="14">
        <v>10</v>
      </c>
      <c r="L251" s="14">
        <v>7</v>
      </c>
      <c r="M251" s="14">
        <v>0</v>
      </c>
      <c r="N251" s="14">
        <v>0</v>
      </c>
      <c r="O251" s="14">
        <v>0</v>
      </c>
      <c r="P251" s="14"/>
      <c r="Q251" s="14"/>
      <c r="R251" s="14"/>
    </row>
    <row r="252" spans="1:18">
      <c r="A252" s="8"/>
      <c r="B252" s="14">
        <v>1110</v>
      </c>
      <c r="C252" s="14">
        <v>462</v>
      </c>
      <c r="D252" s="14">
        <v>1</v>
      </c>
      <c r="E252" s="14">
        <v>3</v>
      </c>
      <c r="F252" s="14" t="s">
        <v>832</v>
      </c>
      <c r="G252" s="14"/>
      <c r="H252" s="14">
        <v>65</v>
      </c>
      <c r="I252" s="14">
        <v>80</v>
      </c>
      <c r="J252" s="14">
        <v>200</v>
      </c>
      <c r="K252" s="14">
        <v>10</v>
      </c>
      <c r="L252" s="14">
        <v>7</v>
      </c>
      <c r="M252" s="14">
        <v>0</v>
      </c>
      <c r="N252" s="14">
        <v>0</v>
      </c>
      <c r="O252" s="14">
        <v>0</v>
      </c>
      <c r="P252" s="14"/>
      <c r="Q252" s="14"/>
      <c r="R252" s="14"/>
    </row>
    <row r="253" spans="1:18">
      <c r="A253" s="8"/>
      <c r="B253" s="14">
        <v>1111</v>
      </c>
      <c r="C253" s="14">
        <v>466</v>
      </c>
      <c r="D253" s="14">
        <v>1</v>
      </c>
      <c r="E253" s="14">
        <v>5</v>
      </c>
      <c r="F253" s="14" t="s">
        <v>1491</v>
      </c>
      <c r="G253" s="14"/>
      <c r="H253" s="14">
        <v>65</v>
      </c>
      <c r="I253" s="14">
        <v>80</v>
      </c>
      <c r="J253" s="14">
        <v>208</v>
      </c>
      <c r="K253" s="14">
        <v>10</v>
      </c>
      <c r="L253" s="14">
        <v>4</v>
      </c>
      <c r="M253" s="14">
        <v>0</v>
      </c>
      <c r="N253" s="14">
        <v>0</v>
      </c>
      <c r="O253" s="14">
        <v>0</v>
      </c>
      <c r="P253" s="14"/>
      <c r="Q253" s="14"/>
      <c r="R253" s="14"/>
    </row>
    <row r="254" spans="1:18">
      <c r="A254" s="8"/>
      <c r="B254" s="14">
        <v>1112</v>
      </c>
      <c r="C254" s="14">
        <v>489</v>
      </c>
      <c r="D254" s="14">
        <v>1</v>
      </c>
      <c r="E254" s="14">
        <v>5</v>
      </c>
      <c r="F254" s="14" t="s">
        <v>1629</v>
      </c>
      <c r="G254" s="14"/>
      <c r="H254" s="14">
        <v>65</v>
      </c>
      <c r="I254" s="14">
        <v>80</v>
      </c>
      <c r="J254" s="14">
        <v>232</v>
      </c>
      <c r="K254" s="14">
        <v>10</v>
      </c>
      <c r="L254" s="14">
        <v>3</v>
      </c>
      <c r="M254" s="14">
        <v>0</v>
      </c>
      <c r="N254" s="14">
        <v>0</v>
      </c>
      <c r="O254" s="14">
        <v>0</v>
      </c>
      <c r="P254" s="14"/>
      <c r="Q254" s="14"/>
      <c r="R254" s="14"/>
    </row>
    <row r="255" spans="1:18">
      <c r="A255" s="8"/>
      <c r="B255" s="14">
        <v>1113</v>
      </c>
      <c r="C255" s="14">
        <v>573</v>
      </c>
      <c r="D255" s="14">
        <v>1</v>
      </c>
      <c r="E255" s="14">
        <v>2</v>
      </c>
      <c r="F255" s="14" t="s">
        <v>2336</v>
      </c>
      <c r="G255" s="14"/>
      <c r="H255" s="14">
        <v>130</v>
      </c>
      <c r="I255" s="14">
        <v>160</v>
      </c>
      <c r="J255" s="14">
        <v>256</v>
      </c>
      <c r="K255" s="14">
        <v>10</v>
      </c>
      <c r="L255" s="14">
        <v>4</v>
      </c>
      <c r="M255" s="14">
        <v>0</v>
      </c>
      <c r="N255" s="14">
        <v>3</v>
      </c>
      <c r="O255" s="14">
        <v>0</v>
      </c>
      <c r="P255" s="14"/>
      <c r="Q255" s="14"/>
      <c r="R255" s="14"/>
    </row>
    <row r="256" spans="1:18">
      <c r="A256" s="8"/>
      <c r="B256" s="14">
        <v>1201</v>
      </c>
      <c r="C256" s="14">
        <v>310</v>
      </c>
      <c r="D256" s="14">
        <v>2</v>
      </c>
      <c r="E256" s="14">
        <v>0</v>
      </c>
      <c r="F256" s="14" t="s">
        <v>292</v>
      </c>
      <c r="G256" s="14"/>
      <c r="H256" s="14">
        <v>35</v>
      </c>
      <c r="I256" s="14">
        <v>50</v>
      </c>
      <c r="J256" s="14">
        <v>200</v>
      </c>
      <c r="K256" s="14">
        <v>10</v>
      </c>
      <c r="L256" s="14">
        <v>7</v>
      </c>
      <c r="M256" s="14">
        <v>0</v>
      </c>
      <c r="N256" s="14">
        <v>0</v>
      </c>
      <c r="O256" s="14">
        <v>0</v>
      </c>
      <c r="P256" s="14"/>
      <c r="Q256" s="14"/>
      <c r="R256" s="14"/>
    </row>
    <row r="257" spans="1:18">
      <c r="A257" s="8"/>
      <c r="B257" s="14">
        <v>1202</v>
      </c>
      <c r="C257" s="14">
        <v>451</v>
      </c>
      <c r="D257" s="14">
        <v>2</v>
      </c>
      <c r="E257" s="14">
        <v>0</v>
      </c>
      <c r="F257" s="14" t="s">
        <v>1744</v>
      </c>
      <c r="G257" s="14"/>
      <c r="H257" s="14">
        <v>35</v>
      </c>
      <c r="I257" s="14">
        <v>50</v>
      </c>
      <c r="J257" s="14">
        <v>200</v>
      </c>
      <c r="K257" s="14">
        <v>10</v>
      </c>
      <c r="L257" s="14">
        <v>7</v>
      </c>
      <c r="M257" s="14">
        <v>0</v>
      </c>
      <c r="N257" s="14">
        <v>0</v>
      </c>
      <c r="O257" s="14">
        <v>0</v>
      </c>
      <c r="P257" s="14"/>
      <c r="Q257" s="14"/>
      <c r="R257" s="14"/>
    </row>
    <row r="258" spans="1:18">
      <c r="A258" s="8"/>
      <c r="B258" s="14">
        <v>1203</v>
      </c>
      <c r="C258" s="14">
        <v>8002</v>
      </c>
      <c r="D258" s="14">
        <v>2</v>
      </c>
      <c r="E258" s="14">
        <v>0</v>
      </c>
      <c r="F258" s="14" t="s">
        <v>1668</v>
      </c>
      <c r="G258" s="14"/>
      <c r="H258" s="14">
        <v>50</v>
      </c>
      <c r="I258" s="14">
        <v>50</v>
      </c>
      <c r="J258" s="14">
        <v>1</v>
      </c>
      <c r="K258" s="14">
        <v>1</v>
      </c>
      <c r="L258" s="14">
        <v>7</v>
      </c>
      <c r="M258" s="14">
        <v>0</v>
      </c>
      <c r="N258" s="14">
        <v>0</v>
      </c>
      <c r="O258" s="14">
        <v>0</v>
      </c>
      <c r="P258" s="14"/>
      <c r="Q258" s="14"/>
      <c r="R258" s="14">
        <v>2</v>
      </c>
    </row>
    <row r="259" spans="1:18">
      <c r="A259" s="8"/>
      <c r="B259" s="14">
        <v>1300</v>
      </c>
      <c r="C259" s="14">
        <v>9009</v>
      </c>
      <c r="D259" s="14">
        <v>3</v>
      </c>
      <c r="E259" s="14">
        <v>0</v>
      </c>
      <c r="F259" s="14" t="s">
        <v>560</v>
      </c>
      <c r="G259" s="14"/>
      <c r="H259" s="14">
        <v>30</v>
      </c>
      <c r="I259" s="14">
        <v>45</v>
      </c>
      <c r="J259" s="14">
        <v>200</v>
      </c>
      <c r="K259" s="14">
        <v>1</v>
      </c>
      <c r="L259" s="14">
        <v>1</v>
      </c>
      <c r="M259" s="14">
        <v>0</v>
      </c>
      <c r="N259" s="14">
        <v>1</v>
      </c>
      <c r="O259" s="14">
        <v>0</v>
      </c>
      <c r="P259" s="14"/>
      <c r="Q259" s="14"/>
      <c r="R259" s="14"/>
    </row>
    <row r="260" spans="1:18">
      <c r="A260" s="8"/>
      <c r="B260" s="14">
        <v>1301</v>
      </c>
      <c r="C260" s="14">
        <v>173</v>
      </c>
      <c r="D260" s="14">
        <v>3</v>
      </c>
      <c r="E260" s="14">
        <v>0</v>
      </c>
      <c r="F260" s="14" t="s">
        <v>293</v>
      </c>
      <c r="G260" s="14"/>
      <c r="H260" s="14">
        <v>30</v>
      </c>
      <c r="I260" s="14">
        <v>45</v>
      </c>
      <c r="J260" s="14">
        <v>123</v>
      </c>
      <c r="K260" s="14">
        <v>1</v>
      </c>
      <c r="L260" s="14">
        <v>1</v>
      </c>
      <c r="M260" s="14">
        <v>0</v>
      </c>
      <c r="N260" s="14">
        <v>1</v>
      </c>
      <c r="O260" s="14">
        <v>0</v>
      </c>
      <c r="P260" s="14"/>
      <c r="Q260" s="14"/>
      <c r="R260" s="14"/>
    </row>
    <row r="261" spans="1:18">
      <c r="A261" s="8"/>
      <c r="B261" s="14">
        <v>1302</v>
      </c>
      <c r="C261" s="14">
        <v>16</v>
      </c>
      <c r="D261" s="14">
        <v>3</v>
      </c>
      <c r="E261" s="14">
        <v>0</v>
      </c>
      <c r="F261" s="14" t="s">
        <v>66</v>
      </c>
      <c r="G261" s="14"/>
      <c r="H261" s="14">
        <v>30</v>
      </c>
      <c r="I261" s="14">
        <v>45</v>
      </c>
      <c r="J261" s="14">
        <v>129</v>
      </c>
      <c r="K261" s="14">
        <v>1</v>
      </c>
      <c r="L261" s="14">
        <v>1</v>
      </c>
      <c r="M261" s="14">
        <v>0</v>
      </c>
      <c r="N261" s="14">
        <v>1</v>
      </c>
      <c r="O261" s="14">
        <v>0</v>
      </c>
      <c r="P261" s="14">
        <v>999</v>
      </c>
      <c r="Q261" s="14"/>
      <c r="R261" s="14"/>
    </row>
    <row r="262" spans="1:18">
      <c r="A262" s="8"/>
      <c r="B262" s="14">
        <v>1303</v>
      </c>
      <c r="C262" s="14">
        <v>70</v>
      </c>
      <c r="D262" s="14">
        <v>3</v>
      </c>
      <c r="E262" s="14">
        <v>0</v>
      </c>
      <c r="F262" s="14" t="s">
        <v>294</v>
      </c>
      <c r="G262" s="14"/>
      <c r="H262" s="14">
        <v>30</v>
      </c>
      <c r="I262" s="14">
        <v>45</v>
      </c>
      <c r="J262" s="14">
        <v>117</v>
      </c>
      <c r="K262" s="14">
        <v>1</v>
      </c>
      <c r="L262" s="14">
        <v>1</v>
      </c>
      <c r="M262" s="14">
        <v>0</v>
      </c>
      <c r="N262" s="14">
        <v>1</v>
      </c>
      <c r="O262" s="14">
        <v>0</v>
      </c>
      <c r="P262" s="14">
        <v>999</v>
      </c>
      <c r="Q262" s="14"/>
      <c r="R262" s="14"/>
    </row>
    <row r="263" spans="1:18">
      <c r="A263" s="8"/>
      <c r="B263" s="14">
        <v>1304</v>
      </c>
      <c r="C263" s="14">
        <v>251</v>
      </c>
      <c r="D263" s="14">
        <v>3</v>
      </c>
      <c r="E263" s="14">
        <v>0</v>
      </c>
      <c r="F263" s="14" t="s">
        <v>2422</v>
      </c>
      <c r="G263" s="14"/>
      <c r="H263" s="14">
        <v>30</v>
      </c>
      <c r="I263" s="14">
        <v>45</v>
      </c>
      <c r="J263" s="14">
        <v>129</v>
      </c>
      <c r="K263" s="14">
        <v>1</v>
      </c>
      <c r="L263" s="14">
        <v>2</v>
      </c>
      <c r="M263" s="14">
        <v>0</v>
      </c>
      <c r="N263" s="14">
        <v>1</v>
      </c>
      <c r="O263" s="14">
        <v>0</v>
      </c>
      <c r="P263" s="14">
        <v>999</v>
      </c>
      <c r="Q263" s="14"/>
      <c r="R263" s="14"/>
    </row>
    <row r="264" spans="1:18">
      <c r="A264" s="8"/>
      <c r="B264" s="14">
        <v>1351</v>
      </c>
      <c r="C264" s="14">
        <v>116</v>
      </c>
      <c r="D264" s="14">
        <v>3</v>
      </c>
      <c r="E264" s="14">
        <v>0</v>
      </c>
      <c r="F264" s="14" t="s">
        <v>295</v>
      </c>
      <c r="G264" s="14"/>
      <c r="H264" s="14">
        <v>20</v>
      </c>
      <c r="I264" s="14">
        <v>30</v>
      </c>
      <c r="J264" s="14">
        <v>120</v>
      </c>
      <c r="K264" s="14">
        <v>1</v>
      </c>
      <c r="L264" s="14">
        <v>2</v>
      </c>
      <c r="M264" s="14">
        <v>0</v>
      </c>
      <c r="N264" s="14">
        <v>1</v>
      </c>
      <c r="O264" s="14">
        <v>0</v>
      </c>
      <c r="P264" s="14">
        <v>999</v>
      </c>
      <c r="Q264" s="14"/>
      <c r="R264" s="14"/>
    </row>
    <row r="265" spans="1:18">
      <c r="A265" s="8"/>
      <c r="B265" s="14">
        <v>1352</v>
      </c>
      <c r="C265" s="14">
        <v>126</v>
      </c>
      <c r="D265" s="14">
        <v>3</v>
      </c>
      <c r="E265" s="14">
        <v>0</v>
      </c>
      <c r="F265" s="14" t="s">
        <v>296</v>
      </c>
      <c r="G265" s="14"/>
      <c r="H265" s="14">
        <v>20</v>
      </c>
      <c r="I265" s="14">
        <v>30</v>
      </c>
      <c r="J265" s="14">
        <v>123</v>
      </c>
      <c r="K265" s="14">
        <v>1</v>
      </c>
      <c r="L265" s="14">
        <v>2</v>
      </c>
      <c r="M265" s="14">
        <v>0</v>
      </c>
      <c r="N265" s="14">
        <v>1</v>
      </c>
      <c r="O265" s="14">
        <v>0</v>
      </c>
      <c r="P265" s="14">
        <v>999</v>
      </c>
      <c r="Q265" s="14"/>
      <c r="R265" s="14"/>
    </row>
    <row r="266" spans="1:18">
      <c r="A266" s="8"/>
      <c r="B266" s="14">
        <v>1353</v>
      </c>
      <c r="C266" s="14">
        <v>468</v>
      </c>
      <c r="D266" s="14">
        <v>3</v>
      </c>
      <c r="E266" s="14">
        <v>0</v>
      </c>
      <c r="F266" s="14" t="s">
        <v>1112</v>
      </c>
      <c r="G266" s="14"/>
      <c r="H266" s="14">
        <v>20</v>
      </c>
      <c r="I266" s="14">
        <v>30</v>
      </c>
      <c r="J266" s="14">
        <v>134</v>
      </c>
      <c r="K266" s="14">
        <v>1</v>
      </c>
      <c r="L266" s="14">
        <v>2</v>
      </c>
      <c r="M266" s="14">
        <v>0</v>
      </c>
      <c r="N266" s="14">
        <v>1</v>
      </c>
      <c r="O266" s="14">
        <v>0</v>
      </c>
      <c r="P266" s="14">
        <v>999</v>
      </c>
      <c r="Q266" s="14"/>
      <c r="R266" s="14"/>
    </row>
    <row r="267" spans="1:18">
      <c r="A267" s="8"/>
      <c r="B267" s="14">
        <v>1401</v>
      </c>
      <c r="C267" s="14">
        <v>204</v>
      </c>
      <c r="D267" s="14">
        <v>4</v>
      </c>
      <c r="E267" s="14">
        <v>3</v>
      </c>
      <c r="F267" s="14" t="s">
        <v>297</v>
      </c>
      <c r="G267" s="14"/>
      <c r="H267" s="14">
        <v>45</v>
      </c>
      <c r="I267" s="14">
        <v>60</v>
      </c>
      <c r="J267" s="14">
        <v>126</v>
      </c>
      <c r="K267" s="14">
        <v>1</v>
      </c>
      <c r="L267" s="14">
        <v>1</v>
      </c>
      <c r="M267" s="14">
        <v>0</v>
      </c>
      <c r="N267" s="14">
        <v>1</v>
      </c>
      <c r="O267" s="14">
        <v>0</v>
      </c>
      <c r="P267" s="14">
        <v>999</v>
      </c>
      <c r="Q267" s="14"/>
      <c r="R267" s="14"/>
    </row>
    <row r="268" spans="1:18">
      <c r="A268" s="8"/>
      <c r="B268" s="14">
        <v>1402</v>
      </c>
      <c r="C268" s="14">
        <v>328</v>
      </c>
      <c r="D268" s="14">
        <v>4</v>
      </c>
      <c r="E268" s="14">
        <v>5</v>
      </c>
      <c r="F268" s="14" t="s">
        <v>298</v>
      </c>
      <c r="G268" s="14"/>
      <c r="H268" s="14">
        <v>45</v>
      </c>
      <c r="I268" s="14">
        <v>60</v>
      </c>
      <c r="J268" s="14">
        <v>123</v>
      </c>
      <c r="K268" s="14">
        <v>1</v>
      </c>
      <c r="L268" s="14">
        <v>1</v>
      </c>
      <c r="M268" s="14">
        <v>0</v>
      </c>
      <c r="N268" s="14">
        <v>1</v>
      </c>
      <c r="O268" s="14">
        <v>0</v>
      </c>
      <c r="P268" s="14">
        <v>999</v>
      </c>
      <c r="Q268" s="14"/>
      <c r="R268" s="14"/>
    </row>
    <row r="269" spans="1:18">
      <c r="A269" s="8"/>
      <c r="B269" s="14">
        <v>1403</v>
      </c>
      <c r="C269" s="14">
        <v>282</v>
      </c>
      <c r="D269" s="14">
        <v>4</v>
      </c>
      <c r="E269" s="14">
        <v>1</v>
      </c>
      <c r="F269" s="14" t="s">
        <v>299</v>
      </c>
      <c r="G269" s="14"/>
      <c r="H269" s="14">
        <v>45</v>
      </c>
      <c r="I269" s="14">
        <v>60</v>
      </c>
      <c r="J269" s="14">
        <v>123</v>
      </c>
      <c r="K269" s="14">
        <v>1</v>
      </c>
      <c r="L269" s="14">
        <v>1</v>
      </c>
      <c r="M269" s="14">
        <v>0</v>
      </c>
      <c r="N269" s="14">
        <v>1</v>
      </c>
      <c r="O269" s="14">
        <v>0</v>
      </c>
      <c r="P269" s="14">
        <v>999</v>
      </c>
      <c r="Q269" s="14"/>
      <c r="R269" s="14"/>
    </row>
    <row r="270" spans="1:18">
      <c r="A270" s="8"/>
      <c r="B270" s="14">
        <v>1404</v>
      </c>
      <c r="C270" s="14">
        <v>222</v>
      </c>
      <c r="D270" s="14">
        <v>4</v>
      </c>
      <c r="E270" s="14">
        <v>4</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1405</v>
      </c>
      <c r="C271" s="14">
        <v>222</v>
      </c>
      <c r="D271" s="14">
        <v>4</v>
      </c>
      <c r="E271" s="14">
        <v>5</v>
      </c>
      <c r="F271" s="14" t="s">
        <v>300</v>
      </c>
      <c r="G271" s="14"/>
      <c r="H271" s="14">
        <v>45</v>
      </c>
      <c r="I271" s="14">
        <v>60</v>
      </c>
      <c r="J271" s="23">
        <v>131</v>
      </c>
      <c r="K271" s="14">
        <v>1</v>
      </c>
      <c r="L271" s="14">
        <v>1</v>
      </c>
      <c r="M271" s="14">
        <v>0</v>
      </c>
      <c r="N271" s="14">
        <v>1</v>
      </c>
      <c r="O271" s="14">
        <v>0</v>
      </c>
      <c r="P271" s="14">
        <v>999</v>
      </c>
      <c r="Q271" s="14"/>
      <c r="R271" s="14"/>
    </row>
    <row r="272" spans="1:18">
      <c r="A272" s="8"/>
      <c r="B272" s="14">
        <v>1406</v>
      </c>
      <c r="C272" s="14">
        <v>446</v>
      </c>
      <c r="D272" s="14">
        <v>4</v>
      </c>
      <c r="E272" s="14">
        <v>2</v>
      </c>
      <c r="F272" s="14" t="s">
        <v>789</v>
      </c>
      <c r="G272" s="14"/>
      <c r="H272" s="14">
        <v>45</v>
      </c>
      <c r="I272" s="14">
        <v>60</v>
      </c>
      <c r="J272" s="14">
        <v>132</v>
      </c>
      <c r="K272" s="14">
        <v>1</v>
      </c>
      <c r="L272" s="14">
        <v>1</v>
      </c>
      <c r="M272" s="14">
        <v>0</v>
      </c>
      <c r="N272" s="14">
        <v>1</v>
      </c>
      <c r="O272" s="14">
        <v>0</v>
      </c>
      <c r="P272" s="14">
        <v>999</v>
      </c>
      <c r="Q272" s="14"/>
      <c r="R272" s="14"/>
    </row>
    <row r="273" spans="1:18">
      <c r="A273" s="8"/>
      <c r="B273" s="14">
        <v>1451</v>
      </c>
      <c r="C273" s="14">
        <v>241</v>
      </c>
      <c r="D273" s="14">
        <v>4</v>
      </c>
      <c r="E273" s="14">
        <v>1</v>
      </c>
      <c r="F273" s="14" t="s">
        <v>301</v>
      </c>
      <c r="G273" s="14"/>
      <c r="H273" s="14">
        <v>30</v>
      </c>
      <c r="I273" s="14">
        <v>45</v>
      </c>
      <c r="J273" s="14">
        <v>129</v>
      </c>
      <c r="K273" s="14">
        <v>1</v>
      </c>
      <c r="L273" s="14">
        <v>2</v>
      </c>
      <c r="M273" s="14">
        <v>0</v>
      </c>
      <c r="N273" s="14">
        <v>1</v>
      </c>
      <c r="O273" s="14">
        <v>0</v>
      </c>
      <c r="P273" s="14">
        <v>999</v>
      </c>
      <c r="Q273" s="14"/>
      <c r="R273" s="14"/>
    </row>
    <row r="274" spans="1:18">
      <c r="A274" s="8"/>
      <c r="B274" s="14">
        <v>1452</v>
      </c>
      <c r="C274" s="14">
        <v>77</v>
      </c>
      <c r="D274" s="14">
        <v>4</v>
      </c>
      <c r="E274" s="14">
        <v>2</v>
      </c>
      <c r="F274" s="14" t="s">
        <v>302</v>
      </c>
      <c r="G274" s="14"/>
      <c r="H274" s="14">
        <v>30</v>
      </c>
      <c r="I274" s="14">
        <v>45</v>
      </c>
      <c r="J274" s="14">
        <v>129</v>
      </c>
      <c r="K274" s="14">
        <v>1</v>
      </c>
      <c r="L274" s="14">
        <v>2</v>
      </c>
      <c r="M274" s="14">
        <v>0</v>
      </c>
      <c r="N274" s="14">
        <v>1</v>
      </c>
      <c r="O274" s="14">
        <v>0</v>
      </c>
      <c r="P274" s="14">
        <v>999</v>
      </c>
      <c r="Q274" s="14"/>
      <c r="R274" s="14"/>
    </row>
    <row r="275" spans="1:18">
      <c r="A275" s="8"/>
      <c r="B275" s="14">
        <v>1453</v>
      </c>
      <c r="C275" s="14">
        <v>410</v>
      </c>
      <c r="D275" s="14">
        <v>4</v>
      </c>
      <c r="E275" s="14">
        <v>3</v>
      </c>
      <c r="F275" s="14" t="s">
        <v>554</v>
      </c>
      <c r="G275" s="14"/>
      <c r="H275" s="14">
        <v>30</v>
      </c>
      <c r="I275" s="14">
        <v>45</v>
      </c>
      <c r="J275" s="14">
        <v>129</v>
      </c>
      <c r="K275" s="14">
        <v>1</v>
      </c>
      <c r="L275" s="14">
        <v>2</v>
      </c>
      <c r="M275" s="14">
        <v>0</v>
      </c>
      <c r="N275" s="14">
        <v>1</v>
      </c>
      <c r="O275" s="14">
        <v>0</v>
      </c>
      <c r="P275" s="14">
        <v>999</v>
      </c>
      <c r="Q275" s="14"/>
      <c r="R275" s="14"/>
    </row>
    <row r="276" spans="1:18">
      <c r="A276" s="8"/>
      <c r="B276" s="14">
        <v>1454</v>
      </c>
      <c r="C276" s="14">
        <v>477</v>
      </c>
      <c r="D276" s="14">
        <v>4</v>
      </c>
      <c r="E276" s="14">
        <v>5</v>
      </c>
      <c r="F276" s="14" t="s">
        <v>1578</v>
      </c>
      <c r="G276" s="14"/>
      <c r="H276" s="14">
        <v>30</v>
      </c>
      <c r="I276" s="14">
        <v>45</v>
      </c>
      <c r="J276" s="14">
        <v>129</v>
      </c>
      <c r="K276" s="14">
        <v>1</v>
      </c>
      <c r="L276" s="14">
        <v>2</v>
      </c>
      <c r="M276" s="14">
        <v>0</v>
      </c>
      <c r="N276" s="14">
        <v>1</v>
      </c>
      <c r="O276" s="14">
        <v>0</v>
      </c>
      <c r="P276" s="14">
        <v>999</v>
      </c>
      <c r="Q276" s="14"/>
      <c r="R276" s="14"/>
    </row>
    <row r="277" spans="1:18">
      <c r="A277" s="8"/>
      <c r="B277" s="14">
        <v>1455</v>
      </c>
      <c r="C277" s="14">
        <v>249</v>
      </c>
      <c r="D277" s="14">
        <v>4</v>
      </c>
      <c r="E277" s="14">
        <v>1</v>
      </c>
      <c r="F277" s="14" t="s">
        <v>1330</v>
      </c>
      <c r="G277" s="14"/>
      <c r="H277" s="14">
        <v>30</v>
      </c>
      <c r="I277" s="14">
        <v>45</v>
      </c>
      <c r="J277" s="14">
        <v>132</v>
      </c>
      <c r="K277" s="14">
        <v>1</v>
      </c>
      <c r="L277" s="14">
        <v>2</v>
      </c>
      <c r="M277" s="14">
        <v>0</v>
      </c>
      <c r="N277" s="14">
        <v>1</v>
      </c>
      <c r="O277" s="14">
        <v>0</v>
      </c>
      <c r="P277" s="14">
        <v>999</v>
      </c>
      <c r="Q277" s="14"/>
      <c r="R277" s="14"/>
    </row>
    <row r="278" spans="1:18">
      <c r="A278" s="8"/>
      <c r="B278" s="14">
        <v>1456</v>
      </c>
      <c r="C278" s="14">
        <v>515</v>
      </c>
      <c r="D278" s="14">
        <v>4</v>
      </c>
      <c r="E278" s="14">
        <v>2</v>
      </c>
      <c r="F278" s="14" t="s">
        <v>1837</v>
      </c>
      <c r="G278" s="14"/>
      <c r="H278" s="14">
        <v>30</v>
      </c>
      <c r="I278" s="14">
        <v>45</v>
      </c>
      <c r="J278" s="14">
        <v>126</v>
      </c>
      <c r="K278" s="14">
        <v>1</v>
      </c>
      <c r="L278" s="14">
        <v>2</v>
      </c>
      <c r="M278" s="14">
        <v>0</v>
      </c>
      <c r="N278" s="14">
        <v>1</v>
      </c>
      <c r="O278" s="14">
        <v>0</v>
      </c>
      <c r="P278" s="14">
        <v>999</v>
      </c>
      <c r="Q278" s="14"/>
      <c r="R278" s="14"/>
    </row>
    <row r="279" spans="1:18">
      <c r="A279" s="8"/>
      <c r="B279" s="14">
        <v>1457</v>
      </c>
      <c r="C279" s="14">
        <v>587</v>
      </c>
      <c r="D279" s="14">
        <v>4</v>
      </c>
      <c r="E279" s="14">
        <v>1</v>
      </c>
      <c r="F279" s="14" t="s">
        <v>2457</v>
      </c>
      <c r="G279" s="14"/>
      <c r="H279" s="23">
        <v>30</v>
      </c>
      <c r="I279" s="23">
        <v>45</v>
      </c>
      <c r="J279" s="13">
        <v>143</v>
      </c>
      <c r="K279" s="14">
        <v>1</v>
      </c>
      <c r="L279" s="14">
        <v>2</v>
      </c>
      <c r="M279" s="14">
        <v>0</v>
      </c>
      <c r="N279" s="14">
        <v>1</v>
      </c>
      <c r="O279" s="14">
        <v>0</v>
      </c>
      <c r="P279" s="14">
        <v>999</v>
      </c>
      <c r="Q279" s="14"/>
      <c r="R279" s="14"/>
    </row>
    <row r="280" spans="1:18">
      <c r="A280" s="8"/>
      <c r="B280" s="14">
        <v>1501</v>
      </c>
      <c r="C280" s="14">
        <v>94</v>
      </c>
      <c r="D280" s="14">
        <v>5</v>
      </c>
      <c r="E280" s="14">
        <v>0</v>
      </c>
      <c r="F280" s="14" t="s">
        <v>303</v>
      </c>
      <c r="G280" s="14"/>
      <c r="H280" s="14">
        <v>35</v>
      </c>
      <c r="I280" s="14">
        <v>50</v>
      </c>
      <c r="J280" s="14">
        <v>120</v>
      </c>
      <c r="K280" s="14">
        <v>1</v>
      </c>
      <c r="L280" s="14">
        <v>1</v>
      </c>
      <c r="M280" s="14">
        <v>0</v>
      </c>
      <c r="N280" s="14">
        <v>1</v>
      </c>
      <c r="O280" s="14">
        <v>0</v>
      </c>
      <c r="P280" s="14">
        <v>999</v>
      </c>
      <c r="Q280" s="14"/>
      <c r="R280" s="14"/>
    </row>
    <row r="281" spans="1:18">
      <c r="A281" s="8"/>
      <c r="B281" s="14">
        <v>1502</v>
      </c>
      <c r="C281" s="14">
        <v>272</v>
      </c>
      <c r="D281" s="14">
        <v>5</v>
      </c>
      <c r="E281" s="14">
        <v>0</v>
      </c>
      <c r="F281" s="14" t="s">
        <v>304</v>
      </c>
      <c r="G281" s="14"/>
      <c r="H281" s="14">
        <v>35</v>
      </c>
      <c r="I281" s="14">
        <v>50</v>
      </c>
      <c r="J281" s="14">
        <v>120</v>
      </c>
      <c r="K281" s="14">
        <v>1</v>
      </c>
      <c r="L281" s="14">
        <v>1</v>
      </c>
      <c r="M281" s="14">
        <v>0</v>
      </c>
      <c r="N281" s="14">
        <v>1</v>
      </c>
      <c r="O281" s="14">
        <v>0</v>
      </c>
      <c r="P281" s="14">
        <v>999</v>
      </c>
      <c r="Q281" s="14"/>
      <c r="R281" s="14"/>
    </row>
    <row r="282" spans="1:18">
      <c r="A282" s="8"/>
      <c r="B282" s="14">
        <v>1551</v>
      </c>
      <c r="C282" s="14">
        <v>195</v>
      </c>
      <c r="D282" s="14">
        <v>5</v>
      </c>
      <c r="E282" s="14">
        <v>0</v>
      </c>
      <c r="F282" s="14" t="s">
        <v>305</v>
      </c>
      <c r="G282" s="14"/>
      <c r="H282" s="14">
        <v>35</v>
      </c>
      <c r="I282" s="14">
        <v>50</v>
      </c>
      <c r="J282" s="14">
        <v>132</v>
      </c>
      <c r="K282" s="14">
        <v>1</v>
      </c>
      <c r="L282" s="14">
        <v>2</v>
      </c>
      <c r="M282" s="14">
        <v>0</v>
      </c>
      <c r="N282" s="14">
        <v>1</v>
      </c>
      <c r="O282" s="14">
        <v>0</v>
      </c>
      <c r="P282" s="14">
        <v>999</v>
      </c>
      <c r="Q282" s="14"/>
      <c r="R282" s="14"/>
    </row>
    <row r="283" spans="1:18">
      <c r="A283" s="8"/>
      <c r="B283" s="14">
        <v>1552</v>
      </c>
      <c r="C283" s="14">
        <v>218</v>
      </c>
      <c r="D283" s="14">
        <v>5</v>
      </c>
      <c r="E283" s="14">
        <v>0</v>
      </c>
      <c r="F283" s="14" t="s">
        <v>306</v>
      </c>
      <c r="G283" s="14"/>
      <c r="H283" s="14">
        <v>35</v>
      </c>
      <c r="I283" s="14">
        <v>50</v>
      </c>
      <c r="J283" s="14">
        <v>126</v>
      </c>
      <c r="K283" s="14">
        <v>1</v>
      </c>
      <c r="L283" s="14">
        <v>2</v>
      </c>
      <c r="M283" s="14">
        <v>0</v>
      </c>
      <c r="N283" s="14">
        <v>1</v>
      </c>
      <c r="O283" s="14">
        <v>0</v>
      </c>
      <c r="P283" s="14">
        <v>999</v>
      </c>
      <c r="Q283" s="14"/>
      <c r="R283" s="14"/>
    </row>
    <row r="284" spans="1:18">
      <c r="A284" s="8"/>
      <c r="B284" s="14">
        <v>1553</v>
      </c>
      <c r="C284" s="14">
        <v>349</v>
      </c>
      <c r="D284" s="14">
        <v>5</v>
      </c>
      <c r="E284" s="14">
        <v>0</v>
      </c>
      <c r="F284" s="14" t="s">
        <v>307</v>
      </c>
      <c r="G284" s="14"/>
      <c r="H284" s="14">
        <v>35</v>
      </c>
      <c r="I284" s="14">
        <v>50</v>
      </c>
      <c r="J284" s="14">
        <v>129</v>
      </c>
      <c r="K284" s="14">
        <v>1</v>
      </c>
      <c r="L284" s="14">
        <v>2</v>
      </c>
      <c r="M284" s="14">
        <v>0</v>
      </c>
      <c r="N284" s="14">
        <v>1</v>
      </c>
      <c r="O284" s="14">
        <v>0</v>
      </c>
      <c r="P284" s="14">
        <v>999</v>
      </c>
      <c r="Q284" s="14"/>
      <c r="R284" s="14"/>
    </row>
    <row r="285" spans="1:18">
      <c r="A285" s="8"/>
      <c r="B285" s="14">
        <v>1554</v>
      </c>
      <c r="C285" s="14">
        <v>528</v>
      </c>
      <c r="D285" s="14">
        <v>5</v>
      </c>
      <c r="E285" s="14">
        <v>0</v>
      </c>
      <c r="F285" s="14" t="s">
        <v>1946</v>
      </c>
      <c r="G285" s="14"/>
      <c r="H285" s="14">
        <v>35</v>
      </c>
      <c r="I285" s="14">
        <v>50</v>
      </c>
      <c r="J285" s="14">
        <v>129</v>
      </c>
      <c r="K285" s="14">
        <v>1</v>
      </c>
      <c r="L285" s="14">
        <v>2</v>
      </c>
      <c r="M285" s="14">
        <v>0</v>
      </c>
      <c r="N285" s="14">
        <v>1</v>
      </c>
      <c r="O285" s="14">
        <v>0</v>
      </c>
      <c r="P285" s="14">
        <v>999</v>
      </c>
      <c r="Q285" s="14"/>
      <c r="R285" s="14"/>
    </row>
    <row r="286" spans="1:18">
      <c r="A286" s="8"/>
      <c r="B286" s="14">
        <v>1600</v>
      </c>
      <c r="C286" s="14">
        <v>9001</v>
      </c>
      <c r="D286" s="14">
        <v>6</v>
      </c>
      <c r="E286" s="14">
        <v>0</v>
      </c>
      <c r="F286" s="14" t="s">
        <v>1754</v>
      </c>
      <c r="G286" s="14"/>
      <c r="H286" s="14">
        <v>40</v>
      </c>
      <c r="I286" s="14">
        <v>70</v>
      </c>
      <c r="J286" s="14">
        <v>450</v>
      </c>
      <c r="K286" s="14">
        <v>1</v>
      </c>
      <c r="L286" s="14">
        <v>7</v>
      </c>
      <c r="M286" s="14">
        <v>0</v>
      </c>
      <c r="N286" s="14">
        <v>0</v>
      </c>
      <c r="O286" s="14">
        <v>0</v>
      </c>
      <c r="P286" s="14"/>
      <c r="Q286" s="14"/>
      <c r="R286" s="14"/>
    </row>
    <row r="287" spans="1:18">
      <c r="A287" s="8"/>
      <c r="B287" s="14">
        <v>1601</v>
      </c>
      <c r="C287" s="14">
        <v>71</v>
      </c>
      <c r="D287" s="14">
        <v>6</v>
      </c>
      <c r="E287" s="14">
        <v>0</v>
      </c>
      <c r="F287" s="14" t="s">
        <v>575</v>
      </c>
      <c r="G287" s="14"/>
      <c r="H287" s="14">
        <v>35</v>
      </c>
      <c r="I287" s="14">
        <v>45</v>
      </c>
      <c r="J287" s="14">
        <v>132</v>
      </c>
      <c r="K287" s="14">
        <v>1</v>
      </c>
      <c r="L287" s="14">
        <v>7</v>
      </c>
      <c r="M287" s="14">
        <v>0</v>
      </c>
      <c r="N287" s="14">
        <v>0</v>
      </c>
      <c r="O287" s="14">
        <v>0</v>
      </c>
      <c r="P287" s="14">
        <v>999</v>
      </c>
      <c r="Q287" s="14"/>
      <c r="R287" s="14"/>
    </row>
    <row r="288" spans="1:18">
      <c r="A288" s="8"/>
      <c r="B288" s="14">
        <v>1602</v>
      </c>
      <c r="C288" s="14">
        <v>255</v>
      </c>
      <c r="D288" s="14">
        <v>6</v>
      </c>
      <c r="E288" s="14">
        <v>0</v>
      </c>
      <c r="F288" s="14" t="s">
        <v>308</v>
      </c>
      <c r="G288" s="14"/>
      <c r="H288" s="14">
        <v>35</v>
      </c>
      <c r="I288" s="14">
        <v>45</v>
      </c>
      <c r="J288" s="14">
        <v>224</v>
      </c>
      <c r="K288" s="14">
        <v>10</v>
      </c>
      <c r="L288" s="14">
        <v>7</v>
      </c>
      <c r="M288" s="14">
        <v>0</v>
      </c>
      <c r="N288" s="14">
        <v>0</v>
      </c>
      <c r="O288" s="14">
        <v>0</v>
      </c>
      <c r="P288" s="14"/>
      <c r="Q288" s="14"/>
      <c r="R288" s="14"/>
    </row>
    <row r="289" spans="1:18">
      <c r="A289" s="8"/>
      <c r="B289" s="14">
        <v>1603</v>
      </c>
      <c r="C289" s="14">
        <v>378</v>
      </c>
      <c r="D289" s="14">
        <v>6</v>
      </c>
      <c r="E289" s="14">
        <v>0</v>
      </c>
      <c r="F289" s="14" t="s">
        <v>309</v>
      </c>
      <c r="G289" s="14"/>
      <c r="H289" s="14">
        <v>40</v>
      </c>
      <c r="I289" s="14">
        <v>70</v>
      </c>
      <c r="J289" s="14">
        <v>216</v>
      </c>
      <c r="K289" s="14">
        <v>10</v>
      </c>
      <c r="L289" s="14">
        <v>7</v>
      </c>
      <c r="M289" s="14">
        <v>0</v>
      </c>
      <c r="N289" s="14">
        <v>0</v>
      </c>
      <c r="O289" s="14">
        <v>0</v>
      </c>
      <c r="P289" s="14"/>
      <c r="Q289" s="14"/>
      <c r="R289" s="14"/>
    </row>
    <row r="290" spans="1:18">
      <c r="A290" s="8"/>
      <c r="B290" s="14">
        <v>1604</v>
      </c>
      <c r="C290" s="14">
        <v>463</v>
      </c>
      <c r="D290" s="14">
        <v>6</v>
      </c>
      <c r="E290" s="14">
        <v>0</v>
      </c>
      <c r="F290" s="14" t="s">
        <v>831</v>
      </c>
      <c r="G290" s="14"/>
      <c r="H290" s="14">
        <v>40</v>
      </c>
      <c r="I290" s="14">
        <v>70</v>
      </c>
      <c r="J290" s="14">
        <v>232</v>
      </c>
      <c r="K290" s="14">
        <v>10</v>
      </c>
      <c r="L290" s="14">
        <v>3</v>
      </c>
      <c r="M290" s="14">
        <v>0</v>
      </c>
      <c r="N290" s="14">
        <v>0</v>
      </c>
      <c r="O290" s="14">
        <v>0</v>
      </c>
      <c r="P290" s="14"/>
      <c r="Q290" s="14"/>
      <c r="R290" s="14"/>
    </row>
    <row r="291" spans="1:18">
      <c r="A291" s="8"/>
      <c r="B291" s="14">
        <v>1605</v>
      </c>
      <c r="C291" s="14">
        <v>472</v>
      </c>
      <c r="D291" s="14">
        <v>6</v>
      </c>
      <c r="E291" s="14">
        <v>0</v>
      </c>
      <c r="F291" s="14" t="s">
        <v>1499</v>
      </c>
      <c r="G291" s="14"/>
      <c r="H291" s="14">
        <v>40</v>
      </c>
      <c r="I291" s="14">
        <v>70</v>
      </c>
      <c r="J291" s="14">
        <v>200</v>
      </c>
      <c r="K291" s="14">
        <v>10</v>
      </c>
      <c r="L291" s="14">
        <v>7</v>
      </c>
      <c r="M291" s="14">
        <v>0</v>
      </c>
      <c r="N291" s="14">
        <v>0</v>
      </c>
      <c r="O291" s="14">
        <v>0</v>
      </c>
      <c r="P291" s="14"/>
      <c r="Q291" s="14"/>
      <c r="R291" s="14"/>
    </row>
    <row r="292" spans="1:18">
      <c r="A292" s="8"/>
      <c r="B292" s="14">
        <v>1606</v>
      </c>
      <c r="C292" s="14">
        <v>557</v>
      </c>
      <c r="D292" s="14">
        <v>6</v>
      </c>
      <c r="E292" s="14">
        <v>0</v>
      </c>
      <c r="F292" s="14" t="s">
        <v>2096</v>
      </c>
      <c r="G292" s="14" t="s">
        <v>2106</v>
      </c>
      <c r="H292" s="14">
        <v>40</v>
      </c>
      <c r="I292" s="14">
        <v>70</v>
      </c>
      <c r="J292" s="14">
        <v>240</v>
      </c>
      <c r="K292" s="14">
        <v>10</v>
      </c>
      <c r="L292" s="14">
        <v>3</v>
      </c>
      <c r="M292" s="14">
        <v>0</v>
      </c>
      <c r="N292" s="14">
        <v>0</v>
      </c>
      <c r="O292" s="14">
        <v>0</v>
      </c>
      <c r="P292" s="14"/>
      <c r="Q292" s="14"/>
      <c r="R292" s="14"/>
    </row>
    <row r="293" spans="1:18">
      <c r="A293" s="8"/>
      <c r="B293" s="14">
        <v>1700</v>
      </c>
      <c r="C293" s="14">
        <v>9006</v>
      </c>
      <c r="D293" s="14">
        <v>7</v>
      </c>
      <c r="E293" s="14">
        <v>0</v>
      </c>
      <c r="F293" s="14" t="s">
        <v>509</v>
      </c>
      <c r="G293" s="14"/>
      <c r="H293" s="14">
        <v>10</v>
      </c>
      <c r="I293" s="14">
        <v>20</v>
      </c>
      <c r="J293" s="14">
        <v>450</v>
      </c>
      <c r="K293" s="14">
        <v>1</v>
      </c>
      <c r="L293" s="14">
        <v>7</v>
      </c>
      <c r="M293" s="14">
        <v>0</v>
      </c>
      <c r="N293" s="14">
        <v>0</v>
      </c>
      <c r="O293" s="14">
        <v>0</v>
      </c>
      <c r="P293" s="14"/>
      <c r="Q293" s="14"/>
      <c r="R293" s="14"/>
    </row>
    <row r="294" spans="1:18">
      <c r="A294" s="8"/>
      <c r="B294" s="14">
        <v>1701</v>
      </c>
      <c r="C294" s="14">
        <v>463</v>
      </c>
      <c r="D294" s="14">
        <v>7</v>
      </c>
      <c r="E294" s="14">
        <v>0</v>
      </c>
      <c r="F294" s="14" t="s">
        <v>831</v>
      </c>
      <c r="G294" s="14"/>
      <c r="H294" s="14">
        <v>30</v>
      </c>
      <c r="I294" s="14">
        <v>30</v>
      </c>
      <c r="J294" s="14">
        <v>0</v>
      </c>
      <c r="K294" s="14">
        <v>1</v>
      </c>
      <c r="L294" s="14">
        <v>3</v>
      </c>
      <c r="M294" s="14">
        <v>0</v>
      </c>
      <c r="N294" s="14">
        <v>0</v>
      </c>
      <c r="O294" s="14">
        <v>0</v>
      </c>
      <c r="P294" s="14"/>
      <c r="Q294" s="14"/>
      <c r="R294" s="14"/>
    </row>
    <row r="295" spans="1:18">
      <c r="A295" s="8"/>
      <c r="B295" s="14">
        <v>1702</v>
      </c>
      <c r="C295" s="14">
        <v>483</v>
      </c>
      <c r="D295" s="14">
        <v>7</v>
      </c>
      <c r="E295" s="14">
        <v>0</v>
      </c>
      <c r="F295" s="14" t="s">
        <v>1603</v>
      </c>
      <c r="G295" s="14"/>
      <c r="H295" s="14">
        <v>30</v>
      </c>
      <c r="I295" s="14">
        <v>30</v>
      </c>
      <c r="J295" s="14">
        <v>0</v>
      </c>
      <c r="K295" s="14">
        <v>1</v>
      </c>
      <c r="L295" s="14">
        <v>7</v>
      </c>
      <c r="M295" s="14">
        <v>0</v>
      </c>
      <c r="N295" s="14">
        <v>0</v>
      </c>
      <c r="O295" s="14">
        <v>0</v>
      </c>
      <c r="P295" s="14"/>
      <c r="Q295" s="14"/>
      <c r="R295" s="14"/>
    </row>
    <row r="296" spans="1:18">
      <c r="A296" s="8"/>
      <c r="B296" s="14">
        <v>1703</v>
      </c>
      <c r="C296" s="14">
        <v>551</v>
      </c>
      <c r="D296" s="14">
        <v>7</v>
      </c>
      <c r="E296" s="14">
        <v>0</v>
      </c>
      <c r="F296" s="14" t="s">
        <v>2077</v>
      </c>
      <c r="G296" s="14"/>
      <c r="H296" s="14">
        <v>30</v>
      </c>
      <c r="I296" s="14">
        <v>30</v>
      </c>
      <c r="J296" s="14">
        <v>0</v>
      </c>
      <c r="K296" s="14">
        <v>1</v>
      </c>
      <c r="L296" s="14">
        <v>3</v>
      </c>
      <c r="M296" s="14">
        <v>0</v>
      </c>
      <c r="N296" s="14">
        <v>0</v>
      </c>
      <c r="O296" s="14">
        <v>0</v>
      </c>
      <c r="P296" s="14"/>
      <c r="Q296" s="14"/>
      <c r="R296" s="14"/>
    </row>
    <row r="297" spans="1:18">
      <c r="A297" s="8"/>
      <c r="B297" s="14">
        <v>1704</v>
      </c>
      <c r="C297" s="14">
        <v>557</v>
      </c>
      <c r="D297" s="14">
        <v>7</v>
      </c>
      <c r="E297" s="14">
        <v>0</v>
      </c>
      <c r="F297" s="14" t="s">
        <v>2096</v>
      </c>
      <c r="G297" s="14" t="s">
        <v>2106</v>
      </c>
      <c r="H297" s="14">
        <v>30</v>
      </c>
      <c r="I297" s="14">
        <v>30</v>
      </c>
      <c r="J297" s="14">
        <v>0</v>
      </c>
      <c r="K297" s="14">
        <v>1</v>
      </c>
      <c r="L297" s="14">
        <v>3</v>
      </c>
      <c r="M297" s="14">
        <v>0</v>
      </c>
      <c r="N297" s="14">
        <v>0</v>
      </c>
      <c r="O297" s="14">
        <v>0</v>
      </c>
      <c r="P297" s="14"/>
      <c r="Q297" s="14"/>
      <c r="R297" s="14"/>
    </row>
    <row r="298" spans="1:18">
      <c r="A298" s="8"/>
      <c r="B298" s="14">
        <v>1801</v>
      </c>
      <c r="C298" s="14">
        <v>557</v>
      </c>
      <c r="D298" s="14">
        <v>8</v>
      </c>
      <c r="E298" s="14">
        <v>1</v>
      </c>
      <c r="F298" s="14" t="s">
        <v>2096</v>
      </c>
      <c r="G298" s="14" t="s">
        <v>1510</v>
      </c>
      <c r="H298" s="14">
        <v>50</v>
      </c>
      <c r="I298" s="14">
        <v>80</v>
      </c>
      <c r="J298" s="14">
        <v>240</v>
      </c>
      <c r="K298" s="14">
        <v>10</v>
      </c>
      <c r="L298" s="14">
        <v>3</v>
      </c>
      <c r="M298" s="14">
        <v>0</v>
      </c>
      <c r="N298" s="14">
        <v>0</v>
      </c>
      <c r="O298" s="14">
        <v>0</v>
      </c>
      <c r="P298" s="14"/>
      <c r="Q298" s="14"/>
      <c r="R298" s="14"/>
    </row>
    <row r="299" spans="1:18">
      <c r="A299" s="8"/>
      <c r="B299" s="14">
        <v>1802</v>
      </c>
      <c r="C299" s="14">
        <v>557</v>
      </c>
      <c r="D299" s="14">
        <v>8</v>
      </c>
      <c r="E299" s="14">
        <v>2</v>
      </c>
      <c r="F299" s="14" t="s">
        <v>2096</v>
      </c>
      <c r="G299" s="14" t="s">
        <v>2176</v>
      </c>
      <c r="H299" s="14">
        <v>50</v>
      </c>
      <c r="I299" s="14">
        <v>80</v>
      </c>
      <c r="J299" s="14">
        <v>240</v>
      </c>
      <c r="K299" s="14">
        <v>10</v>
      </c>
      <c r="L299" s="14">
        <v>3</v>
      </c>
      <c r="M299" s="14">
        <v>0</v>
      </c>
      <c r="N299" s="14">
        <v>0</v>
      </c>
      <c r="O299" s="14">
        <v>0</v>
      </c>
      <c r="P299" s="14"/>
      <c r="Q299" s="14"/>
      <c r="R299" s="14"/>
    </row>
    <row r="300" spans="1:18">
      <c r="A300" s="8"/>
      <c r="B300" s="14">
        <v>1803</v>
      </c>
      <c r="C300" s="14">
        <v>557</v>
      </c>
      <c r="D300" s="14">
        <v>8</v>
      </c>
      <c r="E300" s="14">
        <v>3</v>
      </c>
      <c r="F300" s="14" t="s">
        <v>2096</v>
      </c>
      <c r="G300" s="14" t="s">
        <v>2177</v>
      </c>
      <c r="H300" s="14">
        <v>50</v>
      </c>
      <c r="I300" s="14">
        <v>80</v>
      </c>
      <c r="J300" s="14">
        <v>240</v>
      </c>
      <c r="K300" s="14">
        <v>10</v>
      </c>
      <c r="L300" s="14">
        <v>3</v>
      </c>
      <c r="M300" s="14">
        <v>0</v>
      </c>
      <c r="N300" s="14">
        <v>0</v>
      </c>
      <c r="O300" s="14">
        <v>0</v>
      </c>
      <c r="P300" s="14"/>
      <c r="Q300" s="14"/>
      <c r="R300" s="14"/>
    </row>
    <row r="301" spans="1:18">
      <c r="A301" s="8"/>
      <c r="B301" s="14">
        <v>1804</v>
      </c>
      <c r="C301" s="14">
        <v>557</v>
      </c>
      <c r="D301" s="14">
        <v>8</v>
      </c>
      <c r="E301" s="14">
        <v>4</v>
      </c>
      <c r="F301" s="14" t="s">
        <v>2096</v>
      </c>
      <c r="G301" s="14" t="s">
        <v>2178</v>
      </c>
      <c r="H301" s="14">
        <v>50</v>
      </c>
      <c r="I301" s="14">
        <v>80</v>
      </c>
      <c r="J301" s="14">
        <v>240</v>
      </c>
      <c r="K301" s="14">
        <v>10</v>
      </c>
      <c r="L301" s="14">
        <v>3</v>
      </c>
      <c r="M301" s="14">
        <v>0</v>
      </c>
      <c r="N301" s="14">
        <v>0</v>
      </c>
      <c r="O301" s="14">
        <v>0</v>
      </c>
      <c r="P301" s="14"/>
      <c r="Q301" s="14"/>
      <c r="R301" s="14"/>
    </row>
    <row r="302" spans="1:18">
      <c r="A302" s="8"/>
      <c r="B302" s="14">
        <v>1805</v>
      </c>
      <c r="C302" s="14">
        <v>557</v>
      </c>
      <c r="D302" s="14">
        <v>8</v>
      </c>
      <c r="E302" s="14">
        <v>5</v>
      </c>
      <c r="F302" s="14" t="s">
        <v>2096</v>
      </c>
      <c r="G302" s="14" t="s">
        <v>1511</v>
      </c>
      <c r="H302" s="14">
        <v>50</v>
      </c>
      <c r="I302" s="14">
        <v>80</v>
      </c>
      <c r="J302" s="14">
        <v>240</v>
      </c>
      <c r="K302" s="14">
        <v>10</v>
      </c>
      <c r="L302" s="14">
        <v>3</v>
      </c>
      <c r="M302" s="14">
        <v>0</v>
      </c>
      <c r="N302" s="14">
        <v>0</v>
      </c>
      <c r="O302" s="14">
        <v>0</v>
      </c>
      <c r="P302" s="14"/>
      <c r="Q302" s="14"/>
      <c r="R302" s="14"/>
    </row>
    <row r="303" spans="1:18">
      <c r="A303" s="8"/>
      <c r="B303" s="14">
        <v>1901</v>
      </c>
      <c r="C303" s="14">
        <v>557</v>
      </c>
      <c r="D303" s="14">
        <v>9</v>
      </c>
      <c r="E303" s="14">
        <v>1</v>
      </c>
      <c r="F303" s="14" t="s">
        <v>2096</v>
      </c>
      <c r="G303" s="14" t="s">
        <v>1510</v>
      </c>
      <c r="H303" s="14">
        <v>45</v>
      </c>
      <c r="I303" s="14">
        <v>45</v>
      </c>
      <c r="J303" s="14">
        <v>0</v>
      </c>
      <c r="K303" s="14">
        <v>1</v>
      </c>
      <c r="L303" s="14">
        <v>3</v>
      </c>
      <c r="M303" s="14">
        <v>0</v>
      </c>
      <c r="N303" s="14">
        <v>0</v>
      </c>
      <c r="O303" s="14">
        <v>0</v>
      </c>
      <c r="P303" s="14"/>
      <c r="Q303" s="14"/>
      <c r="R303" s="14"/>
    </row>
    <row r="304" spans="1:18">
      <c r="A304" s="8"/>
      <c r="B304" s="14">
        <v>1902</v>
      </c>
      <c r="C304" s="14">
        <v>557</v>
      </c>
      <c r="D304" s="14">
        <v>9</v>
      </c>
      <c r="E304" s="14">
        <v>2</v>
      </c>
      <c r="F304" s="14" t="s">
        <v>2096</v>
      </c>
      <c r="G304" s="14" t="s">
        <v>2176</v>
      </c>
      <c r="H304" s="14">
        <v>45</v>
      </c>
      <c r="I304" s="14">
        <v>45</v>
      </c>
      <c r="J304" s="14">
        <v>0</v>
      </c>
      <c r="K304" s="14">
        <v>1</v>
      </c>
      <c r="L304" s="14">
        <v>3</v>
      </c>
      <c r="M304" s="14">
        <v>0</v>
      </c>
      <c r="N304" s="14">
        <v>0</v>
      </c>
      <c r="O304" s="14">
        <v>0</v>
      </c>
      <c r="P304" s="14"/>
      <c r="Q304" s="14"/>
      <c r="R304" s="14"/>
    </row>
    <row r="305" spans="1:18">
      <c r="A305" s="8"/>
      <c r="B305" s="14">
        <v>1903</v>
      </c>
      <c r="C305" s="14">
        <v>557</v>
      </c>
      <c r="D305" s="14">
        <v>9</v>
      </c>
      <c r="E305" s="14">
        <v>3</v>
      </c>
      <c r="F305" s="14" t="s">
        <v>2096</v>
      </c>
      <c r="G305" s="14" t="s">
        <v>2177</v>
      </c>
      <c r="H305" s="14">
        <v>45</v>
      </c>
      <c r="I305" s="14">
        <v>45</v>
      </c>
      <c r="J305" s="14">
        <v>0</v>
      </c>
      <c r="K305" s="14">
        <v>1</v>
      </c>
      <c r="L305" s="14">
        <v>3</v>
      </c>
      <c r="M305" s="14">
        <v>0</v>
      </c>
      <c r="N305" s="14">
        <v>0</v>
      </c>
      <c r="O305" s="14">
        <v>0</v>
      </c>
      <c r="P305" s="14"/>
      <c r="Q305" s="14"/>
      <c r="R305" s="14"/>
    </row>
    <row r="306" spans="1:18">
      <c r="A306" s="8"/>
      <c r="B306" s="14">
        <v>1904</v>
      </c>
      <c r="C306" s="14">
        <v>557</v>
      </c>
      <c r="D306" s="14">
        <v>9</v>
      </c>
      <c r="E306" s="14">
        <v>4</v>
      </c>
      <c r="F306" s="14" t="s">
        <v>2096</v>
      </c>
      <c r="G306" s="14" t="s">
        <v>2178</v>
      </c>
      <c r="H306" s="14">
        <v>45</v>
      </c>
      <c r="I306" s="14">
        <v>45</v>
      </c>
      <c r="J306" s="14">
        <v>0</v>
      </c>
      <c r="K306" s="14">
        <v>1</v>
      </c>
      <c r="L306" s="14">
        <v>3</v>
      </c>
      <c r="M306" s="14">
        <v>0</v>
      </c>
      <c r="N306" s="14">
        <v>0</v>
      </c>
      <c r="O306" s="14">
        <v>0</v>
      </c>
      <c r="P306" s="14"/>
      <c r="Q306" s="14"/>
      <c r="R306" s="14"/>
    </row>
    <row r="307" spans="1:18">
      <c r="A307" s="8"/>
      <c r="B307" s="14">
        <v>1905</v>
      </c>
      <c r="C307" s="14">
        <v>557</v>
      </c>
      <c r="D307" s="14">
        <v>9</v>
      </c>
      <c r="E307" s="14">
        <v>5</v>
      </c>
      <c r="F307" s="14" t="s">
        <v>2096</v>
      </c>
      <c r="G307" s="14" t="s">
        <v>1511</v>
      </c>
      <c r="H307" s="14">
        <v>45</v>
      </c>
      <c r="I307" s="14">
        <v>45</v>
      </c>
      <c r="J307" s="14">
        <v>0</v>
      </c>
      <c r="K307" s="14">
        <v>1</v>
      </c>
      <c r="L307" s="14">
        <v>3</v>
      </c>
      <c r="M307" s="14">
        <v>0</v>
      </c>
      <c r="N307" s="14">
        <v>0</v>
      </c>
      <c r="O307" s="14">
        <v>0</v>
      </c>
      <c r="P307" s="14"/>
      <c r="Q307" s="14"/>
      <c r="R307" s="14"/>
    </row>
    <row r="308" spans="1:18">
      <c r="A308" s="8"/>
      <c r="B308" s="14">
        <v>2001</v>
      </c>
      <c r="C308" s="14">
        <v>378</v>
      </c>
      <c r="D308" s="14">
        <v>10</v>
      </c>
      <c r="E308" s="14">
        <v>0</v>
      </c>
      <c r="F308" s="14" t="s">
        <v>309</v>
      </c>
      <c r="G308" s="14"/>
      <c r="H308" s="14">
        <v>20</v>
      </c>
      <c r="I308" s="14">
        <v>30</v>
      </c>
      <c r="J308" s="14">
        <v>216</v>
      </c>
      <c r="K308" s="14">
        <v>1</v>
      </c>
      <c r="L308" s="14">
        <v>7</v>
      </c>
      <c r="M308" s="14">
        <v>0</v>
      </c>
      <c r="N308" s="14">
        <v>0</v>
      </c>
      <c r="O308" s="14">
        <v>0</v>
      </c>
      <c r="P308" s="14"/>
      <c r="Q308" s="14"/>
      <c r="R308" s="14"/>
    </row>
    <row r="309" spans="1:18">
      <c r="A309" s="8"/>
      <c r="B309" s="14">
        <v>2002</v>
      </c>
      <c r="C309" s="14">
        <v>157</v>
      </c>
      <c r="D309" s="14">
        <v>10</v>
      </c>
      <c r="E309" s="14">
        <v>0</v>
      </c>
      <c r="F309" s="14" t="s">
        <v>310</v>
      </c>
      <c r="G309" s="14"/>
      <c r="H309" s="14">
        <v>20</v>
      </c>
      <c r="I309" s="14">
        <v>30</v>
      </c>
      <c r="J309" s="14">
        <v>216</v>
      </c>
      <c r="K309" s="14">
        <v>10</v>
      </c>
      <c r="L309" s="14">
        <v>6</v>
      </c>
      <c r="M309" s="14">
        <v>0</v>
      </c>
      <c r="N309" s="14">
        <v>0</v>
      </c>
      <c r="O309" s="14">
        <v>0</v>
      </c>
      <c r="P309" s="14"/>
      <c r="Q309" s="14"/>
      <c r="R309" s="14"/>
    </row>
    <row r="310" spans="1:18">
      <c r="A310" s="8"/>
      <c r="B310" s="14">
        <v>2003</v>
      </c>
      <c r="C310" s="14">
        <v>346</v>
      </c>
      <c r="D310" s="14">
        <v>10</v>
      </c>
      <c r="E310" s="14">
        <v>0</v>
      </c>
      <c r="F310" s="14" t="s">
        <v>311</v>
      </c>
      <c r="G310" s="14"/>
      <c r="H310" s="14">
        <v>20</v>
      </c>
      <c r="I310" s="14">
        <v>30</v>
      </c>
      <c r="J310" s="14">
        <v>200</v>
      </c>
      <c r="K310" s="14">
        <v>10</v>
      </c>
      <c r="L310" s="14">
        <v>7</v>
      </c>
      <c r="M310" s="14">
        <v>0</v>
      </c>
      <c r="N310" s="14">
        <v>0</v>
      </c>
      <c r="O310" s="14">
        <v>0</v>
      </c>
      <c r="P310" s="14"/>
      <c r="Q310" s="14"/>
      <c r="R310" s="14"/>
    </row>
    <row r="311" spans="1:18">
      <c r="A311" s="8"/>
      <c r="B311" s="14">
        <v>2004</v>
      </c>
      <c r="C311" s="14">
        <v>479</v>
      </c>
      <c r="D311" s="14">
        <v>10</v>
      </c>
      <c r="E311" s="14">
        <v>0</v>
      </c>
      <c r="F311" s="14" t="s">
        <v>1750</v>
      </c>
      <c r="G311" s="14"/>
      <c r="H311" s="14">
        <v>20</v>
      </c>
      <c r="I311" s="14">
        <v>30</v>
      </c>
      <c r="J311" s="14">
        <v>216</v>
      </c>
      <c r="K311" s="14">
        <v>1</v>
      </c>
      <c r="L311" s="14">
        <v>7</v>
      </c>
      <c r="M311" s="14">
        <v>0</v>
      </c>
      <c r="N311" s="14">
        <v>0</v>
      </c>
      <c r="O311" s="14">
        <v>0</v>
      </c>
      <c r="P311" s="14"/>
      <c r="Q311" s="14"/>
      <c r="R311" s="14"/>
    </row>
    <row r="312" spans="1:18">
      <c r="A312" s="8"/>
      <c r="B312" s="14">
        <v>2005</v>
      </c>
      <c r="C312" s="14">
        <v>8001</v>
      </c>
      <c r="D312" s="14">
        <v>10</v>
      </c>
      <c r="E312" s="14">
        <v>0</v>
      </c>
      <c r="F312" s="14" t="s">
        <v>1503</v>
      </c>
      <c r="G312" s="14"/>
      <c r="H312" s="14">
        <v>30</v>
      </c>
      <c r="I312" s="14">
        <v>30</v>
      </c>
      <c r="J312" s="14">
        <v>1</v>
      </c>
      <c r="K312" s="14">
        <v>1</v>
      </c>
      <c r="L312" s="14">
        <v>7</v>
      </c>
      <c r="M312" s="14">
        <v>0</v>
      </c>
      <c r="N312" s="14">
        <v>0</v>
      </c>
      <c r="O312" s="14">
        <v>0</v>
      </c>
      <c r="P312" s="14"/>
      <c r="Q312" s="14"/>
      <c r="R312" s="14">
        <v>2</v>
      </c>
    </row>
    <row r="313" spans="1:18">
      <c r="A313" s="8"/>
      <c r="B313" s="14">
        <v>2006</v>
      </c>
      <c r="C313" s="14">
        <v>510</v>
      </c>
      <c r="D313" s="14">
        <v>10</v>
      </c>
      <c r="E313" s="14">
        <v>0</v>
      </c>
      <c r="F313" s="14" t="s">
        <v>1809</v>
      </c>
      <c r="G313" s="14"/>
      <c r="H313" s="14">
        <v>20</v>
      </c>
      <c r="I313" s="14">
        <v>30</v>
      </c>
      <c r="J313" s="14">
        <v>216</v>
      </c>
      <c r="K313" s="14">
        <v>1</v>
      </c>
      <c r="L313" s="14">
        <v>7</v>
      </c>
      <c r="M313" s="14">
        <v>0</v>
      </c>
      <c r="N313" s="14">
        <v>0</v>
      </c>
      <c r="O313" s="14">
        <v>0</v>
      </c>
      <c r="P313" s="14"/>
      <c r="Q313" s="14"/>
      <c r="R313" s="14"/>
    </row>
    <row r="314" spans="1:18">
      <c r="A314" s="8"/>
      <c r="B314" s="14">
        <v>2007</v>
      </c>
      <c r="C314" s="14">
        <v>517</v>
      </c>
      <c r="D314" s="14">
        <v>10</v>
      </c>
      <c r="E314" s="14">
        <v>0</v>
      </c>
      <c r="F314" s="14" t="s">
        <v>1835</v>
      </c>
      <c r="G314" s="14"/>
      <c r="H314" s="14">
        <v>20</v>
      </c>
      <c r="I314" s="14">
        <v>30</v>
      </c>
      <c r="J314" s="14">
        <v>208</v>
      </c>
      <c r="K314" s="14">
        <v>10</v>
      </c>
      <c r="L314" s="14">
        <v>7</v>
      </c>
      <c r="M314" s="14">
        <v>0</v>
      </c>
      <c r="N314" s="14">
        <v>0</v>
      </c>
      <c r="O314" s="14">
        <v>0</v>
      </c>
      <c r="P314" s="14"/>
      <c r="Q314" s="14"/>
      <c r="R314" s="14"/>
    </row>
    <row r="315" spans="1:18">
      <c r="A315" s="8"/>
      <c r="B315" s="14">
        <v>2051</v>
      </c>
      <c r="C315" s="14">
        <v>226</v>
      </c>
      <c r="D315" s="14">
        <v>10</v>
      </c>
      <c r="E315" s="14">
        <v>0</v>
      </c>
      <c r="F315" s="14" t="s">
        <v>312</v>
      </c>
      <c r="G315" s="14"/>
      <c r="H315" s="14">
        <v>20</v>
      </c>
      <c r="I315" s="14">
        <v>30</v>
      </c>
      <c r="J315" s="14">
        <v>123</v>
      </c>
      <c r="K315" s="14">
        <v>1</v>
      </c>
      <c r="L315" s="14">
        <v>7</v>
      </c>
      <c r="M315" s="14">
        <v>0</v>
      </c>
      <c r="N315" s="14">
        <v>0</v>
      </c>
      <c r="O315" s="14">
        <v>0</v>
      </c>
      <c r="P315" s="14">
        <v>999</v>
      </c>
      <c r="Q315" s="14"/>
      <c r="R315" s="14"/>
    </row>
    <row r="316" spans="1:18">
      <c r="A316" s="8"/>
      <c r="B316" s="14">
        <v>2052</v>
      </c>
      <c r="C316" s="14">
        <v>163</v>
      </c>
      <c r="D316" s="14">
        <v>10</v>
      </c>
      <c r="E316" s="14">
        <v>0</v>
      </c>
      <c r="F316" s="14" t="s">
        <v>313</v>
      </c>
      <c r="G316" s="14"/>
      <c r="H316" s="14">
        <v>20</v>
      </c>
      <c r="I316" s="14">
        <v>30</v>
      </c>
      <c r="J316" s="14">
        <v>123</v>
      </c>
      <c r="K316" s="14">
        <v>1</v>
      </c>
      <c r="L316" s="14">
        <v>7</v>
      </c>
      <c r="M316" s="14">
        <v>0</v>
      </c>
      <c r="N316" s="14">
        <v>0</v>
      </c>
      <c r="O316" s="14">
        <v>0</v>
      </c>
      <c r="P316" s="14">
        <v>999</v>
      </c>
      <c r="Q316" s="14"/>
      <c r="R316" s="14"/>
    </row>
    <row r="317" spans="1:18">
      <c r="A317" s="8"/>
      <c r="B317" s="14">
        <v>2053</v>
      </c>
      <c r="C317" s="14">
        <v>228</v>
      </c>
      <c r="D317" s="14">
        <v>10</v>
      </c>
      <c r="E317" s="14">
        <v>0</v>
      </c>
      <c r="F317" s="14" t="s">
        <v>314</v>
      </c>
      <c r="G317" s="14"/>
      <c r="H317" s="14">
        <v>20</v>
      </c>
      <c r="I317" s="14">
        <v>30</v>
      </c>
      <c r="J317" s="14">
        <v>132</v>
      </c>
      <c r="K317" s="14">
        <v>1</v>
      </c>
      <c r="L317" s="14">
        <v>7</v>
      </c>
      <c r="M317" s="14">
        <v>0</v>
      </c>
      <c r="N317" s="14">
        <v>0</v>
      </c>
      <c r="O317" s="14">
        <v>0</v>
      </c>
      <c r="P317" s="14">
        <v>999</v>
      </c>
      <c r="Q317" s="14"/>
      <c r="R317" s="14"/>
    </row>
    <row r="318" spans="1:18">
      <c r="A318" s="8"/>
      <c r="B318" s="14">
        <v>2054</v>
      </c>
      <c r="C318" s="14">
        <v>565</v>
      </c>
      <c r="D318" s="14">
        <v>10</v>
      </c>
      <c r="E318" s="14">
        <v>0</v>
      </c>
      <c r="F318" s="14" t="s">
        <v>2165</v>
      </c>
      <c r="G318" s="14"/>
      <c r="H318" s="14">
        <v>20</v>
      </c>
      <c r="I318" s="14">
        <v>30</v>
      </c>
      <c r="J318" s="14">
        <v>126</v>
      </c>
      <c r="K318" s="14">
        <v>1</v>
      </c>
      <c r="L318" s="14">
        <v>3</v>
      </c>
      <c r="M318" s="14">
        <v>0</v>
      </c>
      <c r="N318" s="14">
        <v>0</v>
      </c>
      <c r="O318" s="14">
        <v>0</v>
      </c>
      <c r="P318" s="14"/>
      <c r="Q318" s="14"/>
      <c r="R318" s="14"/>
    </row>
    <row r="319" spans="1:18">
      <c r="A319" s="8"/>
      <c r="B319" s="14">
        <v>2201</v>
      </c>
      <c r="C319" s="14">
        <v>321</v>
      </c>
      <c r="D319" s="14">
        <v>12</v>
      </c>
      <c r="E319" s="14">
        <v>0</v>
      </c>
      <c r="F319" s="14" t="s">
        <v>790</v>
      </c>
      <c r="G319" s="14"/>
      <c r="H319" s="14">
        <v>50</v>
      </c>
      <c r="I319" s="14">
        <v>50</v>
      </c>
      <c r="J319" s="14">
        <v>0</v>
      </c>
      <c r="K319" s="14">
        <v>1</v>
      </c>
      <c r="L319" s="14">
        <v>7</v>
      </c>
      <c r="M319" s="14">
        <v>0</v>
      </c>
      <c r="N319" s="14">
        <v>0</v>
      </c>
      <c r="O319" s="14">
        <v>0</v>
      </c>
      <c r="P319" s="14">
        <v>999</v>
      </c>
      <c r="Q319" s="14"/>
      <c r="R319" s="14"/>
    </row>
    <row r="320" spans="1:18">
      <c r="A320" s="8"/>
      <c r="B320" s="14">
        <v>2300</v>
      </c>
      <c r="C320" s="14">
        <v>9003</v>
      </c>
      <c r="D320" s="14">
        <v>13</v>
      </c>
      <c r="E320" s="14">
        <v>0</v>
      </c>
      <c r="F320" s="14" t="s">
        <v>1515</v>
      </c>
      <c r="G320" s="14"/>
      <c r="H320" s="14">
        <v>15</v>
      </c>
      <c r="I320" s="14">
        <v>15</v>
      </c>
      <c r="J320" s="14">
        <v>0</v>
      </c>
      <c r="K320" s="14">
        <v>1</v>
      </c>
      <c r="L320" s="14">
        <v>0</v>
      </c>
      <c r="M320" s="14">
        <v>0</v>
      </c>
      <c r="N320" s="14">
        <v>0</v>
      </c>
      <c r="O320" s="14">
        <v>0</v>
      </c>
      <c r="P320" s="14"/>
      <c r="Q320" s="14"/>
      <c r="R320" s="14"/>
    </row>
    <row r="321" spans="1:18">
      <c r="A321" s="8"/>
      <c r="B321" s="14">
        <v>2301</v>
      </c>
      <c r="C321" s="14">
        <v>123</v>
      </c>
      <c r="D321" s="14">
        <v>13</v>
      </c>
      <c r="E321" s="14">
        <v>0</v>
      </c>
      <c r="F321" s="14" t="s">
        <v>1399</v>
      </c>
      <c r="G321" s="14"/>
      <c r="H321" s="14">
        <v>10</v>
      </c>
      <c r="I321" s="14">
        <v>15</v>
      </c>
      <c r="J321" s="14">
        <v>117</v>
      </c>
      <c r="K321" s="14">
        <v>1</v>
      </c>
      <c r="L321" s="14">
        <v>0</v>
      </c>
      <c r="M321" s="14">
        <v>0</v>
      </c>
      <c r="N321" s="14">
        <v>0</v>
      </c>
      <c r="O321" s="14">
        <v>0</v>
      </c>
      <c r="P321" s="14">
        <v>999</v>
      </c>
      <c r="Q321" s="14"/>
      <c r="R321" s="14"/>
    </row>
    <row r="322" spans="1:18">
      <c r="A322" s="8"/>
      <c r="B322" s="14">
        <v>2302</v>
      </c>
      <c r="C322" s="14">
        <v>194</v>
      </c>
      <c r="D322" s="14">
        <v>13</v>
      </c>
      <c r="E322" s="14">
        <v>0</v>
      </c>
      <c r="F322" s="14" t="s">
        <v>1342</v>
      </c>
      <c r="G322" s="14"/>
      <c r="H322" s="14">
        <v>10</v>
      </c>
      <c r="I322" s="14">
        <v>15</v>
      </c>
      <c r="J322" s="14">
        <v>117</v>
      </c>
      <c r="K322" s="14">
        <v>1</v>
      </c>
      <c r="L322" s="14">
        <v>0</v>
      </c>
      <c r="M322" s="14">
        <v>0</v>
      </c>
      <c r="N322" s="14">
        <v>0</v>
      </c>
      <c r="O322" s="14">
        <v>0</v>
      </c>
      <c r="P322" s="14">
        <v>999</v>
      </c>
      <c r="Q322" s="14"/>
      <c r="R322" s="14"/>
    </row>
    <row r="323" spans="1:18">
      <c r="A323" s="8"/>
      <c r="B323" s="14">
        <v>2303</v>
      </c>
      <c r="C323" s="14">
        <v>563</v>
      </c>
      <c r="D323" s="14">
        <v>13</v>
      </c>
      <c r="E323" s="14">
        <v>0</v>
      </c>
      <c r="F323" s="14" t="s">
        <v>2162</v>
      </c>
      <c r="G323" s="14"/>
      <c r="H323" s="14">
        <v>25</v>
      </c>
      <c r="I323" s="14">
        <v>25</v>
      </c>
      <c r="J323" s="14">
        <v>0</v>
      </c>
      <c r="K323" s="14">
        <v>1</v>
      </c>
      <c r="L323" s="14">
        <v>0</v>
      </c>
      <c r="M323" s="14">
        <v>0</v>
      </c>
      <c r="N323" s="14">
        <v>0</v>
      </c>
      <c r="O323" s="14">
        <v>0</v>
      </c>
      <c r="P323" s="14"/>
      <c r="Q323" s="14"/>
      <c r="R323" s="14"/>
    </row>
    <row r="324" spans="1:18">
      <c r="A324" s="8"/>
      <c r="B324" s="14">
        <v>2304</v>
      </c>
      <c r="C324" s="14">
        <v>563</v>
      </c>
      <c r="D324" s="14">
        <v>13</v>
      </c>
      <c r="E324" s="14">
        <v>0</v>
      </c>
      <c r="F324" s="14" t="s">
        <v>2162</v>
      </c>
      <c r="G324" s="14"/>
      <c r="H324" s="14">
        <v>50</v>
      </c>
      <c r="I324" s="14">
        <v>50</v>
      </c>
      <c r="J324" s="14">
        <v>0</v>
      </c>
      <c r="K324" s="14">
        <v>1</v>
      </c>
      <c r="L324" s="14">
        <v>0</v>
      </c>
      <c r="M324" s="14">
        <v>0</v>
      </c>
      <c r="N324" s="14">
        <v>0</v>
      </c>
      <c r="O324" s="14">
        <v>0</v>
      </c>
      <c r="P324" s="14"/>
      <c r="Q324" s="14"/>
      <c r="R324" s="14">
        <v>2</v>
      </c>
    </row>
    <row r="325" spans="1:18">
      <c r="A325" s="8"/>
      <c r="B325" s="14">
        <v>2401</v>
      </c>
      <c r="C325" s="14">
        <v>293</v>
      </c>
      <c r="D325" s="14">
        <v>14</v>
      </c>
      <c r="E325" s="14">
        <v>0</v>
      </c>
      <c r="F325" s="14" t="s">
        <v>1716</v>
      </c>
      <c r="G325" s="14"/>
      <c r="H325" s="14">
        <v>0</v>
      </c>
      <c r="I325" s="14">
        <v>0</v>
      </c>
      <c r="J325" s="14">
        <v>0</v>
      </c>
      <c r="K325" s="14">
        <v>1</v>
      </c>
      <c r="L325" s="14">
        <v>4</v>
      </c>
      <c r="M325" s="14">
        <v>0</v>
      </c>
      <c r="N325" s="14">
        <v>2</v>
      </c>
      <c r="O325" s="14">
        <v>0</v>
      </c>
      <c r="P325" s="14"/>
      <c r="Q325" s="14"/>
      <c r="R325" s="14"/>
    </row>
    <row r="326" spans="1:18">
      <c r="A326" s="8"/>
      <c r="B326" s="14">
        <v>2501</v>
      </c>
      <c r="C326" s="14">
        <v>275</v>
      </c>
      <c r="D326" s="14">
        <v>15</v>
      </c>
      <c r="E326" s="14">
        <v>0</v>
      </c>
      <c r="F326" s="14" t="s">
        <v>315</v>
      </c>
      <c r="G326" s="14"/>
      <c r="H326" s="14">
        <v>0</v>
      </c>
      <c r="I326" s="14">
        <v>0</v>
      </c>
      <c r="J326" s="14">
        <v>0</v>
      </c>
      <c r="K326" s="14">
        <v>1</v>
      </c>
      <c r="L326" s="14">
        <v>1</v>
      </c>
      <c r="M326" s="14">
        <v>0</v>
      </c>
      <c r="N326" s="14">
        <v>2</v>
      </c>
      <c r="O326" s="14">
        <v>0</v>
      </c>
      <c r="P326" s="14">
        <v>999</v>
      </c>
      <c r="Q326" s="14"/>
      <c r="R326" s="14"/>
    </row>
    <row r="327" spans="1:18">
      <c r="A327" s="8"/>
      <c r="B327" s="14">
        <v>2502</v>
      </c>
      <c r="C327" s="14">
        <v>380</v>
      </c>
      <c r="D327" s="14">
        <v>15</v>
      </c>
      <c r="E327" s="14">
        <v>0</v>
      </c>
      <c r="F327" s="14" t="s">
        <v>316</v>
      </c>
      <c r="G327" s="14"/>
      <c r="H327" s="14">
        <v>0</v>
      </c>
      <c r="I327" s="14">
        <v>0</v>
      </c>
      <c r="J327" s="14">
        <v>0</v>
      </c>
      <c r="K327" s="14">
        <v>1</v>
      </c>
      <c r="L327" s="14">
        <v>1</v>
      </c>
      <c r="M327" s="14">
        <v>0</v>
      </c>
      <c r="N327" s="14">
        <v>2</v>
      </c>
      <c r="O327" s="14">
        <v>0</v>
      </c>
      <c r="P327" s="14">
        <v>999</v>
      </c>
      <c r="Q327" s="14"/>
      <c r="R327" s="14"/>
    </row>
    <row r="328" spans="1:18">
      <c r="A328" s="8"/>
      <c r="B328" s="14">
        <v>2503</v>
      </c>
      <c r="C328" s="14">
        <v>265</v>
      </c>
      <c r="D328" s="14">
        <v>15</v>
      </c>
      <c r="E328" s="14">
        <v>0</v>
      </c>
      <c r="F328" s="14" t="s">
        <v>317</v>
      </c>
      <c r="G328" s="14"/>
      <c r="H328" s="14">
        <v>0</v>
      </c>
      <c r="I328" s="14">
        <v>0</v>
      </c>
      <c r="J328" s="14">
        <v>0</v>
      </c>
      <c r="K328" s="14">
        <v>1</v>
      </c>
      <c r="L328" s="14">
        <v>2</v>
      </c>
      <c r="M328" s="14">
        <v>0</v>
      </c>
      <c r="N328" s="14">
        <v>2</v>
      </c>
      <c r="O328" s="14">
        <v>0</v>
      </c>
      <c r="P328" s="14">
        <v>999</v>
      </c>
      <c r="Q328" s="14"/>
      <c r="R328" s="14"/>
    </row>
    <row r="329" spans="1:18">
      <c r="A329" s="8"/>
      <c r="B329" s="14">
        <v>2504</v>
      </c>
      <c r="C329" s="14">
        <v>417</v>
      </c>
      <c r="D329" s="14">
        <v>15</v>
      </c>
      <c r="E329" s="14">
        <v>0</v>
      </c>
      <c r="F329" s="14" t="s">
        <v>584</v>
      </c>
      <c r="G329" s="14"/>
      <c r="H329" s="14">
        <v>0</v>
      </c>
      <c r="I329" s="14">
        <v>0</v>
      </c>
      <c r="J329" s="14">
        <v>0</v>
      </c>
      <c r="K329" s="14">
        <v>1</v>
      </c>
      <c r="L329" s="14">
        <v>1</v>
      </c>
      <c r="M329" s="14">
        <v>0</v>
      </c>
      <c r="N329" s="14">
        <v>2</v>
      </c>
      <c r="O329" s="14">
        <v>0</v>
      </c>
      <c r="P329" s="14">
        <v>999</v>
      </c>
      <c r="Q329" s="14"/>
      <c r="R329" s="14"/>
    </row>
    <row r="330" spans="1:18">
      <c r="A330" s="8"/>
      <c r="B330" s="14">
        <v>2601</v>
      </c>
      <c r="C330" s="14">
        <v>331</v>
      </c>
      <c r="D330" s="14">
        <v>16</v>
      </c>
      <c r="E330" s="14">
        <v>0</v>
      </c>
      <c r="F330" s="14" t="s">
        <v>1720</v>
      </c>
      <c r="G330" s="14"/>
      <c r="H330" s="14">
        <v>5</v>
      </c>
      <c r="I330" s="14">
        <v>5</v>
      </c>
      <c r="J330" s="14">
        <v>0</v>
      </c>
      <c r="K330" s="14">
        <v>1</v>
      </c>
      <c r="L330" s="14">
        <v>7</v>
      </c>
      <c r="M330" s="14">
        <v>0</v>
      </c>
      <c r="N330" s="14">
        <v>0</v>
      </c>
      <c r="O330" s="14">
        <v>10</v>
      </c>
      <c r="P330" s="14"/>
      <c r="Q330" s="14"/>
      <c r="R330" s="14"/>
    </row>
    <row r="331" spans="1:18">
      <c r="A331" s="8"/>
      <c r="B331" s="14">
        <v>2602</v>
      </c>
      <c r="C331" s="14">
        <v>384</v>
      </c>
      <c r="D331" s="14">
        <v>16</v>
      </c>
      <c r="E331" s="14">
        <v>0</v>
      </c>
      <c r="F331" s="14" t="s">
        <v>1731</v>
      </c>
      <c r="G331" s="14"/>
      <c r="H331" s="14">
        <v>5</v>
      </c>
      <c r="I331" s="14">
        <v>5</v>
      </c>
      <c r="J331" s="14">
        <v>0</v>
      </c>
      <c r="K331" s="14">
        <v>1</v>
      </c>
      <c r="L331" s="14">
        <v>7</v>
      </c>
      <c r="M331" s="14">
        <v>0</v>
      </c>
      <c r="N331" s="14">
        <v>0</v>
      </c>
      <c r="O331" s="14">
        <v>10</v>
      </c>
      <c r="P331" s="14"/>
      <c r="Q331" s="14"/>
      <c r="R331" s="14"/>
    </row>
    <row r="332" spans="1:18">
      <c r="A332" s="8"/>
      <c r="B332" s="14">
        <v>2603</v>
      </c>
      <c r="C332" s="14">
        <v>425</v>
      </c>
      <c r="D332" s="14">
        <v>16</v>
      </c>
      <c r="E332" s="14">
        <v>0</v>
      </c>
      <c r="F332" s="14" t="s">
        <v>822</v>
      </c>
      <c r="G332" s="14"/>
      <c r="H332" s="14">
        <v>5</v>
      </c>
      <c r="I332" s="14">
        <v>5</v>
      </c>
      <c r="J332" s="14">
        <v>0</v>
      </c>
      <c r="K332" s="14">
        <v>1</v>
      </c>
      <c r="L332" s="14">
        <v>7</v>
      </c>
      <c r="M332" s="14">
        <v>0</v>
      </c>
      <c r="N332" s="14">
        <v>0</v>
      </c>
      <c r="O332" s="14">
        <v>10</v>
      </c>
      <c r="P332" s="14"/>
      <c r="Q332" s="14"/>
      <c r="R332" s="14"/>
    </row>
    <row r="333" spans="1:18">
      <c r="A333" s="8"/>
      <c r="B333" s="14">
        <v>2604</v>
      </c>
      <c r="C333" s="14">
        <v>8003</v>
      </c>
      <c r="D333" s="14">
        <v>16</v>
      </c>
      <c r="E333" s="14">
        <v>0</v>
      </c>
      <c r="F333" s="14" t="s">
        <v>1816</v>
      </c>
      <c r="G333" s="14"/>
      <c r="H333" s="14">
        <v>3</v>
      </c>
      <c r="I333" s="14">
        <v>3</v>
      </c>
      <c r="J333" s="14">
        <v>0</v>
      </c>
      <c r="K333" s="14">
        <v>1</v>
      </c>
      <c r="L333" s="14">
        <v>7</v>
      </c>
      <c r="M333" s="14">
        <v>0</v>
      </c>
      <c r="N333" s="14">
        <v>0</v>
      </c>
      <c r="O333" s="14">
        <v>10</v>
      </c>
      <c r="P333" s="14"/>
      <c r="Q333" s="14"/>
      <c r="R333" s="14">
        <v>2</v>
      </c>
    </row>
    <row r="334" spans="1:18">
      <c r="A334" s="8"/>
      <c r="B334" s="14">
        <v>2605</v>
      </c>
      <c r="C334" s="14">
        <v>8004</v>
      </c>
      <c r="D334" s="14">
        <v>16</v>
      </c>
      <c r="E334" s="14">
        <v>0</v>
      </c>
      <c r="F334" s="14" t="s">
        <v>2045</v>
      </c>
      <c r="G334" s="14"/>
      <c r="H334" s="14">
        <v>3</v>
      </c>
      <c r="I334" s="14">
        <v>3</v>
      </c>
      <c r="J334" s="14">
        <v>0</v>
      </c>
      <c r="K334" s="14">
        <v>1</v>
      </c>
      <c r="L334" s="14">
        <v>7</v>
      </c>
      <c r="M334" s="14">
        <v>0</v>
      </c>
      <c r="N334" s="14">
        <v>0</v>
      </c>
      <c r="O334" s="14">
        <v>10</v>
      </c>
      <c r="P334" s="14"/>
      <c r="Q334" s="14"/>
      <c r="R334" s="14">
        <v>2</v>
      </c>
    </row>
    <row r="335" spans="1:18">
      <c r="A335" s="8"/>
      <c r="B335" s="14">
        <v>2606</v>
      </c>
      <c r="C335" s="14">
        <v>567</v>
      </c>
      <c r="D335" s="14">
        <v>16</v>
      </c>
      <c r="E335" s="14">
        <v>0</v>
      </c>
      <c r="F335" s="14" t="s">
        <v>2175</v>
      </c>
      <c r="G335" s="14"/>
      <c r="H335" s="14">
        <v>5</v>
      </c>
      <c r="I335" s="14">
        <v>5</v>
      </c>
      <c r="J335" s="14">
        <v>0</v>
      </c>
      <c r="K335" s="14">
        <v>1</v>
      </c>
      <c r="L335" s="14">
        <v>3</v>
      </c>
      <c r="M335" s="14">
        <v>0</v>
      </c>
      <c r="N335" s="14">
        <v>3</v>
      </c>
      <c r="O335" s="14">
        <v>20</v>
      </c>
      <c r="P335" s="14"/>
      <c r="Q335" s="14"/>
      <c r="R335" s="14">
        <v>43</v>
      </c>
    </row>
    <row r="336" spans="1:18">
      <c r="A336" s="8"/>
      <c r="B336" s="14">
        <v>2607</v>
      </c>
      <c r="C336" s="14">
        <v>567</v>
      </c>
      <c r="D336" s="14">
        <v>16</v>
      </c>
      <c r="E336" s="14">
        <v>0</v>
      </c>
      <c r="F336" s="14" t="s">
        <v>2175</v>
      </c>
      <c r="G336" s="14" t="s">
        <v>2362</v>
      </c>
      <c r="H336" s="14">
        <v>3</v>
      </c>
      <c r="I336" s="14">
        <v>3</v>
      </c>
      <c r="J336" s="14">
        <v>0</v>
      </c>
      <c r="K336" s="14">
        <v>1</v>
      </c>
      <c r="L336" s="14">
        <v>3</v>
      </c>
      <c r="M336" s="14">
        <v>0</v>
      </c>
      <c r="N336" s="14">
        <v>3</v>
      </c>
      <c r="O336" s="14">
        <v>80</v>
      </c>
      <c r="P336" s="14"/>
      <c r="Q336" s="14"/>
      <c r="R336" s="14">
        <v>42</v>
      </c>
    </row>
    <row r="337" spans="1:18">
      <c r="A337" s="8"/>
      <c r="B337" s="14">
        <v>2701</v>
      </c>
      <c r="C337" s="14">
        <v>189</v>
      </c>
      <c r="D337" s="14">
        <v>16</v>
      </c>
      <c r="E337" s="14">
        <v>0</v>
      </c>
      <c r="F337" s="14" t="s">
        <v>510</v>
      </c>
      <c r="G337" s="14"/>
      <c r="H337" s="14">
        <v>2</v>
      </c>
      <c r="I337" s="14">
        <v>3</v>
      </c>
      <c r="J337" s="14">
        <v>129</v>
      </c>
      <c r="K337" s="14">
        <v>1</v>
      </c>
      <c r="L337" s="14">
        <v>7</v>
      </c>
      <c r="M337" s="14">
        <v>0</v>
      </c>
      <c r="N337" s="14">
        <v>0</v>
      </c>
      <c r="O337" s="14">
        <v>40</v>
      </c>
      <c r="P337" s="14"/>
      <c r="Q337" s="14"/>
      <c r="R337" s="14"/>
    </row>
    <row r="338" spans="1:18">
      <c r="A338" s="8"/>
      <c r="B338" s="14">
        <v>2702</v>
      </c>
      <c r="C338" s="14">
        <v>255</v>
      </c>
      <c r="D338" s="14">
        <v>16</v>
      </c>
      <c r="E338" s="14">
        <v>0</v>
      </c>
      <c r="F338" s="14" t="s">
        <v>308</v>
      </c>
      <c r="G338" s="14"/>
      <c r="H338" s="14">
        <v>2</v>
      </c>
      <c r="I338" s="14">
        <v>2</v>
      </c>
      <c r="J338" s="14">
        <v>0</v>
      </c>
      <c r="K338" s="14">
        <v>1</v>
      </c>
      <c r="L338" s="14">
        <v>7</v>
      </c>
      <c r="M338" s="14">
        <v>0</v>
      </c>
      <c r="N338" s="14">
        <v>0</v>
      </c>
      <c r="O338" s="14">
        <v>40</v>
      </c>
      <c r="P338" s="14"/>
      <c r="Q338" s="14"/>
      <c r="R338" s="14"/>
    </row>
    <row r="339" spans="1:18">
      <c r="A339" s="8"/>
      <c r="B339" s="14">
        <v>2703</v>
      </c>
      <c r="C339" s="14">
        <v>236</v>
      </c>
      <c r="D339" s="14">
        <v>16</v>
      </c>
      <c r="E339" s="14">
        <v>0</v>
      </c>
      <c r="F339" s="14" t="s">
        <v>511</v>
      </c>
      <c r="G339" s="14"/>
      <c r="H339" s="14">
        <v>2</v>
      </c>
      <c r="I339" s="14">
        <v>3</v>
      </c>
      <c r="J339" s="14">
        <v>208</v>
      </c>
      <c r="K339" s="14">
        <v>1</v>
      </c>
      <c r="L339" s="14">
        <v>7</v>
      </c>
      <c r="M339" s="14">
        <v>0</v>
      </c>
      <c r="N339" s="14">
        <v>0</v>
      </c>
      <c r="O339" s="14">
        <v>40</v>
      </c>
      <c r="P339" s="14"/>
      <c r="Q339" s="14"/>
      <c r="R339" s="14"/>
    </row>
    <row r="340" spans="1:18">
      <c r="A340" s="8"/>
      <c r="B340" s="14">
        <v>2704</v>
      </c>
      <c r="C340" s="14">
        <v>278</v>
      </c>
      <c r="D340" s="14">
        <v>16</v>
      </c>
      <c r="E340" s="14">
        <v>0</v>
      </c>
      <c r="F340" s="14" t="s">
        <v>1715</v>
      </c>
      <c r="G340" s="14"/>
      <c r="H340" s="14">
        <v>3</v>
      </c>
      <c r="I340" s="14">
        <v>3</v>
      </c>
      <c r="J340" s="14">
        <v>0</v>
      </c>
      <c r="K340" s="14">
        <v>1</v>
      </c>
      <c r="L340" s="14">
        <v>7</v>
      </c>
      <c r="M340" s="14">
        <v>0</v>
      </c>
      <c r="N340" s="14">
        <v>0</v>
      </c>
      <c r="O340" s="14">
        <v>40</v>
      </c>
      <c r="P340" s="14">
        <v>2035</v>
      </c>
      <c r="Q340" s="14"/>
      <c r="R340" s="14"/>
    </row>
    <row r="341" spans="1:18">
      <c r="A341" s="8"/>
      <c r="B341" s="14">
        <v>3300</v>
      </c>
      <c r="C341" s="14">
        <v>9007</v>
      </c>
      <c r="D341" s="14">
        <v>23</v>
      </c>
      <c r="E341" s="14">
        <v>0</v>
      </c>
      <c r="F341" s="14" t="s">
        <v>1516</v>
      </c>
      <c r="G341" s="14"/>
      <c r="H341" s="14">
        <v>3</v>
      </c>
      <c r="I341" s="14">
        <v>20</v>
      </c>
      <c r="J341" s="14">
        <v>0</v>
      </c>
      <c r="K341" s="14">
        <v>1</v>
      </c>
      <c r="L341" s="14">
        <v>7</v>
      </c>
      <c r="M341" s="14">
        <v>0</v>
      </c>
      <c r="N341" s="14">
        <v>1</v>
      </c>
      <c r="O341" s="14">
        <v>0</v>
      </c>
      <c r="P341" s="14"/>
      <c r="Q341" s="14"/>
      <c r="R341" s="14"/>
    </row>
    <row r="342" spans="1:18">
      <c r="A342" s="8"/>
      <c r="B342" s="14">
        <v>3301</v>
      </c>
      <c r="C342" s="14">
        <v>22</v>
      </c>
      <c r="D342" s="14">
        <v>23</v>
      </c>
      <c r="E342" s="14">
        <v>0</v>
      </c>
      <c r="F342" s="14" t="s">
        <v>1340</v>
      </c>
      <c r="G342" s="14"/>
      <c r="H342" s="14">
        <v>3</v>
      </c>
      <c r="I342" s="14">
        <v>20</v>
      </c>
      <c r="J342" s="14">
        <v>0</v>
      </c>
      <c r="K342" s="14">
        <v>1</v>
      </c>
      <c r="L342" s="14">
        <v>7</v>
      </c>
      <c r="M342" s="14">
        <v>0</v>
      </c>
      <c r="N342" s="14">
        <v>1</v>
      </c>
      <c r="O342" s="14">
        <v>0</v>
      </c>
      <c r="P342" s="14">
        <v>999</v>
      </c>
      <c r="Q342" s="14"/>
      <c r="R342" s="14">
        <v>7</v>
      </c>
    </row>
    <row r="343" spans="1:18">
      <c r="A343" s="8"/>
      <c r="B343" s="14">
        <v>3302</v>
      </c>
      <c r="C343" s="14">
        <v>33</v>
      </c>
      <c r="D343" s="14">
        <v>23</v>
      </c>
      <c r="E343" s="14">
        <v>0</v>
      </c>
      <c r="F343" s="14" t="s">
        <v>1368</v>
      </c>
      <c r="G343" s="14"/>
      <c r="H343" s="14">
        <v>3</v>
      </c>
      <c r="I343" s="14">
        <v>20</v>
      </c>
      <c r="J343" s="14">
        <v>0</v>
      </c>
      <c r="K343" s="14">
        <v>1</v>
      </c>
      <c r="L343" s="14">
        <v>7</v>
      </c>
      <c r="M343" s="14">
        <v>0</v>
      </c>
      <c r="N343" s="14">
        <v>1</v>
      </c>
      <c r="O343" s="14">
        <v>0</v>
      </c>
      <c r="P343" s="14">
        <v>999</v>
      </c>
      <c r="Q343" s="14"/>
      <c r="R343" s="14">
        <v>7</v>
      </c>
    </row>
    <row r="344" spans="1:18">
      <c r="A344" s="8"/>
      <c r="B344" s="14">
        <v>3303</v>
      </c>
      <c r="C344" s="14">
        <v>113</v>
      </c>
      <c r="D344" s="14">
        <v>23</v>
      </c>
      <c r="E344" s="14">
        <v>0</v>
      </c>
      <c r="F344" s="14" t="s">
        <v>1392</v>
      </c>
      <c r="G344" s="14"/>
      <c r="H344" s="14">
        <v>2</v>
      </c>
      <c r="I344" s="14">
        <v>20</v>
      </c>
      <c r="J344" s="14">
        <v>0</v>
      </c>
      <c r="K344" s="14">
        <v>1</v>
      </c>
      <c r="L344" s="14">
        <v>7</v>
      </c>
      <c r="M344" s="14">
        <v>0</v>
      </c>
      <c r="N344" s="14">
        <v>1</v>
      </c>
      <c r="O344" s="14">
        <v>0</v>
      </c>
      <c r="P344" s="14">
        <v>999</v>
      </c>
      <c r="Q344" s="14"/>
      <c r="R344" s="14">
        <v>7</v>
      </c>
    </row>
    <row r="345" spans="1:18">
      <c r="A345" s="8"/>
      <c r="B345" s="14">
        <v>3304</v>
      </c>
      <c r="C345" s="14">
        <v>120</v>
      </c>
      <c r="D345" s="14">
        <v>23</v>
      </c>
      <c r="E345" s="14">
        <v>0</v>
      </c>
      <c r="F345" s="14" t="s">
        <v>1393</v>
      </c>
      <c r="G345" s="14"/>
      <c r="H345" s="14">
        <v>2</v>
      </c>
      <c r="I345" s="14">
        <v>20</v>
      </c>
      <c r="J345" s="14">
        <v>0</v>
      </c>
      <c r="K345" s="14">
        <v>1</v>
      </c>
      <c r="L345" s="14">
        <v>7</v>
      </c>
      <c r="M345" s="14">
        <v>0</v>
      </c>
      <c r="N345" s="14">
        <v>1</v>
      </c>
      <c r="O345" s="14">
        <v>0</v>
      </c>
      <c r="P345" s="14">
        <v>999</v>
      </c>
      <c r="Q345" s="14"/>
      <c r="R345" s="14">
        <v>7</v>
      </c>
    </row>
    <row r="346" spans="1:18">
      <c r="A346" s="8"/>
      <c r="B346" s="14">
        <v>3305</v>
      </c>
      <c r="C346" s="14">
        <v>132</v>
      </c>
      <c r="D346" s="14">
        <v>23</v>
      </c>
      <c r="E346" s="14">
        <v>0</v>
      </c>
      <c r="F346" s="14" t="s">
        <v>1400</v>
      </c>
      <c r="G346" s="14"/>
      <c r="H346" s="14">
        <v>3</v>
      </c>
      <c r="I346" s="14">
        <v>20</v>
      </c>
      <c r="J346" s="14">
        <v>0</v>
      </c>
      <c r="K346" s="14">
        <v>1</v>
      </c>
      <c r="L346" s="14">
        <v>7</v>
      </c>
      <c r="M346" s="14">
        <v>0</v>
      </c>
      <c r="N346" s="14">
        <v>1</v>
      </c>
      <c r="O346" s="14">
        <v>0</v>
      </c>
      <c r="P346" s="14">
        <v>999</v>
      </c>
      <c r="Q346" s="14"/>
      <c r="R346" s="14">
        <v>7</v>
      </c>
    </row>
    <row r="347" spans="1:18">
      <c r="A347" s="8"/>
      <c r="B347" s="14">
        <v>3306</v>
      </c>
      <c r="C347" s="14">
        <v>190</v>
      </c>
      <c r="D347" s="14">
        <v>23</v>
      </c>
      <c r="E347" s="14">
        <v>0</v>
      </c>
      <c r="F347" s="14" t="s">
        <v>1327</v>
      </c>
      <c r="G347" s="14"/>
      <c r="H347" s="14">
        <v>3</v>
      </c>
      <c r="I347" s="14">
        <v>20</v>
      </c>
      <c r="J347" s="14">
        <v>0</v>
      </c>
      <c r="K347" s="14">
        <v>1</v>
      </c>
      <c r="L347" s="14">
        <v>7</v>
      </c>
      <c r="M347" s="14">
        <v>0</v>
      </c>
      <c r="N347" s="14">
        <v>1</v>
      </c>
      <c r="O347" s="14">
        <v>0</v>
      </c>
      <c r="P347" s="14">
        <v>999</v>
      </c>
      <c r="Q347" s="14"/>
      <c r="R347" s="14">
        <v>7</v>
      </c>
    </row>
    <row r="348" spans="1:18">
      <c r="A348" s="8"/>
      <c r="B348" s="14">
        <v>3307</v>
      </c>
      <c r="C348" s="14">
        <v>212</v>
      </c>
      <c r="D348" s="14">
        <v>23</v>
      </c>
      <c r="E348" s="14">
        <v>0</v>
      </c>
      <c r="F348" s="14" t="s">
        <v>1352</v>
      </c>
      <c r="G348" s="14"/>
      <c r="H348" s="14">
        <v>3</v>
      </c>
      <c r="I348" s="14">
        <v>20</v>
      </c>
      <c r="J348" s="14">
        <v>0</v>
      </c>
      <c r="K348" s="14">
        <v>1</v>
      </c>
      <c r="L348" s="14">
        <v>7</v>
      </c>
      <c r="M348" s="14">
        <v>0</v>
      </c>
      <c r="N348" s="14">
        <v>1</v>
      </c>
      <c r="O348" s="14">
        <v>0</v>
      </c>
      <c r="P348" s="14">
        <v>999</v>
      </c>
      <c r="Q348" s="14"/>
      <c r="R348" s="14">
        <v>7</v>
      </c>
    </row>
    <row r="349" spans="1:18">
      <c r="A349" s="8"/>
      <c r="B349" s="14">
        <v>3308</v>
      </c>
      <c r="C349" s="14">
        <v>239</v>
      </c>
      <c r="D349" s="14">
        <v>23</v>
      </c>
      <c r="E349" s="14">
        <v>0</v>
      </c>
      <c r="F349" s="14" t="s">
        <v>1371</v>
      </c>
      <c r="G349" s="14"/>
      <c r="H349" s="14">
        <v>3</v>
      </c>
      <c r="I349" s="14">
        <v>20</v>
      </c>
      <c r="J349" s="14">
        <v>0</v>
      </c>
      <c r="K349" s="14">
        <v>1</v>
      </c>
      <c r="L349" s="14">
        <v>7</v>
      </c>
      <c r="M349" s="14">
        <v>0</v>
      </c>
      <c r="N349" s="14">
        <v>1</v>
      </c>
      <c r="O349" s="14">
        <v>0</v>
      </c>
      <c r="P349" s="14">
        <v>999</v>
      </c>
      <c r="Q349" s="14"/>
      <c r="R349" s="14">
        <v>7</v>
      </c>
    </row>
    <row r="350" spans="1:18">
      <c r="A350" s="8"/>
      <c r="B350" s="14">
        <v>3309</v>
      </c>
      <c r="C350" s="14">
        <v>259</v>
      </c>
      <c r="D350" s="14">
        <v>23</v>
      </c>
      <c r="E350" s="14">
        <v>0</v>
      </c>
      <c r="F350" s="14" t="s">
        <v>1361</v>
      </c>
      <c r="G350" s="14"/>
      <c r="H350" s="14">
        <v>3</v>
      </c>
      <c r="I350" s="14">
        <v>20</v>
      </c>
      <c r="J350" s="14">
        <v>0</v>
      </c>
      <c r="K350" s="14">
        <v>1</v>
      </c>
      <c r="L350" s="14">
        <v>7</v>
      </c>
      <c r="M350" s="14">
        <v>0</v>
      </c>
      <c r="N350" s="14">
        <v>1</v>
      </c>
      <c r="O350" s="14">
        <v>0</v>
      </c>
      <c r="P350" s="14">
        <v>999</v>
      </c>
      <c r="Q350" s="14"/>
      <c r="R350" s="14">
        <v>7</v>
      </c>
    </row>
    <row r="351" spans="1:18">
      <c r="A351" s="8"/>
      <c r="B351" s="14">
        <v>3310</v>
      </c>
      <c r="C351" s="14">
        <v>309</v>
      </c>
      <c r="D351" s="14">
        <v>23</v>
      </c>
      <c r="E351" s="14">
        <v>0</v>
      </c>
      <c r="F351" s="14" t="s">
        <v>1373</v>
      </c>
      <c r="G351" s="14"/>
      <c r="H351" s="14">
        <v>3</v>
      </c>
      <c r="I351" s="14">
        <v>20</v>
      </c>
      <c r="J351" s="14">
        <v>0</v>
      </c>
      <c r="K351" s="14">
        <v>1</v>
      </c>
      <c r="L351" s="14">
        <v>7</v>
      </c>
      <c r="M351" s="14">
        <v>0</v>
      </c>
      <c r="N351" s="14">
        <v>1</v>
      </c>
      <c r="O351" s="14">
        <v>0</v>
      </c>
      <c r="P351" s="14">
        <v>999</v>
      </c>
      <c r="Q351" s="14"/>
      <c r="R351" s="14">
        <v>7</v>
      </c>
    </row>
    <row r="352" spans="1:18">
      <c r="A352" s="8"/>
      <c r="B352" s="14">
        <v>3311</v>
      </c>
      <c r="C352" s="14">
        <v>324</v>
      </c>
      <c r="D352" s="14">
        <v>23</v>
      </c>
      <c r="E352" s="14">
        <v>0</v>
      </c>
      <c r="F352" s="14" t="s">
        <v>1360</v>
      </c>
      <c r="G352" s="14"/>
      <c r="H352" s="14">
        <v>3</v>
      </c>
      <c r="I352" s="14">
        <v>20</v>
      </c>
      <c r="J352" s="14">
        <v>0</v>
      </c>
      <c r="K352" s="14">
        <v>1</v>
      </c>
      <c r="L352" s="14">
        <v>7</v>
      </c>
      <c r="M352" s="14">
        <v>0</v>
      </c>
      <c r="N352" s="14">
        <v>1</v>
      </c>
      <c r="O352" s="14">
        <v>0</v>
      </c>
      <c r="P352" s="14">
        <v>999</v>
      </c>
      <c r="Q352" s="14"/>
      <c r="R352" s="14">
        <v>7</v>
      </c>
    </row>
    <row r="353" spans="1:18">
      <c r="A353" s="8"/>
      <c r="B353" s="14">
        <v>3312</v>
      </c>
      <c r="C353" s="14">
        <v>382</v>
      </c>
      <c r="D353" s="14">
        <v>23</v>
      </c>
      <c r="E353" s="14">
        <v>0</v>
      </c>
      <c r="F353" s="14" t="s">
        <v>1729</v>
      </c>
      <c r="G353" s="14"/>
      <c r="H353" s="14">
        <v>3</v>
      </c>
      <c r="I353" s="14">
        <v>20</v>
      </c>
      <c r="J353" s="14">
        <v>0</v>
      </c>
      <c r="K353" s="14">
        <v>1</v>
      </c>
      <c r="L353" s="14">
        <v>7</v>
      </c>
      <c r="M353" s="14">
        <v>0</v>
      </c>
      <c r="N353" s="14">
        <v>1</v>
      </c>
      <c r="O353" s="14">
        <v>0</v>
      </c>
      <c r="P353" s="14">
        <v>999</v>
      </c>
      <c r="Q353" s="14"/>
      <c r="R353" s="14">
        <v>7</v>
      </c>
    </row>
    <row r="354" spans="1:18">
      <c r="A354" s="8"/>
      <c r="B354" s="14">
        <v>3313</v>
      </c>
      <c r="C354" s="14">
        <v>397</v>
      </c>
      <c r="D354" s="14">
        <v>23</v>
      </c>
      <c r="E354" s="14">
        <v>0</v>
      </c>
      <c r="F354" s="14" t="s">
        <v>1363</v>
      </c>
      <c r="G354" s="14"/>
      <c r="H354" s="14">
        <v>3</v>
      </c>
      <c r="I354" s="14">
        <v>20</v>
      </c>
      <c r="J354" s="14">
        <v>0</v>
      </c>
      <c r="K354" s="14">
        <v>1</v>
      </c>
      <c r="L354" s="14">
        <v>7</v>
      </c>
      <c r="M354" s="14">
        <v>0</v>
      </c>
      <c r="N354" s="14">
        <v>1</v>
      </c>
      <c r="O354" s="14">
        <v>0</v>
      </c>
      <c r="P354" s="14">
        <v>999</v>
      </c>
      <c r="Q354" s="14"/>
      <c r="R354" s="14">
        <v>7</v>
      </c>
    </row>
    <row r="355" spans="1:18">
      <c r="A355" s="8"/>
      <c r="B355" s="14">
        <v>3314</v>
      </c>
      <c r="C355" s="14">
        <v>427</v>
      </c>
      <c r="D355" s="14">
        <v>23</v>
      </c>
      <c r="E355" s="14">
        <v>0</v>
      </c>
      <c r="F355" s="14" t="s">
        <v>1348</v>
      </c>
      <c r="G355" s="14"/>
      <c r="H355" s="14">
        <v>3</v>
      </c>
      <c r="I355" s="14">
        <v>20</v>
      </c>
      <c r="J355" s="14">
        <v>0</v>
      </c>
      <c r="K355" s="14">
        <v>1</v>
      </c>
      <c r="L355" s="14">
        <v>7</v>
      </c>
      <c r="M355" s="14">
        <v>0</v>
      </c>
      <c r="N355" s="14">
        <v>1</v>
      </c>
      <c r="O355" s="14">
        <v>0</v>
      </c>
      <c r="P355" s="14">
        <v>999</v>
      </c>
      <c r="Q355" s="14"/>
      <c r="R355" s="14">
        <v>7</v>
      </c>
    </row>
    <row r="356" spans="1:18">
      <c r="A356" s="8"/>
      <c r="B356" s="14">
        <v>3315</v>
      </c>
      <c r="C356" s="14">
        <v>481</v>
      </c>
      <c r="D356" s="14">
        <v>23</v>
      </c>
      <c r="E356" s="14">
        <v>0</v>
      </c>
      <c r="F356" s="14" t="s">
        <v>1580</v>
      </c>
      <c r="G356" s="14"/>
      <c r="H356" s="14">
        <v>7</v>
      </c>
      <c r="I356" s="14">
        <v>20</v>
      </c>
      <c r="J356" s="14">
        <v>0</v>
      </c>
      <c r="K356" s="14">
        <v>1</v>
      </c>
      <c r="L356" s="14">
        <v>7</v>
      </c>
      <c r="M356" s="14">
        <v>0</v>
      </c>
      <c r="N356" s="14">
        <v>1</v>
      </c>
      <c r="O356" s="14">
        <v>0</v>
      </c>
      <c r="P356" s="14">
        <v>999</v>
      </c>
      <c r="Q356" s="14"/>
      <c r="R356" s="14">
        <v>1</v>
      </c>
    </row>
    <row r="357" spans="1:18">
      <c r="A357" s="8"/>
      <c r="B357" s="14">
        <v>3316</v>
      </c>
      <c r="C357" s="14">
        <v>177</v>
      </c>
      <c r="D357" s="14">
        <v>23</v>
      </c>
      <c r="E357" s="14">
        <v>0</v>
      </c>
      <c r="F357" s="14" t="s">
        <v>1705</v>
      </c>
      <c r="G357" s="14"/>
      <c r="H357" s="14">
        <v>0</v>
      </c>
      <c r="I357" s="14">
        <v>20</v>
      </c>
      <c r="J357" s="14">
        <v>0</v>
      </c>
      <c r="K357" s="14">
        <v>1</v>
      </c>
      <c r="L357" s="14">
        <v>3</v>
      </c>
      <c r="M357" s="14">
        <v>0</v>
      </c>
      <c r="N357" s="14">
        <v>1</v>
      </c>
      <c r="O357" s="14">
        <v>0</v>
      </c>
      <c r="P357" s="14"/>
      <c r="Q357" s="14"/>
      <c r="R357" s="14"/>
    </row>
    <row r="358" spans="1:18">
      <c r="A358" s="8"/>
      <c r="B358" s="14">
        <v>3317</v>
      </c>
      <c r="C358" s="14">
        <v>207</v>
      </c>
      <c r="D358" s="14">
        <v>23</v>
      </c>
      <c r="E358" s="14">
        <v>1</v>
      </c>
      <c r="F358" s="14" t="s">
        <v>1498</v>
      </c>
      <c r="G358" s="14"/>
      <c r="H358" s="14">
        <v>3</v>
      </c>
      <c r="I358" s="14">
        <v>20</v>
      </c>
      <c r="J358" s="14">
        <v>0</v>
      </c>
      <c r="K358" s="14">
        <v>1</v>
      </c>
      <c r="L358" s="14">
        <v>8</v>
      </c>
      <c r="M358" s="14">
        <v>1</v>
      </c>
      <c r="N358" s="14">
        <v>1</v>
      </c>
      <c r="O358" s="14">
        <v>0</v>
      </c>
      <c r="P358" s="14"/>
      <c r="Q358" s="14"/>
      <c r="R358" s="14"/>
    </row>
    <row r="359" spans="1:18">
      <c r="A359" s="8"/>
      <c r="B359" s="14">
        <v>3318</v>
      </c>
      <c r="C359" s="14">
        <v>517</v>
      </c>
      <c r="D359" s="14">
        <v>23</v>
      </c>
      <c r="E359" s="14">
        <v>0</v>
      </c>
      <c r="F359" s="14" t="s">
        <v>1835</v>
      </c>
      <c r="G359" s="14"/>
      <c r="H359" s="14">
        <v>5</v>
      </c>
      <c r="I359" s="14">
        <v>20</v>
      </c>
      <c r="J359" s="14">
        <v>0</v>
      </c>
      <c r="K359" s="14">
        <v>1</v>
      </c>
      <c r="L359" s="14">
        <v>7</v>
      </c>
      <c r="M359" s="14">
        <v>0</v>
      </c>
      <c r="N359" s="14">
        <v>1</v>
      </c>
      <c r="O359" s="14">
        <v>0</v>
      </c>
      <c r="P359" s="14"/>
      <c r="Q359" s="14"/>
      <c r="R359" s="14"/>
    </row>
    <row r="360" spans="1:18">
      <c r="A360" s="8"/>
      <c r="B360" s="14">
        <v>3319</v>
      </c>
      <c r="C360" s="14">
        <v>520</v>
      </c>
      <c r="D360" s="14">
        <v>23</v>
      </c>
      <c r="E360" s="14">
        <v>0</v>
      </c>
      <c r="F360" s="14" t="s">
        <v>1932</v>
      </c>
      <c r="G360" s="14"/>
      <c r="H360" s="14">
        <v>3</v>
      </c>
      <c r="I360" s="14">
        <v>20</v>
      </c>
      <c r="J360" s="14">
        <v>0</v>
      </c>
      <c r="K360" s="14">
        <v>1</v>
      </c>
      <c r="L360" s="14">
        <v>3</v>
      </c>
      <c r="M360" s="14">
        <v>0</v>
      </c>
      <c r="N360" s="14">
        <v>1</v>
      </c>
      <c r="O360" s="14">
        <v>0</v>
      </c>
      <c r="P360" s="14"/>
      <c r="Q360" s="14"/>
      <c r="R360" s="14"/>
    </row>
    <row r="361" spans="1:18">
      <c r="A361" s="8"/>
      <c r="B361" s="14">
        <v>3320</v>
      </c>
      <c r="C361" s="14">
        <v>526</v>
      </c>
      <c r="D361" s="14">
        <v>23</v>
      </c>
      <c r="E361" s="14">
        <v>4</v>
      </c>
      <c r="F361" s="14" t="s">
        <v>1949</v>
      </c>
      <c r="G361" s="14"/>
      <c r="H361" s="14">
        <v>6</v>
      </c>
      <c r="I361" s="14">
        <v>20</v>
      </c>
      <c r="J361" s="14">
        <v>0</v>
      </c>
      <c r="K361" s="14">
        <v>1</v>
      </c>
      <c r="L361" s="14">
        <v>3</v>
      </c>
      <c r="M361" s="14">
        <v>0</v>
      </c>
      <c r="N361" s="14">
        <v>1</v>
      </c>
      <c r="O361" s="14">
        <v>0</v>
      </c>
      <c r="P361" s="14"/>
      <c r="Q361" s="14"/>
      <c r="R361" s="14"/>
    </row>
    <row r="362" spans="1:18">
      <c r="A362" s="8"/>
      <c r="B362" s="14">
        <v>3321</v>
      </c>
      <c r="C362" s="14">
        <v>449</v>
      </c>
      <c r="D362" s="14">
        <v>23</v>
      </c>
      <c r="E362" s="14">
        <v>0</v>
      </c>
      <c r="F362" s="14" t="s">
        <v>1743</v>
      </c>
      <c r="G362" s="14"/>
      <c r="H362" s="14">
        <v>6</v>
      </c>
      <c r="I362" s="14">
        <v>20</v>
      </c>
      <c r="J362" s="14">
        <v>0</v>
      </c>
      <c r="K362" s="14">
        <v>1</v>
      </c>
      <c r="L362" s="14">
        <v>3</v>
      </c>
      <c r="M362" s="14">
        <v>0</v>
      </c>
      <c r="N362" s="14">
        <v>0</v>
      </c>
      <c r="O362" s="14">
        <v>0</v>
      </c>
      <c r="P362" s="14"/>
      <c r="Q362" s="14"/>
      <c r="R362" s="14"/>
    </row>
    <row r="363" spans="1:18">
      <c r="A363" s="8"/>
      <c r="B363" s="14">
        <v>3322</v>
      </c>
      <c r="C363" s="14">
        <v>512</v>
      </c>
      <c r="D363" s="14">
        <v>23</v>
      </c>
      <c r="E363" s="14">
        <v>0</v>
      </c>
      <c r="F363" s="14" t="s">
        <v>1814</v>
      </c>
      <c r="G363" s="14"/>
      <c r="H363" s="14">
        <v>6</v>
      </c>
      <c r="I363" s="14">
        <v>20</v>
      </c>
      <c r="J363" s="14">
        <v>0</v>
      </c>
      <c r="K363" s="14">
        <v>1</v>
      </c>
      <c r="L363" s="14">
        <v>3</v>
      </c>
      <c r="M363" s="14">
        <v>0</v>
      </c>
      <c r="N363" s="14">
        <v>0</v>
      </c>
      <c r="O363" s="14">
        <v>0</v>
      </c>
      <c r="P363" s="14"/>
      <c r="Q363" s="14"/>
      <c r="R363" s="14"/>
    </row>
    <row r="364" spans="1:18">
      <c r="A364" s="8"/>
      <c r="B364" s="14">
        <v>3323</v>
      </c>
      <c r="C364" s="14">
        <v>548</v>
      </c>
      <c r="D364" s="14">
        <v>23</v>
      </c>
      <c r="E364" s="14">
        <v>0</v>
      </c>
      <c r="F364" s="14" t="s">
        <v>2081</v>
      </c>
      <c r="G364" s="14"/>
      <c r="H364" s="14">
        <v>5</v>
      </c>
      <c r="I364" s="14">
        <v>20</v>
      </c>
      <c r="J364" s="14">
        <v>0</v>
      </c>
      <c r="K364" s="14">
        <v>1</v>
      </c>
      <c r="L364" s="14">
        <v>7</v>
      </c>
      <c r="M364" s="14">
        <v>0</v>
      </c>
      <c r="N364" s="14">
        <v>0</v>
      </c>
      <c r="O364" s="14">
        <v>0</v>
      </c>
      <c r="P364" s="14"/>
      <c r="Q364" s="14"/>
      <c r="R364" s="14"/>
    </row>
    <row r="365" spans="1:18">
      <c r="A365" s="8"/>
      <c r="B365" s="14">
        <v>3401</v>
      </c>
      <c r="C365" s="14">
        <v>137</v>
      </c>
      <c r="D365" s="14">
        <v>24</v>
      </c>
      <c r="E365" s="14">
        <v>0</v>
      </c>
      <c r="F365" s="14" t="s">
        <v>1304</v>
      </c>
      <c r="G365" s="14"/>
      <c r="H365" s="14">
        <v>0</v>
      </c>
      <c r="I365" s="14">
        <v>0</v>
      </c>
      <c r="J365" s="14">
        <v>0</v>
      </c>
      <c r="K365" s="14">
        <v>0</v>
      </c>
      <c r="L365" s="14">
        <v>7</v>
      </c>
      <c r="M365" s="14">
        <v>0</v>
      </c>
      <c r="N365" s="14">
        <v>2</v>
      </c>
      <c r="O365" s="14">
        <v>0</v>
      </c>
      <c r="P365" s="14">
        <v>999</v>
      </c>
      <c r="Q365" s="14"/>
      <c r="R365" s="14"/>
    </row>
    <row r="366" spans="1:18">
      <c r="A366" s="8"/>
      <c r="B366" s="14">
        <v>3402</v>
      </c>
      <c r="C366" s="14">
        <v>211</v>
      </c>
      <c r="D366" s="14">
        <v>24</v>
      </c>
      <c r="E366" s="14">
        <v>0</v>
      </c>
      <c r="F366" s="14" t="s">
        <v>1709</v>
      </c>
      <c r="G366" s="14"/>
      <c r="H366" s="14">
        <v>0</v>
      </c>
      <c r="I366" s="14">
        <v>0</v>
      </c>
      <c r="J366" s="14">
        <v>0</v>
      </c>
      <c r="K366" s="14">
        <v>0</v>
      </c>
      <c r="L366" s="14">
        <v>7</v>
      </c>
      <c r="M366" s="14">
        <v>0</v>
      </c>
      <c r="N366" s="14">
        <v>2</v>
      </c>
      <c r="O366" s="14">
        <v>0</v>
      </c>
      <c r="P366" s="14"/>
      <c r="Q366" s="14"/>
      <c r="R366" s="14"/>
    </row>
    <row r="367" spans="1:18">
      <c r="A367" s="8"/>
      <c r="B367" s="14">
        <v>3403</v>
      </c>
      <c r="C367" s="14">
        <v>229</v>
      </c>
      <c r="D367" s="14">
        <v>24</v>
      </c>
      <c r="E367" s="14">
        <v>0</v>
      </c>
      <c r="F367" s="14" t="s">
        <v>1346</v>
      </c>
      <c r="G367" s="14"/>
      <c r="H367" s="14">
        <v>0</v>
      </c>
      <c r="I367" s="14">
        <v>0</v>
      </c>
      <c r="J367" s="14">
        <v>0</v>
      </c>
      <c r="K367" s="14">
        <v>0</v>
      </c>
      <c r="L367" s="14">
        <v>7</v>
      </c>
      <c r="M367" s="14">
        <v>0</v>
      </c>
      <c r="N367" s="14">
        <v>2</v>
      </c>
      <c r="O367" s="14">
        <v>0</v>
      </c>
      <c r="P367" s="14">
        <v>999</v>
      </c>
      <c r="Q367" s="14"/>
      <c r="R367" s="14"/>
    </row>
    <row r="368" spans="1:18">
      <c r="A368" s="8"/>
      <c r="B368" s="14">
        <v>3404</v>
      </c>
      <c r="C368" s="14">
        <v>243</v>
      </c>
      <c r="D368" s="14">
        <v>24</v>
      </c>
      <c r="E368" s="14">
        <v>0</v>
      </c>
      <c r="F368" s="14" t="s">
        <v>1290</v>
      </c>
      <c r="G368" s="14"/>
      <c r="H368" s="14">
        <v>0</v>
      </c>
      <c r="I368" s="14">
        <v>0</v>
      </c>
      <c r="J368" s="14">
        <v>0</v>
      </c>
      <c r="K368" s="14">
        <v>0</v>
      </c>
      <c r="L368" s="14">
        <v>7</v>
      </c>
      <c r="M368" s="14">
        <v>0</v>
      </c>
      <c r="N368" s="14">
        <v>2</v>
      </c>
      <c r="O368" s="14">
        <v>0</v>
      </c>
      <c r="P368" s="14">
        <v>999</v>
      </c>
      <c r="Q368" s="14"/>
      <c r="R368" s="14"/>
    </row>
    <row r="369" spans="1:18">
      <c r="A369" s="8"/>
      <c r="B369" s="14">
        <v>3405</v>
      </c>
      <c r="C369" s="14">
        <v>322</v>
      </c>
      <c r="D369" s="14">
        <v>24</v>
      </c>
      <c r="E369" s="14">
        <v>0</v>
      </c>
      <c r="F369" s="14" t="s">
        <v>287</v>
      </c>
      <c r="G369" s="14"/>
      <c r="H369" s="14">
        <v>0</v>
      </c>
      <c r="I369" s="14">
        <v>0</v>
      </c>
      <c r="J369" s="14">
        <v>0</v>
      </c>
      <c r="K369" s="14">
        <v>0</v>
      </c>
      <c r="L369" s="14">
        <v>7</v>
      </c>
      <c r="M369" s="14">
        <v>0</v>
      </c>
      <c r="N369" s="14">
        <v>2</v>
      </c>
      <c r="O369" s="14">
        <v>0</v>
      </c>
      <c r="P369" s="14"/>
      <c r="Q369" s="14"/>
      <c r="R369" s="14"/>
    </row>
    <row r="370" spans="1:18">
      <c r="A370" s="8"/>
      <c r="B370" s="14">
        <v>3406</v>
      </c>
      <c r="C370" s="14">
        <v>474</v>
      </c>
      <c r="D370" s="14">
        <v>24</v>
      </c>
      <c r="E370" s="14">
        <v>0</v>
      </c>
      <c r="F370" s="14" t="s">
        <v>1747</v>
      </c>
      <c r="G370" s="14"/>
      <c r="H370" s="14">
        <v>0</v>
      </c>
      <c r="I370" s="14">
        <v>0</v>
      </c>
      <c r="J370" s="14">
        <v>0</v>
      </c>
      <c r="K370" s="14">
        <v>0</v>
      </c>
      <c r="L370" s="14">
        <v>7</v>
      </c>
      <c r="M370" s="14">
        <v>0</v>
      </c>
      <c r="N370" s="14">
        <v>2</v>
      </c>
      <c r="O370" s="14">
        <v>0</v>
      </c>
      <c r="P370" s="14">
        <v>999</v>
      </c>
      <c r="Q370" s="14"/>
      <c r="R370" s="14"/>
    </row>
    <row r="371" spans="1:18">
      <c r="A371" s="8"/>
      <c r="B371" s="14">
        <v>3501</v>
      </c>
      <c r="C371" s="14">
        <v>38</v>
      </c>
      <c r="D371" s="14">
        <v>25</v>
      </c>
      <c r="E371" s="14">
        <v>0</v>
      </c>
      <c r="F371" s="14" t="s">
        <v>1703</v>
      </c>
      <c r="G371" s="14"/>
      <c r="H371" s="14">
        <v>2</v>
      </c>
      <c r="I371" s="14">
        <v>3</v>
      </c>
      <c r="J371" s="14">
        <v>208</v>
      </c>
      <c r="K371" s="14">
        <v>0</v>
      </c>
      <c r="L371" s="14">
        <v>2</v>
      </c>
      <c r="M371" s="14">
        <v>0</v>
      </c>
      <c r="N371" s="14">
        <v>3</v>
      </c>
      <c r="O371" s="14">
        <v>0</v>
      </c>
      <c r="P371" s="14"/>
      <c r="Q371" s="14"/>
      <c r="R371" s="14"/>
    </row>
    <row r="372" spans="1:18">
      <c r="A372" s="8"/>
      <c r="B372" s="14">
        <v>3502</v>
      </c>
      <c r="C372" s="14">
        <v>65</v>
      </c>
      <c r="D372" s="14">
        <v>25</v>
      </c>
      <c r="E372" s="14">
        <v>0</v>
      </c>
      <c r="F372" s="14" t="s">
        <v>1325</v>
      </c>
      <c r="G372" s="14"/>
      <c r="H372" s="14">
        <v>2</v>
      </c>
      <c r="I372" s="14">
        <v>3</v>
      </c>
      <c r="J372" s="14">
        <v>129</v>
      </c>
      <c r="K372" s="14">
        <v>0</v>
      </c>
      <c r="L372" s="14">
        <v>2</v>
      </c>
      <c r="M372" s="14">
        <v>0</v>
      </c>
      <c r="N372" s="14">
        <v>3</v>
      </c>
      <c r="O372" s="14">
        <v>0</v>
      </c>
      <c r="P372" s="14">
        <v>999</v>
      </c>
      <c r="Q372" s="14"/>
      <c r="R372" s="14"/>
    </row>
    <row r="373" spans="1:18">
      <c r="A373" s="8"/>
      <c r="B373" s="14">
        <v>3503</v>
      </c>
      <c r="C373" s="14">
        <v>129</v>
      </c>
      <c r="D373" s="14">
        <v>25</v>
      </c>
      <c r="E373" s="14">
        <v>0</v>
      </c>
      <c r="F373" s="14" t="s">
        <v>1704</v>
      </c>
      <c r="G373" s="14"/>
      <c r="H373" s="14">
        <v>2</v>
      </c>
      <c r="I373" s="14">
        <v>3</v>
      </c>
      <c r="J373" s="14">
        <v>184</v>
      </c>
      <c r="K373" s="14">
        <v>0</v>
      </c>
      <c r="L373" s="14">
        <v>2</v>
      </c>
      <c r="M373" s="14">
        <v>0</v>
      </c>
      <c r="N373" s="14">
        <v>3</v>
      </c>
      <c r="O373" s="14">
        <v>0</v>
      </c>
      <c r="P373" s="14"/>
      <c r="Q373" s="14"/>
      <c r="R373" s="14"/>
    </row>
    <row r="374" spans="1:18">
      <c r="A374" s="8"/>
      <c r="B374" s="14">
        <v>3504</v>
      </c>
      <c r="C374" s="14">
        <v>160</v>
      </c>
      <c r="D374" s="14">
        <v>25</v>
      </c>
      <c r="E374" s="14">
        <v>0</v>
      </c>
      <c r="F374" s="14" t="s">
        <v>1402</v>
      </c>
      <c r="G374" s="14"/>
      <c r="H374" s="14">
        <v>2</v>
      </c>
      <c r="I374" s="14">
        <v>3</v>
      </c>
      <c r="J374" s="14">
        <v>117</v>
      </c>
      <c r="K374" s="14">
        <v>0</v>
      </c>
      <c r="L374" s="14">
        <v>2</v>
      </c>
      <c r="M374" s="14">
        <v>0</v>
      </c>
      <c r="N374" s="14">
        <v>3</v>
      </c>
      <c r="O374" s="14">
        <v>0</v>
      </c>
      <c r="P374" s="14">
        <v>999</v>
      </c>
      <c r="Q374" s="14"/>
      <c r="R374" s="14"/>
    </row>
    <row r="375" spans="1:18">
      <c r="A375" s="8"/>
      <c r="B375" s="14">
        <v>3505</v>
      </c>
      <c r="C375" s="14">
        <v>233</v>
      </c>
      <c r="D375" s="14">
        <v>25</v>
      </c>
      <c r="E375" s="14">
        <v>0</v>
      </c>
      <c r="F375" s="14" t="s">
        <v>1703</v>
      </c>
      <c r="G375" s="14"/>
      <c r="H375" s="14">
        <v>2</v>
      </c>
      <c r="I375" s="14">
        <v>3</v>
      </c>
      <c r="J375" s="14">
        <v>208</v>
      </c>
      <c r="K375" s="14">
        <v>0</v>
      </c>
      <c r="L375" s="14">
        <v>2</v>
      </c>
      <c r="M375" s="14">
        <v>0</v>
      </c>
      <c r="N375" s="14">
        <v>3</v>
      </c>
      <c r="O375" s="14">
        <v>0</v>
      </c>
      <c r="P375" s="14"/>
      <c r="Q375" s="14"/>
      <c r="R375" s="14"/>
    </row>
    <row r="376" spans="1:18">
      <c r="A376" s="8"/>
      <c r="B376" s="14">
        <v>3506</v>
      </c>
      <c r="C376" s="14">
        <v>257</v>
      </c>
      <c r="D376" s="14">
        <v>25</v>
      </c>
      <c r="E376" s="14">
        <v>0</v>
      </c>
      <c r="F376" s="14" t="s">
        <v>1714</v>
      </c>
      <c r="G376" s="14"/>
      <c r="H376" s="14">
        <v>2</v>
      </c>
      <c r="I376" s="14">
        <v>3</v>
      </c>
      <c r="J376" s="14">
        <v>131</v>
      </c>
      <c r="K376" s="14">
        <v>0</v>
      </c>
      <c r="L376" s="14">
        <v>2</v>
      </c>
      <c r="M376" s="14">
        <v>0</v>
      </c>
      <c r="N376" s="14">
        <v>3</v>
      </c>
      <c r="O376" s="14">
        <v>0</v>
      </c>
      <c r="P376" s="14">
        <v>999</v>
      </c>
      <c r="Q376" s="14"/>
      <c r="R376" s="14"/>
    </row>
    <row r="377" spans="1:18">
      <c r="A377" s="8"/>
      <c r="B377" s="14">
        <v>3507</v>
      </c>
      <c r="C377" s="14">
        <v>326</v>
      </c>
      <c r="D377" s="14">
        <v>25</v>
      </c>
      <c r="E377" s="14">
        <v>0</v>
      </c>
      <c r="F377" s="14" t="s">
        <v>1719</v>
      </c>
      <c r="G377" s="14"/>
      <c r="H377" s="14">
        <v>2</v>
      </c>
      <c r="I377" s="14">
        <v>3</v>
      </c>
      <c r="J377" s="14">
        <v>184</v>
      </c>
      <c r="K377" s="14">
        <v>0</v>
      </c>
      <c r="L377" s="14">
        <v>2</v>
      </c>
      <c r="M377" s="14">
        <v>0</v>
      </c>
      <c r="N377" s="14">
        <v>3</v>
      </c>
      <c r="O377" s="14">
        <v>0</v>
      </c>
      <c r="P377" s="14"/>
      <c r="Q377" s="14"/>
      <c r="R377" s="14"/>
    </row>
    <row r="378" spans="1:18">
      <c r="A378" s="8"/>
      <c r="B378" s="14">
        <v>3508</v>
      </c>
      <c r="C378" s="14">
        <v>341</v>
      </c>
      <c r="D378" s="14">
        <v>25</v>
      </c>
      <c r="E378" s="14">
        <v>0</v>
      </c>
      <c r="F378" s="14" t="s">
        <v>1722</v>
      </c>
      <c r="G378" s="14"/>
      <c r="H378" s="14">
        <v>2</v>
      </c>
      <c r="I378" s="14">
        <v>3</v>
      </c>
      <c r="J378" s="14">
        <v>192</v>
      </c>
      <c r="K378" s="14">
        <v>0</v>
      </c>
      <c r="L378" s="14">
        <v>2</v>
      </c>
      <c r="M378" s="14">
        <v>0</v>
      </c>
      <c r="N378" s="14">
        <v>3</v>
      </c>
      <c r="O378" s="14">
        <v>0</v>
      </c>
      <c r="P378" s="14"/>
      <c r="Q378" s="14"/>
      <c r="R378" s="14"/>
    </row>
    <row r="379" spans="1:18">
      <c r="A379" s="8"/>
      <c r="B379" s="14">
        <v>3509</v>
      </c>
      <c r="C379" s="14">
        <v>358</v>
      </c>
      <c r="D379" s="14">
        <v>25</v>
      </c>
      <c r="E379" s="14">
        <v>0</v>
      </c>
      <c r="F379" s="14" t="s">
        <v>1725</v>
      </c>
      <c r="G379" s="14"/>
      <c r="H379" s="14">
        <v>2</v>
      </c>
      <c r="I379" s="14">
        <v>3</v>
      </c>
      <c r="J379" s="14">
        <v>184</v>
      </c>
      <c r="K379" s="14">
        <v>0</v>
      </c>
      <c r="L379" s="14">
        <v>2</v>
      </c>
      <c r="M379" s="14">
        <v>0</v>
      </c>
      <c r="N379" s="14">
        <v>3</v>
      </c>
      <c r="O379" s="14">
        <v>0</v>
      </c>
      <c r="P379" s="14"/>
      <c r="Q379" s="14"/>
      <c r="R379" s="14"/>
    </row>
    <row r="380" spans="1:18">
      <c r="A380" s="8"/>
      <c r="B380" s="14">
        <v>3510</v>
      </c>
      <c r="C380" s="14">
        <v>434</v>
      </c>
      <c r="D380" s="14">
        <v>25</v>
      </c>
      <c r="E380" s="14">
        <v>0</v>
      </c>
      <c r="F380" s="14" t="s">
        <v>1739</v>
      </c>
      <c r="G380" s="14"/>
      <c r="H380" s="14">
        <v>2</v>
      </c>
      <c r="I380" s="14">
        <v>3</v>
      </c>
      <c r="J380" s="14">
        <v>184</v>
      </c>
      <c r="K380" s="14">
        <v>0</v>
      </c>
      <c r="L380" s="14">
        <v>2</v>
      </c>
      <c r="M380" s="14">
        <v>0</v>
      </c>
      <c r="N380" s="14">
        <v>3</v>
      </c>
      <c r="O380" s="14">
        <v>0</v>
      </c>
      <c r="P380" s="14"/>
      <c r="Q380" s="14"/>
      <c r="R380" s="14"/>
    </row>
    <row r="381" spans="1:18">
      <c r="A381" s="8"/>
      <c r="B381" s="14">
        <v>3511</v>
      </c>
      <c r="C381" s="14">
        <v>462</v>
      </c>
      <c r="D381" s="14">
        <v>25</v>
      </c>
      <c r="E381" s="14">
        <v>0</v>
      </c>
      <c r="F381" s="14" t="s">
        <v>832</v>
      </c>
      <c r="G381" s="14"/>
      <c r="H381" s="14">
        <v>2</v>
      </c>
      <c r="I381" s="14">
        <v>3</v>
      </c>
      <c r="J381" s="14">
        <v>200</v>
      </c>
      <c r="K381" s="14">
        <v>0</v>
      </c>
      <c r="L381" s="14">
        <v>2</v>
      </c>
      <c r="M381" s="14">
        <v>0</v>
      </c>
      <c r="N381" s="14">
        <v>3</v>
      </c>
      <c r="O381" s="14">
        <v>0</v>
      </c>
      <c r="P381" s="14"/>
      <c r="Q381" s="14"/>
      <c r="R381" s="14"/>
    </row>
    <row r="382" spans="1:18">
      <c r="A382" s="8"/>
      <c r="B382" s="14">
        <v>3601</v>
      </c>
      <c r="C382" s="14">
        <v>88</v>
      </c>
      <c r="D382" s="14">
        <v>26</v>
      </c>
      <c r="E382" s="14">
        <v>0</v>
      </c>
      <c r="F382" s="14" t="s">
        <v>283</v>
      </c>
      <c r="G382" s="14"/>
      <c r="H382" s="14">
        <v>0</v>
      </c>
      <c r="I382" s="14">
        <v>0</v>
      </c>
      <c r="J382" s="14">
        <v>0</v>
      </c>
      <c r="K382" s="14">
        <v>0</v>
      </c>
      <c r="L382" s="14">
        <v>7</v>
      </c>
      <c r="M382" s="14">
        <v>0</v>
      </c>
      <c r="N382" s="14">
        <v>1</v>
      </c>
      <c r="O382" s="14">
        <v>0</v>
      </c>
      <c r="P382" s="14"/>
      <c r="Q382" s="14"/>
      <c r="R382" s="14"/>
    </row>
    <row r="383" spans="1:18">
      <c r="A383" s="8"/>
      <c r="B383" s="14">
        <v>3602</v>
      </c>
      <c r="C383" s="14">
        <v>217</v>
      </c>
      <c r="D383" s="14">
        <v>26</v>
      </c>
      <c r="E383" s="14">
        <v>0</v>
      </c>
      <c r="F383" s="14" t="s">
        <v>566</v>
      </c>
      <c r="G383" s="14"/>
      <c r="H383" s="14">
        <v>0</v>
      </c>
      <c r="I383" s="14">
        <v>0</v>
      </c>
      <c r="J383" s="14">
        <v>0</v>
      </c>
      <c r="K383" s="14">
        <v>0</v>
      </c>
      <c r="L383" s="14">
        <v>7</v>
      </c>
      <c r="M383" s="14">
        <v>0</v>
      </c>
      <c r="N383" s="14">
        <v>1</v>
      </c>
      <c r="O383" s="14">
        <v>0</v>
      </c>
      <c r="P383" s="14"/>
      <c r="Q383" s="14"/>
      <c r="R383" s="14"/>
    </row>
    <row r="384" spans="1:18">
      <c r="A384" s="8"/>
      <c r="B384" s="14">
        <v>3603</v>
      </c>
      <c r="C384" s="14">
        <v>267</v>
      </c>
      <c r="D384" s="14">
        <v>26</v>
      </c>
      <c r="E384" s="14">
        <v>0</v>
      </c>
      <c r="F384" s="14" t="s">
        <v>289</v>
      </c>
      <c r="G384" s="14"/>
      <c r="H384" s="14">
        <v>0</v>
      </c>
      <c r="I384" s="14">
        <v>0</v>
      </c>
      <c r="J384" s="14">
        <v>0</v>
      </c>
      <c r="K384" s="14">
        <v>0</v>
      </c>
      <c r="L384" s="14">
        <v>7</v>
      </c>
      <c r="M384" s="14">
        <v>0</v>
      </c>
      <c r="N384" s="14">
        <v>1</v>
      </c>
      <c r="O384" s="14">
        <v>0</v>
      </c>
      <c r="P384" s="14"/>
      <c r="Q384" s="14"/>
      <c r="R384" s="14"/>
    </row>
    <row r="385" spans="1:18">
      <c r="A385" s="8"/>
      <c r="B385" s="14">
        <v>3604</v>
      </c>
      <c r="C385" s="14">
        <v>346</v>
      </c>
      <c r="D385" s="14">
        <v>26</v>
      </c>
      <c r="E385" s="14">
        <v>0</v>
      </c>
      <c r="F385" s="14" t="s">
        <v>311</v>
      </c>
      <c r="G385" s="14"/>
      <c r="H385" s="14">
        <v>0</v>
      </c>
      <c r="I385" s="14">
        <v>0</v>
      </c>
      <c r="J385" s="14">
        <v>0</v>
      </c>
      <c r="K385" s="14">
        <v>0</v>
      </c>
      <c r="L385" s="14">
        <v>7</v>
      </c>
      <c r="M385" s="14">
        <v>0</v>
      </c>
      <c r="N385" s="14">
        <v>1</v>
      </c>
      <c r="O385" s="14">
        <v>0</v>
      </c>
      <c r="P385" s="14"/>
      <c r="Q385" s="14"/>
      <c r="R385" s="14"/>
    </row>
    <row r="386" spans="1:18">
      <c r="A386" s="8"/>
      <c r="B386" s="14">
        <v>3605</v>
      </c>
      <c r="C386" s="14">
        <v>371</v>
      </c>
      <c r="D386" s="14">
        <v>26</v>
      </c>
      <c r="E386" s="14">
        <v>0</v>
      </c>
      <c r="F386" s="14" t="s">
        <v>291</v>
      </c>
      <c r="G386" s="14"/>
      <c r="H386" s="14">
        <v>0</v>
      </c>
      <c r="I386" s="14">
        <v>0</v>
      </c>
      <c r="J386" s="14">
        <v>0</v>
      </c>
      <c r="K386" s="14">
        <v>0</v>
      </c>
      <c r="L386" s="14">
        <v>7</v>
      </c>
      <c r="M386" s="14">
        <v>0</v>
      </c>
      <c r="N386" s="14">
        <v>1</v>
      </c>
      <c r="O386" s="14">
        <v>0</v>
      </c>
      <c r="P386" s="14"/>
      <c r="Q386" s="14"/>
      <c r="R386" s="14"/>
    </row>
    <row r="387" spans="1:18">
      <c r="A387" s="8"/>
      <c r="B387" s="14">
        <v>3606</v>
      </c>
      <c r="C387" s="14">
        <v>380</v>
      </c>
      <c r="D387" s="14">
        <v>26</v>
      </c>
      <c r="E387" s="14">
        <v>0</v>
      </c>
      <c r="F387" s="14" t="s">
        <v>316</v>
      </c>
      <c r="G387" s="14"/>
      <c r="H387" s="14">
        <v>0</v>
      </c>
      <c r="I387" s="14">
        <v>0</v>
      </c>
      <c r="J387" s="14">
        <v>0</v>
      </c>
      <c r="K387" s="14">
        <v>0</v>
      </c>
      <c r="L387" s="14">
        <v>7</v>
      </c>
      <c r="M387" s="14">
        <v>0</v>
      </c>
      <c r="N387" s="14">
        <v>1</v>
      </c>
      <c r="O387" s="14">
        <v>0</v>
      </c>
      <c r="P387" s="14">
        <v>999</v>
      </c>
      <c r="Q387" s="14"/>
      <c r="R387" s="14"/>
    </row>
    <row r="388" spans="1:18">
      <c r="A388" s="8"/>
      <c r="B388" s="14">
        <v>3607</v>
      </c>
      <c r="C388" s="14">
        <v>404</v>
      </c>
      <c r="D388" s="14">
        <v>26</v>
      </c>
      <c r="E388" s="14">
        <v>0</v>
      </c>
      <c r="F388" s="14" t="s">
        <v>573</v>
      </c>
      <c r="G388" s="14"/>
      <c r="H388" s="14">
        <v>0</v>
      </c>
      <c r="I388" s="14">
        <v>0</v>
      </c>
      <c r="J388" s="14">
        <v>0</v>
      </c>
      <c r="K388" s="14">
        <v>0</v>
      </c>
      <c r="L388" s="14">
        <v>7</v>
      </c>
      <c r="M388" s="14">
        <v>0</v>
      </c>
      <c r="N388" s="14">
        <v>1</v>
      </c>
      <c r="O388" s="14">
        <v>0</v>
      </c>
      <c r="P388" s="14"/>
      <c r="Q388" s="14"/>
      <c r="R388" s="14"/>
    </row>
    <row r="389" spans="1:18">
      <c r="A389" s="8"/>
      <c r="B389" s="14">
        <v>3608</v>
      </c>
      <c r="C389" s="14">
        <v>472</v>
      </c>
      <c r="D389" s="14">
        <v>26</v>
      </c>
      <c r="E389" s="14">
        <v>0</v>
      </c>
      <c r="F389" s="14" t="s">
        <v>1499</v>
      </c>
      <c r="G389" s="14"/>
      <c r="H389" s="14">
        <v>0</v>
      </c>
      <c r="I389" s="14">
        <v>0</v>
      </c>
      <c r="J389" s="14">
        <v>0</v>
      </c>
      <c r="K389" s="14">
        <v>0</v>
      </c>
      <c r="L389" s="14">
        <v>7</v>
      </c>
      <c r="M389" s="14">
        <v>0</v>
      </c>
      <c r="N389" s="14">
        <v>1</v>
      </c>
      <c r="O389" s="14">
        <v>0</v>
      </c>
      <c r="P389" s="14"/>
      <c r="Q389" s="14"/>
      <c r="R389" s="14"/>
    </row>
    <row r="390" spans="1:18">
      <c r="A390" s="8"/>
      <c r="B390" s="14">
        <v>3609</v>
      </c>
      <c r="C390" s="14">
        <v>495</v>
      </c>
      <c r="D390" s="14">
        <v>26</v>
      </c>
      <c r="E390" s="14">
        <v>0</v>
      </c>
      <c r="F390" s="14" t="s">
        <v>1760</v>
      </c>
      <c r="G390" s="14"/>
      <c r="H390" s="14">
        <v>0</v>
      </c>
      <c r="I390" s="14">
        <v>0</v>
      </c>
      <c r="J390" s="14">
        <v>0</v>
      </c>
      <c r="K390" s="14">
        <v>0</v>
      </c>
      <c r="L390" s="14">
        <v>4</v>
      </c>
      <c r="M390" s="14">
        <v>0</v>
      </c>
      <c r="N390" s="14">
        <v>1</v>
      </c>
      <c r="O390" s="14">
        <v>0</v>
      </c>
      <c r="P390" s="14"/>
      <c r="Q390" s="14"/>
      <c r="R390" s="14"/>
    </row>
    <row r="391" spans="1:18">
      <c r="A391" s="8"/>
      <c r="B391" s="14">
        <v>3610</v>
      </c>
      <c r="C391" s="14">
        <v>515</v>
      </c>
      <c r="D391" s="14">
        <v>26</v>
      </c>
      <c r="E391" s="14">
        <v>0</v>
      </c>
      <c r="F391" s="14" t="s">
        <v>1837</v>
      </c>
      <c r="G391" s="14"/>
      <c r="H391" s="14">
        <v>0</v>
      </c>
      <c r="I391" s="14">
        <v>0</v>
      </c>
      <c r="J391" s="14">
        <v>0</v>
      </c>
      <c r="K391" s="14">
        <v>0</v>
      </c>
      <c r="L391" s="14">
        <v>7</v>
      </c>
      <c r="M391" s="14">
        <v>0</v>
      </c>
      <c r="N391" s="14">
        <v>1</v>
      </c>
      <c r="O391" s="14">
        <v>0</v>
      </c>
      <c r="P391" s="14">
        <v>999</v>
      </c>
      <c r="Q391" s="14"/>
      <c r="R391" s="14"/>
    </row>
    <row r="392" spans="1:18">
      <c r="A392" s="8"/>
      <c r="B392" s="13">
        <v>3611</v>
      </c>
      <c r="C392" s="14">
        <v>585</v>
      </c>
      <c r="D392" s="13">
        <v>26</v>
      </c>
      <c r="E392" s="13">
        <v>0</v>
      </c>
      <c r="F392" s="13" t="s">
        <v>2449</v>
      </c>
      <c r="G392" s="13"/>
      <c r="H392" s="14">
        <v>0</v>
      </c>
      <c r="I392" s="14">
        <v>0</v>
      </c>
      <c r="J392" s="13">
        <v>0</v>
      </c>
      <c r="K392" s="14">
        <v>0</v>
      </c>
      <c r="L392" s="14">
        <v>7</v>
      </c>
      <c r="M392" s="13">
        <v>0</v>
      </c>
      <c r="N392" s="14">
        <v>1</v>
      </c>
      <c r="O392" s="14">
        <v>0</v>
      </c>
      <c r="P392" s="13"/>
      <c r="Q392" s="13"/>
    </row>
    <row r="393" spans="1:18">
      <c r="A393" s="8"/>
      <c r="B393" s="14">
        <v>3701</v>
      </c>
      <c r="C393" s="14">
        <v>487</v>
      </c>
      <c r="D393" s="14">
        <v>27</v>
      </c>
      <c r="E393" s="14">
        <v>0</v>
      </c>
      <c r="F393" s="14" t="s">
        <v>1752</v>
      </c>
      <c r="G393" s="14"/>
      <c r="H393" s="14">
        <v>2</v>
      </c>
      <c r="I393" s="14">
        <v>3</v>
      </c>
      <c r="J393" s="14">
        <v>160</v>
      </c>
      <c r="K393" s="14">
        <v>1</v>
      </c>
      <c r="L393" s="14">
        <v>2</v>
      </c>
      <c r="M393" s="14">
        <v>0</v>
      </c>
      <c r="N393" s="14">
        <v>3</v>
      </c>
      <c r="O393" s="14">
        <v>0</v>
      </c>
      <c r="P393" s="14"/>
      <c r="Q393" s="14"/>
      <c r="R393" s="14"/>
    </row>
    <row r="394" spans="1:18">
      <c r="A394" s="8"/>
      <c r="B394" s="14">
        <v>4001</v>
      </c>
      <c r="C394" s="14">
        <v>470</v>
      </c>
      <c r="D394" s="14">
        <v>30</v>
      </c>
      <c r="E394" s="14">
        <v>0</v>
      </c>
      <c r="F394" s="14" t="s">
        <v>1643</v>
      </c>
      <c r="G394" s="14"/>
      <c r="H394" s="14">
        <v>0</v>
      </c>
      <c r="I394" s="14">
        <v>0</v>
      </c>
      <c r="J394" s="14">
        <v>0</v>
      </c>
      <c r="K394" s="14">
        <v>1</v>
      </c>
      <c r="L394" s="14">
        <v>7</v>
      </c>
      <c r="M394" s="14">
        <v>0</v>
      </c>
      <c r="N394" s="14">
        <v>0</v>
      </c>
      <c r="O394" s="14">
        <v>0</v>
      </c>
      <c r="P394" s="14"/>
      <c r="Q394" s="14"/>
      <c r="R394" s="14"/>
    </row>
    <row r="395" spans="1:18">
      <c r="A395" s="8"/>
      <c r="B395" s="14">
        <v>4201</v>
      </c>
      <c r="C395" s="14">
        <v>503</v>
      </c>
      <c r="D395" s="14">
        <v>32</v>
      </c>
      <c r="E395" s="14">
        <v>0</v>
      </c>
      <c r="F395" s="14" t="s">
        <v>1942</v>
      </c>
      <c r="G395" s="14"/>
      <c r="H395" s="14">
        <v>0</v>
      </c>
      <c r="I395" s="14">
        <v>0</v>
      </c>
      <c r="J395" s="14">
        <v>0</v>
      </c>
      <c r="K395" s="14">
        <v>1</v>
      </c>
      <c r="L395" s="14">
        <v>7</v>
      </c>
      <c r="M395" s="14">
        <v>0</v>
      </c>
      <c r="N395" s="14">
        <v>0</v>
      </c>
      <c r="O395" s="14">
        <v>0</v>
      </c>
      <c r="P395" s="14"/>
      <c r="Q395" s="14"/>
      <c r="R395" s="14"/>
    </row>
    <row r="396" spans="1:18">
      <c r="A396" s="8"/>
      <c r="B396" s="14">
        <v>4202</v>
      </c>
      <c r="C396" s="14">
        <v>581</v>
      </c>
      <c r="D396" s="14">
        <v>32</v>
      </c>
      <c r="E396" s="14">
        <v>0</v>
      </c>
      <c r="F396" s="14" t="s">
        <v>2379</v>
      </c>
      <c r="G396" s="14"/>
      <c r="H396" s="14">
        <v>0</v>
      </c>
      <c r="I396" s="14">
        <v>0</v>
      </c>
      <c r="J396" s="14">
        <v>0</v>
      </c>
      <c r="K396" s="14">
        <v>1</v>
      </c>
      <c r="L396" s="14">
        <v>7</v>
      </c>
      <c r="M396" s="14">
        <v>0</v>
      </c>
      <c r="N396" s="14">
        <v>0</v>
      </c>
      <c r="O396" s="14">
        <v>0</v>
      </c>
      <c r="P396" s="14"/>
      <c r="Q396" s="14"/>
      <c r="R396" s="14"/>
    </row>
    <row r="397" spans="1:18">
      <c r="A397" s="8"/>
      <c r="B397" s="14">
        <v>4301</v>
      </c>
      <c r="C397" s="14">
        <v>523</v>
      </c>
      <c r="D397" s="14">
        <v>33</v>
      </c>
      <c r="E397" s="14">
        <v>0</v>
      </c>
      <c r="F397" s="14" t="s">
        <v>1935</v>
      </c>
      <c r="G397" s="14"/>
      <c r="H397" s="14">
        <v>30</v>
      </c>
      <c r="I397" s="14">
        <v>30</v>
      </c>
      <c r="J397" s="14">
        <v>0</v>
      </c>
      <c r="K397" s="14">
        <v>1</v>
      </c>
      <c r="L397" s="14">
        <v>8</v>
      </c>
      <c r="M397" s="14">
        <v>0</v>
      </c>
      <c r="N397" s="14">
        <v>3</v>
      </c>
      <c r="O397" s="14">
        <v>0</v>
      </c>
      <c r="P397" s="14"/>
      <c r="Q397" s="14"/>
      <c r="R397" s="14"/>
    </row>
  </sheetData>
  <autoFilter ref="B6:R398" xr:uid="{912709C0-2233-4DB6-B07B-7541D7A38096}"/>
  <phoneticPr fontId="1"/>
  <dataValidations count="1">
    <dataValidation type="list" allowBlank="1" showInputMessage="1" showErrorMessage="1" sqref="A7:A397"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2466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2465</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2435</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2436</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2033</v>
      </c>
      <c r="F233" s="11" t="s">
        <v>2037</v>
      </c>
      <c r="G233" s="14">
        <v>7</v>
      </c>
      <c r="H233" s="14">
        <v>0</v>
      </c>
      <c r="I233" s="14"/>
      <c r="J233" s="14">
        <v>6</v>
      </c>
      <c r="K233" s="14"/>
      <c r="L233" s="14"/>
      <c r="M233" s="14"/>
      <c r="N233" s="14">
        <v>1507</v>
      </c>
      <c r="O233" s="14"/>
      <c r="P233" s="14">
        <v>1115</v>
      </c>
    </row>
    <row r="234" spans="1:16">
      <c r="A234" s="8"/>
      <c r="B234" s="14">
        <v>5078</v>
      </c>
      <c r="C234" s="14">
        <v>36</v>
      </c>
      <c r="D234" s="14">
        <v>2</v>
      </c>
      <c r="E234" s="11" t="s">
        <v>2087</v>
      </c>
      <c r="F234" s="11" t="s">
        <v>2088</v>
      </c>
      <c r="G234" s="14">
        <v>2</v>
      </c>
      <c r="H234" s="14">
        <v>3</v>
      </c>
      <c r="I234" s="14"/>
      <c r="J234" s="14">
        <v>1</v>
      </c>
      <c r="K234" s="14"/>
      <c r="L234" s="14"/>
      <c r="M234" s="14"/>
      <c r="N234" s="14">
        <v>9</v>
      </c>
      <c r="O234" s="14"/>
      <c r="P234" s="14"/>
    </row>
    <row r="235" spans="1:16">
      <c r="A235" s="8"/>
      <c r="B235" s="14">
        <v>5079</v>
      </c>
      <c r="C235" s="14">
        <v>22</v>
      </c>
      <c r="D235" s="14">
        <v>2</v>
      </c>
      <c r="E235" s="11" t="s">
        <v>2101</v>
      </c>
      <c r="F235" s="11" t="s">
        <v>2102</v>
      </c>
      <c r="G235" s="14">
        <v>4</v>
      </c>
      <c r="H235" s="14">
        <v>0</v>
      </c>
      <c r="I235" s="14"/>
      <c r="J235" s="14">
        <v>2</v>
      </c>
      <c r="K235" s="14"/>
      <c r="L235" s="14"/>
      <c r="M235" s="14"/>
      <c r="N235" s="14">
        <v>1115</v>
      </c>
      <c r="O235" s="14"/>
      <c r="P235" s="14">
        <v>1112</v>
      </c>
    </row>
    <row r="236" spans="1:16">
      <c r="A236" s="8"/>
      <c r="B236" s="14">
        <v>5080</v>
      </c>
      <c r="C236" s="14">
        <v>105</v>
      </c>
      <c r="D236" s="14">
        <v>2</v>
      </c>
      <c r="E236" s="11" t="s">
        <v>2319</v>
      </c>
      <c r="F236" s="11" t="s">
        <v>2320</v>
      </c>
      <c r="G236" s="14">
        <v>4</v>
      </c>
      <c r="H236" s="14">
        <v>0</v>
      </c>
      <c r="I236" s="14"/>
      <c r="J236" s="14">
        <v>2</v>
      </c>
      <c r="K236" s="14"/>
      <c r="L236" s="14"/>
      <c r="M236" s="14"/>
      <c r="N236" s="14">
        <v>1511</v>
      </c>
      <c r="O236" s="14"/>
      <c r="P236" s="14">
        <v>1134</v>
      </c>
    </row>
    <row r="237" spans="1:16">
      <c r="A237" s="8"/>
      <c r="B237" s="14">
        <v>5081</v>
      </c>
      <c r="C237" s="14">
        <v>45</v>
      </c>
      <c r="D237" s="14">
        <v>2</v>
      </c>
      <c r="E237" s="11" t="s">
        <v>2432</v>
      </c>
      <c r="F237" s="11" t="s">
        <v>2453</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topLeftCell="F1" zoomScale="85" zoomScaleNormal="85" workbookViewId="0">
      <pane ySplit="6" topLeftCell="A7"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2468</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2454</v>
      </c>
      <c r="D102" s="11" t="s">
        <v>2461</v>
      </c>
      <c r="E102" s="11" t="s">
        <v>2461</v>
      </c>
      <c r="F102" s="14">
        <v>1</v>
      </c>
      <c r="G102" s="14">
        <v>0</v>
      </c>
      <c r="H102" s="14" t="s">
        <v>2462</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2150</v>
      </c>
      <c r="D105" s="11" t="s">
        <v>2055</v>
      </c>
      <c r="E105" s="11" t="s">
        <v>2056</v>
      </c>
      <c r="F105" s="14">
        <v>99</v>
      </c>
      <c r="G105" s="14">
        <v>0</v>
      </c>
      <c r="H105" s="14"/>
      <c r="I105" s="23">
        <v>6</v>
      </c>
      <c r="J105" s="14">
        <v>0</v>
      </c>
      <c r="K105" s="14">
        <v>0</v>
      </c>
      <c r="L105" s="14">
        <v>0</v>
      </c>
      <c r="M105" s="14">
        <v>27</v>
      </c>
      <c r="N105" s="14">
        <v>15</v>
      </c>
      <c r="O105" s="14"/>
    </row>
    <row r="106" spans="1:15">
      <c r="A106" s="8"/>
      <c r="B106" s="14">
        <v>604</v>
      </c>
      <c r="C106" s="11" t="s">
        <v>2429</v>
      </c>
      <c r="D106" s="11" t="s">
        <v>2430</v>
      </c>
      <c r="E106" s="11" t="s">
        <v>2430</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2363</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2129</v>
      </c>
      <c r="D119" s="11" t="s">
        <v>2130</v>
      </c>
      <c r="E119" s="11" t="s">
        <v>700</v>
      </c>
      <c r="F119" s="14">
        <v>0</v>
      </c>
      <c r="G119" s="14">
        <v>3</v>
      </c>
      <c r="H119" s="14"/>
      <c r="I119" s="23">
        <v>7</v>
      </c>
      <c r="J119" s="14">
        <v>0</v>
      </c>
      <c r="K119" s="14">
        <v>0</v>
      </c>
      <c r="L119" s="14">
        <v>0</v>
      </c>
      <c r="M119" s="14">
        <v>8</v>
      </c>
      <c r="N119" s="14"/>
      <c r="O119" s="14">
        <v>0</v>
      </c>
    </row>
    <row r="120" spans="1:15">
      <c r="A120" s="8"/>
      <c r="B120" s="14">
        <v>1016</v>
      </c>
      <c r="C120" s="11" t="s">
        <v>2071</v>
      </c>
      <c r="D120" s="11" t="s">
        <v>2131</v>
      </c>
      <c r="E120" s="11" t="s">
        <v>700</v>
      </c>
      <c r="F120" s="14">
        <v>0</v>
      </c>
      <c r="G120" s="14">
        <v>3</v>
      </c>
      <c r="H120" s="14"/>
      <c r="I120" s="23">
        <v>6</v>
      </c>
      <c r="J120" s="14">
        <v>0</v>
      </c>
      <c r="K120" s="14">
        <v>0</v>
      </c>
      <c r="L120" s="14">
        <v>0</v>
      </c>
      <c r="M120" s="14">
        <v>12</v>
      </c>
      <c r="N120" s="14">
        <v>1</v>
      </c>
      <c r="O120" s="14"/>
    </row>
    <row r="121" spans="1:15">
      <c r="A121" s="8"/>
      <c r="B121" s="14">
        <v>1017</v>
      </c>
      <c r="C121" s="11" t="s">
        <v>2333</v>
      </c>
      <c r="D121" s="11" t="s">
        <v>2334</v>
      </c>
      <c r="E121" s="11" t="s">
        <v>700</v>
      </c>
      <c r="F121" s="14">
        <v>0</v>
      </c>
      <c r="G121" s="14">
        <v>3</v>
      </c>
      <c r="H121" s="14"/>
      <c r="I121" s="23">
        <v>8</v>
      </c>
      <c r="J121" s="14">
        <v>0</v>
      </c>
      <c r="K121" s="14">
        <v>0</v>
      </c>
      <c r="L121" s="14">
        <v>0</v>
      </c>
      <c r="M121" s="14">
        <v>12</v>
      </c>
      <c r="N121" s="14">
        <v>2</v>
      </c>
      <c r="O121" s="14"/>
    </row>
    <row r="122" spans="1:15">
      <c r="A122" s="8"/>
      <c r="B122" s="14">
        <v>1018</v>
      </c>
      <c r="C122" s="11" t="s">
        <v>2380</v>
      </c>
      <c r="D122" s="11" t="s">
        <v>2381</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2132</v>
      </c>
      <c r="E142" s="11" t="s">
        <v>700</v>
      </c>
      <c r="F142" s="14">
        <v>1</v>
      </c>
      <c r="G142" s="14">
        <v>3</v>
      </c>
      <c r="H142" s="14" t="s">
        <v>2133</v>
      </c>
      <c r="I142" s="23">
        <v>6</v>
      </c>
      <c r="J142" s="14">
        <v>0</v>
      </c>
      <c r="K142" s="14">
        <v>0</v>
      </c>
      <c r="L142" s="14">
        <v>0</v>
      </c>
      <c r="M142" s="14">
        <v>0</v>
      </c>
      <c r="N142" s="14">
        <v>0</v>
      </c>
      <c r="O142" s="14"/>
    </row>
    <row r="143" spans="1:15">
      <c r="A143" s="8"/>
      <c r="B143" s="14">
        <v>1131</v>
      </c>
      <c r="C143" s="11" t="s">
        <v>2095</v>
      </c>
      <c r="D143" s="11" t="s">
        <v>2134</v>
      </c>
      <c r="E143" s="11" t="s">
        <v>700</v>
      </c>
      <c r="F143" s="14">
        <v>1</v>
      </c>
      <c r="G143" s="14">
        <v>3</v>
      </c>
      <c r="H143" s="14" t="s">
        <v>2135</v>
      </c>
      <c r="I143" s="23">
        <v>4</v>
      </c>
      <c r="J143" s="14">
        <v>0</v>
      </c>
      <c r="K143" s="14">
        <v>0</v>
      </c>
      <c r="L143" s="14">
        <v>0</v>
      </c>
      <c r="M143" s="14">
        <v>14</v>
      </c>
      <c r="N143" s="14">
        <v>5</v>
      </c>
      <c r="O143" s="14"/>
    </row>
    <row r="144" spans="1:15">
      <c r="A144" s="8"/>
      <c r="B144" s="14">
        <v>1132</v>
      </c>
      <c r="C144" s="11" t="s">
        <v>2158</v>
      </c>
      <c r="D144" s="11" t="s">
        <v>2161</v>
      </c>
      <c r="E144" s="11"/>
      <c r="F144" s="14">
        <v>1</v>
      </c>
      <c r="G144" s="14">
        <v>1</v>
      </c>
      <c r="H144" s="14" t="s">
        <v>1183</v>
      </c>
      <c r="I144" s="23">
        <v>4</v>
      </c>
      <c r="J144" s="14">
        <v>0</v>
      </c>
      <c r="K144" s="14">
        <v>0</v>
      </c>
      <c r="L144" s="14">
        <v>0</v>
      </c>
      <c r="M144" s="14">
        <v>14</v>
      </c>
      <c r="N144" s="14">
        <v>10</v>
      </c>
      <c r="O144" s="14"/>
    </row>
    <row r="145" spans="1:15">
      <c r="A145" s="8"/>
      <c r="B145" s="14">
        <v>1133</v>
      </c>
      <c r="C145" s="11" t="s">
        <v>2170</v>
      </c>
      <c r="D145" s="11" t="s">
        <v>2171</v>
      </c>
      <c r="E145" s="11" t="s">
        <v>700</v>
      </c>
      <c r="F145" s="14">
        <v>1</v>
      </c>
      <c r="G145" s="14">
        <v>3</v>
      </c>
      <c r="H145" s="14" t="s">
        <v>2172</v>
      </c>
      <c r="I145" s="23">
        <v>4</v>
      </c>
      <c r="J145" s="14">
        <v>0</v>
      </c>
      <c r="K145" s="14">
        <v>0</v>
      </c>
      <c r="L145" s="14">
        <v>0</v>
      </c>
      <c r="M145" s="14">
        <v>12</v>
      </c>
      <c r="N145" s="14">
        <v>2</v>
      </c>
      <c r="O145" s="14"/>
    </row>
    <row r="146" spans="1:15">
      <c r="A146" s="8"/>
      <c r="B146" s="14">
        <v>1134</v>
      </c>
      <c r="C146" s="11" t="s">
        <v>2321</v>
      </c>
      <c r="D146" s="11" t="s">
        <v>2322</v>
      </c>
      <c r="E146" s="11" t="s">
        <v>700</v>
      </c>
      <c r="F146" s="14">
        <v>1</v>
      </c>
      <c r="G146" s="14">
        <v>2</v>
      </c>
      <c r="H146" s="14"/>
      <c r="I146" s="23">
        <v>4</v>
      </c>
      <c r="J146" s="14">
        <v>0</v>
      </c>
      <c r="K146" s="14">
        <v>0</v>
      </c>
      <c r="L146" s="14">
        <v>0</v>
      </c>
      <c r="M146" s="14">
        <v>13</v>
      </c>
      <c r="N146" s="14">
        <v>5</v>
      </c>
      <c r="O146" s="14"/>
    </row>
    <row r="147" spans="1:15">
      <c r="A147" s="8"/>
      <c r="B147" s="14">
        <v>1135</v>
      </c>
      <c r="C147" s="11" t="s">
        <v>2330</v>
      </c>
      <c r="D147" s="11" t="s">
        <v>2331</v>
      </c>
      <c r="E147" s="11"/>
      <c r="F147" s="14">
        <v>1</v>
      </c>
      <c r="G147" s="14">
        <v>3</v>
      </c>
      <c r="H147" s="14" t="s">
        <v>2332</v>
      </c>
      <c r="I147" s="23">
        <v>7</v>
      </c>
      <c r="J147" s="14">
        <v>0</v>
      </c>
      <c r="K147" s="14">
        <v>0</v>
      </c>
      <c r="L147" s="14">
        <v>0</v>
      </c>
      <c r="M147" s="14">
        <v>12</v>
      </c>
      <c r="N147" s="14">
        <v>1</v>
      </c>
      <c r="O147" s="14"/>
    </row>
    <row r="148" spans="1:15">
      <c r="A148" s="8"/>
      <c r="B148" s="14">
        <v>1136</v>
      </c>
      <c r="C148" s="11" t="s">
        <v>2446</v>
      </c>
      <c r="D148" s="11" t="s">
        <v>2447</v>
      </c>
      <c r="E148" s="11"/>
      <c r="F148" s="14">
        <v>1</v>
      </c>
      <c r="G148" s="14">
        <v>3</v>
      </c>
      <c r="H148" s="14" t="s">
        <v>2448</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2136</v>
      </c>
      <c r="D152" s="11" t="s">
        <v>2137</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2445</v>
      </c>
      <c r="D153" s="11" t="s">
        <v>2444</v>
      </c>
      <c r="E153" s="11"/>
      <c r="F153" s="14">
        <v>4</v>
      </c>
      <c r="G153" s="14">
        <v>1</v>
      </c>
      <c r="H153" s="14"/>
      <c r="I153" s="23">
        <v>7</v>
      </c>
      <c r="J153" s="14">
        <v>0</v>
      </c>
      <c r="K153" s="14">
        <v>0</v>
      </c>
      <c r="L153" s="14">
        <v>0</v>
      </c>
      <c r="M153" s="14">
        <v>30</v>
      </c>
      <c r="N153" s="14">
        <v>2</v>
      </c>
      <c r="O153" s="14"/>
    </row>
    <row r="154" spans="1:15">
      <c r="A154" s="8"/>
      <c r="B154" s="14">
        <v>1402</v>
      </c>
      <c r="C154" s="11" t="s">
        <v>2463</v>
      </c>
      <c r="D154" s="11" t="s">
        <v>2464</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2138</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2139</v>
      </c>
      <c r="D170" s="11" t="s">
        <v>2140</v>
      </c>
      <c r="E170" s="11" t="s">
        <v>700</v>
      </c>
      <c r="F170" s="14">
        <v>99</v>
      </c>
      <c r="G170" s="14">
        <v>3</v>
      </c>
      <c r="H170" s="14"/>
      <c r="I170" s="23">
        <v>7</v>
      </c>
      <c r="J170" s="14">
        <v>0</v>
      </c>
      <c r="K170" s="14">
        <v>0</v>
      </c>
      <c r="L170" s="14">
        <v>0</v>
      </c>
      <c r="M170" s="14">
        <v>0</v>
      </c>
      <c r="N170" s="14">
        <v>1</v>
      </c>
      <c r="O170" s="14"/>
    </row>
    <row r="171" spans="1:15">
      <c r="A171" s="8"/>
      <c r="B171" s="14">
        <v>1517</v>
      </c>
      <c r="C171" s="11" t="s">
        <v>2141</v>
      </c>
      <c r="D171" s="11" t="s">
        <v>2140</v>
      </c>
      <c r="E171" s="11" t="s">
        <v>700</v>
      </c>
      <c r="F171" s="14">
        <v>99</v>
      </c>
      <c r="G171" s="14">
        <v>3</v>
      </c>
      <c r="H171" s="14"/>
      <c r="I171" s="23">
        <v>7</v>
      </c>
      <c r="J171" s="14">
        <v>0</v>
      </c>
      <c r="K171" s="14">
        <v>0</v>
      </c>
      <c r="L171" s="14">
        <v>0</v>
      </c>
      <c r="M171" s="14">
        <v>0</v>
      </c>
      <c r="N171" s="14">
        <v>1</v>
      </c>
      <c r="O171" s="14"/>
    </row>
    <row r="172" spans="1:15">
      <c r="A172" s="8"/>
      <c r="B172" s="14">
        <v>1518</v>
      </c>
      <c r="C172" s="11" t="s">
        <v>2142</v>
      </c>
      <c r="D172" s="11" t="s">
        <v>2143</v>
      </c>
      <c r="E172" s="11" t="s">
        <v>700</v>
      </c>
      <c r="F172" s="14">
        <v>99</v>
      </c>
      <c r="G172" s="14">
        <v>0</v>
      </c>
      <c r="H172" s="14"/>
      <c r="I172" s="23">
        <v>7</v>
      </c>
      <c r="J172" s="14">
        <v>0</v>
      </c>
      <c r="K172" s="14">
        <v>0</v>
      </c>
      <c r="L172" s="14">
        <v>0</v>
      </c>
      <c r="M172" s="14">
        <v>16</v>
      </c>
      <c r="N172" s="14">
        <v>2</v>
      </c>
      <c r="O172" s="14"/>
    </row>
    <row r="173" spans="1:15">
      <c r="A173" s="8"/>
      <c r="B173" s="14">
        <v>1519</v>
      </c>
      <c r="C173" s="11" t="s">
        <v>2072</v>
      </c>
      <c r="D173" s="11" t="s">
        <v>2144</v>
      </c>
      <c r="E173" s="11" t="s">
        <v>700</v>
      </c>
      <c r="F173" s="14">
        <v>99</v>
      </c>
      <c r="G173" s="14">
        <v>0</v>
      </c>
      <c r="H173" s="14"/>
      <c r="I173" s="23">
        <v>7</v>
      </c>
      <c r="J173" s="14">
        <v>0</v>
      </c>
      <c r="K173" s="14">
        <v>0</v>
      </c>
      <c r="L173" s="14">
        <v>0</v>
      </c>
      <c r="M173" s="14">
        <v>0</v>
      </c>
      <c r="N173" s="14">
        <v>1</v>
      </c>
      <c r="O173" s="14"/>
    </row>
    <row r="174" spans="1:15">
      <c r="A174" s="8"/>
      <c r="B174" s="14">
        <v>1520</v>
      </c>
      <c r="C174" s="11" t="s">
        <v>2073</v>
      </c>
      <c r="D174" s="11" t="s">
        <v>2145</v>
      </c>
      <c r="E174" s="11" t="s">
        <v>700</v>
      </c>
      <c r="F174" s="14">
        <v>99</v>
      </c>
      <c r="G174" s="14">
        <v>0</v>
      </c>
      <c r="H174" s="14"/>
      <c r="I174" s="23">
        <v>7</v>
      </c>
      <c r="J174" s="14">
        <v>0</v>
      </c>
      <c r="K174" s="14">
        <v>0</v>
      </c>
      <c r="L174" s="14">
        <v>0</v>
      </c>
      <c r="M174" s="14">
        <v>0</v>
      </c>
      <c r="N174" s="14">
        <v>1</v>
      </c>
      <c r="O174" s="14"/>
    </row>
    <row r="175" spans="1:15">
      <c r="A175" s="8"/>
      <c r="B175" s="14">
        <v>1521</v>
      </c>
      <c r="C175" s="11" t="s">
        <v>2146</v>
      </c>
      <c r="D175" s="11" t="s">
        <v>2147</v>
      </c>
      <c r="E175" s="11" t="s">
        <v>700</v>
      </c>
      <c r="F175" s="14">
        <v>99</v>
      </c>
      <c r="G175" s="14">
        <v>3</v>
      </c>
      <c r="H175" s="14" t="s">
        <v>2044</v>
      </c>
      <c r="I175" s="23">
        <v>7</v>
      </c>
      <c r="J175" s="14">
        <v>0</v>
      </c>
      <c r="K175" s="14">
        <v>0</v>
      </c>
      <c r="L175" s="14">
        <v>0</v>
      </c>
      <c r="M175" s="14">
        <v>15</v>
      </c>
      <c r="N175" s="14">
        <v>2</v>
      </c>
      <c r="O175" s="14"/>
    </row>
    <row r="176" spans="1:15">
      <c r="A176" s="8"/>
      <c r="B176" s="14">
        <v>1522</v>
      </c>
      <c r="C176" s="11" t="s">
        <v>2173</v>
      </c>
      <c r="D176" s="11" t="s">
        <v>2174</v>
      </c>
      <c r="E176" s="11" t="s">
        <v>700</v>
      </c>
      <c r="F176" s="14">
        <v>99</v>
      </c>
      <c r="G176" s="14">
        <v>3</v>
      </c>
      <c r="H176" s="14" t="s">
        <v>2172</v>
      </c>
      <c r="I176" s="23">
        <v>7</v>
      </c>
      <c r="J176" s="14">
        <v>0</v>
      </c>
      <c r="K176" s="14">
        <v>0</v>
      </c>
      <c r="L176" s="14">
        <v>0</v>
      </c>
      <c r="M176" s="14">
        <v>15</v>
      </c>
      <c r="N176" s="14">
        <v>2</v>
      </c>
      <c r="O176" s="14"/>
    </row>
    <row r="177" spans="1:15">
      <c r="A177" s="8"/>
      <c r="B177" s="14">
        <v>1523</v>
      </c>
      <c r="C177" s="11" t="s">
        <v>2344</v>
      </c>
      <c r="D177" s="11" t="s">
        <v>2345</v>
      </c>
      <c r="E177" s="11"/>
      <c r="F177" s="14">
        <v>99</v>
      </c>
      <c r="G177" s="14">
        <v>0</v>
      </c>
      <c r="H177" s="14"/>
      <c r="I177" s="23">
        <v>7</v>
      </c>
      <c r="J177" s="14">
        <v>0</v>
      </c>
      <c r="K177" s="14">
        <v>0</v>
      </c>
      <c r="L177" s="14">
        <v>0</v>
      </c>
      <c r="M177" s="14">
        <v>29</v>
      </c>
      <c r="N177" s="14">
        <v>1</v>
      </c>
      <c r="O177" s="14"/>
    </row>
    <row r="178" spans="1:15">
      <c r="A178" s="8"/>
      <c r="B178" s="14">
        <v>1524</v>
      </c>
      <c r="C178" s="11" t="s">
        <v>2423</v>
      </c>
      <c r="D178" s="11" t="s">
        <v>2424</v>
      </c>
      <c r="E178" s="11" t="s">
        <v>700</v>
      </c>
      <c r="F178" s="14">
        <v>99</v>
      </c>
      <c r="G178" s="14">
        <v>0</v>
      </c>
      <c r="H178" s="14"/>
      <c r="I178" s="23">
        <v>7</v>
      </c>
      <c r="J178" s="14">
        <v>0</v>
      </c>
      <c r="K178" s="14">
        <v>0</v>
      </c>
      <c r="L178" s="14">
        <v>0</v>
      </c>
      <c r="M178" s="14">
        <v>0</v>
      </c>
      <c r="N178" s="14"/>
      <c r="O178" s="14"/>
    </row>
    <row r="179" spans="1:15">
      <c r="A179" s="8"/>
      <c r="B179" s="14">
        <v>1525</v>
      </c>
      <c r="C179" s="11" t="s">
        <v>2456</v>
      </c>
      <c r="D179" s="11" t="s">
        <v>2147</v>
      </c>
      <c r="E179" s="11" t="s">
        <v>700</v>
      </c>
      <c r="F179" s="14">
        <v>99</v>
      </c>
      <c r="G179" s="14">
        <v>3</v>
      </c>
      <c r="H179" s="14" t="s">
        <v>2044</v>
      </c>
      <c r="I179" s="23">
        <v>7</v>
      </c>
      <c r="J179" s="14">
        <v>0</v>
      </c>
      <c r="K179" s="14">
        <v>0</v>
      </c>
      <c r="L179" s="14">
        <v>0</v>
      </c>
      <c r="M179" s="14">
        <v>15</v>
      </c>
      <c r="N179" s="14">
        <v>2</v>
      </c>
      <c r="O179" s="14"/>
    </row>
    <row r="180" spans="1:15">
      <c r="A180" s="8"/>
      <c r="B180" s="14">
        <v>1601</v>
      </c>
      <c r="C180" s="11" t="s">
        <v>2148</v>
      </c>
      <c r="D180" s="11" t="s">
        <v>2149</v>
      </c>
      <c r="E180" s="11" t="s">
        <v>700</v>
      </c>
      <c r="F180" s="14">
        <v>8</v>
      </c>
      <c r="G180" s="14">
        <v>0</v>
      </c>
      <c r="H180" s="14"/>
      <c r="I180" s="23">
        <v>6</v>
      </c>
      <c r="J180" s="14">
        <v>0</v>
      </c>
      <c r="K180" s="14">
        <v>0</v>
      </c>
      <c r="L180" s="14">
        <v>5</v>
      </c>
      <c r="M180" s="14">
        <v>16</v>
      </c>
      <c r="N180" s="14">
        <v>2</v>
      </c>
      <c r="O180" s="14"/>
    </row>
    <row r="181" spans="1:15">
      <c r="A181" s="8"/>
      <c r="B181" s="14">
        <v>1602</v>
      </c>
      <c r="C181" s="11" t="s">
        <v>2370</v>
      </c>
      <c r="D181" s="11" t="s">
        <v>2369</v>
      </c>
      <c r="E181" s="11" t="s">
        <v>700</v>
      </c>
      <c r="F181" s="14">
        <v>8</v>
      </c>
      <c r="G181" s="14">
        <v>0</v>
      </c>
      <c r="H181" s="14"/>
      <c r="I181" s="23">
        <v>6</v>
      </c>
      <c r="J181" s="14">
        <v>0</v>
      </c>
      <c r="K181" s="14">
        <v>0</v>
      </c>
      <c r="L181" s="14">
        <v>0</v>
      </c>
      <c r="M181" s="14">
        <v>14</v>
      </c>
      <c r="N181" s="14">
        <v>10</v>
      </c>
      <c r="O181" s="14"/>
    </row>
    <row r="182" spans="1:15">
      <c r="A182" s="8"/>
      <c r="B182" s="14">
        <v>1603</v>
      </c>
      <c r="C182" s="11" t="s">
        <v>2371</v>
      </c>
      <c r="D182" s="11" t="s">
        <v>2372</v>
      </c>
      <c r="E182" s="11" t="s">
        <v>700</v>
      </c>
      <c r="F182" s="14">
        <v>8</v>
      </c>
      <c r="G182" s="14">
        <v>0</v>
      </c>
      <c r="H182" s="14"/>
      <c r="I182" s="23">
        <v>6</v>
      </c>
      <c r="J182" s="14">
        <v>0</v>
      </c>
      <c r="K182" s="14">
        <v>0</v>
      </c>
      <c r="L182" s="14">
        <v>0</v>
      </c>
      <c r="M182" s="14">
        <v>12</v>
      </c>
      <c r="N182" s="14">
        <v>2</v>
      </c>
      <c r="O182" s="14"/>
    </row>
    <row r="183" spans="1:15">
      <c r="A183" s="8"/>
      <c r="B183" s="14">
        <v>1604</v>
      </c>
      <c r="C183" s="11" t="s">
        <v>2386</v>
      </c>
      <c r="D183" s="11" t="s">
        <v>2384</v>
      </c>
      <c r="E183" s="11" t="s">
        <v>700</v>
      </c>
      <c r="F183" s="14">
        <v>99</v>
      </c>
      <c r="G183" s="14">
        <v>0</v>
      </c>
      <c r="H183" s="14" t="s">
        <v>2385</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2472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2474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2473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1"/>
  <sheetViews>
    <sheetView tabSelected="1" zoomScale="85" zoomScaleNormal="85" workbookViewId="0">
      <selection activeCell="J21" sqref="J2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708</v>
      </c>
      <c r="B2" s="9" t="s">
        <v>686</v>
      </c>
      <c r="C2" s="9" t="s">
        <v>699</v>
      </c>
      <c r="D2" s="9" t="s">
        <v>709</v>
      </c>
      <c r="E2" s="9" t="s">
        <v>701</v>
      </c>
      <c r="F2" s="9" t="s">
        <v>702</v>
      </c>
      <c r="G2" s="9" t="s">
        <v>703</v>
      </c>
      <c r="H2" s="9" t="s">
        <v>2483</v>
      </c>
      <c r="I2" s="9" t="s">
        <v>2484</v>
      </c>
      <c r="J2" s="9" t="s">
        <v>2485</v>
      </c>
      <c r="K2" s="9" t="s">
        <v>2486</v>
      </c>
      <c r="L2" s="9" t="s">
        <v>2487</v>
      </c>
      <c r="M2" s="9" t="s">
        <v>2488</v>
      </c>
      <c r="N2" s="9" t="s">
        <v>2495</v>
      </c>
      <c r="O2" s="9" t="s">
        <v>2496</v>
      </c>
      <c r="P2" s="9" t="s">
        <v>2497</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2494</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2299</v>
      </c>
      <c r="F7" s="14">
        <v>10</v>
      </c>
      <c r="G7" s="14">
        <v>1</v>
      </c>
      <c r="H7" s="11"/>
      <c r="I7" s="11"/>
      <c r="J7" s="11"/>
      <c r="K7" s="11"/>
      <c r="L7" s="11"/>
      <c r="M7" s="11"/>
      <c r="N7" s="11"/>
      <c r="O7" s="11"/>
      <c r="P7" s="11"/>
    </row>
    <row r="8" spans="1:16">
      <c r="A8" s="8"/>
      <c r="B8" s="14">
        <v>64</v>
      </c>
      <c r="C8" s="14">
        <v>1</v>
      </c>
      <c r="D8" s="14">
        <v>2</v>
      </c>
      <c r="E8" s="11" t="s">
        <v>2300</v>
      </c>
      <c r="F8" s="14">
        <v>10</v>
      </c>
      <c r="G8" s="14">
        <v>1</v>
      </c>
      <c r="H8" s="11"/>
      <c r="I8" s="11"/>
      <c r="J8" s="11"/>
      <c r="K8" s="11"/>
      <c r="L8" s="11"/>
      <c r="M8" s="11"/>
      <c r="N8" s="11"/>
      <c r="O8" s="11"/>
      <c r="P8" s="11"/>
    </row>
    <row r="9" spans="1:16">
      <c r="A9" s="8"/>
      <c r="B9" s="14">
        <v>64</v>
      </c>
      <c r="C9" s="14">
        <v>1</v>
      </c>
      <c r="D9" s="14">
        <v>3</v>
      </c>
      <c r="E9" s="11" t="s">
        <v>1996</v>
      </c>
      <c r="F9" s="14">
        <v>15</v>
      </c>
      <c r="G9" s="14">
        <v>1</v>
      </c>
      <c r="H9" s="11"/>
      <c r="I9" s="11"/>
      <c r="J9" s="11"/>
      <c r="K9" s="11"/>
      <c r="L9" s="11"/>
      <c r="M9" s="11"/>
      <c r="N9" s="11"/>
      <c r="O9" s="11"/>
      <c r="P9" s="11"/>
    </row>
    <row r="10" spans="1:16">
      <c r="A10" s="8"/>
      <c r="B10" s="14">
        <v>64</v>
      </c>
      <c r="C10" s="14">
        <v>2</v>
      </c>
      <c r="D10" s="14">
        <v>1</v>
      </c>
      <c r="E10" s="11" t="s">
        <v>1546</v>
      </c>
      <c r="F10" s="14">
        <v>10</v>
      </c>
      <c r="G10" s="14">
        <v>1</v>
      </c>
      <c r="H10" s="11"/>
      <c r="I10" s="11"/>
      <c r="J10" s="11"/>
      <c r="K10" s="11"/>
      <c r="L10" s="11"/>
      <c r="M10" s="11"/>
      <c r="N10" s="11"/>
      <c r="O10" s="11"/>
      <c r="P10" s="11"/>
    </row>
    <row r="11" spans="1:16">
      <c r="A11" s="8"/>
      <c r="B11" s="14">
        <v>64</v>
      </c>
      <c r="C11" s="14">
        <v>2</v>
      </c>
      <c r="D11" s="14">
        <v>2</v>
      </c>
      <c r="E11" s="11" t="s">
        <v>1540</v>
      </c>
      <c r="F11" s="14">
        <v>10</v>
      </c>
      <c r="G11" s="14">
        <v>1</v>
      </c>
      <c r="H11" s="11"/>
      <c r="I11" s="11"/>
      <c r="J11" s="11"/>
      <c r="K11" s="11"/>
      <c r="L11" s="11"/>
      <c r="M11" s="11"/>
      <c r="N11" s="11"/>
      <c r="O11" s="11"/>
      <c r="P11" s="11"/>
    </row>
    <row r="12" spans="1:16">
      <c r="A12" s="8"/>
      <c r="B12" s="14">
        <v>64</v>
      </c>
      <c r="C12" s="14">
        <v>2</v>
      </c>
      <c r="D12" s="14">
        <v>3</v>
      </c>
      <c r="E12" s="11" t="s">
        <v>2301</v>
      </c>
      <c r="F12" s="14">
        <v>15</v>
      </c>
      <c r="G12" s="14">
        <v>1</v>
      </c>
      <c r="H12" s="11"/>
      <c r="I12" s="11"/>
      <c r="J12" s="11"/>
      <c r="K12" s="11"/>
      <c r="L12" s="11"/>
      <c r="M12" s="11"/>
      <c r="N12" s="11"/>
      <c r="O12" s="11"/>
      <c r="P12" s="11"/>
    </row>
    <row r="13" spans="1:16">
      <c r="A13" s="8"/>
      <c r="B13" s="14">
        <v>65</v>
      </c>
      <c r="C13" s="14">
        <v>1</v>
      </c>
      <c r="D13" s="14">
        <v>1</v>
      </c>
      <c r="E13" s="11" t="s">
        <v>1920</v>
      </c>
      <c r="F13" s="14">
        <v>10</v>
      </c>
      <c r="G13" s="14">
        <v>1</v>
      </c>
      <c r="H13" s="11"/>
      <c r="I13" s="11"/>
      <c r="J13" s="11"/>
      <c r="K13" s="11"/>
      <c r="L13" s="11"/>
      <c r="M13" s="11"/>
      <c r="N13" s="11"/>
      <c r="O13" s="11"/>
      <c r="P13" s="11"/>
    </row>
    <row r="14" spans="1:16">
      <c r="A14" s="8"/>
      <c r="B14" s="14">
        <v>65</v>
      </c>
      <c r="C14" s="14">
        <v>1</v>
      </c>
      <c r="D14" s="14">
        <v>2</v>
      </c>
      <c r="E14" s="11" t="s">
        <v>1538</v>
      </c>
      <c r="F14" s="14">
        <v>10</v>
      </c>
      <c r="G14" s="14">
        <v>1</v>
      </c>
      <c r="H14" s="11"/>
      <c r="I14" s="11"/>
      <c r="J14" s="11"/>
      <c r="K14" s="11"/>
      <c r="L14" s="11"/>
      <c r="M14" s="11"/>
      <c r="N14" s="11"/>
      <c r="O14" s="11"/>
      <c r="P14" s="11"/>
    </row>
    <row r="15" spans="1:16">
      <c r="A15" s="8"/>
      <c r="B15" s="14">
        <v>65</v>
      </c>
      <c r="C15" s="14">
        <v>1</v>
      </c>
      <c r="D15" s="14">
        <v>3</v>
      </c>
      <c r="E15" s="11" t="s">
        <v>2402</v>
      </c>
      <c r="F15" s="14">
        <v>15</v>
      </c>
      <c r="G15" s="14">
        <v>1</v>
      </c>
      <c r="H15" s="11"/>
      <c r="I15" s="11"/>
      <c r="J15" s="11"/>
      <c r="K15" s="11"/>
      <c r="L15" s="11"/>
      <c r="M15" s="11"/>
      <c r="N15" s="11"/>
      <c r="O15" s="11"/>
      <c r="P15" s="11"/>
    </row>
    <row r="16" spans="1:16">
      <c r="A16" s="8"/>
      <c r="B16" s="14">
        <v>65</v>
      </c>
      <c r="C16" s="14">
        <v>2</v>
      </c>
      <c r="D16" s="14">
        <v>1</v>
      </c>
      <c r="E16" s="11" t="s">
        <v>2360</v>
      </c>
      <c r="F16" s="14">
        <v>10</v>
      </c>
      <c r="G16" s="14">
        <v>0</v>
      </c>
      <c r="H16" s="14" t="s">
        <v>2498</v>
      </c>
      <c r="I16" s="14">
        <v>50</v>
      </c>
      <c r="J16" s="14"/>
      <c r="K16" s="11" t="s">
        <v>194</v>
      </c>
      <c r="L16" s="14">
        <v>-150</v>
      </c>
      <c r="M16" s="14"/>
      <c r="N16" s="11" t="s">
        <v>195</v>
      </c>
      <c r="O16" s="14">
        <v>150</v>
      </c>
      <c r="P16" s="14"/>
    </row>
    <row r="17" spans="1:16">
      <c r="A17" s="8"/>
      <c r="B17" s="14">
        <v>65</v>
      </c>
      <c r="C17" s="14">
        <v>2</v>
      </c>
      <c r="D17" s="14">
        <v>2</v>
      </c>
      <c r="E17" s="11" t="s">
        <v>1546</v>
      </c>
      <c r="F17" s="14">
        <v>10</v>
      </c>
      <c r="G17" s="14">
        <v>1</v>
      </c>
      <c r="H17" s="11"/>
      <c r="I17" s="11"/>
      <c r="J17" s="11"/>
      <c r="K17" s="11"/>
      <c r="L17" s="11"/>
      <c r="M17" s="11"/>
      <c r="N17" s="11"/>
      <c r="O17" s="11"/>
      <c r="P17" s="11"/>
    </row>
    <row r="18" spans="1:16">
      <c r="A18" s="8"/>
      <c r="B18" s="14">
        <v>65</v>
      </c>
      <c r="C18" s="14">
        <v>2</v>
      </c>
      <c r="D18" s="14">
        <v>3</v>
      </c>
      <c r="E18" s="11" t="s">
        <v>1533</v>
      </c>
      <c r="F18" s="14">
        <v>15</v>
      </c>
      <c r="G18" s="14">
        <v>0</v>
      </c>
      <c r="H18" s="14" t="s">
        <v>707</v>
      </c>
      <c r="I18" s="14">
        <v>75</v>
      </c>
      <c r="J18" s="14"/>
      <c r="K18" s="14"/>
      <c r="L18" s="14"/>
      <c r="M18" s="14"/>
      <c r="N18" s="14"/>
      <c r="O18" s="14"/>
      <c r="P18" s="14"/>
    </row>
    <row r="19" spans="1:16">
      <c r="A19" s="8"/>
      <c r="B19" s="14">
        <v>66</v>
      </c>
      <c r="C19" s="14">
        <v>1</v>
      </c>
      <c r="D19" s="14">
        <v>1</v>
      </c>
      <c r="E19" s="11" t="s">
        <v>1554</v>
      </c>
      <c r="F19" s="14">
        <v>10</v>
      </c>
      <c r="G19" s="14">
        <v>1</v>
      </c>
      <c r="H19" s="14"/>
      <c r="I19" s="14"/>
      <c r="J19" s="14"/>
      <c r="K19" s="14"/>
      <c r="L19" s="14"/>
      <c r="M19" s="14"/>
      <c r="N19" s="14"/>
      <c r="O19" s="14"/>
      <c r="P19" s="14"/>
    </row>
    <row r="20" spans="1:16">
      <c r="A20" s="8"/>
      <c r="B20" s="14">
        <v>66</v>
      </c>
      <c r="C20" s="14">
        <v>1</v>
      </c>
      <c r="D20" s="14">
        <v>2</v>
      </c>
      <c r="E20" s="11" t="s">
        <v>1995</v>
      </c>
      <c r="F20" s="14">
        <v>10</v>
      </c>
      <c r="G20" s="14">
        <v>0</v>
      </c>
      <c r="H20" s="11" t="s">
        <v>705</v>
      </c>
      <c r="I20" s="14">
        <v>10</v>
      </c>
      <c r="J20" s="14" t="s">
        <v>2499</v>
      </c>
      <c r="K20" s="14"/>
      <c r="L20" s="14"/>
      <c r="M20" s="14"/>
      <c r="N20" s="14"/>
      <c r="O20" s="14"/>
      <c r="P20" s="14"/>
    </row>
    <row r="21" spans="1:16">
      <c r="A21" s="8"/>
      <c r="B21" s="14">
        <v>66</v>
      </c>
      <c r="C21" s="14">
        <v>1</v>
      </c>
      <c r="D21" s="14">
        <v>3</v>
      </c>
      <c r="E21" s="11" t="s">
        <v>1529</v>
      </c>
      <c r="F21" s="14">
        <v>15</v>
      </c>
      <c r="G21" s="14">
        <v>1</v>
      </c>
      <c r="H21" s="14"/>
      <c r="I21" s="14"/>
      <c r="J21" s="14"/>
      <c r="K21" s="14"/>
      <c r="L21" s="14"/>
      <c r="M21" s="14"/>
      <c r="N21" s="14"/>
      <c r="O21" s="14"/>
      <c r="P21" s="14"/>
    </row>
    <row r="22" spans="1:16">
      <c r="A22" s="8"/>
      <c r="B22" s="14">
        <v>66</v>
      </c>
      <c r="C22" s="14">
        <v>2</v>
      </c>
      <c r="D22" s="14">
        <v>1</v>
      </c>
      <c r="E22" s="11" t="s">
        <v>2400</v>
      </c>
      <c r="F22" s="14">
        <v>15</v>
      </c>
      <c r="G22" s="14">
        <v>0</v>
      </c>
      <c r="H22" s="11"/>
      <c r="I22" s="14"/>
      <c r="J22" s="14"/>
      <c r="K22" s="11" t="s">
        <v>195</v>
      </c>
      <c r="L22" s="14">
        <v>150</v>
      </c>
      <c r="M22" s="14"/>
      <c r="N22" s="11" t="s">
        <v>196</v>
      </c>
      <c r="O22" s="14">
        <v>-150</v>
      </c>
      <c r="P22" s="14"/>
    </row>
    <row r="23" spans="1:16">
      <c r="A23" s="8"/>
      <c r="B23" s="14">
        <v>66</v>
      </c>
      <c r="C23" s="14">
        <v>2</v>
      </c>
      <c r="D23" s="14">
        <v>2</v>
      </c>
      <c r="E23" s="11" t="s">
        <v>1546</v>
      </c>
      <c r="F23" s="14">
        <v>10</v>
      </c>
      <c r="G23" s="14">
        <v>1</v>
      </c>
      <c r="H23" s="14"/>
      <c r="I23" s="14"/>
      <c r="J23" s="14"/>
      <c r="K23" s="14"/>
      <c r="L23" s="14"/>
      <c r="M23" s="14"/>
      <c r="N23" s="14"/>
      <c r="O23" s="14"/>
      <c r="P23" s="14"/>
    </row>
    <row r="24" spans="1:16">
      <c r="A24" s="8"/>
      <c r="B24" s="14">
        <v>66</v>
      </c>
      <c r="C24" s="14">
        <v>2</v>
      </c>
      <c r="D24" s="14">
        <v>3</v>
      </c>
      <c r="E24" s="11" t="s">
        <v>2040</v>
      </c>
      <c r="F24" s="14">
        <v>15</v>
      </c>
      <c r="G24" s="14">
        <v>1</v>
      </c>
      <c r="H24" s="14"/>
      <c r="I24" s="14"/>
      <c r="J24" s="14"/>
      <c r="K24" s="14"/>
      <c r="L24" s="14"/>
      <c r="M24" s="14"/>
      <c r="N24" s="14"/>
      <c r="O24" s="14"/>
      <c r="P24" s="14"/>
    </row>
    <row r="25" spans="1:16">
      <c r="A25" s="8"/>
      <c r="B25" s="14">
        <v>66</v>
      </c>
      <c r="C25" s="14">
        <v>3</v>
      </c>
      <c r="D25" s="14">
        <v>1</v>
      </c>
      <c r="E25" s="11" t="s">
        <v>2401</v>
      </c>
      <c r="F25" s="14">
        <v>15</v>
      </c>
      <c r="G25" s="14">
        <v>0</v>
      </c>
      <c r="H25" s="14"/>
      <c r="I25" s="14"/>
      <c r="J25" s="14"/>
      <c r="K25" s="11" t="s">
        <v>195</v>
      </c>
      <c r="L25" s="14">
        <v>150</v>
      </c>
      <c r="M25" s="14"/>
      <c r="N25" s="11" t="s">
        <v>197</v>
      </c>
      <c r="O25" s="14">
        <v>-150</v>
      </c>
      <c r="P25" s="14"/>
    </row>
    <row r="26" spans="1:16">
      <c r="A26" s="8"/>
      <c r="B26" s="14">
        <v>66</v>
      </c>
      <c r="C26" s="14">
        <v>3</v>
      </c>
      <c r="D26" s="14">
        <v>2</v>
      </c>
      <c r="E26" s="11" t="s">
        <v>1538</v>
      </c>
      <c r="F26" s="14">
        <v>10</v>
      </c>
      <c r="G26" s="14">
        <v>1</v>
      </c>
      <c r="H26" s="14"/>
      <c r="I26" s="14"/>
      <c r="J26" s="14"/>
      <c r="K26" s="14"/>
      <c r="L26" s="14"/>
      <c r="M26" s="14"/>
      <c r="N26" s="14"/>
      <c r="O26" s="14"/>
      <c r="P26" s="14"/>
    </row>
    <row r="27" spans="1:16">
      <c r="A27" s="8"/>
      <c r="B27" s="14">
        <v>66</v>
      </c>
      <c r="C27" s="14">
        <v>3</v>
      </c>
      <c r="D27" s="14">
        <v>3</v>
      </c>
      <c r="E27" s="11" t="s">
        <v>2399</v>
      </c>
      <c r="F27" s="14">
        <v>15</v>
      </c>
      <c r="G27" s="14">
        <v>1</v>
      </c>
      <c r="H27" s="14"/>
      <c r="I27" s="14"/>
      <c r="J27" s="14"/>
      <c r="K27" s="14"/>
      <c r="L27" s="14"/>
      <c r="M27" s="14"/>
      <c r="N27" s="14"/>
      <c r="O27" s="14"/>
      <c r="P27" s="14"/>
    </row>
    <row r="28" spans="1:16">
      <c r="A28" s="8"/>
      <c r="B28" s="14">
        <v>67</v>
      </c>
      <c r="C28" s="14">
        <v>1</v>
      </c>
      <c r="D28" s="14">
        <v>1</v>
      </c>
      <c r="E28" s="11" t="s">
        <v>2472</v>
      </c>
      <c r="F28" s="14">
        <v>10</v>
      </c>
      <c r="G28" s="14">
        <v>0</v>
      </c>
      <c r="H28" s="11" t="s">
        <v>705</v>
      </c>
      <c r="I28" s="11" t="s">
        <v>2491</v>
      </c>
      <c r="J28" s="11"/>
      <c r="K28" s="11" t="s">
        <v>2489</v>
      </c>
      <c r="L28" s="14">
        <v>-150</v>
      </c>
      <c r="M28" s="11"/>
      <c r="N28" s="11"/>
      <c r="O28" s="11"/>
      <c r="P28" s="11"/>
    </row>
    <row r="29" spans="1:16">
      <c r="A29" s="8"/>
      <c r="B29" s="14">
        <v>67</v>
      </c>
      <c r="C29" s="14">
        <v>1</v>
      </c>
      <c r="D29" s="14">
        <v>2</v>
      </c>
      <c r="E29" s="11" t="s">
        <v>2359</v>
      </c>
      <c r="F29" s="14">
        <v>10</v>
      </c>
      <c r="G29" s="14">
        <v>0</v>
      </c>
      <c r="H29" s="11" t="s">
        <v>707</v>
      </c>
      <c r="I29" s="11" t="s">
        <v>2490</v>
      </c>
      <c r="J29" s="11"/>
      <c r="K29" s="11"/>
      <c r="L29" s="11"/>
      <c r="M29" s="11"/>
      <c r="N29" s="11"/>
      <c r="O29" s="11"/>
      <c r="P29" s="11"/>
    </row>
    <row r="30" spans="1:16">
      <c r="A30" s="8"/>
      <c r="B30" s="14">
        <v>67</v>
      </c>
      <c r="C30" s="14">
        <v>1</v>
      </c>
      <c r="D30" s="14">
        <v>3</v>
      </c>
      <c r="E30" s="11" t="s">
        <v>2474</v>
      </c>
      <c r="F30" s="14">
        <v>15</v>
      </c>
      <c r="G30" s="14">
        <v>1</v>
      </c>
      <c r="H30" s="11"/>
      <c r="I30" s="11"/>
      <c r="J30" s="11"/>
      <c r="K30" s="11"/>
      <c r="L30" s="11"/>
      <c r="M30" s="11"/>
      <c r="N30" s="11"/>
      <c r="O30" s="11"/>
      <c r="P30" s="11"/>
    </row>
    <row r="31" spans="1:16">
      <c r="A31" s="8"/>
      <c r="B31" s="14">
        <v>67</v>
      </c>
      <c r="C31" s="14">
        <v>1</v>
      </c>
      <c r="D31" s="14">
        <v>4</v>
      </c>
      <c r="E31" s="11" t="s">
        <v>2473</v>
      </c>
      <c r="F31" s="14">
        <v>0</v>
      </c>
      <c r="G31" s="14">
        <v>0</v>
      </c>
      <c r="H31" s="11" t="s">
        <v>2492</v>
      </c>
      <c r="I31" s="11" t="s">
        <v>2491</v>
      </c>
      <c r="J31" s="11" t="s">
        <v>2493</v>
      </c>
      <c r="K31" s="11"/>
      <c r="L31" s="11"/>
      <c r="M31" s="11"/>
      <c r="N31" s="11"/>
      <c r="O31" s="11"/>
      <c r="P31" s="11"/>
    </row>
  </sheetData>
  <phoneticPr fontId="1"/>
  <dataValidations count="1">
    <dataValidation type="list" allowBlank="1" showInputMessage="1" showErrorMessage="1" sqref="A7:A31"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2025-02-05T04:43:09Z</dcterms:modified>
</cp:coreProperties>
</file>