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1682FB8-BAA9-4E3E-9755-6A7D9522BB38}"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7" i="67" l="1"/>
  <c r="S315" i="67"/>
  <c r="S314" i="67"/>
  <c r="S313" i="67"/>
  <c r="S312" i="67"/>
  <c r="S311" i="67"/>
  <c r="S305" i="67"/>
  <c r="S304" i="67"/>
  <c r="S303" i="67"/>
  <c r="S302" i="67"/>
  <c r="S301" i="67"/>
  <c r="S210" i="67"/>
  <c r="S205" i="67"/>
  <c r="S190" i="67"/>
  <c r="S188" i="67"/>
  <c r="S164" i="67"/>
  <c r="S146" i="67"/>
  <c r="S141" i="67"/>
  <c r="S139" i="67"/>
  <c r="S129" i="67"/>
  <c r="S114" i="67"/>
  <c r="S113" i="67"/>
  <c r="S107" i="67"/>
  <c r="S86" i="67"/>
  <c r="S83" i="67"/>
  <c r="S72" i="67"/>
  <c r="S71" i="67"/>
  <c r="S70" i="67"/>
  <c r="S65" i="67"/>
  <c r="S61" i="67"/>
  <c r="S59" i="67"/>
  <c r="S56" i="67"/>
  <c r="S45" i="67"/>
  <c r="S39" i="67"/>
  <c r="S25" i="67"/>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<sst xmlns="http://schemas.openxmlformats.org/spreadsheetml/2006/main" count="5338" uniqueCount="2577">
  <si>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</si>
  <si>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</si>
  <si>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</si>
  <si>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</si>
  <si>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</si>
  <si>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</si>
  <si>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</si>
  <si>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</si>
  <si>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</si>
  <si>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</si>
  <si>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</si>
  <si>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</si>
  <si>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</si>
  <si>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</si>
  <si>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</si>
  <si>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</si>
  <si>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</si>
  <si>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</si>
  <si>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</si>
  <si>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</si>
  <si>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</si>
  <si>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</si>
  <si>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</si>
  <si>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</si>
  <si>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</si>
  <si>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</si>
  <si>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</si>
  <si>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</si>
  <si>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</si>
  <si>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</si>
  <si>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</si>
  <si>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</si>
  <si>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</si>
  <si>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</si>
  <si>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</si>
  <si>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</si>
  <si>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</si>
  <si>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</si>
  <si>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</si>
  <si>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</si>
  <si>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</si>
  <si>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</si>
  <si>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</si>
  <si>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</si>
  <si>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</si>
  <si>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</si>
  <si>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</si>
  <si>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</si>
  <si>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</si>
  <si>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</si>
  <si>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</si>
  <si>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</si>
  <si>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</si>
  <si>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</si>
  <si>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</si>
  <si>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</si>
  <si>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</si>
  <si>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</si>
  <si>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</si>
  <si>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</si>
  <si>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</si>
  <si>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</si>
  <si>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</si>
  <si>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</si>
  <si>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</si>
  <si>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</si>
  <si>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</si>
  <si>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</si>
  <si>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</si>
  <si>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</si>
  <si>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</si>
  <si>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</si>
  <si>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</si>
  <si>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</si>
  <si>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</si>
  <si>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</si>
  <si>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</si>
  <si>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</si>
  <si>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</si>
  <si>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</si>
  <si>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</si>
  <si>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</si>
  <si>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</si>
  <si>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</si>
  <si>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</si>
  <si>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</si>
  <si>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</si>
  <si>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</si>
  <si>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</si>
  <si>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</si>
  <si>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</si>
  <si>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</si>
  <si>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</si>
  <si>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</si>
  <si>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</si>
  <si>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</si>
  <si>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</si>
  <si>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</si>
  <si>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</si>
  <si>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</si>
  <si>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</si>
  <si>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</si>
  <si>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</si>
  <si>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</si>
  <si>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</si>
  <si>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</si>
  <si>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</si>
  <si>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</si>
  <si>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</si>
  <si>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</si>
  <si>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</si>
  <si>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</si>
  <si>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</si>
  <si>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</si>
  <si>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</si>
  <si>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</si>
  <si>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</si>
  <si>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</si>
  <si>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</si>
  <si>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</si>
  <si>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</si>
  <si>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</si>
  <si>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</si>
  <si>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</si>
  <si>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</si>
  <si>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</si>
  <si>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</si>
  <si>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</si>
  <si>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</si>
  <si>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</si>
  <si>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</si>
  <si>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</si>
  <si>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</si>
  <si>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</si>
  <si>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</si>
  <si>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</si>
  <si>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</si>
  <si>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</si>
  <si>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</si>
  <si>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</si>
  <si>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</si>
  <si>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</si>
  <si>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</si>
  <si>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</si>
  <si>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</si>
  <si>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</si>
  <si>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</si>
  <si>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</si>
  <si>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</si>
  <si>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</si>
  <si>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</si>
  <si>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</si>
  <si>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</si>
  <si>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</si>
  <si>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</si>
  <si>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</si>
  <si>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</si>
  <si>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</si>
  <si>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</si>
  <si>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</si>
  <si>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</si>
  <si>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</si>
  <si>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</si>
  <si>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</si>
  <si>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</si>
  <si>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</si>
  <si>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</si>
  <si>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</si>
  <si>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</si>
  <si>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</si>
  <si>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</si>
  <si>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</si>
  <si>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</si>
  <si>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</si>
  <si>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</si>
  <si>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</si>
  <si>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</si>
  <si>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</si>
  <si>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</si>
  <si>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</si>
  <si>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</si>
  <si>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</si>
  <si>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</si>
  <si>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</si>
  <si>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</si>
  <si>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</si>
  <si>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</si>
  <si>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</si>
  <si>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</si>
  <si>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</si>
  <si>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</si>
  <si>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</si>
  <si>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</si>
  <si>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</si>
  <si>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</si>
  <si>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</si>
  <si>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</si>
  <si>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</si>
  <si>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</si>
  <si>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</si>
  <si>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</si>
  <si>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</si>
  <si>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</si>
  <si>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</si>
  <si>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</si>
  <si>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</si>
  <si>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</si>
  <si>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</si>
  <si>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</si>
  <si>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</si>
  <si>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</si>
  <si>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</si>
  <si>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</si>
  <si>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</si>
  <si>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</si>
  <si>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</si>
  <si>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</si>
  <si>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</si>
  <si>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</si>
  <si>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</si>
  <si>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</si>
  <si>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</si>
  <si>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</si>
  <si>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</si>
  <si>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</si>
  <si>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</si>
  <si>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</si>
  <si>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</si>
  <si>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</si>
  <si>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</si>
  <si>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</si>
  <si>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</si>
  <si>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</si>
  <si>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</si>
  <si>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</si>
  <si>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</si>
  <si>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</si>
  <si>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</si>
  <si>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</si>
  <si>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</si>
  <si>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</si>
  <si>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</si>
  <si>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</si>
  <si>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</si>
  <si>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</si>
  <si>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</si>
  <si>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</si>
  <si>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</si>
  <si>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</si>
  <si>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</si>
  <si>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</si>
  <si>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</si>
  <si>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</si>
  <si>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</si>
  <si>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</si>
  <si>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</si>
  <si>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</si>
  <si>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</si>
  <si>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</si>
  <si>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</si>
  <si>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</si>
  <si>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</si>
  <si>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</si>
  <si>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</si>
  <si>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</si>
  <si>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</si>
  <si>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</si>
  <si>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</si>
  <si>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</si>
  <si>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</si>
  <si>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</si>
  <si>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</si>
  <si>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</si>
  <si>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</si>
  <si>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</si>
  <si>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</si>
  <si>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</si>
  <si>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</si>
  <si>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</si>
  <si>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</si>
  <si>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</si>
  <si>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</si>
  <si>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</si>
  <si>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</si>
  <si>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</si>
  <si>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</si>
  <si>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</si>
  <si>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</si>
  <si>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</si>
  <si>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</si>
  <si>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</si>
  <si>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</si>
  <si>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</si>
  <si>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</si>
  <si>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</si>
  <si>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</si>
  <si>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</si>
  <si>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</si>
  <si>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</si>
  <si>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</si>
  <si>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</si>
  <si>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</si>
  <si>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</si>
  <si>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</si>
  <si>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</si>
  <si>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</si>
  <si>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</si>
  <si>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</si>
  <si>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</si>
  <si>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</si>
  <si>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</si>
  <si>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</si>
  <si>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</si>
  <si>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</si>
  <si>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</si>
  <si>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</si>
  <si>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</si>
  <si>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</si>
  <si>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</si>
  <si>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</si>
  <si>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</si>
  <si>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</si>
  <si>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</si>
  <si>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</si>
  <si>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</si>
  <si>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</si>
  <si>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</si>
  <si>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</si>
  <si>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</si>
  <si>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</si>
  <si>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</si>
  <si>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</si>
  <si>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</si>
  <si>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</si>
  <si>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</si>
  <si>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</si>
  <si>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</si>
  <si>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</si>
  <si>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</si>
  <si>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</si>
  <si>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</si>
  <si>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</si>
  <si>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</si>
  <si>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</si>
  <si>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</si>
  <si>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</si>
  <si>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</si>
  <si>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</si>
  <si>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</si>
  <si>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</si>
  <si>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</si>
  <si>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</si>
  <si>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</si>
  <si>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</si>
  <si>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</si>
  <si>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</si>
  <si>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</si>
  <si>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</si>
  <si>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</si>
  <si>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</si>
  <si>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</si>
  <si>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</si>
  <si>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</si>
  <si>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</si>
  <si>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</si>
  <si>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</si>
  <si>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</si>
  <si>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</si>
  <si>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</si>
  <si>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</si>
  <si>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</si>
  <si>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</si>
  <si>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</si>
  <si>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</si>
  <si>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</si>
  <si>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</si>
  <si>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</si>
  <si>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</si>
  <si>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</si>
  <si>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</si>
  <si>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</si>
  <si>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</si>
  <si>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</si>
  <si>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</si>
  <si>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</si>
  <si>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</si>
  <si>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</si>
  <si>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</si>
  <si>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</si>
  <si>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</si>
  <si>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</si>
  <si>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</si>
  <si>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</si>
  <si>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</si>
  <si>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</si>
  <si>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</si>
  <si>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</si>
  <si>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</si>
  <si>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</si>
  <si>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</si>
  <si>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</si>
  <si>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</si>
  <si>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</si>
  <si>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</si>
  <si>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</si>
  <si>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</si>
  <si>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</si>
  <si>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</si>
  <si>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</si>
  <si>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</si>
  <si>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</si>
  <si>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</si>
  <si>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</si>
  <si>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</si>
  <si>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</si>
  <si>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</si>
  <si>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</si>
  <si>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</si>
  <si>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</si>
  <si>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</si>
  <si>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</si>
  <si>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</si>
  <si>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</si>
  <si>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</si>
  <si>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</si>
  <si>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</si>
  <si>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</si>
  <si>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</si>
  <si>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</si>
  <si>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</si>
  <si>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</si>
  <si>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</si>
  <si>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</si>
  <si>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</si>
  <si>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</si>
  <si>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</si>
  <si>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</si>
  <si>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</si>
  <si>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</si>
  <si>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</si>
  <si>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</si>
  <si>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</si>
  <si>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</si>
  <si>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</si>
  <si>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</si>
  <si>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</si>
  <si>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</si>
  <si>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</si>
  <si>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</si>
  <si>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</si>
  <si>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</si>
  <si>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</si>
  <si>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</si>
  <si>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</si>
  <si>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</si>
  <si>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</si>
  <si>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</si>
  <si>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</si>
  <si>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</si>
  <si>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</si>
  <si>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</si>
  <si>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</si>
  <si>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</si>
  <si>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</si>
  <si>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</si>
  <si>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</si>
  <si>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</si>
  <si>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</si>
  <si>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</si>
  <si>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</si>
  <si>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</si>
  <si>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</si>
  <si>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</si>
  <si>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</si>
  <si>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</si>
  <si>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</si>
  <si>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</si>
  <si>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</si>
  <si>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</si>
  <si>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</si>
  <si>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</si>
  <si>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</si>
  <si>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</si>
  <si>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</si>
  <si>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</si>
  <si>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</si>
  <si>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</si>
  <si>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</si>
  <si>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</si>
  <si>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</si>
  <si>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</si>
  <si>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</si>
  <si>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</si>
  <si>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</si>
  <si>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</si>
  <si>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</si>
  <si>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</si>
  <si>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</si>
  <si>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</si>
  <si>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</si>
  <si>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</si>
  <si>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</si>
  <si>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</si>
  <si>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</si>
  <si>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</si>
  <si>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</si>
  <si>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</si>
  <si>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</si>
  <si>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</si>
  <si>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</si>
  <si>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</si>
  <si>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</si>
  <si>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</si>
  <si>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</si>
  <si>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</si>
  <si>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</si>
  <si>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</si>
  <si>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</si>
  <si>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</si>
  <si>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</si>
  <si>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</si>
  <si>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</si>
  <si>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</si>
  <si>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</si>
  <si>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</si>
  <si>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</si>
  <si>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</si>
  <si>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</si>
  <si>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</si>
  <si>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</si>
  <si>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</si>
  <si>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</si>
  <si>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</si>
  <si>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</si>
  <si>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</si>
  <si>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</si>
  <si>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</si>
  <si>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</si>
  <si>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</si>
  <si>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</si>
  <si>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</si>
  <si>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</si>
  <si>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</si>
  <si>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</si>
  <si>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</si>
  <si>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</si>
  <si>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</si>
  <si>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</si>
  <si>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</si>
  <si>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</si>
  <si>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</si>
  <si>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</si>
  <si>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</si>
  <si>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</si>
  <si>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</si>
  <si>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</si>
  <si>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</si>
  <si>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</si>
  <si>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</si>
  <si>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</si>
  <si>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</si>
  <si>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</si>
  <si>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</si>
  <si>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</si>
  <si>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</si>
  <si>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</si>
  <si>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</si>
  <si>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</si>
  <si>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</si>
  <si>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</si>
  <si>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</si>
  <si>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</si>
  <si>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</si>
  <si>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</si>
  <si>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</si>
  <si>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</si>
  <si>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</si>
  <si>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</si>
  <si>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</si>
  <si>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</si>
  <si>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</si>
  <si>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</si>
  <si>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</si>
  <si>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</si>
  <si>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</si>
  <si>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</si>
  <si>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</si>
  <si>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</si>
  <si>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</si>
  <si>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</si>
  <si>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</si>
  <si>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</si>
  <si>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</si>
  <si>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</si>
  <si>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</si>
  <si>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</si>
  <si>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</si>
  <si>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</si>
  <si>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</si>
  <si>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</si>
  <si>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</si>
  <si>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</si>
  <si>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</si>
  <si>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</si>
  <si>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</si>
  <si>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</si>
  <si>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</si>
  <si>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</si>
  <si>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</si>
  <si>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</si>
  <si>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</si>
  <si>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</si>
  <si>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</si>
  <si>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</si>
  <si>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</si>
  <si>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</si>
  <si>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</si>
  <si>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</si>
  <si>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</si>
  <si>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</si>
  <si>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</si>
  <si>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</si>
  <si>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</si>
  <si>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</si>
  <si>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</si>
  <si>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</si>
  <si>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</si>
  <si>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</si>
  <si>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</si>
  <si>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</si>
  <si>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</si>
  <si>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</si>
  <si>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</si>
  <si>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</si>
  <si>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</si>
  <si>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</si>
  <si>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</si>
  <si>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</si>
  <si>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</si>
  <si>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</si>
  <si>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</si>
  <si>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</si>
  <si>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</si>
  <si>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</si>
  <si>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</si>
  <si>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</si>
  <si>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</si>
  <si>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</si>
  <si>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</si>
  <si>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</si>
  <si>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</si>
  <si>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</si>
  <si>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</si>
  <si>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</si>
  <si>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</si>
  <si>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</si>
  <si>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</si>
  <si>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</si>
  <si>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</si>
  <si>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</si>
  <si>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</si>
  <si>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</si>
  <si>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</si>
  <si>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</si>
  <si>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</si>
  <si>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</si>
  <si>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</si>
  <si>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</si>
  <si>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</si>
  <si>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</si>
  <si>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</si>
  <si>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</si>
  <si>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</si>
  <si>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</si>
  <si>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</si>
  <si>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</si>
  <si>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</si>
  <si>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</si>
  <si>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</si>
  <si>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</si>
  <si>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</si>
  <si>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</si>
  <si>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</si>
  <si>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</si>
  <si>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</si>
  <si>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</si>
  <si>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</si>
  <si>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</si>
  <si>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</si>
  <si>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</si>
  <si>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</si>
  <si>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</si>
  <si>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</si>
  <si>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</si>
  <si>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</si>
  <si>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</si>
  <si>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</si>
  <si>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</si>
  <si>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</si>
  <si>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</si>
  <si>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</si>
  <si>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</si>
  <si>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</si>
  <si>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</si>
  <si>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</si>
  <si>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</si>
  <si>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</si>
  <si>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</si>
  <si>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</si>
  <si>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</si>
  <si>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</si>
  <si>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</si>
  <si>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</si>
  <si>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</si>
  <si>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</si>
  <si>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</si>
  <si>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</si>
  <si>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</si>
  <si>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</si>
  <si>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</si>
  <si>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</si>
  <si>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</si>
  <si>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</si>
  <si>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</si>
  <si>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</si>
  <si>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</si>
  <si>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</si>
  <si>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</si>
  <si>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</si>
  <si>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</si>
  <si>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</si>
  <si>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</si>
  <si>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</si>
  <si>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</si>
  <si>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</si>
  <si>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</si>
  <si>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</si>
  <si>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</si>
  <si>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</si>
  <si>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</si>
  <si>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</si>
  <si>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</si>
  <si>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</si>
  <si>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</si>
  <si>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</si>
  <si>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</si>
  <si>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</si>
  <si>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</si>
  <si>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</si>
  <si>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</si>
  <si>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</si>
  <si>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</si>
  <si>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</si>
  <si>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</si>
  <si>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</si>
  <si>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</si>
  <si>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</si>
  <si>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</si>
  <si>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</si>
  <si>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</si>
  <si>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</si>
  <si>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</si>
  <si>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</si>
  <si>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</si>
  <si>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</si>
  <si>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</si>
  <si>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</si>
  <si>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</si>
  <si>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</si>
  <si>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</si>
  <si>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</si>
  <si>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</si>
  <si>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</si>
  <si>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</si>
  <si>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</si>
  <si>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</si>
  <si>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</si>
  <si>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</si>
  <si>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</si>
  <si>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</si>
  <si>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</si>
  <si>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</si>
  <si>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</si>
  <si>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</si>
  <si>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</si>
  <si>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</si>
  <si>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</si>
  <si>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</si>
  <si>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</si>
  <si>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</si>
  <si>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</si>
  <si>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</si>
  <si>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</si>
  <si>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</si>
  <si>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</si>
  <si>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</si>
  <si>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</si>
  <si>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</si>
  <si>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</si>
  <si>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</si>
  <si>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</si>
  <si>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</si>
  <si>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</si>
  <si>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</si>
  <si>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</si>
  <si>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</si>
  <si>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</si>
  <si>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</si>
  <si>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</si>
  <si>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</si>
  <si>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</si>
  <si>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</si>
  <si>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</si>
  <si>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</si>
  <si>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</si>
  <si>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</si>
  <si>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</si>
  <si>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</si>
  <si>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</si>
  <si>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</si>
  <si>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</si>
  <si>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</si>
  <si>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</si>
  <si>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</si>
  <si>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</si>
  <si>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</si>
  <si>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</si>
  <si>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</si>
  <si>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</si>
  <si>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</si>
  <si>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</si>
  <si>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</si>
  <si>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</si>
  <si>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</si>
  <si>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</si>
  <si>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</si>
  <si>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</si>
  <si>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</si>
  <si>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</si>
  <si>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</si>
  <si>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</si>
  <si>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</si>
  <si>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</si>
  <si>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</si>
  <si>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</si>
  <si>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</si>
  <si>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</si>
  <si>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</si>
  <si>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</si>
  <si>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</si>
  <si>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</si>
  <si>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</si>
  <si>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</si>
  <si>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</si>
  <si>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</si>
  <si>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</si>
  <si>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</si>
  <si>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</si>
  <si>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</si>
  <si>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</si>
  <si>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</si>
  <si>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</si>
  <si>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</si>
  <si>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</si>
  <si>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</si>
  <si>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</si>
  <si>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</si>
  <si>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</si>
  <si>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</si>
  <si>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</si>
  <si>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</si>
  <si>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</si>
  <si>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</si>
  <si>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</si>
  <si>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</si>
  <si>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</si>
  <si>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</si>
  <si>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</si>
  <si>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</si>
  <si>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</si>
  <si>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</si>
  <si>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</si>
  <si>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</si>
  <si>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</si>
  <si>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</si>
  <si>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</si>
  <si>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</si>
  <si>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</si>
  <si>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</si>
  <si>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</si>
  <si>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</si>
  <si>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</si>
  <si>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</si>
  <si>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</si>
  <si>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</si>
  <si>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</si>
  <si>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</si>
  <si>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</si>
  <si>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</si>
  <si>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</si>
  <si>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</si>
  <si>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</si>
  <si>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</si>
  <si>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</si>
  <si>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</si>
  <si>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</si>
  <si>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</si>
  <si>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</si>
  <si>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</si>
  <si>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</si>
  <si>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</si>
  <si>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</si>
  <si>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</si>
  <si>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</si>
  <si>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</si>
  <si>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</si>
  <si>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</si>
  <si>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</si>
  <si>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</si>
  <si>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</si>
  <si>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</si>
  <si>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</si>
  <si>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</si>
  <si>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</si>
  <si>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</si>
  <si>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</si>
  <si>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</si>
  <si>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</si>
  <si>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</si>
  <si>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</si>
  <si>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</si>
  <si>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</si>
  <si>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</si>
  <si>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</si>
  <si>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</si>
  <si>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</si>
  <si>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</si>
  <si>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</si>
  <si>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</si>
  <si>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</si>
  <si>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</si>
  <si>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</si>
  <si>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</si>
  <si>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</si>
  <si>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</si>
  <si>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</si>
  <si>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</si>
  <si>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</si>
  <si>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</si>
  <si>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</si>
  <si>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</si>
  <si>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</si>
  <si>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</si>
  <si>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</si>
  <si>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</si>
  <si>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</si>
  <si>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</si>
  <si>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</si>
  <si>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</si>
  <si>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</si>
  <si>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</si>
  <si>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</si>
  <si>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</si>
  <si>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</si>
  <si>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</si>
  <si>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</si>
  <si>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</si>
  <si>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</si>
  <si>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</si>
  <si>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</si>
  <si>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</si>
  <si>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</si>
  <si>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</si>
  <si>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</si>
  <si>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</si>
  <si>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</si>
  <si>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</si>
  <si>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</si>
  <si>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</si>
  <si>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</si>
  <si>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</si>
  <si>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</si>
  <si>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</si>
  <si>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</si>
  <si>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</si>
  <si>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</si>
  <si>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</si>
  <si>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</si>
  <si>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</si>
  <si>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</si>
  <si>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</si>
  <si>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</si>
  <si>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</si>
  <si>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</si>
  <si>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</si>
  <si>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</si>
  <si>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</si>
  <si>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</si>
  <si>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</si>
  <si>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</si>
  <si>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</si>
  <si>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</si>
  <si>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</si>
  <si>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</si>
  <si>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</si>
  <si>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</si>
  <si>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</si>
  <si>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</si>
  <si>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</si>
  <si>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</si>
  <si>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</si>
  <si>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</si>
  <si>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</si>
  <si>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</si>
  <si>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</si>
  <si>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</si>
  <si>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</si>
  <si>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</si>
  <si>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</si>
  <si>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</si>
  <si>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</si>
  <si>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</si>
  <si>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</si>
  <si>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</si>
  <si>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</si>
  <si>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</si>
  <si>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</si>
  <si>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</si>
  <si>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</si>
  <si>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</si>
  <si>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</si>
  <si>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</si>
  <si>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</si>
  <si>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</si>
  <si>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</si>
  <si>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</si>
  <si>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</si>
  <si>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</si>
  <si>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</si>
  <si>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</si>
  <si>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</si>
  <si>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</si>
  <si>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</si>
  <si>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</si>
  <si>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</si>
  <si>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</si>
  <si>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</si>
  <si>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</si>
  <si>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</si>
  <si>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</si>
  <si>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</si>
  <si>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</si>
  <si>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</si>
  <si>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</si>
  <si>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</si>
  <si>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</si>
  <si>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</si>
  <si>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</si>
  <si>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</si>
  <si>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</si>
  <si>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</si>
  <si>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</si>
  <si>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</si>
  <si>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</si>
  <si>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</si>
  <si>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</si>
  <si>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</si>
  <si>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</si>
  <si>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</si>
  <si>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</si>
  <si>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</si>
  <si>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</si>
  <si>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</si>
  <si>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</si>
  <si>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</si>
  <si>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</si>
  <si>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</si>
  <si>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</si>
  <si>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</si>
  <si>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</si>
  <si>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</si>
  <si>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</si>
  <si>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</si>
  <si>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</si>
  <si>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</si>
  <si>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</si>
  <si>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</si>
  <si>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</si>
  <si>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</si>
  <si>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</si>
  <si>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</si>
  <si>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</si>
  <si>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</si>
  <si>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</si>
  <si>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</si>
  <si>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</si>
  <si>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</si>
  <si>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</si>
  <si>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</si>
  <si>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</si>
  <si>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</si>
  <si>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</si>
  <si>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</si>
  <si>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</si>
  <si>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</si>
  <si>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</si>
  <si>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</si>
  <si>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</si>
  <si>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</si>
  <si>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</si>
  <si>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</si>
  <si>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</si>
  <si>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</si>
  <si>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</si>
  <si>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</si>
  <si>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</si>
  <si>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</si>
  <si>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</si>
  <si>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</si>
  <si>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</si>
  <si>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</si>
  <si>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</si>
  <si>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</si>
  <si>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</si>
  <si>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</si>
  <si>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</si>
  <si>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</si>
  <si>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</si>
  <si>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</si>
  <si>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</si>
  <si>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</si>
  <si>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</si>
  <si>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</si>
  <si>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</si>
  <si>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</si>
  <si>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</si>
  <si>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</si>
  <si>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</si>
  <si>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</si>
  <si>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</si>
  <si>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</si>
  <si>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</si>
  <si>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</si>
  <si>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</si>
  <si>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</si>
  <si>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</si>
  <si>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</si>
  <si>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</si>
  <si>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</si>
  <si>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</si>
  <si>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</si>
  <si>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</si>
  <si>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</si>
  <si>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</si>
  <si>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</si>
  <si>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</si>
  <si>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</si>
  <si>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</si>
  <si>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</si>
  <si>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</si>
  <si>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</si>
  <si>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</si>
  <si>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</si>
  <si>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</si>
  <si>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</si>
  <si>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</si>
  <si>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</si>
  <si>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</si>
  <si>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</si>
  <si>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</si>
  <si>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</si>
  <si>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</si>
  <si>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</si>
  <si>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</si>
  <si>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</si>
  <si>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</si>
  <si>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</si>
  <si>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</si>
  <si>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</si>
  <si>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</si>
  <si>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</si>
  <si>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</si>
  <si>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</si>
  <si>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</si>
  <si>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</si>
  <si>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</si>
  <si>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</si>
  <si>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</si>
  <si>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</si>
  <si>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</si>
  <si>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</si>
  <si>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</si>
  <si>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</si>
  <si>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</si>
  <si>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</si>
  <si>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</si>
  <si>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</si>
  <si>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</si>
  <si>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</si>
  <si>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</si>
  <si>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</si>
  <si>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</si>
  <si>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</si>
  <si>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</si>
  <si>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</si>
  <si>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</si>
  <si>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</si>
  <si>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</si>
  <si>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</si>
  <si>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</si>
  <si>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</si>
  <si>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</si>
  <si>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</si>
  <si>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</si>
  <si>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</si>
  <si>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</si>
  <si>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</si>
  <si>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</si>
  <si>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</si>
  <si>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</si>
  <si>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</si>
  <si>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</si>
  <si>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</si>
  <si>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</si>
  <si>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</si>
  <si>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</si>
  <si>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</si>
  <si>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</si>
  <si>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</si>
  <si>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</si>
  <si>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</si>
  <si>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</si>
  <si>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</si>
  <si>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</si>
  <si>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</si>
  <si>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</si>
  <si>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</si>
  <si>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</si>
  <si>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</si>
  <si>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</si>
  <si>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</si>
  <si>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</si>
  <si>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</si>
  <si>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</si>
  <si>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</si>
  <si>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</si>
  <si>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</si>
  <si>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</si>
  <si>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</si>
  <si>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</si>
  <si>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</si>
  <si>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</si>
  <si>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</si>
  <si>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</si>
  <si>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</si>
  <si>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</si>
  <si>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</si>
  <si>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</si>
  <si>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</si>
  <si>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</si>
  <si>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</si>
  <si>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</si>
  <si>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</si>
  <si>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</si>
  <si>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</si>
  <si>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</si>
  <si>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</si>
  <si>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</si>
  <si>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</si>
  <si>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</si>
  <si>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</si>
  <si>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</si>
  <si>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</si>
  <si>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</si>
  <si>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</si>
  <si>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</si>
  <si>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</si>
  <si>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</si>
  <si>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</si>
  <si>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</si>
  <si>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</si>
  <si>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</si>
  <si>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</si>
  <si>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</si>
  <si>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</si>
  <si>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</si>
  <si>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</si>
  <si>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</si>
  <si>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</si>
  <si>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</si>
  <si>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</si>
  <si>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</si>
  <si>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</si>
  <si>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</si>
  <si>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</si>
  <si>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</si>
  <si>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</si>
  <si>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</si>
  <si>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</si>
  <si>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</si>
  <si>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</si>
  <si>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</si>
  <si>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</si>
  <si>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</si>
  <si>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</si>
  <si>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</si>
  <si>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</si>
  <si>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</si>
  <si>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</si>
  <si>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</si>
  <si>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</si>
  <si>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</si>
  <si>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</si>
  <si>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</si>
  <si>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</si>
  <si>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</si>
  <si>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</si>
  <si>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</si>
  <si>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</si>
  <si>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</si>
  <si>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</si>
  <si>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</si>
  <si>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</si>
  <si>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</si>
  <si>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</si>
  <si>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</si>
  <si>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</si>
  <si>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</si>
  <si>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</si>
  <si>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</si>
  <si>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</si>
  <si>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</si>
  <si>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</si>
  <si>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</si>
  <si>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</si>
  <si>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</si>
  <si>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</si>
  <si>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</si>
  <si>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</si>
  <si>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</si>
  <si>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</si>
  <si>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</si>
  <si>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</si>
  <si>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</si>
  <si>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</si>
  <si>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</si>
  <si>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</si>
  <si>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</si>
  <si>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</si>
  <si>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</si>
  <si>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</si>
  <si>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</si>
  <si>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</si>
  <si>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</si>
  <si>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</si>
  <si>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</si>
  <si>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</si>
  <si>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</si>
  <si>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</si>
  <si>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</si>
  <si>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</si>
  <si>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</si>
  <si>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</si>
  <si>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</si>
  <si>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</si>
  <si>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</si>
  <si>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</si>
  <si>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</si>
  <si>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</si>
  <si>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</si>
  <si>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</si>
  <si>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</si>
  <si>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</si>
  <si>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</si>
  <si>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</si>
  <si>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</si>
  <si>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</si>
  <si>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</si>
  <si>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</si>
  <si>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</si>
  <si>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</si>
  <si>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</si>
  <si>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</si>
  <si>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</si>
  <si>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</si>
  <si>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</si>
  <si>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</si>
  <si>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</si>
  <si>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</si>
  <si>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</si>
  <si>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</si>
  <si>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</si>
  <si>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</si>
  <si>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</si>
  <si>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</si>
  <si>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</si>
  <si>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</si>
  <si>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</si>
  <si>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</si>
  <si>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</si>
  <si>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</si>
  <si>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</si>
  <si>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</si>
  <si>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</si>
  <si>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</si>
  <si>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</si>
  <si>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</si>
  <si>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</si>
  <si>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</si>
  <si>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</si>
  <si>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</si>
  <si>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</si>
  <si>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</si>
  <si>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</si>
  <si>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</si>
  <si>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</si>
  <si>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</si>
  <si>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</si>
  <si>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</si>
  <si>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</si>
  <si>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</si>
  <si>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</si>
  <si>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</si>
  <si>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</si>
  <si>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</si>
  <si>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</si>
  <si>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</si>
  <si>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</si>
  <si>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</si>
  <si>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</si>
  <si>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</si>
  <si>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</si>
  <si>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</si>
  <si>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</si>
  <si>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</si>
  <si>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</si>
  <si>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</si>
  <si>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</si>
  <si>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</si>
  <si>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</si>
  <si>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</si>
  <si>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</si>
  <si>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</si>
  <si>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</si>
  <si>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</si>
  <si>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</si>
  <si>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</si>
  <si>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</si>
  <si>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</si>
  <si>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</si>
  <si>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</si>
  <si>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</si>
  <si>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</si>
  <si>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</si>
  <si>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</si>
  <si>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</si>
  <si>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</si>
  <si>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</si>
  <si>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</si>
  <si>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</si>
  <si>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</si>
  <si>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</si>
  <si>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</si>
  <si>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</si>
  <si>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</si>
  <si>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</si>
  <si>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</si>
  <si>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</si>
  <si>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</si>
  <si>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</si>
  <si>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</si>
  <si>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</si>
  <si>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</si>
  <si>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</si>
  <si>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</si>
  <si>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</si>
  <si>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</si>
  <si>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</si>
  <si>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</si>
  <si>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</si>
  <si>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</si>
  <si>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</si>
  <si>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</si>
  <si>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</si>
  <si>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</si>
  <si>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</si>
  <si>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</si>
  <si>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</si>
  <si>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</si>
  <si>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</si>
  <si>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</si>
  <si>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</si>
  <si>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</si>
  <si>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</si>
  <si>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</si>
  <si>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</si>
  <si>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</si>
  <si>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</si>
  <si>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</si>
  <si>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</si>
  <si>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</si>
  <si>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</si>
  <si>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</si>
  <si>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</si>
  <si>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</si>
  <si>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</si>
  <si>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</si>
  <si>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</si>
  <si>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</si>
  <si>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</si>
  <si>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</si>
  <si>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</si>
  <si>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</si>
  <si>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</si>
  <si>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</si>
  <si>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</si>
  <si>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</si>
  <si>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</si>
  <si>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</si>
  <si>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</si>
  <si>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</si>
  <si>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</si>
  <si>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</si>
  <si>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</si>
  <si>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</si>
  <si>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</si>
  <si>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</si>
  <si>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</si>
  <si>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</si>
  <si>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</si>
  <si>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</si>
  <si>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</si>
  <si>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</si>
  <si>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</si>
  <si>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</si>
  <si>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</si>
  <si>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</si>
  <si>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</si>
  <si>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</si>
  <si>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</si>
  <si>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</si>
  <si>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</si>
  <si>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</si>
  <si>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</si>
  <si>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</si>
  <si>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</si>
  <si>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</si>
  <si>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</si>
  <si>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</si>
  <si>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</si>
  <si>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</si>
  <si>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</si>
  <si>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</si>
  <si>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</si>
  <si>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</si>
  <si>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</si>
  <si>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</si>
  <si>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</si>
  <si>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</si>
  <si>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</si>
  <si>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</si>
  <si>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</si>
  <si>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</si>
  <si>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</si>
  <si>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</si>
  <si>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</si>
  <si>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</si>
  <si>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</si>
  <si>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</si>
  <si>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</si>
  <si>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</si>
  <si>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</si>
  <si>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</si>
  <si>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</si>
  <si>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</si>
  <si>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</si>
  <si>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</si>
  <si>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</si>
  <si>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</si>
  <si>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</si>
  <si>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</si>
  <si>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</si>
  <si>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</si>
  <si>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</si>
  <si>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</si>
  <si>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</si>
  <si>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</si>
  <si>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</si>
  <si>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</si>
  <si>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</si>
  <si>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</si>
  <si>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</si>
  <si>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</si>
  <si>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</si>
  <si>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</si>
  <si>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</si>
  <si>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</si>
  <si>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</si>
  <si>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</si>
  <si>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</si>
  <si>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</si>
  <si>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</si>
  <si>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</si>
  <si>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</si>
  <si>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</si>
  <si>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</si>
  <si>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</si>
  <si>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</si>
  <si>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</si>
  <si>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</si>
  <si>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</si>
  <si>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</si>
  <si>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</si>
  <si>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</si>
  <si>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</si>
  <si>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</si>
  <si>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</si>
  <si>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</si>
  <si>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</si>
  <si>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</si>
  <si>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</si>
  <si>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</si>
  <si>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</si>
  <si>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</si>
  <si>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</si>
  <si>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</si>
  <si>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</si>
  <si>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</si>
  <si>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</si>
  <si>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</si>
  <si>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</si>
  <si>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</si>
  <si>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</si>
  <si>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</si>
  <si>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</si>
  <si>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</si>
  <si>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</si>
  <si>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</si>
  <si>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</si>
  <si>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</si>
  <si>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</si>
  <si>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</si>
  <si>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</si>
  <si>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</si>
  <si>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</si>
  <si>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</si>
  <si>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</si>
  <si>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</si>
  <si>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</si>
  <si>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</si>
  <si>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</si>
  <si>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</si>
  <si>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</si>
  <si>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</si>
  <si>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</si>
  <si>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</si>
  <si>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</si>
  <si>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</si>
  <si>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</si>
  <si>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</si>
  <si>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</si>
  <si>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</si>
  <si>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</si>
  <si>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</si>
  <si>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</si>
  <si>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</si>
  <si>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</si>
  <si>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</si>
  <si>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</si>
  <si>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</si>
  <si>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</si>
  <si>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</si>
  <si>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</si>
  <si>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</si>
  <si>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</si>
  <si>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</si>
  <si>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</si>
  <si>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</si>
  <si>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</si>
  <si>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</si>
  <si>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</si>
  <si>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</si>
  <si>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</si>
  <si>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</si>
  <si>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</si>
  <si>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</si>
  <si>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</si>
  <si>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</si>
  <si>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</si>
  <si>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</si>
  <si>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</si>
  <si>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</si>
  <si>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</si>
  <si>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</si>
  <si>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</si>
  <si>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</si>
  <si>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</si>
  <si>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</si>
  <si>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</si>
  <si>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</si>
  <si>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</si>
  <si>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</si>
  <si>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</si>
  <si>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</si>
  <si>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</si>
  <si>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</si>
  <si>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</si>
  <si>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</si>
  <si>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</si>
  <si>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</si>
  <si>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</si>
  <si>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</si>
  <si>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</si>
  <si>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</si>
  <si>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</si>
  <si>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</si>
  <si>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</si>
  <si>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</si>
  <si>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</si>
  <si>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</si>
  <si>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</si>
  <si>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</si>
  <si>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</si>
  <si>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</si>
  <si>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</si>
  <si>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</si>
  <si>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</si>
  <si>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</si>
  <si>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</si>
  <si>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</si>
  <si>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</si>
  <si>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</si>
  <si>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</si>
  <si>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</si>
  <si>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</si>
  <si>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</si>
  <si>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</si>
  <si>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</si>
  <si>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</si>
  <si>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</si>
  <si>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</si>
  <si>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</si>
  <si>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</si>
  <si>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</si>
  <si>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</si>
  <si>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</si>
  <si>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</si>
  <si>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</si>
  <si>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</si>
  <si>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</si>
  <si>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</si>
  <si>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</si>
  <si>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</si>
  <si>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</si>
  <si>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</si>
  <si>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</si>
  <si>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</si>
  <si>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</si>
  <si>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</si>
  <si>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</si>
  <si>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</si>
  <si>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</si>
  <si>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</si>
  <si>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</si>
  <si>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</si>
  <si>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</si>
  <si>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</si>
  <si>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</si>
  <si>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</si>
  <si>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</si>
  <si>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</si>
  <si>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</si>
  <si>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</si>
  <si>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</si>
  <si>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</si>
  <si>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</si>
  <si>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</si>
  <si>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</si>
  <si>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</si>
  <si>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</si>
  <si>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</si>
  <si>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</si>
  <si>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</si>
  <si>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</si>
  <si>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</si>
  <si>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</si>
  <si>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</si>
  <si>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</si>
  <si>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</si>
  <si>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</si>
  <si>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</si>
  <si>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</si>
  <si>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</si>
  <si>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</si>
  <si>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</si>
  <si>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</si>
  <si>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</si>
  <si>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</si>
  <si>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</si>
  <si>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</si>
  <si>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</si>
  <si>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</si>
  <si>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</si>
  <si>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</si>
  <si>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</si>
  <si>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</si>
  <si>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</si>
  <si>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</si>
  <si>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</si>
  <si>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</si>
  <si>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</si>
  <si>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</si>
  <si>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</si>
  <si>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</si>
  <si>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</si>
  <si>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</si>
  <si>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</si>
  <si>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</si>
  <si>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</si>
  <si>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</si>
  <si>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</si>
  <si>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</si>
  <si>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</si>
  <si>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</si>
  <si>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</si>
  <si>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</si>
  <si>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</si>
  <si>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</si>
  <si>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</si>
  <si>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</si>
  <si>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</si>
  <si>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</si>
  <si>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</si>
  <si>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</si>
  <si>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</si>
  <si>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</si>
  <si>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</si>
  <si>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</si>
  <si>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</si>
  <si>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</si>
  <si>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</si>
  <si>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</si>
  <si>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</si>
  <si>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</si>
  <si>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</si>
  <si>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</si>
  <si>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</si>
  <si>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</si>
  <si>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</si>
  <si>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</si>
  <si>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</si>
  <si>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</si>
  <si>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</si>
  <si>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</si>
  <si>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</si>
  <si>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</si>
  <si>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</si>
  <si>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</si>
  <si>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</si>
  <si>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</si>
  <si>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</si>
  <si>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</si>
  <si>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</si>
  <si>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</si>
  <si>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</si>
  <si>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</si>
  <si>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</si>
  <si>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</si>
  <si>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</si>
  <si>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</si>
  <si>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</si>
  <si>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</si>
  <si>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</si>
  <si>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</si>
  <si>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</si>
  <si>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</si>
  <si>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</si>
  <si>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</si>
  <si>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</si>
  <si>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</si>
  <si>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</si>
  <si>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</si>
  <si>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</si>
  <si>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</si>
  <si>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</si>
  <si>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</si>
  <si>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</si>
  <si>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</si>
  <si>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</si>
  <si>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</si>
  <si>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</si>
  <si>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</si>
  <si>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</si>
  <si>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</si>
  <si>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</si>
  <si>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</si>
  <si>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</si>
  <si>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</si>
  <si>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</si>
  <si>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</si>
  <si>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</si>
  <si>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</si>
  <si>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</si>
  <si>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</si>
  <si>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</si>
  <si>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</si>
  <si>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</si>
  <si>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</si>
  <si>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</si>
  <si>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</si>
  <si>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</si>
  <si>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</si>
  <si>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</si>
  <si>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</si>
  <si>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</si>
  <si>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</si>
  <si>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</si>
  <si>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</si>
  <si>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</si>
  <si>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</si>
  <si>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</si>
  <si>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</si>
  <si>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</si>
  <si>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</si>
  <si>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</si>
  <si>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</si>
  <si>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</si>
  <si>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</si>
  <si>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</si>
  <si>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</si>
  <si>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</si>
  <si>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</si>
  <si>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</si>
  <si>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</si>
  <si>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</si>
  <si>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</si>
  <si>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</si>
  <si>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</si>
  <si>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</si>
  <si>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</si>
  <si>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</si>
  <si>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</si>
  <si>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</si>
  <si>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</si>
  <si>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</si>
  <si>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</si>
  <si>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</si>
  <si>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</si>
  <si>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</si>
  <si>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</si>
  <si>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</si>
  <si>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</si>
  <si>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</si>
  <si>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</si>
  <si>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</si>
  <si>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</si>
  <si>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</si>
  <si>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</si>
  <si>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</si>
  <si>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</si>
  <si>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</si>
  <si>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</si>
  <si>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</si>
  <si>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</si>
  <si>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</si>
  <si>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</si>
  <si>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</si>
  <si>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</si>
  <si>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</si>
  <si>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</si>
  <si>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</si>
  <si>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</si>
  <si>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</si>
  <si>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</si>
  <si>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</si>
  <si>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</si>
  <si>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</si>
  <si>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</si>
  <si>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</si>
  <si>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</si>
  <si>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</si>
  <si>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</si>
  <si>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</si>
  <si>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</si>
  <si>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</si>
  <si>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</si>
  <si>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</si>
  <si>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</si>
  <si>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</si>
  <si>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</si>
  <si>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</si>
  <si>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</si>
  <si>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</si>
  <si>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</si>
  <si>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</si>
  <si>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</si>
  <si>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</si>
  <si>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</si>
  <si>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</si>
  <si>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</si>
  <si>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</si>
  <si>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</si>
  <si>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</si>
  <si>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</si>
  <si>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</si>
  <si>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</si>
  <si>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</si>
  <si>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</si>
  <si>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</si>
  <si>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</si>
  <si>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</si>
  <si>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</si>
  <si>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</si>
  <si>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</si>
  <si>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</si>
  <si>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</si>
  <si>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</si>
  <si>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</si>
  <si>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</si>
  <si>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</si>
  <si>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</si>
  <si>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</si>
  <si>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</si>
  <si>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</si>
  <si>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</si>
  <si>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</si>
  <si>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</si>
  <si>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</si>
  <si>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</si>
  <si>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</si>
  <si>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</si>
  <si>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</si>
  <si>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</si>
  <si>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</si>
  <si>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</si>
  <si>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</si>
  <si>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</si>
  <si>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</si>
  <si>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</si>
  <si>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</si>
  <si>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</si>
  <si>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</si>
  <si>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</si>
  <si>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</si>
  <si>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</si>
  <si>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</si>
  <si>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</si>
  <si>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</si>
  <si>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</si>
  <si>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</si>
  <si>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</si>
  <si>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</si>
  <si>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</si>
  <si>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</si>
  <si>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</si>
  <si>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</si>
  <si>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</si>
  <si>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</si>
  <si>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</si>
  <si>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</si>
  <si>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</si>
  <si>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</si>
  <si>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</si>
  <si>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</si>
  <si>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</si>
  <si>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</si>
  <si>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</si>
  <si>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</si>
  <si>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</si>
  <si>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</si>
  <si>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</si>
  <si>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</si>
  <si>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</si>
  <si>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</si>
  <si>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</si>
  <si>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</si>
  <si>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</si>
  <si>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</si>
  <si>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</si>
  <si>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</si>
  <si>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</si>
  <si>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</si>
  <si>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</si>
  <si>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</si>
  <si>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</si>
  <si>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</si>
  <si>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</si>
  <si>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</si>
  <si>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</si>
  <si>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</si>
  <si>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</si>
  <si>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</si>
  <si>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</si>
  <si>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</si>
  <si>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</si>
  <si>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</si>
  <si>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</si>
  <si>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</si>
  <si>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</si>
  <si>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</si>
  <si>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</si>
  <si>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</si>
  <si>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</si>
  <si>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</si>
  <si>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</si>
  <si>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</si>
  <si>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</si>
  <si>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</si>
  <si>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</si>
  <si>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</si>
  <si>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</si>
  <si>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</si>
  <si>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</si>
  <si>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</si>
  <si>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</si>
  <si>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</si>
  <si>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</si>
  <si>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</si>
  <si>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</si>
  <si>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</si>
  <si>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</si>
  <si>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</si>
  <si>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</si>
  <si>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</si>
  <si>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</si>
  <si>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</si>
  <si>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</si>
  <si>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</si>
  <si>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</si>
  <si>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</si>
  <si>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</si>
  <si>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</si>
  <si>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</si>
  <si>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</si>
  <si>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</si>
  <si>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</si>
  <si>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</si>
  <si>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</si>
  <si>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</si>
  <si>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</si>
  <si>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</si>
  <si>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</si>
  <si>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</si>
  <si>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</si>
  <si>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</si>
  <si>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</si>
  <si>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</si>
  <si>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</si>
  <si>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</si>
  <si>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</si>
  <si>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</si>
  <si>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</si>
  <si>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</si>
  <si>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</si>
  <si>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</si>
  <si>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</si>
  <si>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</si>
  <si>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</si>
  <si>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</si>
  <si>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</si>
  <si>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</si>
  <si>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</si>
  <si>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</si>
  <si>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</si>
  <si>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</si>
  <si>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</si>
  <si>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</si>
  <si>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</si>
  <si>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</si>
  <si>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</si>
  <si>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</si>
  <si>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</si>
  <si>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</si>
  <si>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</si>
  <si>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</si>
  <si>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</si>
  <si>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</si>
  <si>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</si>
  <si>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</si>
  <si>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</si>
  <si>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</si>
  <si>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</si>
  <si>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</si>
  <si>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</si>
  <si>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</si>
  <si>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</si>
  <si>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</si>
  <si>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</si>
  <si>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</si>
  <si>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</si>
  <si>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</si>
  <si>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</si>
  <si>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</si>
  <si>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</si>
  <si>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</si>
  <si>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</si>
  <si>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</si>
  <si>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</si>
  <si>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</si>
  <si>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</si>
  <si>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</si>
  <si>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</si>
  <si>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</si>
  <si>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</si>
  <si>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</si>
  <si>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</si>
  <si>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</si>
  <si>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</si>
  <si>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</si>
  <si>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</si>
  <si>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</si>
  <si>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</si>
  <si>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</si>
  <si>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</si>
  <si>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</si>
  <si>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</si>
  <si>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</si>
  <si>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</si>
  <si>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</si>
  <si>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</si>
  <si>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</si>
  <si>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</si>
  <si>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</si>
  <si>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</si>
  <si>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</si>
  <si>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</si>
  <si>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</si>
  <si>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</si>
  <si>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</si>
  <si>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</si>
  <si>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</si>
  <si>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</si>
  <si>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</si>
  <si>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</si>
  <si>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</si>
  <si>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</si>
  <si>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</si>
  <si>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</si>
  <si>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</si>
  <si>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</si>
  <si>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</si>
  <si>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</si>
  <si>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</si>
  <si>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</si>
  <si>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</si>
  <si>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</si>
  <si>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</si>
  <si>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</si>
  <si>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</si>
  <si>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</si>
  <si>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</si>
  <si>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</si>
  <si>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</si>
  <si>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</si>
  <si>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</si>
  <si>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</si>
  <si>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</si>
  <si>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</si>
  <si>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</si>
  <si>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</si>
  <si>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</si>
  <si>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</si>
  <si>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</si>
  <si>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</si>
  <si>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</si>
  <si>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</si>
  <si>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</si>
  <si>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</si>
  <si>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</si>
  <si>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</si>
  <si>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</si>
  <si>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</si>
  <si>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</si>
  <si>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</si>
  <si>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</si>
  <si>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</si>
  <si>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</si>
  <si>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</si>
  <si>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</si>
  <si>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</si>
  <si>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</si>
  <si>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</si>
  <si>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</si>
  <si>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</si>
  <si>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</si>
  <si>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</si>
  <si>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</si>
  <si>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</si>
  <si>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</si>
  <si>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</si>
  <si>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</si>
  <si>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</si>
  <si>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</si>
  <si>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</si>
  <si>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</si>
  <si>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</si>
  <si>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</si>
  <si>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</si>
  <si>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</si>
  <si>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</si>
  <si>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</si>
  <si>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</si>
  <si>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</si>
  <si>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</si>
  <si>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</si>
  <si>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</si>
  <si>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</si>
  <si>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</si>
  <si>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</si>
  <si>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</si>
  <si>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</si>
  <si>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</si>
  <si>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</si>
  <si>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</si>
  <si>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</si>
  <si>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</si>
  <si>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</si>
  <si>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</si>
  <si>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</si>
  <si>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</si>
  <si>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</si>
  <si>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</si>
  <si>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</si>
  <si>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</si>
  <si>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</si>
  <si>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</si>
  <si>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</si>
  <si>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</si>
  <si>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</si>
  <si>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</si>
  <si>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</si>
  <si>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</si>
  <si>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</si>
  <si>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</si>
  <si>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</si>
  <si>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</si>
  <si>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</si>
  <si>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</si>
  <si>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</si>
  <si>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</si>
  <si>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</si>
  <si>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</si>
  <si>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</si>
  <si>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</si>
  <si>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</si>
  <si>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</si>
  <si>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</si>
  <si>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</si>
  <si>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</si>
  <si>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</si>
  <si>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</si>
  <si>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</si>
  <si>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</si>
  <si>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</si>
  <si>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</si>
  <si>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</si>
  <si>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</si>
  <si>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</si>
  <si>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</si>
  <si>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</si>
  <si>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</si>
  <si>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</si>
  <si>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</si>
  <si>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</si>
  <si>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</si>
  <si>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</si>
  <si>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</si>
  <si>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</si>
  <si>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</si>
  <si>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</si>
  <si>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</si>
  <si>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</si>
  <si>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</si>
  <si>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</si>
  <si>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</si>
  <si>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</si>
  <si>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</si>
  <si>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</si>
  <si>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</si>
  <si>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</si>
  <si>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</si>
  <si>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</si>
  <si>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</si>
  <si>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</si>
  <si>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</si>
  <si>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</si>
  <si>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</si>
  <si>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</si>
  <si>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</si>
  <si>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</si>
  <si>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</si>
  <si>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</si>
  <si>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</si>
  <si>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</si>
  <si>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</si>
  <si>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</si>
  <si>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</si>
  <si>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</si>
  <si>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</si>
  <si>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</si>
  <si>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</si>
  <si>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</si>
  <si>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</si>
  <si>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</si>
  <si>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</si>
  <si>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</si>
  <si>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</si>
  <si>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</si>
  <si>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</si>
  <si>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</si>
  <si>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</si>
  <si>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</si>
  <si>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</si>
  <si>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</si>
  <si>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</si>
  <si>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</si>
  <si>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</si>
  <si>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</si>
  <si>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</si>
  <si>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</si>
  <si>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</si>
  <si>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</si>
  <si>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</si>
  <si>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</si>
  <si>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</si>
  <si>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</si>
  <si>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</si>
  <si>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</si>
  <si>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</si>
  <si>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</si>
  <si>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</si>
  <si>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</si>
  <si>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</si>
  <si>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</si>
  <si>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</si>
  <si>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</si>
  <si>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</si>
  <si>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</si>
  <si>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</si>
  <si>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</si>
  <si>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</si>
  <si>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</si>
  <si>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</si>
  <si>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</si>
  <si>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</si>
  <si>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</si>
  <si>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</si>
  <si>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</si>
  <si>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</si>
  <si>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</si>
  <si>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</si>
  <si>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</si>
  <si>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</si>
  <si>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</si>
  <si>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</si>
  <si>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</si>
  <si>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</si>
  <si>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</si>
  <si>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</si>
  <si>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</si>
  <si>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</si>
  <si>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</si>
  <si>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</si>
  <si>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</si>
  <si>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</si>
  <si>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</si>
  <si>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</si>
  <si>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</si>
  <si>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</si>
  <si>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</si>
  <si>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</si>
  <si>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</si>
  <si>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</si>
  <si>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</si>
  <si>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</si>
  <si>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</si>
  <si>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</si>
  <si>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</si>
  <si>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</si>
  <si>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</si>
  <si>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</si>
  <si>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</si>
  <si>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</si>
  <si>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</si>
  <si>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</si>
  <si>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</si>
  <si>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</si>
  <si>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</si>
  <si>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</si>
  <si>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</si>
  <si>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</si>
  <si>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</si>
  <si>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</si>
  <si>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</si>
  <si>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</si>
  <si>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</si>
  <si>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</si>
  <si>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</si>
  <si>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</si>
  <si>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</si>
  <si>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</si>
  <si>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</si>
  <si>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</si>
  <si>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</si>
  <si>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</si>
  <si>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</si>
  <si>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</si>
  <si>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</si>
  <si>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</si>
  <si>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</si>
  <si>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</si>
  <si>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</si>
  <si>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</si>
  <si>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</si>
  <si>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</si>
  <si>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</si>
  <si>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</si>
  <si>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</si>
  <si>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</si>
  <si>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</si>
  <si>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</si>
  <si>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</si>
  <si>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</si>
  <si>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</si>
  <si>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</si>
  <si>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</si>
  <si>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</si>
  <si>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</si>
  <si>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</si>
  <si>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</si>
  <si>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</si>
  <si>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</si>
  <si>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</si>
  <si>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</si>
  <si>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</si>
  <si>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Attack Pattern</t>
  </si>
  <si>
    <t>All Skills</t>
  </si>
  <si>
    <t>-</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</si>
  <si>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</si>
  <si>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</si>
  <si>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</si>
  <si>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</si>
  <si>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</si>
  <si>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</si>
  <si>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</si>
  <si>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</si>
  <si>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</si>
  <si>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</si>
  <si>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</si>
  <si>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</si>
  <si>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パイルゴーレム(エリア03-ADVENTURE)</t>
    <phoneticPr fontId="1"/>
  </si>
  <si>
    <t>ADVENTURE</t>
    <phoneticPr fontId="1"/>
  </si>
  <si>
    <t>ヴェイルドデス(エリア02-Professional)</t>
    <phoneticPr fontId="1"/>
  </si>
  <si>
    <t>[強化変種]ミスアームズ(エリア04-CASUAL)</t>
    <phoneticPr fontId="1"/>
  </si>
  <si>
    <t>CASUAL</t>
    <phoneticPr fontId="1"/>
  </si>
  <si>
    <t>イエローピラーガーディアン(エリア04-PROFESSIONAL)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</si>
  <si>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</si>
  <si>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</si>
  <si>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</si>
  <si>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</si>
  <si>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</si>
  <si>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</si>
  <si>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</si>
  <si>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</si>
  <si>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</si>
  <si>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TallFlesiaDefault_Conquest01C_SubMissionEASY</t>
  </si>
  <si>
    <t>-50</t>
  </si>
  <si>
    <t>50</t>
  </si>
  <si>
    <t>95,000</t>
  </si>
  <si>
    <t>640,000</t>
  </si>
  <si>
    <t>647</t>
  </si>
  <si>
    <t>170%</t>
  </si>
  <si>
    <t>10%</t>
  </si>
  <si>
    <t>999%</t>
  </si>
  <si>
    <t>2025/2/9</t>
  </si>
  <si>
    <t>究極のスリル</t>
    <phoneticPr fontId="1"/>
  </si>
  <si>
    <t>蒼天</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</si>
</sst>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2377</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2482</v>
      </c>
      <c r="D3" s="13" t="s">
        <v>2148</v>
      </c>
      <c r="E3" s="17" t="s">
        <v>2488</v>
      </c>
      <c r="F3" s="17" t="s">
        <v>2484</v>
      </c>
      <c r="G3" s="13" t="s">
        <v>2485</v>
      </c>
      <c r="H3" s="13" t="s">
        <v>1661</v>
      </c>
      <c r="I3" s="13"/>
      <c r="J3" s="13" t="s">
        <v>1655</v>
      </c>
      <c r="K3" s="13" t="s">
        <v>2496</v>
      </c>
      <c r="L3" s="13"/>
      <c r="M3" s="13" t="s">
        <v>2495</v>
      </c>
      <c r="N3" s="13" t="s">
        <v>2497</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2490</v>
      </c>
      <c r="D9" s="13">
        <f>$C$4</f>
        <v>91</v>
      </c>
      <c r="E9" s="13">
        <v>0</v>
      </c>
      <c r="F9" s="18">
        <v>7</v>
      </c>
      <c r="G9" s="18">
        <v>126</v>
      </c>
      <c r="H9" s="18">
        <v>10</v>
      </c>
      <c r="I9" s="18">
        <v>0</v>
      </c>
      <c r="J9" s="18">
        <v>0</v>
      </c>
      <c r="M9">
        <f>105+F9*3</f>
        <v>126</v>
      </c>
    </row>
    <row r="10" spans="1:20">
      <c r="B10" s="13">
        <f>B9+1</f>
        <v>593</v>
      </c>
      <c r="C10" s="18" t="s">
        <v>2492</v>
      </c>
      <c r="D10" s="13">
        <f>$C$4</f>
        <v>91</v>
      </c>
      <c r="E10" s="13">
        <v>0</v>
      </c>
      <c r="F10" s="18">
        <v>7</v>
      </c>
      <c r="G10" s="18">
        <v>126</v>
      </c>
      <c r="H10" s="18">
        <v>10</v>
      </c>
      <c r="I10" s="18">
        <v>0</v>
      </c>
      <c r="J10" s="18">
        <v>0</v>
      </c>
      <c r="M10">
        <f>105+F10*3</f>
        <v>126</v>
      </c>
    </row>
    <row r="11" spans="1:20">
      <c r="B11" s="13">
        <f>B10+1</f>
        <v>594</v>
      </c>
      <c r="C11" s="18" t="s">
        <v>2494</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2368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2524</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2524</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2014</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2445</v>
      </c>
    </row>
    <row r="5" spans="1:16">
      <c r="A5">
        <v>4</v>
      </c>
      <c r="B5" t="s">
        <v>75</v>
      </c>
      <c r="C5">
        <v>5</v>
      </c>
      <c r="D5" t="s">
        <v>76</v>
      </c>
      <c r="E5">
        <v>4</v>
      </c>
      <c r="F5" t="s">
        <v>519</v>
      </c>
      <c r="G5">
        <v>5</v>
      </c>
      <c r="H5" t="s">
        <v>1649</v>
      </c>
      <c r="I5">
        <v>5</v>
      </c>
      <c r="J5" t="s">
        <v>1656</v>
      </c>
      <c r="K5">
        <v>4</v>
      </c>
      <c r="L5" t="s">
        <v>1669</v>
      </c>
      <c r="O5">
        <v>5</v>
      </c>
      <c r="P5" t="s">
        <v>2017</v>
      </c>
    </row>
    <row r="6" spans="1:16">
      <c r="A6">
        <v>5</v>
      </c>
      <c r="B6" t="s">
        <v>77</v>
      </c>
      <c r="C6">
        <v>6</v>
      </c>
      <c r="D6" t="s">
        <v>78</v>
      </c>
      <c r="E6">
        <v>5</v>
      </c>
      <c r="F6" t="s">
        <v>520</v>
      </c>
      <c r="G6">
        <v>6</v>
      </c>
      <c r="H6" t="s">
        <v>1650</v>
      </c>
      <c r="I6">
        <v>6</v>
      </c>
      <c r="J6" t="s">
        <v>1657</v>
      </c>
      <c r="K6">
        <v>5</v>
      </c>
      <c r="L6" t="s">
        <v>1670</v>
      </c>
      <c r="O6">
        <v>6</v>
      </c>
      <c r="P6" t="s">
        <v>2379</v>
      </c>
    </row>
    <row r="7" spans="1:16">
      <c r="A7">
        <v>6</v>
      </c>
      <c r="B7" t="s">
        <v>79</v>
      </c>
      <c r="C7">
        <v>7</v>
      </c>
      <c r="D7" t="s">
        <v>80</v>
      </c>
      <c r="E7">
        <v>6</v>
      </c>
      <c r="F7" t="s">
        <v>521</v>
      </c>
      <c r="G7">
        <v>7</v>
      </c>
      <c r="H7" t="s">
        <v>1651</v>
      </c>
      <c r="K7">
        <v>6</v>
      </c>
      <c r="L7" t="s">
        <v>1671</v>
      </c>
      <c r="O7">
        <v>7</v>
      </c>
      <c r="P7" t="s">
        <v>2385</v>
      </c>
    </row>
    <row r="8" spans="1:16">
      <c r="C8">
        <v>8</v>
      </c>
      <c r="D8" t="s">
        <v>81</v>
      </c>
      <c r="E8">
        <v>7</v>
      </c>
      <c r="F8" t="s">
        <v>522</v>
      </c>
      <c r="G8">
        <v>8</v>
      </c>
      <c r="H8" t="s">
        <v>2065</v>
      </c>
      <c r="K8">
        <v>7</v>
      </c>
      <c r="L8" t="s">
        <v>1672</v>
      </c>
      <c r="O8">
        <v>8</v>
      </c>
      <c r="P8" t="s">
        <v>2386</v>
      </c>
    </row>
    <row r="9" spans="1:16">
      <c r="A9">
        <v>0</v>
      </c>
      <c r="B9" t="s">
        <v>1658</v>
      </c>
      <c r="C9">
        <v>9</v>
      </c>
      <c r="D9" t="s">
        <v>82</v>
      </c>
      <c r="E9">
        <v>8</v>
      </c>
      <c r="F9" t="s">
        <v>523</v>
      </c>
      <c r="G9">
        <v>9</v>
      </c>
      <c r="H9" t="s">
        <v>2486</v>
      </c>
      <c r="K9">
        <v>8</v>
      </c>
      <c r="L9" t="s">
        <v>1673</v>
      </c>
      <c r="O9">
        <v>9</v>
      </c>
      <c r="P9" t="s">
        <v>2384</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2380</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2381</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2015</v>
      </c>
    </row>
    <row r="19" spans="1:16">
      <c r="C19">
        <v>19</v>
      </c>
      <c r="D19" t="s">
        <v>92</v>
      </c>
      <c r="E19">
        <v>18</v>
      </c>
      <c r="F19" t="s">
        <v>526</v>
      </c>
      <c r="K19">
        <v>18</v>
      </c>
      <c r="L19" t="s">
        <v>1682</v>
      </c>
      <c r="O19">
        <v>35</v>
      </c>
      <c r="P19" t="s">
        <v>2016</v>
      </c>
    </row>
    <row r="20" spans="1:16">
      <c r="C20">
        <v>20</v>
      </c>
      <c r="D20" t="s">
        <v>93</v>
      </c>
      <c r="E20">
        <v>19</v>
      </c>
      <c r="F20" t="s">
        <v>528</v>
      </c>
      <c r="K20">
        <v>19</v>
      </c>
      <c r="L20" t="s">
        <v>1683</v>
      </c>
    </row>
    <row r="21" spans="1:16">
      <c r="C21">
        <v>21</v>
      </c>
      <c r="D21" t="s">
        <v>94</v>
      </c>
      <c r="E21">
        <v>20</v>
      </c>
      <c r="F21" t="s">
        <v>552</v>
      </c>
      <c r="K21">
        <v>20</v>
      </c>
      <c r="L21" t="s">
        <v>1684</v>
      </c>
      <c r="O21">
        <v>41</v>
      </c>
      <c r="P21" t="s">
        <v>2382</v>
      </c>
    </row>
    <row r="22" spans="1:16">
      <c r="C22">
        <v>22</v>
      </c>
      <c r="D22" t="s">
        <v>95</v>
      </c>
      <c r="E22">
        <v>21</v>
      </c>
      <c r="F22" t="s">
        <v>584</v>
      </c>
      <c r="K22">
        <v>21</v>
      </c>
      <c r="L22" t="s">
        <v>1685</v>
      </c>
      <c r="O22">
        <v>42</v>
      </c>
      <c r="P22" t="s">
        <v>2165</v>
      </c>
    </row>
    <row r="23" spans="1:16">
      <c r="C23">
        <v>23</v>
      </c>
      <c r="D23" t="s">
        <v>96</v>
      </c>
      <c r="E23">
        <v>22</v>
      </c>
      <c r="F23" t="s">
        <v>585</v>
      </c>
      <c r="K23">
        <v>22</v>
      </c>
      <c r="L23" t="s">
        <v>1686</v>
      </c>
      <c r="O23">
        <v>43</v>
      </c>
      <c r="P23" t="s">
        <v>2383</v>
      </c>
    </row>
    <row r="24" spans="1:16">
      <c r="C24">
        <v>24</v>
      </c>
      <c r="D24" t="s">
        <v>97</v>
      </c>
      <c r="K24">
        <v>23</v>
      </c>
      <c r="L24" t="s">
        <v>1687</v>
      </c>
      <c r="O24">
        <v>44</v>
      </c>
      <c r="P24" t="s">
        <v>2391</v>
      </c>
    </row>
    <row r="25" spans="1:16">
      <c r="C25">
        <v>25</v>
      </c>
      <c r="D25" t="s">
        <v>98</v>
      </c>
      <c r="K25">
        <v>24</v>
      </c>
      <c r="L25" t="s">
        <v>1688</v>
      </c>
    </row>
    <row r="26" spans="1:16">
      <c r="C26">
        <v>26</v>
      </c>
      <c r="D26" t="s">
        <v>99</v>
      </c>
      <c r="K26">
        <v>25</v>
      </c>
      <c r="L26" t="s">
        <v>1689</v>
      </c>
      <c r="O26">
        <v>51</v>
      </c>
      <c r="P26" t="s">
        <v>2018</v>
      </c>
    </row>
    <row r="27" spans="1:16">
      <c r="C27">
        <v>27</v>
      </c>
      <c r="D27" t="s">
        <v>100</v>
      </c>
      <c r="K27">
        <v>26</v>
      </c>
      <c r="L27" t="s">
        <v>1690</v>
      </c>
      <c r="O27">
        <v>52</v>
      </c>
      <c r="P27" t="s">
        <v>2019</v>
      </c>
    </row>
    <row r="28" spans="1:16">
      <c r="C28">
        <v>28</v>
      </c>
      <c r="D28" t="s">
        <v>101</v>
      </c>
      <c r="K28">
        <v>27</v>
      </c>
      <c r="L28" t="s">
        <v>1691</v>
      </c>
      <c r="O28">
        <v>53</v>
      </c>
      <c r="P28" t="s">
        <v>2020</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2482</v>
      </c>
    </row>
    <row r="50" spans="3:4">
      <c r="C50">
        <v>101</v>
      </c>
      <c r="D50" t="s">
        <v>178</v>
      </c>
    </row>
    <row r="51" spans="3:4">
      <c r="C51">
        <v>102</v>
      </c>
      <c r="D51" t="s">
        <v>176</v>
      </c>
    </row>
    <row r="52" spans="3:4">
      <c r="C52">
        <v>103</v>
      </c>
      <c r="D52" t="s">
        <v>180</v>
      </c>
    </row>
    <row r="53" spans="3:4">
      <c r="C53">
        <v>104</v>
      </c>
      <c r="D53" t="s">
        <v>783</v>
      </c>
    </row>
    <row r="54" spans="3:4">
      <c r="C54">
        <v>105</v>
      </c>
      <c r="D54" t="s">
        <v>2293</v>
      </c>
    </row>
    <row r="55" spans="3:4">
      <c r="C55">
        <v>106</v>
      </c>
      <c r="D55" t="s">
        <v>2297</v>
      </c>
    </row>
    <row r="56" spans="3:4">
      <c r="C56">
        <v>107</v>
      </c>
      <c r="D56" t="s">
        <v>2300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2303</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2304</v>
      </c>
    </row>
    <row r="11" spans="1:20">
      <c r="A11" s="8"/>
      <c r="B11" s="13">
        <v>5</v>
      </c>
      <c r="C11" s="11" t="s">
        <v>76</v>
      </c>
      <c r="D11" s="11" t="s">
        <v>133</v>
      </c>
      <c r="E11" s="11" t="s">
        <v>577</v>
      </c>
      <c r="F11" s="13">
        <v>1</v>
      </c>
      <c r="G11" s="13">
        <v>4</v>
      </c>
      <c r="H11" t="s">
        <v>2296</v>
      </c>
      <c r="T11" s="16"/>
    </row>
    <row r="12" spans="1:20">
      <c r="A12" s="8"/>
      <c r="B12" s="13">
        <v>6</v>
      </c>
      <c r="C12" s="11" t="s">
        <v>78</v>
      </c>
      <c r="D12" s="11" t="s">
        <v>134</v>
      </c>
      <c r="E12" s="11" t="s">
        <v>577</v>
      </c>
      <c r="F12" s="13">
        <v>1</v>
      </c>
      <c r="G12" s="13">
        <v>4</v>
      </c>
      <c r="H12" t="s">
        <v>2299</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2304</v>
      </c>
    </row>
    <row r="15" spans="1:20">
      <c r="A15" s="8"/>
      <c r="B15" s="13">
        <v>9</v>
      </c>
      <c r="C15" s="11" t="s">
        <v>82</v>
      </c>
      <c r="D15" s="11" t="s">
        <v>137</v>
      </c>
      <c r="E15" s="11" t="s">
        <v>711</v>
      </c>
      <c r="F15" s="13">
        <v>1</v>
      </c>
      <c r="G15" s="13">
        <v>4</v>
      </c>
      <c r="H15" t="s">
        <v>2299</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2296</v>
      </c>
    </row>
    <row r="18" spans="1:20">
      <c r="A18" s="8"/>
      <c r="B18" s="13">
        <v>12</v>
      </c>
      <c r="C18" s="11" t="s">
        <v>85</v>
      </c>
      <c r="D18" s="11" t="s">
        <v>85</v>
      </c>
      <c r="E18" s="11" t="s">
        <v>711</v>
      </c>
      <c r="F18" s="13">
        <v>2</v>
      </c>
      <c r="G18" s="13">
        <v>3</v>
      </c>
      <c r="H18" t="s">
        <v>2307</v>
      </c>
    </row>
    <row r="19" spans="1:20">
      <c r="A19" s="8"/>
      <c r="B19" s="13">
        <v>13</v>
      </c>
      <c r="C19" s="11" t="s">
        <v>86</v>
      </c>
      <c r="D19" s="11" t="s">
        <v>140</v>
      </c>
      <c r="E19" s="11" t="s">
        <v>318</v>
      </c>
      <c r="F19" s="13">
        <v>1</v>
      </c>
      <c r="G19" s="13">
        <v>3</v>
      </c>
      <c r="H19" t="s">
        <v>2296</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2299</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2304</v>
      </c>
    </row>
    <row r="27" spans="1:20">
      <c r="A27" s="8"/>
      <c r="B27" s="13">
        <v>21</v>
      </c>
      <c r="C27" s="11" t="s">
        <v>94</v>
      </c>
      <c r="D27" s="11" t="s">
        <v>148</v>
      </c>
      <c r="E27" s="11" t="s">
        <v>558</v>
      </c>
      <c r="F27" s="13">
        <v>1</v>
      </c>
      <c r="G27" s="13">
        <v>4</v>
      </c>
      <c r="H27" t="s">
        <v>2299</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2305</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2296</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2304</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2296</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2305</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2296</v>
      </c>
      <c r="T43" s="16"/>
    </row>
    <row r="44" spans="1:20">
      <c r="A44" s="8"/>
      <c r="B44" s="13">
        <v>38</v>
      </c>
      <c r="C44" s="11" t="s">
        <v>111</v>
      </c>
      <c r="D44" s="11" t="s">
        <v>165</v>
      </c>
      <c r="E44" s="11" t="s">
        <v>319</v>
      </c>
      <c r="F44" s="13">
        <v>1</v>
      </c>
      <c r="G44" s="13">
        <v>4</v>
      </c>
      <c r="H44" t="s">
        <v>2299</v>
      </c>
      <c r="O44" s="15"/>
    </row>
    <row r="45" spans="1:20">
      <c r="A45" s="8"/>
      <c r="B45" s="13">
        <v>39</v>
      </c>
      <c r="C45" s="11" t="s">
        <v>112</v>
      </c>
      <c r="D45" s="11" t="s">
        <v>166</v>
      </c>
      <c r="E45" s="11" t="s">
        <v>319</v>
      </c>
      <c r="F45" s="13">
        <v>2</v>
      </c>
      <c r="G45" s="13">
        <v>1</v>
      </c>
      <c r="H45" t="s">
        <v>2304</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2299</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2304</v>
      </c>
    </row>
    <row r="54" spans="1:20">
      <c r="A54" s="8"/>
      <c r="B54" s="13">
        <v>48</v>
      </c>
      <c r="C54" s="11" t="s">
        <v>121</v>
      </c>
      <c r="D54" s="11" t="s">
        <v>175</v>
      </c>
      <c r="E54" s="11" t="s">
        <v>512</v>
      </c>
      <c r="F54" s="13">
        <v>1</v>
      </c>
      <c r="G54" s="13">
        <v>4</v>
      </c>
      <c r="H54" t="s">
        <v>2306</v>
      </c>
    </row>
    <row r="55" spans="1:20">
      <c r="A55" s="8"/>
      <c r="B55" s="13">
        <v>91</v>
      </c>
      <c r="C55" s="11" t="s">
        <v>2340</v>
      </c>
      <c r="D55" s="11" t="s">
        <v>2341</v>
      </c>
      <c r="E55" s="11" t="s">
        <v>2480</v>
      </c>
      <c r="F55" s="13">
        <v>2</v>
      </c>
      <c r="G55" s="14">
        <v>1</v>
      </c>
      <c r="H55" t="s">
        <v>2481</v>
      </c>
    </row>
    <row r="56" spans="1:20">
      <c r="A56" s="8"/>
      <c r="B56" s="13">
        <v>92</v>
      </c>
      <c r="C56" s="11" t="s">
        <v>2508</v>
      </c>
      <c r="D56" s="11" t="s">
        <v>2509</v>
      </c>
      <c r="E56" s="11" t="s">
        <v>2480</v>
      </c>
      <c r="F56" s="13">
        <v>0</v>
      </c>
      <c r="G56" s="14">
        <v>0</v>
      </c>
    </row>
    <row r="57" spans="1:20">
      <c r="A57" s="8"/>
      <c r="B57" s="13">
        <v>93</v>
      </c>
      <c r="C57" s="11" t="s">
        <v>2510</v>
      </c>
      <c r="D57" s="11" t="s">
        <v>2511</v>
      </c>
      <c r="E57" s="11" t="s">
        <v>2480</v>
      </c>
      <c r="F57" s="13">
        <v>0</v>
      </c>
      <c r="G57" s="14">
        <v>0</v>
      </c>
    </row>
    <row r="58" spans="1:20">
      <c r="A58" s="8"/>
      <c r="B58" s="13">
        <v>101</v>
      </c>
      <c r="C58" s="11" t="s">
        <v>178</v>
      </c>
      <c r="D58" s="11" t="s">
        <v>179</v>
      </c>
      <c r="E58" s="11" t="s">
        <v>828</v>
      </c>
      <c r="F58" s="13">
        <v>1</v>
      </c>
      <c r="G58" s="14">
        <v>2</v>
      </c>
      <c r="H58" t="s">
        <v>2299</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2294</v>
      </c>
      <c r="D62" s="11" t="s">
        <v>2295</v>
      </c>
      <c r="E62" s="11" t="s">
        <v>828</v>
      </c>
      <c r="F62" s="13">
        <v>1</v>
      </c>
      <c r="G62" s="14">
        <v>4</v>
      </c>
      <c r="H62" t="s">
        <v>2306</v>
      </c>
    </row>
    <row r="63" spans="1:20">
      <c r="A63" s="8"/>
      <c r="B63" s="13">
        <v>106</v>
      </c>
      <c r="C63" s="11" t="s">
        <v>2297</v>
      </c>
      <c r="D63" s="11" t="s">
        <v>2298</v>
      </c>
      <c r="E63" s="11" t="s">
        <v>828</v>
      </c>
      <c r="F63" s="13">
        <v>1</v>
      </c>
      <c r="G63" s="14">
        <v>4</v>
      </c>
      <c r="H63" t="s">
        <v>2299</v>
      </c>
    </row>
    <row r="64" spans="1:20">
      <c r="A64" s="8"/>
      <c r="B64" s="13">
        <v>107</v>
      </c>
      <c r="C64" s="11" t="s">
        <v>2301</v>
      </c>
      <c r="D64" s="11" t="s">
        <v>2302</v>
      </c>
      <c r="E64" s="11" t="s">
        <v>828</v>
      </c>
      <c r="F64" s="13">
        <v>2</v>
      </c>
      <c r="G64" s="14">
        <v>3</v>
      </c>
      <c r="H64" t="s">
        <v>1639</v>
      </c>
    </row>
    <row r="65" spans="1:20">
      <c r="A65" s="8"/>
      <c r="B65" s="13">
        <v>501</v>
      </c>
      <c r="C65" s="11" t="s">
        <v>2340</v>
      </c>
      <c r="D65" s="11" t="s">
        <v>2341</v>
      </c>
      <c r="E65" s="11" t="s">
        <v>2342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9"/>
  <sheetViews>
    <sheetView workbookViewId="0">
      <selection activeCell="H12" sqref="H12"/>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2545</v>
      </c>
      <c r="B3" s="22" t="s">
        <v>2546</v>
      </c>
      <c r="C3" s="22"/>
      <c r="D3" s="22"/>
      <c r="E3" s="22"/>
      <c r="F3" s="22"/>
      <c r="G3" s="22"/>
      <c r="H3" s="22"/>
      <c r="I3" s="22"/>
      <c r="J3" s="22"/>
      <c r="K3" s="22" t="s">
        <v>2568</v>
      </c>
      <c r="L3" s="22" t="s">
        <v>2569</v>
      </c>
      <c r="M3" s="22" t="s">
        <v>2570</v>
      </c>
      <c r="N3" s="22" t="s">
        <v>2571</v>
      </c>
      <c r="O3" s="22" t="s">
        <v>2572</v>
      </c>
      <c r="P3" s="22" t="s">
        <v>2573</v>
      </c>
      <c r="Q3" s="22"/>
      <c r="R3" s="22" t="s">
        <v>2574</v>
      </c>
      <c r="S3" s="26"/>
    </row>
    <row r="4" spans="1:19">
      <c r="B4" s="22" t="s">
        <v>2565</v>
      </c>
      <c r="C4" s="22"/>
      <c r="D4" s="22"/>
      <c r="E4" s="22"/>
      <c r="F4" s="22"/>
      <c r="G4" s="22"/>
      <c r="H4" s="22"/>
      <c r="I4" s="22"/>
      <c r="J4" s="22"/>
      <c r="K4" s="22"/>
      <c r="L4" s="22"/>
      <c r="M4" s="22"/>
      <c r="N4" s="22"/>
      <c r="O4" s="22"/>
      <c r="P4" s="22"/>
      <c r="Q4" s="22"/>
      <c r="R4" s="22"/>
      <c r="S4" s="26"/>
    </row>
    <row r="5" spans="1:19">
      <c r="B5" s="22" t="s">
        <v>2535</v>
      </c>
      <c r="C5" s="22"/>
      <c r="D5" s="22"/>
      <c r="E5" s="22"/>
      <c r="F5" s="22"/>
      <c r="G5" s="22"/>
      <c r="H5" s="22"/>
      <c r="I5" s="22"/>
      <c r="J5" s="22"/>
      <c r="K5" s="22"/>
      <c r="L5" s="22"/>
      <c r="M5" s="22"/>
      <c r="N5" s="22"/>
      <c r="O5" s="22"/>
      <c r="P5" s="22"/>
      <c r="Q5" s="22"/>
      <c r="R5" s="22"/>
      <c r="S5" s="26"/>
    </row>
    <row r="6" spans="1:19">
      <c r="B6" s="22" t="s">
        <v>2536</v>
      </c>
      <c r="C6" s="22"/>
      <c r="D6" s="22"/>
      <c r="E6" s="22"/>
      <c r="F6" s="22"/>
      <c r="G6" s="22"/>
      <c r="H6" s="22"/>
      <c r="I6" s="22"/>
      <c r="J6" s="22"/>
      <c r="K6" s="22"/>
      <c r="L6" s="22"/>
      <c r="M6" s="22"/>
      <c r="N6" s="22"/>
      <c r="O6" s="22"/>
      <c r="P6" s="22"/>
      <c r="Q6" s="22"/>
      <c r="R6" s="22"/>
      <c r="S6" s="26"/>
    </row>
    <row r="7" spans="1:19">
      <c r="B7" s="22"/>
      <c r="C7" s="22"/>
      <c r="D7" s="22"/>
      <c r="E7" s="22"/>
      <c r="F7" s="22"/>
      <c r="G7" s="22"/>
      <c r="H7" s="22"/>
      <c r="I7" s="22"/>
      <c r="J7" s="22"/>
      <c r="K7" s="22"/>
      <c r="L7" s="22"/>
      <c r="M7" s="22"/>
      <c r="N7" s="22"/>
      <c r="O7" s="22"/>
      <c r="P7" s="22"/>
      <c r="Q7" s="22"/>
      <c r="R7" s="22"/>
      <c r="S7" s="26"/>
    </row>
    <row r="8" spans="1:19">
      <c r="B8" s="22" t="s">
        <v>2537</v>
      </c>
      <c r="C8" s="22" t="s">
        <v>2537</v>
      </c>
      <c r="D8" s="22" t="s">
        <v>2537</v>
      </c>
      <c r="E8" s="22" t="s">
        <v>2537</v>
      </c>
      <c r="F8" s="22" t="s">
        <v>2537</v>
      </c>
      <c r="G8" s="22" t="s">
        <v>2537</v>
      </c>
      <c r="H8" s="22" t="s">
        <v>2566</v>
      </c>
      <c r="I8" s="22" t="s">
        <v>2567</v>
      </c>
      <c r="J8" s="22" t="s">
        <v>2537</v>
      </c>
      <c r="K8" s="22"/>
      <c r="L8" s="22"/>
      <c r="M8" s="22"/>
      <c r="N8" s="22"/>
      <c r="O8" s="22"/>
      <c r="P8" s="22"/>
      <c r="Q8" s="22"/>
      <c r="R8" s="22"/>
      <c r="S8" s="26"/>
    </row>
    <row r="9" spans="1:19">
      <c r="B9" s="22"/>
      <c r="C9" s="22"/>
      <c r="D9" s="22"/>
      <c r="E9" s="22"/>
      <c r="F9" s="22"/>
      <c r="G9" s="22"/>
      <c r="H9" s="22"/>
      <c r="I9" s="22"/>
      <c r="J9" s="22"/>
      <c r="K9" s="22"/>
      <c r="L9" s="22"/>
      <c r="M9" s="22"/>
      <c r="N9" s="22"/>
      <c r="O9" s="22"/>
      <c r="P9" s="22"/>
      <c r="Q9" s="22"/>
      <c r="R9" s="22"/>
      <c r="S9" s="26"/>
    </row>
    <row r="10" spans="1:19">
      <c r="B10" s="22" t="s">
        <v>2537</v>
      </c>
      <c r="C10" s="22" t="s">
        <v>2537</v>
      </c>
      <c r="D10" s="22" t="s">
        <v>2537</v>
      </c>
      <c r="E10" s="22" t="s">
        <v>2537</v>
      </c>
      <c r="F10" s="22" t="s">
        <v>2537</v>
      </c>
      <c r="G10" s="22" t="s">
        <v>2537</v>
      </c>
      <c r="H10" s="22" t="s">
        <v>2537</v>
      </c>
      <c r="I10" s="22" t="s">
        <v>2537</v>
      </c>
      <c r="J10" s="22"/>
      <c r="K10" s="22"/>
      <c r="L10" s="22"/>
      <c r="M10" s="22"/>
      <c r="N10" s="22"/>
      <c r="O10" s="22"/>
      <c r="P10" s="22"/>
      <c r="Q10" s="22"/>
      <c r="R10" s="22"/>
      <c r="S10" s="26"/>
    </row>
    <row r="11" spans="1:19">
      <c r="B11" s="22"/>
      <c r="C11" s="22"/>
      <c r="D11" s="22"/>
      <c r="E11" s="22"/>
      <c r="F11" s="22"/>
      <c r="G11" s="22"/>
      <c r="H11" s="22"/>
      <c r="I11" s="22"/>
      <c r="J11" s="22"/>
      <c r="K11" s="22"/>
      <c r="L11" s="22"/>
      <c r="M11" s="22"/>
      <c r="N11" s="22"/>
      <c r="O11" s="22"/>
      <c r="P11" s="22"/>
      <c r="Q11" s="22"/>
      <c r="R11" s="22"/>
      <c r="S11" s="26"/>
    </row>
    <row r="12" spans="1:19">
      <c r="B12" s="22"/>
      <c r="C12" s="22"/>
      <c r="D12" s="22"/>
      <c r="E12" s="22"/>
      <c r="F12" s="22"/>
      <c r="G12" s="22"/>
      <c r="H12" s="22"/>
      <c r="I12" s="22"/>
      <c r="J12" s="22"/>
      <c r="K12" s="22"/>
      <c r="L12" s="22"/>
      <c r="M12" s="22"/>
      <c r="N12" s="22"/>
      <c r="O12" s="22"/>
      <c r="P12" s="22"/>
      <c r="Q12" s="22"/>
      <c r="R12" s="22"/>
      <c r="S12" s="26"/>
    </row>
    <row r="13" spans="1:19">
      <c r="B13" s="22"/>
      <c r="C13" s="22"/>
      <c r="D13" s="22"/>
      <c r="E13" s="22"/>
      <c r="F13" s="22"/>
      <c r="G13" s="22"/>
      <c r="H13" s="22"/>
      <c r="I13" s="22"/>
      <c r="J13" s="22"/>
      <c r="K13" s="22"/>
      <c r="L13" s="22"/>
      <c r="M13" s="22"/>
      <c r="N13" s="22"/>
      <c r="O13" s="22"/>
      <c r="P13" s="22"/>
      <c r="Q13" s="22"/>
      <c r="R13" s="22"/>
      <c r="S13" s="26"/>
    </row>
    <row r="14" spans="1:19">
      <c r="B14" s="22"/>
      <c r="C14" s="22"/>
      <c r="D14" s="22"/>
      <c r="E14" s="22"/>
      <c r="F14" s="22"/>
      <c r="G14" s="22"/>
      <c r="H14" s="22"/>
      <c r="I14" s="22"/>
      <c r="J14" s="22"/>
      <c r="K14" s="22"/>
      <c r="L14" s="22"/>
      <c r="M14" s="22"/>
      <c r="N14" s="22"/>
      <c r="O14" s="22"/>
      <c r="P14" s="22"/>
      <c r="Q14" s="22"/>
      <c r="R14" s="22"/>
      <c r="S14" s="26"/>
    </row>
    <row r="15" spans="1:19">
      <c r="B15" s="22"/>
      <c r="C15" s="22"/>
      <c r="D15" s="22"/>
      <c r="E15" s="22"/>
      <c r="F15" s="22"/>
      <c r="G15" s="22"/>
      <c r="H15" s="22"/>
      <c r="I15" s="22"/>
      <c r="J15" s="22"/>
      <c r="K15" s="22"/>
      <c r="L15" s="22"/>
      <c r="M15" s="22"/>
      <c r="N15" s="22"/>
      <c r="O15" s="22"/>
      <c r="P15" s="22"/>
      <c r="Q15" s="22"/>
      <c r="R15" s="22"/>
      <c r="S15" s="26"/>
    </row>
    <row r="16" spans="1:19">
      <c r="B16" s="22"/>
      <c r="C16" s="22"/>
      <c r="D16" s="22"/>
      <c r="E16" s="22"/>
      <c r="F16" s="22"/>
      <c r="G16" s="22"/>
      <c r="H16" s="22"/>
      <c r="I16" s="22"/>
      <c r="J16" s="22"/>
      <c r="K16" s="22"/>
      <c r="L16" s="22"/>
      <c r="M16" s="22"/>
      <c r="N16" s="22"/>
      <c r="O16" s="22"/>
      <c r="P16" s="22"/>
      <c r="Q16" s="22"/>
      <c r="R16" s="22"/>
      <c r="S16" s="26"/>
    </row>
    <row r="17" spans="1:19">
      <c r="B17" s="22"/>
      <c r="C17" s="22"/>
      <c r="D17" s="22"/>
      <c r="E17" s="22"/>
      <c r="F17" s="22"/>
      <c r="G17" s="22"/>
      <c r="H17" s="22"/>
      <c r="I17" s="22"/>
      <c r="J17" s="22"/>
      <c r="K17" s="22"/>
      <c r="L17" s="22"/>
      <c r="M17" s="22"/>
      <c r="N17" s="22"/>
      <c r="O17" s="22"/>
      <c r="P17" s="22"/>
      <c r="Q17" s="22"/>
      <c r="R17" s="22"/>
      <c r="S17" s="26"/>
    </row>
    <row r="18" spans="1:19">
      <c r="B18" s="22"/>
      <c r="C18" s="22"/>
      <c r="D18" s="22"/>
      <c r="E18" s="22"/>
      <c r="F18" s="22"/>
      <c r="G18" s="22"/>
      <c r="H18" s="22"/>
      <c r="I18" s="22"/>
      <c r="J18" s="22"/>
      <c r="K18" s="22"/>
      <c r="L18" s="22"/>
      <c r="M18" s="22"/>
      <c r="N18" s="22"/>
      <c r="O18" s="22"/>
      <c r="P18" s="22"/>
      <c r="Q18" s="22"/>
      <c r="R18" s="22"/>
      <c r="S18" s="26"/>
    </row>
    <row r="19" spans="1:19">
      <c r="B19" s="22"/>
      <c r="C19" s="22"/>
      <c r="D19" s="22"/>
      <c r="E19" s="22"/>
      <c r="F19" s="22"/>
      <c r="G19" s="22"/>
      <c r="H19" s="22"/>
      <c r="I19" s="22"/>
      <c r="J19" s="22"/>
      <c r="K19" s="22"/>
      <c r="L19" s="22"/>
      <c r="M19" s="22"/>
      <c r="N19" s="22"/>
      <c r="O19" s="22"/>
      <c r="P19" s="22"/>
      <c r="Q19" s="22"/>
      <c r="R19" s="22"/>
      <c r="S19" s="26"/>
    </row>
    <row r="20" spans="1:19">
      <c r="A20" s="20" t="s">
        <v>2561</v>
      </c>
      <c r="B20" s="24" t="s">
        <v>2554</v>
      </c>
      <c r="C20" s="28">
        <v>1</v>
      </c>
      <c r="D20" s="24" t="s">
        <v>2543</v>
      </c>
      <c r="E20" s="24">
        <v>530</v>
      </c>
      <c r="F20" s="24">
        <v>26000</v>
      </c>
      <c r="G20" s="24">
        <v>227500</v>
      </c>
      <c r="H20" s="24">
        <v>10</v>
      </c>
      <c r="I20" s="24">
        <v>999</v>
      </c>
      <c r="J20" s="24">
        <v>100</v>
      </c>
      <c r="K20" s="24">
        <v>100</v>
      </c>
      <c r="L20" s="24">
        <v>100</v>
      </c>
      <c r="M20" s="24">
        <v>100</v>
      </c>
      <c r="N20" s="24">
        <v>100</v>
      </c>
      <c r="O20" s="24">
        <v>100</v>
      </c>
      <c r="P20" s="24">
        <v>150</v>
      </c>
      <c r="Q20" s="24">
        <v>50</v>
      </c>
      <c r="R20" s="24">
        <v>100</v>
      </c>
      <c r="S20" s="27" t="s">
        <v>2559</v>
      </c>
    </row>
    <row r="21" spans="1:19">
      <c r="A21" s="20" t="s">
        <v>2561</v>
      </c>
      <c r="B21" s="24" t="s">
        <v>2551</v>
      </c>
      <c r="C21" s="28">
        <v>1</v>
      </c>
      <c r="D21" s="24" t="s">
        <v>2543</v>
      </c>
      <c r="E21" s="24">
        <v>628</v>
      </c>
      <c r="F21" s="24">
        <v>130000</v>
      </c>
      <c r="G21" s="24">
        <v>1137500</v>
      </c>
      <c r="H21" s="24">
        <v>10</v>
      </c>
      <c r="I21" s="24">
        <v>999</v>
      </c>
      <c r="J21" s="24">
        <v>100</v>
      </c>
      <c r="K21" s="24">
        <v>100</v>
      </c>
      <c r="L21" s="24">
        <v>100</v>
      </c>
      <c r="M21" s="24">
        <v>100</v>
      </c>
      <c r="N21" s="24">
        <v>100</v>
      </c>
      <c r="O21" s="24">
        <v>100</v>
      </c>
      <c r="P21" s="24">
        <v>150</v>
      </c>
      <c r="Q21" s="24">
        <v>50</v>
      </c>
      <c r="R21" s="24">
        <v>100</v>
      </c>
      <c r="S21" s="27" t="s">
        <v>2559</v>
      </c>
    </row>
    <row r="22" spans="1:19">
      <c r="A22" s="20" t="s">
        <v>2561</v>
      </c>
      <c r="B22" s="24" t="s">
        <v>2556</v>
      </c>
      <c r="C22" s="28">
        <v>1</v>
      </c>
      <c r="D22" s="24" t="s">
        <v>2543</v>
      </c>
      <c r="E22" s="24">
        <v>741</v>
      </c>
      <c r="F22" s="24">
        <v>260000</v>
      </c>
      <c r="G22" s="24">
        <v>2275000</v>
      </c>
      <c r="H22" s="24">
        <v>10</v>
      </c>
      <c r="I22" s="24">
        <v>999</v>
      </c>
      <c r="J22" s="24">
        <v>100</v>
      </c>
      <c r="K22" s="24">
        <v>100</v>
      </c>
      <c r="L22" s="24">
        <v>100</v>
      </c>
      <c r="M22" s="24">
        <v>100</v>
      </c>
      <c r="N22" s="24">
        <v>100</v>
      </c>
      <c r="O22" s="24">
        <v>100</v>
      </c>
      <c r="P22" s="24">
        <v>150</v>
      </c>
      <c r="Q22" s="24">
        <v>50</v>
      </c>
      <c r="R22" s="24">
        <v>100</v>
      </c>
      <c r="S22" s="27" t="s">
        <v>2559</v>
      </c>
    </row>
    <row r="23" spans="1:19">
      <c r="A23" s="20" t="s">
        <v>2561</v>
      </c>
      <c r="B23" s="24" t="s">
        <v>2554</v>
      </c>
      <c r="C23" s="28">
        <v>2</v>
      </c>
      <c r="D23" s="24" t="s">
        <v>2539</v>
      </c>
      <c r="E23" s="24">
        <v>576</v>
      </c>
      <c r="F23" s="24">
        <v>76800</v>
      </c>
      <c r="G23" s="24">
        <v>48000</v>
      </c>
      <c r="H23" s="24">
        <v>10</v>
      </c>
      <c r="I23" s="24">
        <v>999</v>
      </c>
      <c r="J23" s="24">
        <v>100</v>
      </c>
      <c r="K23" s="24">
        <v>100</v>
      </c>
      <c r="L23" s="24">
        <v>100</v>
      </c>
      <c r="M23" s="24">
        <v>100</v>
      </c>
      <c r="N23" s="24">
        <v>100</v>
      </c>
      <c r="O23" s="24">
        <v>100</v>
      </c>
      <c r="P23" s="24">
        <v>100</v>
      </c>
      <c r="Q23" s="24">
        <v>150</v>
      </c>
      <c r="R23" s="24">
        <v>100</v>
      </c>
      <c r="S23" s="27" t="s">
        <v>2560</v>
      </c>
    </row>
    <row r="24" spans="1:19">
      <c r="A24" s="20" t="s">
        <v>2561</v>
      </c>
      <c r="B24" s="24" t="s">
        <v>2551</v>
      </c>
      <c r="C24" s="28">
        <v>2</v>
      </c>
      <c r="D24" s="24" t="s">
        <v>2539</v>
      </c>
      <c r="E24" s="24">
        <v>674</v>
      </c>
      <c r="F24" s="24">
        <v>384000</v>
      </c>
      <c r="G24" s="24">
        <v>240000</v>
      </c>
      <c r="H24" s="24">
        <v>10</v>
      </c>
      <c r="I24" s="24">
        <v>999</v>
      </c>
      <c r="J24" s="24">
        <v>100</v>
      </c>
      <c r="K24" s="24">
        <v>100</v>
      </c>
      <c r="L24" s="24">
        <v>100</v>
      </c>
      <c r="M24" s="24">
        <v>100</v>
      </c>
      <c r="N24" s="24">
        <v>100</v>
      </c>
      <c r="O24" s="24">
        <v>100</v>
      </c>
      <c r="P24" s="24">
        <v>100</v>
      </c>
      <c r="Q24" s="24">
        <v>150</v>
      </c>
      <c r="R24" s="24">
        <v>100</v>
      </c>
      <c r="S24" s="27" t="s">
        <v>2560</v>
      </c>
    </row>
    <row r="25" spans="1:19">
      <c r="A25" s="20" t="s">
        <v>2561</v>
      </c>
      <c r="B25" s="24" t="s">
        <v>2556</v>
      </c>
      <c r="C25" s="28">
        <v>2</v>
      </c>
      <c r="D25" s="24" t="s">
        <v>2539</v>
      </c>
      <c r="E25" s="24">
        <v>787</v>
      </c>
      <c r="F25" s="24">
        <v>768000</v>
      </c>
      <c r="G25" s="24">
        <v>480000</v>
      </c>
      <c r="H25" s="24">
        <v>10</v>
      </c>
      <c r="I25" s="24">
        <v>999</v>
      </c>
      <c r="J25" s="24">
        <v>100</v>
      </c>
      <c r="K25" s="24">
        <v>100</v>
      </c>
      <c r="L25" s="24">
        <v>100</v>
      </c>
      <c r="M25" s="24">
        <v>100</v>
      </c>
      <c r="N25" s="24">
        <v>100</v>
      </c>
      <c r="O25" s="24">
        <v>100</v>
      </c>
      <c r="P25" s="24">
        <v>100</v>
      </c>
      <c r="Q25" s="24">
        <v>150</v>
      </c>
      <c r="R25" s="24">
        <v>100</v>
      </c>
      <c r="S25" s="27" t="s">
        <v>2560</v>
      </c>
    </row>
    <row r="26" spans="1:19">
      <c r="A26" s="20" t="s">
        <v>2561</v>
      </c>
      <c r="B26" s="24" t="s">
        <v>2551</v>
      </c>
      <c r="C26" s="28" t="s">
        <v>2557</v>
      </c>
      <c r="D26" s="24" t="s">
        <v>2548</v>
      </c>
      <c r="E26" s="24">
        <v>686</v>
      </c>
      <c r="F26" s="24">
        <v>422500</v>
      </c>
      <c r="G26" s="24">
        <v>218000</v>
      </c>
      <c r="H26" s="24">
        <v>10</v>
      </c>
      <c r="I26" s="24">
        <v>999</v>
      </c>
      <c r="J26" s="24">
        <v>100</v>
      </c>
      <c r="K26" s="24">
        <v>100</v>
      </c>
      <c r="L26" s="24">
        <v>100</v>
      </c>
      <c r="M26" s="24">
        <v>100</v>
      </c>
      <c r="N26" s="24">
        <v>100</v>
      </c>
      <c r="O26" s="24">
        <v>100</v>
      </c>
      <c r="P26" s="24">
        <v>100</v>
      </c>
      <c r="Q26" s="24">
        <v>150</v>
      </c>
      <c r="R26" s="24">
        <v>100</v>
      </c>
      <c r="S26" s="27" t="s">
        <v>2560</v>
      </c>
    </row>
    <row r="27" spans="1:19">
      <c r="A27" s="20" t="s">
        <v>2561</v>
      </c>
      <c r="B27" s="24" t="s">
        <v>2556</v>
      </c>
      <c r="C27" s="28" t="s">
        <v>2557</v>
      </c>
      <c r="D27" s="24" t="s">
        <v>2548</v>
      </c>
      <c r="E27" s="24">
        <v>799</v>
      </c>
      <c r="F27" s="24">
        <v>845000</v>
      </c>
      <c r="G27" s="24">
        <v>436000</v>
      </c>
      <c r="H27" s="24">
        <v>10</v>
      </c>
      <c r="I27" s="24">
        <v>999</v>
      </c>
      <c r="J27" s="24">
        <v>100</v>
      </c>
      <c r="K27" s="24">
        <v>100</v>
      </c>
      <c r="L27" s="24">
        <v>100</v>
      </c>
      <c r="M27" s="24">
        <v>100</v>
      </c>
      <c r="N27" s="24">
        <v>100</v>
      </c>
      <c r="O27" s="24">
        <v>100</v>
      </c>
      <c r="P27" s="24">
        <v>100</v>
      </c>
      <c r="Q27" s="24">
        <v>150</v>
      </c>
      <c r="R27" s="24">
        <v>100</v>
      </c>
      <c r="S27" s="27" t="s">
        <v>2560</v>
      </c>
    </row>
    <row r="28" spans="1:19">
      <c r="A28" s="20" t="s">
        <v>2561</v>
      </c>
      <c r="B28" s="24" t="s">
        <v>2556</v>
      </c>
      <c r="C28" s="28" t="s">
        <v>2558</v>
      </c>
      <c r="D28" s="24" t="s">
        <v>2549</v>
      </c>
      <c r="E28" s="24">
        <v>811</v>
      </c>
      <c r="F28" s="24">
        <v>1190000</v>
      </c>
      <c r="G28" s="24">
        <v>6460000</v>
      </c>
      <c r="H28" s="24">
        <v>10</v>
      </c>
      <c r="I28" s="24">
        <v>999</v>
      </c>
      <c r="J28" s="24">
        <v>100</v>
      </c>
      <c r="K28" s="24">
        <v>100</v>
      </c>
      <c r="L28" s="24">
        <v>100</v>
      </c>
      <c r="M28" s="24">
        <v>100</v>
      </c>
      <c r="N28" s="24">
        <v>100</v>
      </c>
      <c r="O28" s="24">
        <v>150</v>
      </c>
      <c r="P28" s="24">
        <v>50</v>
      </c>
      <c r="Q28" s="24">
        <v>100</v>
      </c>
      <c r="R28" s="24">
        <v>100</v>
      </c>
      <c r="S28" s="27" t="s">
        <v>2560</v>
      </c>
    </row>
    <row r="29" spans="1:19">
      <c r="A29" s="20" t="s">
        <v>2562</v>
      </c>
      <c r="B29" s="24" t="s">
        <v>2554</v>
      </c>
      <c r="C29" s="28">
        <v>1</v>
      </c>
      <c r="D29" s="24" t="s">
        <v>2541</v>
      </c>
      <c r="E29" s="24">
        <v>552</v>
      </c>
      <c r="F29" s="24">
        <v>62400</v>
      </c>
      <c r="G29" s="24">
        <v>546000</v>
      </c>
      <c r="H29" s="24">
        <v>10</v>
      </c>
      <c r="I29" s="24">
        <v>999</v>
      </c>
      <c r="J29" s="24">
        <v>100</v>
      </c>
      <c r="K29" s="24">
        <v>250</v>
      </c>
      <c r="L29" s="24">
        <v>100</v>
      </c>
      <c r="M29" s="24">
        <v>100</v>
      </c>
      <c r="N29" s="24">
        <v>250</v>
      </c>
      <c r="O29" s="24">
        <v>100</v>
      </c>
      <c r="P29" s="24">
        <v>100</v>
      </c>
      <c r="Q29" s="24">
        <v>100</v>
      </c>
      <c r="R29" s="24">
        <v>10</v>
      </c>
      <c r="S29" s="27" t="s">
        <v>2559</v>
      </c>
    </row>
    <row r="30" spans="1:19">
      <c r="A30" s="20" t="s">
        <v>2562</v>
      </c>
      <c r="B30" s="24" t="s">
        <v>2551</v>
      </c>
      <c r="C30" s="28">
        <v>1</v>
      </c>
      <c r="D30" s="24" t="s">
        <v>2541</v>
      </c>
      <c r="E30" s="24">
        <v>650</v>
      </c>
      <c r="F30" s="24">
        <v>312000</v>
      </c>
      <c r="G30" s="24">
        <v>2730000</v>
      </c>
      <c r="H30" s="24">
        <v>10</v>
      </c>
      <c r="I30" s="24">
        <v>999</v>
      </c>
      <c r="J30" s="24">
        <v>100</v>
      </c>
      <c r="K30" s="24">
        <v>250</v>
      </c>
      <c r="L30" s="24">
        <v>100</v>
      </c>
      <c r="M30" s="24">
        <v>100</v>
      </c>
      <c r="N30" s="24">
        <v>250</v>
      </c>
      <c r="O30" s="24">
        <v>100</v>
      </c>
      <c r="P30" s="24">
        <v>100</v>
      </c>
      <c r="Q30" s="24">
        <v>100</v>
      </c>
      <c r="R30" s="24">
        <v>10</v>
      </c>
      <c r="S30" s="27" t="s">
        <v>2559</v>
      </c>
    </row>
    <row r="31" spans="1:19">
      <c r="A31" s="20" t="s">
        <v>2562</v>
      </c>
      <c r="B31" s="24" t="s">
        <v>2556</v>
      </c>
      <c r="C31" s="28">
        <v>1</v>
      </c>
      <c r="D31" s="24" t="s">
        <v>2541</v>
      </c>
      <c r="E31" s="24">
        <v>763</v>
      </c>
      <c r="F31" s="24">
        <v>624000</v>
      </c>
      <c r="G31" s="24">
        <v>5460000</v>
      </c>
      <c r="H31" s="24">
        <v>10</v>
      </c>
      <c r="I31" s="24">
        <v>999</v>
      </c>
      <c r="J31" s="24">
        <v>100</v>
      </c>
      <c r="K31" s="24">
        <v>250</v>
      </c>
      <c r="L31" s="24">
        <v>100</v>
      </c>
      <c r="M31" s="24">
        <v>100</v>
      </c>
      <c r="N31" s="24">
        <v>250</v>
      </c>
      <c r="O31" s="24">
        <v>100</v>
      </c>
      <c r="P31" s="24">
        <v>100</v>
      </c>
      <c r="Q31" s="24">
        <v>100</v>
      </c>
      <c r="R31" s="24">
        <v>10</v>
      </c>
      <c r="S31" s="27" t="s">
        <v>2559</v>
      </c>
    </row>
    <row r="32" spans="1:19">
      <c r="A32" s="20" t="s">
        <v>2533</v>
      </c>
      <c r="B32" s="24" t="s">
        <v>2554</v>
      </c>
      <c r="C32" s="28" t="s">
        <v>2557</v>
      </c>
      <c r="D32" s="24" t="s">
        <v>2534</v>
      </c>
      <c r="E32" s="24">
        <v>624</v>
      </c>
      <c r="F32" s="24">
        <v>68400</v>
      </c>
      <c r="G32" s="24">
        <v>167000</v>
      </c>
      <c r="H32" s="24">
        <v>10</v>
      </c>
      <c r="I32" s="24">
        <v>999</v>
      </c>
      <c r="J32" s="24">
        <v>100</v>
      </c>
      <c r="K32" s="24">
        <v>100</v>
      </c>
      <c r="L32" s="24">
        <v>100</v>
      </c>
      <c r="M32" s="24">
        <v>100</v>
      </c>
      <c r="N32" s="24">
        <v>100</v>
      </c>
      <c r="O32" s="24">
        <v>100</v>
      </c>
      <c r="P32" s="24">
        <v>150</v>
      </c>
      <c r="Q32" s="24">
        <v>100</v>
      </c>
      <c r="R32" s="24">
        <v>100</v>
      </c>
      <c r="S32" s="27"/>
    </row>
    <row r="33" spans="1:19">
      <c r="A33" s="20" t="s">
        <v>2538</v>
      </c>
      <c r="B33" s="24" t="s">
        <v>2551</v>
      </c>
      <c r="C33" s="28" t="s">
        <v>2557</v>
      </c>
      <c r="D33" s="24" t="s">
        <v>2534</v>
      </c>
      <c r="E33" s="24">
        <v>722</v>
      </c>
      <c r="F33" s="24">
        <v>342000</v>
      </c>
      <c r="G33" s="24">
        <v>835000</v>
      </c>
      <c r="H33" s="24">
        <v>10</v>
      </c>
      <c r="I33" s="24">
        <v>999</v>
      </c>
      <c r="J33" s="24">
        <v>100</v>
      </c>
      <c r="K33" s="24">
        <v>100</v>
      </c>
      <c r="L33" s="24">
        <v>100</v>
      </c>
      <c r="M33" s="24">
        <v>100</v>
      </c>
      <c r="N33" s="24">
        <v>100</v>
      </c>
      <c r="O33" s="24">
        <v>100</v>
      </c>
      <c r="P33" s="24">
        <v>150</v>
      </c>
      <c r="Q33" s="24">
        <v>100</v>
      </c>
      <c r="R33" s="24">
        <v>100</v>
      </c>
      <c r="S33" s="27"/>
    </row>
    <row r="34" spans="1:19">
      <c r="A34" s="20" t="s">
        <v>2540</v>
      </c>
      <c r="B34" s="24" t="s">
        <v>2556</v>
      </c>
      <c r="C34" s="28" t="s">
        <v>2557</v>
      </c>
      <c r="D34" s="24" t="s">
        <v>2534</v>
      </c>
      <c r="E34" s="24">
        <v>835</v>
      </c>
      <c r="F34" s="24">
        <v>684000</v>
      </c>
      <c r="G34" s="24">
        <v>1670000</v>
      </c>
      <c r="H34" s="24">
        <v>10</v>
      </c>
      <c r="I34" s="24">
        <v>999</v>
      </c>
      <c r="J34" s="24">
        <v>100</v>
      </c>
      <c r="K34" s="24">
        <v>100</v>
      </c>
      <c r="L34" s="24">
        <v>100</v>
      </c>
      <c r="M34" s="24">
        <v>100</v>
      </c>
      <c r="N34" s="24">
        <v>100</v>
      </c>
      <c r="O34" s="24">
        <v>100</v>
      </c>
      <c r="P34" s="24">
        <v>150</v>
      </c>
      <c r="Q34" s="24">
        <v>100</v>
      </c>
      <c r="R34" s="24">
        <v>100</v>
      </c>
      <c r="S34" s="27"/>
    </row>
    <row r="35" spans="1:19">
      <c r="A35" s="20" t="s">
        <v>2545</v>
      </c>
      <c r="B35" s="24" t="s">
        <v>2551</v>
      </c>
      <c r="C35" s="28" t="s">
        <v>2557</v>
      </c>
      <c r="D35" s="24" t="s">
        <v>2547</v>
      </c>
      <c r="E35" s="24">
        <v>722</v>
      </c>
      <c r="F35" s="24">
        <v>274500</v>
      </c>
      <c r="G35" s="24">
        <v>1055000</v>
      </c>
      <c r="H35" s="24">
        <v>10</v>
      </c>
      <c r="I35" s="24">
        <v>999</v>
      </c>
      <c r="J35" s="24">
        <v>100</v>
      </c>
      <c r="K35" s="24">
        <v>100</v>
      </c>
      <c r="L35" s="24">
        <v>100</v>
      </c>
      <c r="M35" s="24">
        <v>100</v>
      </c>
      <c r="N35" s="24">
        <v>100</v>
      </c>
      <c r="O35" s="24">
        <v>150</v>
      </c>
      <c r="P35" s="24">
        <v>100</v>
      </c>
      <c r="Q35" s="24">
        <v>100</v>
      </c>
      <c r="R35" s="24">
        <v>100</v>
      </c>
      <c r="S35" s="27"/>
    </row>
    <row r="36" spans="1:19">
      <c r="A36" s="20" t="s">
        <v>2545</v>
      </c>
      <c r="B36" s="24" t="s">
        <v>2556</v>
      </c>
      <c r="C36" s="28" t="s">
        <v>2557</v>
      </c>
      <c r="D36" s="24" t="s">
        <v>2547</v>
      </c>
      <c r="E36" s="24">
        <v>835</v>
      </c>
      <c r="F36" s="24">
        <v>549000</v>
      </c>
      <c r="G36" s="24">
        <v>2110000</v>
      </c>
      <c r="H36" s="24">
        <v>10</v>
      </c>
      <c r="I36" s="24">
        <v>999</v>
      </c>
      <c r="J36" s="24">
        <v>100</v>
      </c>
      <c r="K36" s="24">
        <v>100</v>
      </c>
      <c r="L36" s="24">
        <v>100</v>
      </c>
      <c r="M36" s="24">
        <v>100</v>
      </c>
      <c r="N36" s="24">
        <v>100</v>
      </c>
      <c r="O36" s="24">
        <v>150</v>
      </c>
      <c r="P36" s="24">
        <v>100</v>
      </c>
      <c r="Q36" s="24">
        <v>100</v>
      </c>
      <c r="R36" s="24">
        <v>100</v>
      </c>
      <c r="S36" s="27"/>
    </row>
    <row r="37" spans="1:19">
      <c r="A37" s="20" t="s">
        <v>2533</v>
      </c>
      <c r="B37" s="24" t="s">
        <v>2556</v>
      </c>
      <c r="C37" s="28" t="s">
        <v>2558</v>
      </c>
      <c r="D37" s="24" t="s">
        <v>2563</v>
      </c>
      <c r="E37" s="24">
        <v>846</v>
      </c>
      <c r="F37" s="24">
        <v>1390000</v>
      </c>
      <c r="G37" s="24">
        <v>4980000</v>
      </c>
      <c r="H37" s="24">
        <v>10</v>
      </c>
      <c r="I37" s="24">
        <v>999</v>
      </c>
      <c r="J37" s="24">
        <v>100</v>
      </c>
      <c r="K37" s="24">
        <v>100</v>
      </c>
      <c r="L37" s="24">
        <v>100</v>
      </c>
      <c r="M37" s="24">
        <v>100</v>
      </c>
      <c r="N37" s="24">
        <v>100</v>
      </c>
      <c r="O37" s="24">
        <v>100</v>
      </c>
      <c r="P37" s="24">
        <v>150</v>
      </c>
      <c r="Q37" s="24">
        <v>50</v>
      </c>
      <c r="R37" s="24">
        <v>100</v>
      </c>
      <c r="S37" s="27"/>
    </row>
    <row r="38" spans="1:19">
      <c r="A38" s="20" t="s">
        <v>2542</v>
      </c>
      <c r="B38" s="24" t="s">
        <v>2551</v>
      </c>
      <c r="C38" s="28" t="s">
        <v>2558</v>
      </c>
      <c r="D38" s="24" t="s">
        <v>2546</v>
      </c>
      <c r="E38" s="24">
        <v>745</v>
      </c>
      <c r="F38" s="24">
        <v>775000</v>
      </c>
      <c r="G38" s="24">
        <v>4200000</v>
      </c>
      <c r="H38" s="24">
        <v>10</v>
      </c>
      <c r="I38" s="24">
        <v>999</v>
      </c>
      <c r="J38" s="24">
        <v>100</v>
      </c>
      <c r="K38" s="24">
        <v>100</v>
      </c>
      <c r="L38" s="24">
        <v>100</v>
      </c>
      <c r="M38" s="24">
        <v>100</v>
      </c>
      <c r="N38" s="24">
        <v>100</v>
      </c>
      <c r="O38" s="24">
        <v>100</v>
      </c>
      <c r="P38" s="24">
        <v>150</v>
      </c>
      <c r="Q38" s="24">
        <v>50</v>
      </c>
      <c r="R38" s="24">
        <v>100</v>
      </c>
      <c r="S38" s="27"/>
    </row>
    <row r="39" spans="1:19">
      <c r="A39" s="20" t="s">
        <v>2544</v>
      </c>
      <c r="B39" s="24" t="s">
        <v>2556</v>
      </c>
      <c r="C39" s="28" t="s">
        <v>2558</v>
      </c>
      <c r="D39" s="24" t="s">
        <v>2564</v>
      </c>
      <c r="E39" s="24">
        <v>858</v>
      </c>
      <c r="F39" s="24">
        <v>1550000</v>
      </c>
      <c r="G39" s="24">
        <v>8400000</v>
      </c>
      <c r="H39" s="24">
        <v>10</v>
      </c>
      <c r="I39" s="24">
        <v>999</v>
      </c>
      <c r="J39" s="24">
        <v>100</v>
      </c>
      <c r="K39" s="24">
        <v>100</v>
      </c>
      <c r="L39" s="24">
        <v>100</v>
      </c>
      <c r="M39" s="24">
        <v>100</v>
      </c>
      <c r="N39" s="24">
        <v>100</v>
      </c>
      <c r="O39" s="24">
        <v>100</v>
      </c>
      <c r="P39" s="24">
        <v>150</v>
      </c>
      <c r="Q39" s="24">
        <v>50</v>
      </c>
      <c r="R39" s="24">
        <v>100</v>
      </c>
      <c r="S39" s="27"/>
    </row>
  </sheetData>
  <sortState xmlns:xlrd2="http://schemas.microsoft.com/office/spreadsheetml/2017/richdata2" ref="B32:R39">
    <sortCondition ref="D32:D39"/>
    <sortCondition ref="G32:G39"/>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17" activePane="bottomLeft" state="frozen"/>
      <selection pane="bottomLeft" activeCell="D239" sqref="D23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2221</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2222</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2223</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2224</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2225</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2226</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2227</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2228</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2229</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2230</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2231</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2232</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2233</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2234</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2235</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2236</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2237</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2238</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2239</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2240</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2241</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2242</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2243</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2244</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2245</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2246</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2247</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2248</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2249</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2250</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2251</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2252</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2253</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2254</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2255</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2256</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2257</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2258</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2259</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2260</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2259</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2261</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2262</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2224</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2263</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2264</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2265</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2266</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2267</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2268</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2269</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2270</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2271</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2272</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2229</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2273</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2274</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2275</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2276</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2277</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2278</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2279</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2278</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2280</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2286</v>
      </c>
      <c r="E109" s="14">
        <v>390</v>
      </c>
      <c r="F109" s="11" t="s">
        <v>2287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2285</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2284</v>
      </c>
      <c r="E111" s="14">
        <v>390</v>
      </c>
      <c r="F111" s="11" t="s">
        <v>2288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2283</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2282</v>
      </c>
      <c r="E113" s="14">
        <v>390</v>
      </c>
      <c r="F113" s="11" t="s">
        <v>2288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2281</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2221</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2222</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2223</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2224</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2225</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2226</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2227</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2228</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2229</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2230</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2231</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2232</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2233</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2234</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2235</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2236</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2237</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2238</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2239</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2240</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2241</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2242</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2243</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2244</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2245</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2246</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2247</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2248</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2249</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2250</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2251</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2252</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2253</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2254</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2255</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2256</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2257</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2258</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2259</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2260</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2259</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2261</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2262</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2224</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2263</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2264</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2265</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2266</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2267</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2268</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2269</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2270</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2271</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2272</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2229</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2273</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2274</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2275</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2276</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2277</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2278</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2279</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2278</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2280</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2286</v>
      </c>
      <c r="E179" s="14">
        <v>430</v>
      </c>
      <c r="F179" s="11" t="s">
        <v>2289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2285</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2284</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2283</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2282</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2281</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2520</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2523</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2522</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2521</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2516</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2354</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2355</v>
      </c>
      <c r="E215" s="14">
        <v>370</v>
      </c>
      <c r="F215" s="11" t="s">
        <v>2356</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2552</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1990</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1991</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2550</v>
      </c>
      <c r="E227" s="14">
        <v>577</v>
      </c>
      <c r="F227" s="11" t="s">
        <v>1999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1995</v>
      </c>
      <c r="E228" s="14">
        <v>672</v>
      </c>
      <c r="F228" s="11" t="s">
        <v>2000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1996</v>
      </c>
      <c r="E229" s="14">
        <v>753</v>
      </c>
      <c r="F229" s="11" t="s">
        <v>2001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1998</v>
      </c>
      <c r="E230" s="14">
        <v>646</v>
      </c>
      <c r="F230" s="11" t="s">
        <v>2002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1997</v>
      </c>
      <c r="E231" s="14">
        <v>741</v>
      </c>
      <c r="F231" s="11" t="s">
        <v>2003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2555</v>
      </c>
      <c r="E232" s="14">
        <v>763</v>
      </c>
      <c r="F232" s="11" t="s">
        <v>2004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2553</v>
      </c>
      <c r="E233" s="14">
        <v>554</v>
      </c>
      <c r="F233" s="11" t="s">
        <v>2461</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2458</v>
      </c>
      <c r="E234" s="14">
        <v>646</v>
      </c>
      <c r="F234" s="11" t="s">
        <v>2002</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2459</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2460</v>
      </c>
      <c r="E236" s="14">
        <v>741</v>
      </c>
      <c r="F236" s="11" t="s">
        <v>2003</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2457</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2456</v>
      </c>
      <c r="E238" s="14">
        <v>763</v>
      </c>
      <c r="F238" s="11" t="s">
        <v>2462</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2103</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2104</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2105</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2106</v>
      </c>
      <c r="E242" s="14">
        <v>430</v>
      </c>
      <c r="F242" s="11" t="s">
        <v>2083</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2107</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2108</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2161</v>
      </c>
      <c r="E245" s="14">
        <v>420</v>
      </c>
      <c r="F245" s="11" t="s">
        <v>2162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2101</v>
      </c>
      <c r="E246" s="14">
        <v>420</v>
      </c>
      <c r="F246" s="11" t="s">
        <v>2109</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2102</v>
      </c>
      <c r="E247" s="14">
        <v>420</v>
      </c>
      <c r="F247" s="11" t="s">
        <v>2110</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2343</v>
      </c>
      <c r="E248" s="14">
        <v>420</v>
      </c>
      <c r="F248" s="11" t="s">
        <v>2347</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2344</v>
      </c>
      <c r="E249" s="14">
        <v>420</v>
      </c>
      <c r="F249" s="11" t="s">
        <v>2348</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2345</v>
      </c>
      <c r="E250" s="14">
        <v>420</v>
      </c>
      <c r="F250" s="11" t="s">
        <v>2346</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2452</v>
      </c>
      <c r="E251" s="14">
        <v>420</v>
      </c>
      <c r="F251" s="11" t="s">
        <v>2451</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355" activePane="bottomLeft" state="frozen"/>
      <selection pane="bottomLeft" activeCell="K389" sqref="K3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2009</v>
      </c>
      <c r="L1" s="9" t="s">
        <v>2010</v>
      </c>
      <c r="N1">
        <v>1</v>
      </c>
      <c r="O1" t="s">
        <v>2006</v>
      </c>
      <c r="P1">
        <v>1</v>
      </c>
      <c r="Q1" t="s">
        <v>2146</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2011</v>
      </c>
      <c r="L2" s="9" t="s">
        <v>2012</v>
      </c>
      <c r="N2">
        <v>2</v>
      </c>
      <c r="O2" t="s">
        <v>2007</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2079</v>
      </c>
      <c r="P3">
        <v>3</v>
      </c>
      <c r="Q3" t="s">
        <v>1505</v>
      </c>
      <c r="U3">
        <v>2</v>
      </c>
      <c r="V3" t="s">
        <v>1905</v>
      </c>
    </row>
    <row r="4" spans="1:22">
      <c r="B4" s="9" t="s">
        <v>41</v>
      </c>
      <c r="C4" s="9">
        <v>20</v>
      </c>
      <c r="D4" s="9" t="s">
        <v>38</v>
      </c>
      <c r="E4" s="9" t="s">
        <v>26</v>
      </c>
      <c r="F4" s="9" t="s">
        <v>52</v>
      </c>
      <c r="G4" s="9" t="s">
        <v>38</v>
      </c>
      <c r="H4" s="9" t="s">
        <v>30</v>
      </c>
      <c r="I4" s="9" t="s">
        <v>30</v>
      </c>
      <c r="J4" s="9" t="s">
        <v>30</v>
      </c>
      <c r="K4" s="9" t="s">
        <v>2005</v>
      </c>
      <c r="L4" s="9" t="s">
        <v>2005</v>
      </c>
      <c r="N4">
        <v>4</v>
      </c>
      <c r="O4" t="s">
        <v>2351</v>
      </c>
      <c r="P4">
        <v>4</v>
      </c>
      <c r="Q4" t="s">
        <v>2039</v>
      </c>
      <c r="U4">
        <v>5</v>
      </c>
      <c r="V4" t="s">
        <v>1939</v>
      </c>
    </row>
    <row r="5" spans="1:22">
      <c r="B5" s="9">
        <v>1</v>
      </c>
      <c r="C5" s="9"/>
      <c r="D5" s="9"/>
      <c r="E5" s="9"/>
      <c r="F5" s="9"/>
      <c r="G5" s="9"/>
      <c r="H5" s="9"/>
      <c r="I5" s="9"/>
      <c r="J5" s="9"/>
      <c r="K5" s="9"/>
      <c r="L5" s="9"/>
      <c r="N5">
        <v>11</v>
      </c>
      <c r="O5" t="s">
        <v>2008</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2145</v>
      </c>
      <c r="P6">
        <v>11</v>
      </c>
      <c r="Q6" t="s">
        <v>2147</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2422</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2070</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2074</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2022</v>
      </c>
      <c r="D443" s="14">
        <v>8</v>
      </c>
      <c r="E443" s="14">
        <v>0</v>
      </c>
      <c r="F443" s="14">
        <v>5</v>
      </c>
      <c r="G443" s="14">
        <v>120</v>
      </c>
      <c r="H443" s="14">
        <v>10</v>
      </c>
      <c r="I443" s="14">
        <v>0</v>
      </c>
      <c r="J443" s="14">
        <v>0</v>
      </c>
      <c r="K443" s="14"/>
      <c r="L443" s="14"/>
    </row>
    <row r="444" spans="1:12">
      <c r="A444" s="8"/>
      <c r="B444" s="14">
        <v>539</v>
      </c>
      <c r="C444" s="14" t="s">
        <v>2023</v>
      </c>
      <c r="D444" s="14">
        <v>8</v>
      </c>
      <c r="E444" s="14">
        <v>137</v>
      </c>
      <c r="F444" s="14">
        <v>13</v>
      </c>
      <c r="G444" s="14">
        <v>144</v>
      </c>
      <c r="H444" s="14">
        <v>10</v>
      </c>
      <c r="I444" s="14">
        <v>0</v>
      </c>
      <c r="J444" s="14">
        <v>1</v>
      </c>
      <c r="K444" s="14"/>
      <c r="L444" s="14"/>
    </row>
    <row r="445" spans="1:12">
      <c r="A445" s="8"/>
      <c r="B445" s="14">
        <v>540</v>
      </c>
      <c r="C445" s="14" t="s">
        <v>2026</v>
      </c>
      <c r="D445" s="14">
        <v>9</v>
      </c>
      <c r="E445" s="14">
        <v>0</v>
      </c>
      <c r="F445" s="14">
        <v>0</v>
      </c>
      <c r="G445" s="14">
        <v>0</v>
      </c>
      <c r="H445" s="14">
        <v>1</v>
      </c>
      <c r="I445" s="14">
        <v>1</v>
      </c>
      <c r="J445" s="14">
        <v>0</v>
      </c>
      <c r="K445" s="14"/>
      <c r="L445" s="14"/>
    </row>
    <row r="446" spans="1:12">
      <c r="A446" s="8"/>
      <c r="B446" s="14">
        <v>541</v>
      </c>
      <c r="C446" s="14" t="s">
        <v>2027</v>
      </c>
      <c r="D446" s="14">
        <v>9</v>
      </c>
      <c r="E446" s="14">
        <v>138</v>
      </c>
      <c r="F446" s="14">
        <v>14</v>
      </c>
      <c r="G446" s="14">
        <v>147</v>
      </c>
      <c r="H446" s="14">
        <v>10</v>
      </c>
      <c r="I446" s="14">
        <v>0</v>
      </c>
      <c r="J446" s="14">
        <v>1</v>
      </c>
      <c r="K446" s="14">
        <v>11</v>
      </c>
      <c r="L446" s="14">
        <v>2</v>
      </c>
    </row>
    <row r="447" spans="1:12">
      <c r="A447" s="8"/>
      <c r="B447" s="14">
        <v>542</v>
      </c>
      <c r="C447" s="14" t="s">
        <v>2029</v>
      </c>
      <c r="D447" s="14">
        <v>7</v>
      </c>
      <c r="E447" s="14">
        <v>0</v>
      </c>
      <c r="F447" s="14">
        <v>0</v>
      </c>
      <c r="G447" s="14">
        <v>0</v>
      </c>
      <c r="H447" s="14">
        <v>1</v>
      </c>
      <c r="I447" s="14">
        <v>1</v>
      </c>
      <c r="J447" s="14">
        <v>0</v>
      </c>
      <c r="K447" s="14"/>
      <c r="L447" s="14"/>
    </row>
    <row r="448" spans="1:12">
      <c r="A448" s="8"/>
      <c r="B448" s="14">
        <v>543</v>
      </c>
      <c r="C448" s="14" t="s">
        <v>2037</v>
      </c>
      <c r="D448" s="14">
        <v>10</v>
      </c>
      <c r="E448" s="14">
        <v>0</v>
      </c>
      <c r="F448" s="14">
        <v>11</v>
      </c>
      <c r="G448" s="14">
        <v>138</v>
      </c>
      <c r="H448" s="14">
        <v>17</v>
      </c>
      <c r="I448" s="14">
        <v>0</v>
      </c>
      <c r="J448" s="14">
        <v>2</v>
      </c>
      <c r="K448" s="14"/>
      <c r="L448" s="14"/>
    </row>
    <row r="449" spans="1:12">
      <c r="A449" s="8"/>
      <c r="B449" s="14">
        <v>544</v>
      </c>
      <c r="C449" s="14" t="s">
        <v>2054</v>
      </c>
      <c r="D449" s="14">
        <v>18</v>
      </c>
      <c r="E449" s="14">
        <v>0</v>
      </c>
      <c r="F449" s="14">
        <v>0</v>
      </c>
      <c r="G449" s="14">
        <v>0</v>
      </c>
      <c r="H449" s="14">
        <v>1</v>
      </c>
      <c r="I449" s="14">
        <v>1</v>
      </c>
      <c r="J449" s="14">
        <v>5</v>
      </c>
      <c r="K449" s="14"/>
      <c r="L449" s="14"/>
    </row>
    <row r="450" spans="1:12">
      <c r="A450" s="8"/>
      <c r="B450" s="14">
        <v>545</v>
      </c>
      <c r="C450" s="14" t="s">
        <v>2056</v>
      </c>
      <c r="D450" s="14">
        <v>25</v>
      </c>
      <c r="E450" s="14">
        <v>0</v>
      </c>
      <c r="F450" s="14">
        <v>0</v>
      </c>
      <c r="G450" s="14">
        <v>0</v>
      </c>
      <c r="H450" s="14">
        <v>1</v>
      </c>
      <c r="I450" s="14">
        <v>1</v>
      </c>
      <c r="J450" s="14">
        <v>5</v>
      </c>
      <c r="K450" s="14"/>
      <c r="L450" s="14"/>
    </row>
    <row r="451" spans="1:12">
      <c r="A451" s="8"/>
      <c r="B451" s="14">
        <v>546</v>
      </c>
      <c r="C451" s="14" t="s">
        <v>2058</v>
      </c>
      <c r="D451" s="14">
        <v>32</v>
      </c>
      <c r="E451" s="14">
        <v>0</v>
      </c>
      <c r="F451" s="14">
        <v>0</v>
      </c>
      <c r="G451" s="14">
        <v>0</v>
      </c>
      <c r="H451" s="14">
        <v>1</v>
      </c>
      <c r="I451" s="14">
        <v>1</v>
      </c>
      <c r="J451" s="14">
        <v>5</v>
      </c>
      <c r="K451" s="14"/>
      <c r="L451" s="14"/>
    </row>
    <row r="452" spans="1:12">
      <c r="A452" s="8"/>
      <c r="B452" s="14">
        <v>547</v>
      </c>
      <c r="C452" s="14" t="s">
        <v>2061</v>
      </c>
      <c r="D452" s="14">
        <v>35</v>
      </c>
      <c r="E452" s="14">
        <v>0</v>
      </c>
      <c r="F452" s="14">
        <v>0</v>
      </c>
      <c r="G452" s="14">
        <v>0</v>
      </c>
      <c r="H452" s="14">
        <v>1</v>
      </c>
      <c r="I452" s="14">
        <v>1</v>
      </c>
      <c r="J452" s="14">
        <v>5</v>
      </c>
      <c r="K452" s="14"/>
      <c r="L452" s="14"/>
    </row>
    <row r="453" spans="1:12">
      <c r="A453" s="8"/>
      <c r="B453" s="14">
        <v>548</v>
      </c>
      <c r="C453" s="14" t="s">
        <v>2075</v>
      </c>
      <c r="D453" s="14">
        <v>37</v>
      </c>
      <c r="E453" s="14">
        <v>0</v>
      </c>
      <c r="F453" s="14">
        <v>0</v>
      </c>
      <c r="G453" s="14">
        <v>0</v>
      </c>
      <c r="H453" s="14">
        <v>1</v>
      </c>
      <c r="I453" s="14">
        <v>0</v>
      </c>
      <c r="J453" s="14">
        <v>5</v>
      </c>
      <c r="K453" s="14"/>
      <c r="L453" s="14"/>
    </row>
    <row r="454" spans="1:12">
      <c r="A454" s="8"/>
      <c r="B454" s="14">
        <v>549</v>
      </c>
      <c r="C454" s="14" t="s">
        <v>2076</v>
      </c>
      <c r="D454" s="14">
        <v>47</v>
      </c>
      <c r="E454" s="14">
        <v>0</v>
      </c>
      <c r="F454" s="14">
        <v>0</v>
      </c>
      <c r="G454" s="14">
        <v>0</v>
      </c>
      <c r="H454" s="14">
        <v>1</v>
      </c>
      <c r="I454" s="14">
        <v>1</v>
      </c>
      <c r="J454" s="14">
        <v>5</v>
      </c>
      <c r="K454" s="14"/>
      <c r="L454" s="14"/>
    </row>
    <row r="455" spans="1:12">
      <c r="A455" s="8"/>
      <c r="B455" s="14">
        <v>551</v>
      </c>
      <c r="C455" s="14" t="s">
        <v>2071</v>
      </c>
      <c r="D455" s="14">
        <v>7</v>
      </c>
      <c r="E455" s="14">
        <v>0</v>
      </c>
      <c r="F455" s="14">
        <v>9</v>
      </c>
      <c r="G455" s="14">
        <v>232</v>
      </c>
      <c r="H455" s="14">
        <v>10</v>
      </c>
      <c r="I455" s="14">
        <v>0</v>
      </c>
      <c r="J455" s="14">
        <v>0</v>
      </c>
      <c r="K455" s="14"/>
      <c r="L455" s="14"/>
    </row>
    <row r="456" spans="1:12">
      <c r="A456" s="8"/>
      <c r="B456" s="14">
        <v>552</v>
      </c>
      <c r="C456" s="14" t="s">
        <v>2069</v>
      </c>
      <c r="D456" s="14">
        <v>7</v>
      </c>
      <c r="E456" s="14">
        <v>139</v>
      </c>
      <c r="F456" s="14">
        <v>0</v>
      </c>
      <c r="G456" s="14">
        <v>0</v>
      </c>
      <c r="H456" s="14">
        <v>0</v>
      </c>
      <c r="I456" s="14">
        <v>1</v>
      </c>
      <c r="J456" s="14">
        <v>1</v>
      </c>
      <c r="K456" s="14"/>
      <c r="L456" s="14"/>
    </row>
    <row r="457" spans="1:12">
      <c r="A457" s="8"/>
      <c r="B457" s="14">
        <v>553</v>
      </c>
      <c r="C457" s="14" t="s">
        <v>2068</v>
      </c>
      <c r="D457" s="14">
        <v>7</v>
      </c>
      <c r="E457" s="14">
        <v>139</v>
      </c>
      <c r="F457" s="14">
        <v>10</v>
      </c>
      <c r="G457" s="14">
        <v>248</v>
      </c>
      <c r="H457" s="14">
        <v>10</v>
      </c>
      <c r="I457" s="14">
        <v>0</v>
      </c>
      <c r="J457" s="14">
        <v>1</v>
      </c>
      <c r="K457" s="14"/>
      <c r="L457" s="14"/>
    </row>
    <row r="458" spans="1:12">
      <c r="A458" s="8"/>
      <c r="B458" s="14">
        <v>554</v>
      </c>
      <c r="C458" s="14" t="s">
        <v>2078</v>
      </c>
      <c r="D458" s="14">
        <v>10</v>
      </c>
      <c r="E458" s="14">
        <v>0</v>
      </c>
      <c r="F458" s="14">
        <v>8</v>
      </c>
      <c r="G458" s="14">
        <v>192</v>
      </c>
      <c r="H458" s="14">
        <v>10</v>
      </c>
      <c r="I458" s="14">
        <v>0</v>
      </c>
      <c r="J458" s="14">
        <v>0</v>
      </c>
      <c r="K458" s="14"/>
      <c r="L458" s="14"/>
    </row>
    <row r="459" spans="1:12">
      <c r="A459" s="8"/>
      <c r="B459" s="14">
        <v>555</v>
      </c>
      <c r="C459" s="14" t="s">
        <v>2077</v>
      </c>
      <c r="D459" s="14">
        <v>10</v>
      </c>
      <c r="E459" s="14">
        <v>140</v>
      </c>
      <c r="F459" s="14">
        <v>11</v>
      </c>
      <c r="G459" s="14">
        <v>200</v>
      </c>
      <c r="H459" s="14">
        <v>10</v>
      </c>
      <c r="I459" s="14">
        <v>0</v>
      </c>
      <c r="J459" s="14">
        <v>1</v>
      </c>
      <c r="K459" s="14"/>
      <c r="L459" s="14"/>
    </row>
    <row r="460" spans="1:12">
      <c r="A460" s="8"/>
      <c r="B460" s="14">
        <v>556</v>
      </c>
      <c r="C460" s="14" t="s">
        <v>2080</v>
      </c>
      <c r="D460" s="14">
        <v>36</v>
      </c>
      <c r="E460" s="14">
        <v>0</v>
      </c>
      <c r="F460" s="14">
        <v>8</v>
      </c>
      <c r="G460" s="14">
        <v>131</v>
      </c>
      <c r="H460" s="14">
        <v>10</v>
      </c>
      <c r="I460" s="14">
        <v>0</v>
      </c>
      <c r="J460" s="14">
        <v>0</v>
      </c>
      <c r="K460" s="14"/>
      <c r="L460" s="14"/>
    </row>
    <row r="461" spans="1:12">
      <c r="A461" s="8"/>
      <c r="B461" s="14">
        <v>557</v>
      </c>
      <c r="C461" s="14" t="s">
        <v>2090</v>
      </c>
      <c r="D461" s="14">
        <v>20</v>
      </c>
      <c r="E461" s="14">
        <v>0</v>
      </c>
      <c r="F461" s="14">
        <v>10</v>
      </c>
      <c r="G461" s="14">
        <v>0</v>
      </c>
      <c r="H461" s="14">
        <v>10</v>
      </c>
      <c r="I461" s="14">
        <v>0</v>
      </c>
      <c r="J461" s="14">
        <v>0</v>
      </c>
      <c r="K461" s="14"/>
      <c r="L461" s="14"/>
    </row>
    <row r="462" spans="1:12">
      <c r="A462" s="8"/>
      <c r="B462" s="14">
        <v>558</v>
      </c>
      <c r="C462" s="14" t="s">
        <v>2091</v>
      </c>
      <c r="D462" s="14">
        <v>20</v>
      </c>
      <c r="E462" s="14">
        <v>141</v>
      </c>
      <c r="F462" s="14">
        <v>14</v>
      </c>
      <c r="G462" s="14">
        <v>240</v>
      </c>
      <c r="H462" s="14">
        <v>1</v>
      </c>
      <c r="I462" s="14">
        <v>0</v>
      </c>
      <c r="J462" s="14">
        <v>1</v>
      </c>
      <c r="K462" s="14">
        <v>12</v>
      </c>
      <c r="L462" s="14">
        <v>41</v>
      </c>
    </row>
    <row r="463" spans="1:12">
      <c r="A463" s="8"/>
      <c r="B463" s="14">
        <v>559</v>
      </c>
      <c r="C463" s="14" t="s">
        <v>2094</v>
      </c>
      <c r="D463" s="14">
        <v>24</v>
      </c>
      <c r="E463" s="14">
        <v>0</v>
      </c>
      <c r="F463" s="14">
        <v>0</v>
      </c>
      <c r="G463" s="14">
        <v>0</v>
      </c>
      <c r="H463" s="14">
        <v>1</v>
      </c>
      <c r="I463" s="14">
        <v>1</v>
      </c>
      <c r="J463" s="14">
        <v>0</v>
      </c>
      <c r="K463" s="14"/>
      <c r="L463" s="14"/>
    </row>
    <row r="464" spans="1:12">
      <c r="A464" s="8"/>
      <c r="B464" s="14">
        <v>560</v>
      </c>
      <c r="C464" s="14" t="s">
        <v>2092</v>
      </c>
      <c r="D464" s="14">
        <v>24</v>
      </c>
      <c r="E464" s="14">
        <v>142</v>
      </c>
      <c r="F464" s="14">
        <v>15</v>
      </c>
      <c r="G464" s="14">
        <v>144</v>
      </c>
      <c r="H464" s="14">
        <v>10</v>
      </c>
      <c r="I464" s="14">
        <v>0</v>
      </c>
      <c r="J464" s="14">
        <v>1</v>
      </c>
      <c r="K464" s="14"/>
      <c r="L464" s="14"/>
    </row>
    <row r="465" spans="1:12">
      <c r="A465" s="8"/>
      <c r="B465" s="14">
        <v>561</v>
      </c>
      <c r="C465" s="14" t="s">
        <v>2097</v>
      </c>
      <c r="D465" s="14">
        <v>22</v>
      </c>
      <c r="E465" s="14">
        <v>0</v>
      </c>
      <c r="F465" s="14">
        <v>0</v>
      </c>
      <c r="G465" s="14">
        <v>0</v>
      </c>
      <c r="H465" s="14">
        <v>1</v>
      </c>
      <c r="I465" s="14">
        <v>1</v>
      </c>
      <c r="J465" s="14">
        <v>0</v>
      </c>
      <c r="K465" s="14"/>
      <c r="L465" s="14"/>
    </row>
    <row r="466" spans="1:12">
      <c r="A466" s="8"/>
      <c r="B466" s="14">
        <v>562</v>
      </c>
      <c r="C466" s="14" t="s">
        <v>2093</v>
      </c>
      <c r="D466" s="14">
        <v>20</v>
      </c>
      <c r="E466" s="14">
        <v>0</v>
      </c>
      <c r="F466" s="14">
        <v>12</v>
      </c>
      <c r="G466" s="14">
        <v>138</v>
      </c>
      <c r="H466" s="14">
        <v>10</v>
      </c>
      <c r="I466" s="14">
        <v>0</v>
      </c>
      <c r="J466" s="14">
        <v>1</v>
      </c>
      <c r="K466" s="14">
        <v>11</v>
      </c>
      <c r="L466" s="14">
        <v>2</v>
      </c>
    </row>
    <row r="467" spans="1:12">
      <c r="A467" s="8"/>
      <c r="B467" s="14">
        <v>563</v>
      </c>
      <c r="C467" s="14" t="s">
        <v>2155</v>
      </c>
      <c r="D467" s="14">
        <v>21</v>
      </c>
      <c r="E467" s="14">
        <v>0</v>
      </c>
      <c r="F467" s="14">
        <v>5</v>
      </c>
      <c r="G467" s="14">
        <v>0</v>
      </c>
      <c r="H467" s="14">
        <v>1</v>
      </c>
      <c r="I467" s="14">
        <v>0</v>
      </c>
      <c r="J467" s="14">
        <v>0</v>
      </c>
      <c r="K467" s="14"/>
      <c r="L467" s="14"/>
    </row>
    <row r="468" spans="1:12">
      <c r="A468" s="8"/>
      <c r="B468" s="14">
        <v>564</v>
      </c>
      <c r="C468" s="14" t="s">
        <v>2156</v>
      </c>
      <c r="D468" s="14">
        <v>21</v>
      </c>
      <c r="E468" s="14">
        <v>143</v>
      </c>
      <c r="F468" s="14">
        <v>16</v>
      </c>
      <c r="G468" s="14">
        <v>146</v>
      </c>
      <c r="H468" s="14">
        <v>10</v>
      </c>
      <c r="I468" s="14">
        <v>0</v>
      </c>
      <c r="J468" s="14">
        <v>1</v>
      </c>
      <c r="K468" s="14"/>
      <c r="L468" s="14"/>
    </row>
    <row r="469" spans="1:12">
      <c r="A469" s="8"/>
      <c r="B469" s="14">
        <v>565</v>
      </c>
      <c r="C469" s="14" t="s">
        <v>2158</v>
      </c>
      <c r="D469" s="14">
        <v>33</v>
      </c>
      <c r="E469" s="14">
        <v>0</v>
      </c>
      <c r="F469" s="14">
        <v>7</v>
      </c>
      <c r="G469" s="14">
        <v>126</v>
      </c>
      <c r="H469" s="14">
        <v>10</v>
      </c>
      <c r="I469" s="14">
        <v>0</v>
      </c>
      <c r="J469" s="14">
        <v>0</v>
      </c>
      <c r="K469" s="14"/>
      <c r="L469" s="14"/>
    </row>
    <row r="470" spans="1:12">
      <c r="A470" s="8"/>
      <c r="B470" s="14">
        <v>566</v>
      </c>
      <c r="C470" s="14" t="s">
        <v>2157</v>
      </c>
      <c r="D470" s="14">
        <v>33</v>
      </c>
      <c r="E470" s="14">
        <v>144</v>
      </c>
      <c r="F470" s="14">
        <v>12</v>
      </c>
      <c r="G470" s="14">
        <v>0</v>
      </c>
      <c r="H470" s="14">
        <v>10</v>
      </c>
      <c r="I470" s="14">
        <v>0</v>
      </c>
      <c r="J470" s="14">
        <v>1</v>
      </c>
      <c r="K470" s="14"/>
      <c r="L470" s="14"/>
    </row>
    <row r="471" spans="1:12">
      <c r="A471" s="8"/>
      <c r="B471" s="14">
        <v>567</v>
      </c>
      <c r="C471" s="14" t="s">
        <v>2168</v>
      </c>
      <c r="D471" s="14">
        <v>1</v>
      </c>
      <c r="E471" s="14">
        <v>0</v>
      </c>
      <c r="F471" s="14">
        <v>7</v>
      </c>
      <c r="G471" s="14">
        <v>0</v>
      </c>
      <c r="H471" s="14">
        <v>1</v>
      </c>
      <c r="I471" s="14">
        <v>0</v>
      </c>
      <c r="J471" s="14">
        <v>0</v>
      </c>
      <c r="K471" s="14"/>
      <c r="L471" s="14"/>
    </row>
    <row r="472" spans="1:12">
      <c r="A472" s="8"/>
      <c r="B472" s="14">
        <v>568</v>
      </c>
      <c r="C472" s="14" t="s">
        <v>2316</v>
      </c>
      <c r="D472" s="14">
        <v>1</v>
      </c>
      <c r="E472" s="14">
        <v>145</v>
      </c>
      <c r="F472" s="14">
        <v>14</v>
      </c>
      <c r="G472" s="14">
        <v>0</v>
      </c>
      <c r="H472" s="14">
        <v>10</v>
      </c>
      <c r="I472" s="14">
        <v>0</v>
      </c>
      <c r="J472" s="14">
        <v>1</v>
      </c>
      <c r="K472" s="14"/>
      <c r="L472" s="14"/>
    </row>
    <row r="473" spans="1:12">
      <c r="A473" s="8"/>
      <c r="B473" s="14">
        <v>569</v>
      </c>
      <c r="C473" s="14" t="s">
        <v>2317</v>
      </c>
      <c r="D473" s="14">
        <v>15</v>
      </c>
      <c r="E473" s="14">
        <v>0</v>
      </c>
      <c r="F473" s="14">
        <v>14</v>
      </c>
      <c r="G473" s="14">
        <v>147</v>
      </c>
      <c r="H473" s="14">
        <v>17</v>
      </c>
      <c r="I473" s="14">
        <v>0</v>
      </c>
      <c r="J473" s="14">
        <v>2</v>
      </c>
      <c r="K473" s="14">
        <v>11</v>
      </c>
      <c r="L473" s="14">
        <v>2</v>
      </c>
    </row>
    <row r="474" spans="1:12">
      <c r="A474" s="8"/>
      <c r="B474" s="14">
        <v>570</v>
      </c>
      <c r="C474" s="14" t="s">
        <v>2318</v>
      </c>
      <c r="D474" s="14">
        <v>21</v>
      </c>
      <c r="E474" s="14">
        <v>0</v>
      </c>
      <c r="F474" s="14">
        <v>12</v>
      </c>
      <c r="G474" s="14">
        <v>150</v>
      </c>
      <c r="H474" s="14">
        <v>17</v>
      </c>
      <c r="I474" s="14">
        <v>0</v>
      </c>
      <c r="J474" s="14">
        <v>2</v>
      </c>
      <c r="K474" s="14"/>
      <c r="L474" s="14"/>
    </row>
    <row r="475" spans="1:12">
      <c r="A475" s="8"/>
      <c r="B475" s="14">
        <v>571</v>
      </c>
      <c r="C475" s="14" t="s">
        <v>2314</v>
      </c>
      <c r="D475" s="14">
        <v>105</v>
      </c>
      <c r="E475" s="14">
        <v>0</v>
      </c>
      <c r="F475" s="14">
        <v>8</v>
      </c>
      <c r="G475" s="14">
        <v>216</v>
      </c>
      <c r="H475" s="14">
        <v>10</v>
      </c>
      <c r="I475" s="14">
        <v>0</v>
      </c>
      <c r="J475" s="14">
        <v>0</v>
      </c>
      <c r="K475" s="14"/>
      <c r="L475" s="14"/>
    </row>
    <row r="476" spans="1:12">
      <c r="A476" s="8"/>
      <c r="B476" s="14">
        <v>572</v>
      </c>
      <c r="C476" s="14" t="s">
        <v>2315</v>
      </c>
      <c r="D476" s="14">
        <v>105</v>
      </c>
      <c r="E476" s="14">
        <v>0</v>
      </c>
      <c r="F476" s="14">
        <v>9</v>
      </c>
      <c r="G476" s="14">
        <v>0</v>
      </c>
      <c r="H476" s="14">
        <v>1</v>
      </c>
      <c r="I476" s="14">
        <v>0</v>
      </c>
      <c r="J476" s="14">
        <v>1</v>
      </c>
      <c r="K476" s="14"/>
      <c r="L476" s="14"/>
    </row>
    <row r="477" spans="1:12">
      <c r="A477" s="8"/>
      <c r="B477" s="14">
        <v>573</v>
      </c>
      <c r="C477" s="14" t="s">
        <v>2327</v>
      </c>
      <c r="D477" s="14">
        <v>106</v>
      </c>
      <c r="E477" s="14">
        <v>0</v>
      </c>
      <c r="F477" s="14">
        <v>12</v>
      </c>
      <c r="G477" s="14">
        <v>256</v>
      </c>
      <c r="H477" s="14">
        <v>10</v>
      </c>
      <c r="I477" s="14">
        <v>0</v>
      </c>
      <c r="J477" s="14">
        <v>0</v>
      </c>
      <c r="K477" s="14"/>
      <c r="L477" s="14"/>
    </row>
    <row r="478" spans="1:12">
      <c r="A478" s="8"/>
      <c r="B478" s="14">
        <v>574</v>
      </c>
      <c r="C478" s="14" t="s">
        <v>2328</v>
      </c>
      <c r="D478" s="14">
        <v>106</v>
      </c>
      <c r="E478" s="14">
        <v>0</v>
      </c>
      <c r="F478" s="14">
        <v>9</v>
      </c>
      <c r="G478" s="14">
        <v>135</v>
      </c>
      <c r="H478" s="14">
        <v>10</v>
      </c>
      <c r="I478" s="14">
        <v>0</v>
      </c>
      <c r="J478" s="14">
        <v>0</v>
      </c>
      <c r="K478" s="14"/>
      <c r="L478" s="14"/>
    </row>
    <row r="479" spans="1:12">
      <c r="A479" s="8"/>
      <c r="B479" s="14">
        <v>575</v>
      </c>
      <c r="C479" s="14" t="s">
        <v>2326</v>
      </c>
      <c r="D479" s="14">
        <v>106</v>
      </c>
      <c r="E479" s="14">
        <v>146</v>
      </c>
      <c r="F479" s="14">
        <v>12</v>
      </c>
      <c r="G479" s="14">
        <v>0</v>
      </c>
      <c r="H479" s="14">
        <v>1</v>
      </c>
      <c r="I479" s="14">
        <v>0</v>
      </c>
      <c r="J479" s="14">
        <v>1</v>
      </c>
      <c r="K479" s="14"/>
      <c r="L479" s="14"/>
    </row>
    <row r="480" spans="1:12">
      <c r="A480" s="8"/>
      <c r="B480" s="14">
        <v>576</v>
      </c>
      <c r="C480" s="14" t="s">
        <v>2331</v>
      </c>
      <c r="D480" s="14">
        <v>107</v>
      </c>
      <c r="E480" s="14">
        <v>0</v>
      </c>
      <c r="F480" s="14">
        <v>12</v>
      </c>
      <c r="G480" s="14">
        <v>134</v>
      </c>
      <c r="H480" s="14">
        <v>10</v>
      </c>
      <c r="I480" s="14">
        <v>0</v>
      </c>
      <c r="J480" s="14">
        <v>0</v>
      </c>
      <c r="K480" s="14">
        <v>12</v>
      </c>
      <c r="L480" s="14">
        <v>8</v>
      </c>
    </row>
    <row r="481" spans="1:12">
      <c r="A481" s="8"/>
      <c r="B481" s="14">
        <v>577</v>
      </c>
      <c r="C481" s="14" t="s">
        <v>2330</v>
      </c>
      <c r="D481" s="14">
        <v>107</v>
      </c>
      <c r="E481" s="14">
        <v>0</v>
      </c>
      <c r="F481" s="14">
        <v>7</v>
      </c>
      <c r="G481" s="14">
        <v>216</v>
      </c>
      <c r="H481" s="14">
        <v>10</v>
      </c>
      <c r="I481" s="14">
        <v>0</v>
      </c>
      <c r="J481" s="14">
        <v>0</v>
      </c>
      <c r="K481" s="14"/>
      <c r="L481" s="14"/>
    </row>
    <row r="482" spans="1:12">
      <c r="A482" s="8"/>
      <c r="B482" s="14">
        <v>578</v>
      </c>
      <c r="C482" s="14" t="s">
        <v>2329</v>
      </c>
      <c r="D482" s="14">
        <v>107</v>
      </c>
      <c r="E482" s="14">
        <v>147</v>
      </c>
      <c r="F482" s="14">
        <v>8</v>
      </c>
      <c r="G482" s="14">
        <v>147</v>
      </c>
      <c r="H482" s="14">
        <v>13</v>
      </c>
      <c r="I482" s="14">
        <v>0</v>
      </c>
      <c r="J482" s="14">
        <v>1</v>
      </c>
      <c r="K482" s="14"/>
      <c r="L482" s="14"/>
    </row>
    <row r="483" spans="1:12">
      <c r="A483" s="8"/>
      <c r="B483" s="14">
        <v>579</v>
      </c>
      <c r="C483" s="14" t="s">
        <v>2363</v>
      </c>
      <c r="D483" s="14">
        <v>22</v>
      </c>
      <c r="E483" s="14">
        <v>0</v>
      </c>
      <c r="F483" s="14">
        <v>4</v>
      </c>
      <c r="G483" s="14">
        <v>192</v>
      </c>
      <c r="H483" s="14">
        <v>10</v>
      </c>
      <c r="I483" s="14">
        <v>0</v>
      </c>
      <c r="J483" s="14">
        <v>0</v>
      </c>
      <c r="K483" s="14"/>
      <c r="L483" s="14"/>
    </row>
    <row r="484" spans="1:12">
      <c r="A484" s="8"/>
      <c r="B484" s="14">
        <v>580</v>
      </c>
      <c r="C484" s="14" t="s">
        <v>2364</v>
      </c>
      <c r="D484" s="14">
        <v>22</v>
      </c>
      <c r="E484" s="14">
        <v>148</v>
      </c>
      <c r="F484" s="14">
        <v>9</v>
      </c>
      <c r="G484" s="14">
        <v>232</v>
      </c>
      <c r="H484" s="14">
        <v>10</v>
      </c>
      <c r="I484" s="14">
        <v>0</v>
      </c>
      <c r="J484" s="14">
        <v>1</v>
      </c>
      <c r="K484" s="14"/>
      <c r="L484" s="14"/>
    </row>
    <row r="485" spans="1:12">
      <c r="A485" s="8"/>
      <c r="B485" s="14">
        <v>581</v>
      </c>
      <c r="C485" s="14" t="s">
        <v>2369</v>
      </c>
      <c r="D485" s="14">
        <v>23</v>
      </c>
      <c r="E485" s="14">
        <v>0</v>
      </c>
      <c r="F485" s="14">
        <v>7</v>
      </c>
      <c r="G485" s="14">
        <v>100</v>
      </c>
      <c r="H485" s="14">
        <v>1</v>
      </c>
      <c r="I485" s="14">
        <v>0</v>
      </c>
      <c r="J485" s="14">
        <v>0</v>
      </c>
      <c r="K485" s="14"/>
      <c r="L485" s="14"/>
    </row>
    <row r="486" spans="1:12">
      <c r="A486" s="8"/>
      <c r="B486" s="14">
        <v>582</v>
      </c>
      <c r="C486" s="14" t="s">
        <v>2368</v>
      </c>
      <c r="D486" s="14">
        <v>23</v>
      </c>
      <c r="E486" s="14">
        <v>149</v>
      </c>
      <c r="F486" s="14">
        <v>16</v>
      </c>
      <c r="G486" s="14">
        <v>150</v>
      </c>
      <c r="H486" s="14">
        <v>10</v>
      </c>
      <c r="I486" s="14">
        <v>0</v>
      </c>
      <c r="J486" s="14">
        <v>1</v>
      </c>
      <c r="K486" s="14">
        <v>11</v>
      </c>
      <c r="L486" s="14">
        <v>44</v>
      </c>
    </row>
    <row r="487" spans="1:12">
      <c r="A487" s="8"/>
      <c r="B487" s="14">
        <v>583</v>
      </c>
      <c r="C487" s="14" t="s">
        <v>2408</v>
      </c>
      <c r="D487" s="14">
        <v>45</v>
      </c>
      <c r="E487" s="14">
        <v>0</v>
      </c>
      <c r="F487" s="14">
        <v>12</v>
      </c>
      <c r="G487" s="14">
        <v>138</v>
      </c>
      <c r="H487" s="14">
        <v>17</v>
      </c>
      <c r="I487" s="14">
        <v>0</v>
      </c>
      <c r="J487" s="14">
        <v>2</v>
      </c>
      <c r="K487" s="14"/>
      <c r="L487" s="14"/>
    </row>
    <row r="488" spans="1:12">
      <c r="A488" s="8"/>
      <c r="B488" s="14">
        <v>584</v>
      </c>
      <c r="C488" s="14" t="s">
        <v>2421</v>
      </c>
      <c r="D488" s="14">
        <v>45</v>
      </c>
      <c r="E488" s="14">
        <v>0</v>
      </c>
      <c r="F488" s="14">
        <v>8</v>
      </c>
      <c r="G488" s="14">
        <v>100</v>
      </c>
      <c r="H488" s="14">
        <v>10</v>
      </c>
      <c r="I488" s="14">
        <v>0</v>
      </c>
      <c r="J488" s="14">
        <v>0</v>
      </c>
      <c r="K488" s="14"/>
      <c r="L488" s="14"/>
    </row>
    <row r="489" spans="1:12">
      <c r="A489" s="8"/>
      <c r="B489" s="14">
        <v>585</v>
      </c>
      <c r="C489" s="14" t="s">
        <v>2437</v>
      </c>
      <c r="D489" s="14">
        <v>43</v>
      </c>
      <c r="E489" s="14">
        <v>0</v>
      </c>
      <c r="F489" s="14">
        <v>5</v>
      </c>
      <c r="G489" s="14">
        <v>0</v>
      </c>
      <c r="H489" s="14">
        <v>1</v>
      </c>
      <c r="I489" s="14">
        <v>0</v>
      </c>
      <c r="J489" s="14">
        <v>0</v>
      </c>
      <c r="K489" s="14"/>
      <c r="L489" s="14"/>
    </row>
    <row r="490" spans="1:12">
      <c r="A490" s="8"/>
      <c r="B490" s="14">
        <v>586</v>
      </c>
      <c r="C490" s="14" t="s">
        <v>2438</v>
      </c>
      <c r="D490" s="14">
        <v>43</v>
      </c>
      <c r="E490" s="14">
        <v>150</v>
      </c>
      <c r="F490" s="14">
        <v>16</v>
      </c>
      <c r="G490" s="14">
        <v>140</v>
      </c>
      <c r="H490" s="14">
        <v>10</v>
      </c>
      <c r="I490" s="14">
        <v>0</v>
      </c>
      <c r="J490" s="14">
        <v>1</v>
      </c>
      <c r="K490" s="14">
        <v>11</v>
      </c>
      <c r="L490" s="14">
        <v>24</v>
      </c>
    </row>
    <row r="491" spans="1:12">
      <c r="A491" s="8"/>
      <c r="B491" s="14">
        <v>587</v>
      </c>
      <c r="C491" s="14" t="s">
        <v>2442</v>
      </c>
      <c r="D491" s="14">
        <v>19</v>
      </c>
      <c r="E491" s="14">
        <v>0</v>
      </c>
      <c r="F491" s="14">
        <v>12</v>
      </c>
      <c r="G491" s="14">
        <v>143</v>
      </c>
      <c r="H491" s="14">
        <v>10</v>
      </c>
      <c r="I491" s="14">
        <v>0</v>
      </c>
      <c r="J491" s="14">
        <v>0</v>
      </c>
      <c r="K491" s="14">
        <v>11</v>
      </c>
      <c r="L491" s="14">
        <v>4</v>
      </c>
    </row>
    <row r="492" spans="1:12">
      <c r="A492" s="8"/>
      <c r="B492" s="14">
        <v>588</v>
      </c>
      <c r="C492" s="14" t="s">
        <v>2443</v>
      </c>
      <c r="D492" s="14">
        <v>19</v>
      </c>
      <c r="E492" s="14">
        <v>151</v>
      </c>
      <c r="F492" s="14">
        <v>13</v>
      </c>
      <c r="G492" s="14">
        <v>137</v>
      </c>
      <c r="H492" s="14">
        <v>10</v>
      </c>
      <c r="I492" s="14">
        <v>0</v>
      </c>
      <c r="J492" s="14">
        <v>1</v>
      </c>
      <c r="K492" s="14"/>
      <c r="L492" s="14"/>
    </row>
    <row r="493" spans="1:12">
      <c r="A493" s="8"/>
      <c r="B493" s="14">
        <v>589</v>
      </c>
      <c r="C493" s="14" t="s">
        <v>2489</v>
      </c>
      <c r="D493" s="14">
        <v>91</v>
      </c>
      <c r="E493" s="14">
        <v>0</v>
      </c>
      <c r="F493" s="14">
        <v>7</v>
      </c>
      <c r="G493" s="14">
        <v>216</v>
      </c>
      <c r="H493" s="14">
        <v>10</v>
      </c>
      <c r="I493" s="14">
        <v>0</v>
      </c>
      <c r="J493" s="14">
        <v>0</v>
      </c>
      <c r="K493" s="14"/>
      <c r="L493" s="14"/>
    </row>
    <row r="494" spans="1:12">
      <c r="A494" s="8"/>
      <c r="B494" s="14">
        <v>590</v>
      </c>
      <c r="C494" s="14" t="s">
        <v>2491</v>
      </c>
      <c r="D494" s="14">
        <v>91</v>
      </c>
      <c r="E494" s="14">
        <v>0</v>
      </c>
      <c r="F494" s="14">
        <v>7</v>
      </c>
      <c r="G494" s="14">
        <v>126</v>
      </c>
      <c r="H494" s="14">
        <v>10</v>
      </c>
      <c r="I494" s="14">
        <v>0</v>
      </c>
      <c r="J494" s="14">
        <v>0</v>
      </c>
      <c r="K494" s="14"/>
      <c r="L494" s="14"/>
    </row>
    <row r="495" spans="1:12">
      <c r="A495" s="8"/>
      <c r="B495" s="14">
        <v>591</v>
      </c>
      <c r="C495" s="14" t="s">
        <v>2493</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2024</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2365</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2512</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2513</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2514</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2037</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2023</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2027</v>
      </c>
      <c r="E166" s="11" t="s">
        <v>699</v>
      </c>
      <c r="F166" s="14">
        <v>1</v>
      </c>
      <c r="G166" s="14">
        <v>2</v>
      </c>
      <c r="H166" s="14">
        <v>0</v>
      </c>
      <c r="I166" s="14">
        <v>0</v>
      </c>
      <c r="J166" s="14">
        <v>2502</v>
      </c>
      <c r="K166" s="14">
        <v>12510</v>
      </c>
      <c r="L166" s="14">
        <v>5</v>
      </c>
      <c r="M166" s="14">
        <v>3.5</v>
      </c>
      <c r="N166" s="14">
        <v>30</v>
      </c>
      <c r="O166" s="14">
        <v>0</v>
      </c>
      <c r="P166" s="13">
        <v>1</v>
      </c>
      <c r="Q166" s="11" t="s">
        <v>2038</v>
      </c>
      <c r="R166" s="14"/>
      <c r="S166" s="14"/>
      <c r="T166" s="14"/>
      <c r="U166" s="1"/>
    </row>
    <row r="167" spans="1:21">
      <c r="A167" s="8"/>
      <c r="B167" s="14">
        <v>164</v>
      </c>
      <c r="C167" s="14">
        <v>560</v>
      </c>
      <c r="D167" s="14" t="s">
        <v>2092</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2093</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2156</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2317</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2318</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2318</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2329</v>
      </c>
      <c r="E173" s="11" t="s">
        <v>699</v>
      </c>
      <c r="F173" s="14">
        <v>2</v>
      </c>
      <c r="G173" s="14">
        <v>1</v>
      </c>
      <c r="H173" s="14">
        <v>0</v>
      </c>
      <c r="I173" s="14">
        <v>2</v>
      </c>
      <c r="J173" s="14">
        <v>1914</v>
      </c>
      <c r="K173" s="14">
        <v>9570</v>
      </c>
      <c r="L173" s="14">
        <v>5</v>
      </c>
      <c r="M173" s="14">
        <v>16.8</v>
      </c>
      <c r="N173" s="14">
        <v>0</v>
      </c>
      <c r="O173" s="14">
        <v>50</v>
      </c>
      <c r="P173" s="13">
        <v>2</v>
      </c>
      <c r="Q173" s="11" t="s">
        <v>2378</v>
      </c>
      <c r="R173" s="14"/>
      <c r="S173" s="14"/>
      <c r="T173" s="14"/>
      <c r="U173" s="1"/>
    </row>
    <row r="174" spans="1:21">
      <c r="A174" s="8"/>
      <c r="B174" s="14">
        <v>171</v>
      </c>
      <c r="C174" s="14">
        <v>582</v>
      </c>
      <c r="D174" s="14" t="s">
        <v>2368</v>
      </c>
      <c r="E174" s="11" t="s">
        <v>699</v>
      </c>
      <c r="F174" s="14">
        <v>2</v>
      </c>
      <c r="G174" s="14">
        <v>1</v>
      </c>
      <c r="H174" s="14">
        <v>0</v>
      </c>
      <c r="I174" s="14">
        <v>1</v>
      </c>
      <c r="J174" s="14">
        <v>2175</v>
      </c>
      <c r="K174" s="14">
        <v>10875</v>
      </c>
      <c r="L174" s="14">
        <v>4</v>
      </c>
      <c r="M174" s="14">
        <v>18</v>
      </c>
      <c r="N174" s="14">
        <v>0</v>
      </c>
      <c r="O174" s="14">
        <v>50</v>
      </c>
      <c r="P174" s="13">
        <v>2</v>
      </c>
      <c r="Q174" s="11" t="s">
        <v>2450</v>
      </c>
      <c r="R174" s="14"/>
      <c r="S174" s="14"/>
      <c r="T174" s="14"/>
      <c r="U174" s="1"/>
    </row>
    <row r="175" spans="1:21">
      <c r="A175" s="8"/>
      <c r="B175" s="14">
        <v>172</v>
      </c>
      <c r="C175" s="14">
        <v>582</v>
      </c>
      <c r="D175" s="14" t="s">
        <v>2368</v>
      </c>
      <c r="E175" s="11" t="s">
        <v>2405</v>
      </c>
      <c r="F175" s="14">
        <v>2</v>
      </c>
      <c r="G175" s="14">
        <v>1</v>
      </c>
      <c r="H175" s="14">
        <v>0</v>
      </c>
      <c r="I175" s="14">
        <v>1</v>
      </c>
      <c r="J175" s="14">
        <v>1087.5</v>
      </c>
      <c r="K175" s="14">
        <v>5437.5</v>
      </c>
      <c r="L175" s="14">
        <v>4</v>
      </c>
      <c r="M175" s="14">
        <v>3</v>
      </c>
      <c r="N175" s="14">
        <v>0</v>
      </c>
      <c r="O175" s="14">
        <v>50</v>
      </c>
      <c r="P175" s="13">
        <v>2</v>
      </c>
      <c r="Q175" s="11" t="s">
        <v>2450</v>
      </c>
      <c r="R175" s="14"/>
      <c r="S175" s="14"/>
      <c r="T175" s="14"/>
      <c r="U175" s="1"/>
    </row>
    <row r="176" spans="1:21">
      <c r="A176" s="8"/>
      <c r="B176" s="14">
        <v>173</v>
      </c>
      <c r="C176" s="14">
        <v>583</v>
      </c>
      <c r="D176" s="14" t="s">
        <v>2408</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2438</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2443</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2493</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2022</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2080</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2080</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2328</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2331</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2421</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2442</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2515</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91" activePane="bottomLeft" state="frozen"/>
      <selection pane="bottomLeft" activeCell="J107" sqref="J10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2013</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2005</v>
      </c>
    </row>
    <row r="5" spans="1:19">
      <c r="B5" s="9">
        <v>1</v>
      </c>
      <c r="C5" s="9"/>
      <c r="D5" s="9"/>
      <c r="E5" s="9"/>
      <c r="F5" s="9"/>
      <c r="G5" s="9"/>
      <c r="H5" s="9"/>
      <c r="I5" s="9"/>
      <c r="J5" s="9"/>
      <c r="K5" s="9"/>
      <c r="L5" s="9"/>
      <c r="M5" s="9"/>
      <c r="N5" s="9"/>
      <c r="O5" s="9"/>
      <c r="P5" s="9"/>
      <c r="Q5" s="9"/>
      <c r="R5" s="9"/>
      <c r="S5" t="s">
        <v>2219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9">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9">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t="b">
        <f>H25=I25</f>
        <v>1</v>
      </c>
    </row>
    <row r="26" spans="1:19">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9">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9">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9">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9">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9">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t="b">
        <f>H39=I39</f>
        <v>1</v>
      </c>
    </row>
    <row r="40" spans="1:19">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9">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9">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9">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9">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c r="S45" t="b">
        <f>H45=I45</f>
        <v>1</v>
      </c>
    </row>
    <row r="46" spans="1:19">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9">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9">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9">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9">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9">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t="b">
        <f>H56=I56</f>
        <v>1</v>
      </c>
    </row>
    <row r="57" spans="1:19">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t="b">
        <f>H59=I59</f>
        <v>1</v>
      </c>
    </row>
    <row r="60" spans="1:19">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9">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c r="S61" t="b">
        <f>H61=I61</f>
        <v>1</v>
      </c>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9">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9">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c r="S65" t="b">
        <f>H65=I65</f>
        <v>1</v>
      </c>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t="b">
        <f t="shared" ref="S70:S72" si="0">H70=I70</f>
        <v>1</v>
      </c>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t="b">
        <f t="shared" si="0"/>
        <v>1</v>
      </c>
    </row>
    <row r="72" spans="1:19">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c r="S72" t="b">
        <f t="shared" si="0"/>
        <v>1</v>
      </c>
    </row>
    <row r="73" spans="1:19">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9">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9">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9">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9">
      <c r="A77" s="8"/>
      <c r="B77" s="14">
        <v>76</v>
      </c>
      <c r="C77" s="14">
        <v>413</v>
      </c>
      <c r="D77" s="14">
        <v>16</v>
      </c>
      <c r="E77" s="14">
        <v>0</v>
      </c>
      <c r="F77" s="14" t="s">
        <v>560</v>
      </c>
      <c r="G77" s="14" t="s">
        <v>2039</v>
      </c>
      <c r="H77" s="14">
        <v>3</v>
      </c>
      <c r="I77" s="14">
        <v>3</v>
      </c>
      <c r="J77" s="14">
        <v>0</v>
      </c>
      <c r="K77" s="14">
        <v>1</v>
      </c>
      <c r="L77" s="14">
        <v>7</v>
      </c>
      <c r="M77" s="14">
        <v>0</v>
      </c>
      <c r="N77" s="14">
        <v>0</v>
      </c>
      <c r="O77" s="14">
        <v>40</v>
      </c>
      <c r="P77" s="14">
        <v>102</v>
      </c>
      <c r="Q77" s="14"/>
      <c r="R77" s="14">
        <v>4</v>
      </c>
    </row>
    <row r="78" spans="1:19">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9">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9">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9">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9">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9">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c r="S83" t="b">
        <f>H83=I83</f>
        <v>1</v>
      </c>
    </row>
    <row r="84" spans="1:19">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9">
      <c r="A85" s="8"/>
      <c r="B85" s="14">
        <v>84</v>
      </c>
      <c r="C85" s="14">
        <v>429</v>
      </c>
      <c r="D85" s="14">
        <v>1</v>
      </c>
      <c r="E85" s="14">
        <v>4</v>
      </c>
      <c r="F85" s="14" t="s">
        <v>820</v>
      </c>
      <c r="G85" s="14"/>
      <c r="H85" s="14">
        <v>65</v>
      </c>
      <c r="I85" s="14">
        <v>80</v>
      </c>
      <c r="J85" s="14">
        <v>264</v>
      </c>
      <c r="K85" s="14">
        <v>10</v>
      </c>
      <c r="L85" s="14">
        <v>5</v>
      </c>
      <c r="M85" s="14">
        <v>0</v>
      </c>
      <c r="N85" s="14">
        <v>0</v>
      </c>
      <c r="O85" s="14">
        <v>0</v>
      </c>
      <c r="P85" s="14"/>
      <c r="Q85" s="14"/>
      <c r="R85" s="14"/>
    </row>
    <row r="86" spans="1:19">
      <c r="A86" s="8"/>
      <c r="B86" s="14">
        <v>85</v>
      </c>
      <c r="C86" s="14">
        <v>429</v>
      </c>
      <c r="D86" s="14">
        <v>9</v>
      </c>
      <c r="E86" s="14">
        <v>4</v>
      </c>
      <c r="F86" s="14" t="s">
        <v>820</v>
      </c>
      <c r="G86" s="14"/>
      <c r="H86" s="14">
        <v>45</v>
      </c>
      <c r="I86" s="14">
        <v>45</v>
      </c>
      <c r="J86" s="14">
        <v>0</v>
      </c>
      <c r="K86" s="14">
        <v>1</v>
      </c>
      <c r="L86" s="14">
        <v>5</v>
      </c>
      <c r="M86" s="14">
        <v>0</v>
      </c>
      <c r="N86" s="14">
        <v>0</v>
      </c>
      <c r="O86" s="14">
        <v>0</v>
      </c>
      <c r="P86" s="14"/>
      <c r="Q86" s="14"/>
      <c r="R86" s="14"/>
      <c r="S86" t="b">
        <f>H86=I86</f>
        <v>1</v>
      </c>
    </row>
    <row r="87" spans="1:19">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9">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9">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9">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9">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9">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9">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9">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9">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9">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9">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9">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9">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9">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9">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9">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9">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9">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9">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9">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9">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c r="S107" t="b">
        <f>H107=I107</f>
        <v>1</v>
      </c>
    </row>
    <row r="108" spans="1:19">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9">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9">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9">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9">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9">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c r="S113" t="b">
        <f t="shared" ref="S113:S114" si="1">H113=I113</f>
        <v>1</v>
      </c>
    </row>
    <row r="114" spans="1:19">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c r="S114" t="b">
        <f t="shared" si="1"/>
        <v>1</v>
      </c>
    </row>
    <row r="115" spans="1:19">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9">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9">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9">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9">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9">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9">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9">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9">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9">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9">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c r="S129" t="b">
        <f>H129=I129</f>
        <v>1</v>
      </c>
    </row>
    <row r="130" spans="1:19">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9">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9">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9">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9">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9">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9">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9">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9">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9">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c r="S139" t="b">
        <f>H139=I139</f>
        <v>1</v>
      </c>
    </row>
    <row r="140" spans="1:19">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9">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c r="S141" t="b">
        <f>H141=I141</f>
        <v>1</v>
      </c>
    </row>
    <row r="142" spans="1:19">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9">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9">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9">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9">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c r="S146" t="b">
        <f>H146=I146</f>
        <v>1</v>
      </c>
    </row>
    <row r="147" spans="1:19">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9">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9">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9">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9">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9">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9">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9">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9">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9">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9">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9">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9">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9">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9">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9">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c r="S164" t="b">
        <f>H164=I164</f>
        <v>1</v>
      </c>
    </row>
    <row r="165" spans="1:19">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9">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9">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9">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9">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9">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9">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9">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9">
      <c r="A173" s="8"/>
      <c r="B173" s="14">
        <v>185</v>
      </c>
      <c r="C173" s="14">
        <v>541</v>
      </c>
      <c r="D173" s="14">
        <v>0</v>
      </c>
      <c r="E173" s="14">
        <v>0</v>
      </c>
      <c r="F173" s="14" t="s">
        <v>2027</v>
      </c>
      <c r="G173" s="14"/>
      <c r="H173" s="14">
        <v>60</v>
      </c>
      <c r="I173" s="14">
        <v>75</v>
      </c>
      <c r="J173" s="14">
        <v>147</v>
      </c>
      <c r="K173" s="14">
        <v>1</v>
      </c>
      <c r="L173" s="14">
        <v>7</v>
      </c>
      <c r="M173" s="14">
        <v>0</v>
      </c>
      <c r="N173" s="14">
        <v>0</v>
      </c>
      <c r="O173" s="14">
        <v>0</v>
      </c>
      <c r="P173" s="14">
        <v>163</v>
      </c>
      <c r="Q173" s="14"/>
      <c r="R173" s="14"/>
    </row>
    <row r="174" spans="1:19">
      <c r="A174" s="8"/>
      <c r="B174" s="14">
        <v>186</v>
      </c>
      <c r="C174" s="14">
        <v>543</v>
      </c>
      <c r="D174" s="14">
        <v>3</v>
      </c>
      <c r="E174" s="14">
        <v>0</v>
      </c>
      <c r="F174" s="14" t="s">
        <v>2037</v>
      </c>
      <c r="G174" s="14"/>
      <c r="H174" s="14">
        <v>30</v>
      </c>
      <c r="I174" s="14">
        <v>45</v>
      </c>
      <c r="J174" s="14">
        <v>138</v>
      </c>
      <c r="K174" s="14">
        <v>1</v>
      </c>
      <c r="L174" s="14">
        <v>1</v>
      </c>
      <c r="M174" s="14">
        <v>0</v>
      </c>
      <c r="N174" s="14">
        <v>1</v>
      </c>
      <c r="O174" s="14">
        <v>0</v>
      </c>
      <c r="P174" s="14">
        <v>161</v>
      </c>
      <c r="Q174" s="14"/>
      <c r="R174" s="14"/>
    </row>
    <row r="175" spans="1:19">
      <c r="A175" s="8"/>
      <c r="B175" s="14">
        <v>187</v>
      </c>
      <c r="C175" s="14">
        <v>543</v>
      </c>
      <c r="D175" s="14">
        <v>11</v>
      </c>
      <c r="E175" s="14">
        <v>3</v>
      </c>
      <c r="F175" s="14" t="s">
        <v>2037</v>
      </c>
      <c r="G175" s="14"/>
      <c r="H175" s="14">
        <v>50</v>
      </c>
      <c r="I175" s="14">
        <v>50</v>
      </c>
      <c r="J175" s="14">
        <v>0</v>
      </c>
      <c r="K175" s="14">
        <v>1</v>
      </c>
      <c r="L175" s="14">
        <v>0</v>
      </c>
      <c r="M175" s="14">
        <v>0</v>
      </c>
      <c r="N175" s="14">
        <v>0</v>
      </c>
      <c r="O175" s="14">
        <v>0</v>
      </c>
      <c r="P175" s="14">
        <v>161</v>
      </c>
      <c r="Q175" s="14"/>
      <c r="R175" s="14"/>
    </row>
    <row r="176" spans="1:19">
      <c r="A176" s="8"/>
      <c r="B176" s="14">
        <v>188</v>
      </c>
      <c r="C176" s="14">
        <v>553</v>
      </c>
      <c r="D176" s="14">
        <v>13</v>
      </c>
      <c r="E176" s="14">
        <v>0</v>
      </c>
      <c r="F176" s="14" t="s">
        <v>2068</v>
      </c>
      <c r="G176" s="14"/>
      <c r="H176" s="14">
        <v>100</v>
      </c>
      <c r="I176" s="14">
        <v>100</v>
      </c>
      <c r="J176" s="14">
        <v>0</v>
      </c>
      <c r="K176" s="14">
        <v>1</v>
      </c>
      <c r="L176" s="14">
        <v>0</v>
      </c>
      <c r="M176" s="14">
        <v>0</v>
      </c>
      <c r="N176" s="14">
        <v>0</v>
      </c>
      <c r="O176" s="14">
        <v>0</v>
      </c>
      <c r="P176" s="14"/>
      <c r="Q176" s="14"/>
      <c r="R176" s="14"/>
    </row>
    <row r="177" spans="1:19">
      <c r="A177" s="8"/>
      <c r="B177" s="14">
        <v>189</v>
      </c>
      <c r="C177" s="14">
        <v>555</v>
      </c>
      <c r="D177" s="14">
        <v>1</v>
      </c>
      <c r="E177" s="14">
        <v>5</v>
      </c>
      <c r="F177" s="14" t="s">
        <v>2077</v>
      </c>
      <c r="G177" s="14"/>
      <c r="H177" s="14">
        <v>65</v>
      </c>
      <c r="I177" s="14">
        <v>80</v>
      </c>
      <c r="J177" s="14">
        <v>192</v>
      </c>
      <c r="K177" s="14">
        <v>1</v>
      </c>
      <c r="L177" s="14">
        <v>6</v>
      </c>
      <c r="M177" s="14">
        <v>5</v>
      </c>
      <c r="N177" s="14">
        <v>0</v>
      </c>
      <c r="O177" s="14">
        <v>0</v>
      </c>
      <c r="P177" s="14"/>
      <c r="Q177" s="14"/>
      <c r="R177" s="14"/>
    </row>
    <row r="178" spans="1:19">
      <c r="A178" s="8"/>
      <c r="B178" s="14">
        <v>190</v>
      </c>
      <c r="C178" s="14">
        <v>555</v>
      </c>
      <c r="D178" s="14">
        <v>2</v>
      </c>
      <c r="E178" s="14">
        <v>0</v>
      </c>
      <c r="F178" s="14" t="s">
        <v>2077</v>
      </c>
      <c r="G178" s="14"/>
      <c r="H178" s="14">
        <v>35</v>
      </c>
      <c r="I178" s="14">
        <v>50</v>
      </c>
      <c r="J178" s="14">
        <v>192</v>
      </c>
      <c r="K178" s="14">
        <v>1</v>
      </c>
      <c r="L178" s="14">
        <v>6</v>
      </c>
      <c r="M178" s="14">
        <v>5</v>
      </c>
      <c r="N178" s="14">
        <v>0</v>
      </c>
      <c r="O178" s="14">
        <v>0</v>
      </c>
      <c r="P178" s="14"/>
      <c r="Q178" s="14"/>
      <c r="R178" s="14"/>
    </row>
    <row r="179" spans="1:19">
      <c r="A179" s="8"/>
      <c r="B179" s="14">
        <v>191</v>
      </c>
      <c r="C179" s="14">
        <v>558</v>
      </c>
      <c r="D179" s="14">
        <v>11</v>
      </c>
      <c r="E179" s="14">
        <v>1</v>
      </c>
      <c r="F179" s="14" t="s">
        <v>2091</v>
      </c>
      <c r="G179" s="14"/>
      <c r="H179" s="14">
        <v>65</v>
      </c>
      <c r="I179" s="14">
        <v>65</v>
      </c>
      <c r="J179" s="14">
        <v>0</v>
      </c>
      <c r="K179" s="14">
        <v>1</v>
      </c>
      <c r="L179" s="14">
        <v>0</v>
      </c>
      <c r="M179" s="14">
        <v>0</v>
      </c>
      <c r="N179" s="14">
        <v>8</v>
      </c>
      <c r="O179" s="14">
        <v>0</v>
      </c>
      <c r="P179" s="14"/>
      <c r="Q179" s="14"/>
      <c r="R179" s="14"/>
    </row>
    <row r="180" spans="1:19">
      <c r="A180" s="8"/>
      <c r="B180" s="14">
        <v>192</v>
      </c>
      <c r="C180" s="14">
        <v>558</v>
      </c>
      <c r="D180" s="14">
        <v>23</v>
      </c>
      <c r="E180" s="14">
        <v>1</v>
      </c>
      <c r="F180" s="14" t="s">
        <v>2091</v>
      </c>
      <c r="G180" s="14"/>
      <c r="H180" s="14">
        <v>5</v>
      </c>
      <c r="I180" s="14">
        <v>20</v>
      </c>
      <c r="J180" s="14">
        <v>0</v>
      </c>
      <c r="K180" s="14">
        <v>1</v>
      </c>
      <c r="L180" s="14">
        <v>6</v>
      </c>
      <c r="M180" s="14">
        <v>0</v>
      </c>
      <c r="N180" s="14">
        <v>5</v>
      </c>
      <c r="O180" s="14">
        <v>0</v>
      </c>
      <c r="P180" s="14"/>
      <c r="Q180" s="14"/>
      <c r="R180" s="14"/>
    </row>
    <row r="181" spans="1:19">
      <c r="A181" s="8"/>
      <c r="B181" s="14">
        <v>193</v>
      </c>
      <c r="C181" s="14">
        <v>560</v>
      </c>
      <c r="D181" s="14">
        <v>21</v>
      </c>
      <c r="E181" s="14">
        <v>0</v>
      </c>
      <c r="F181" s="14" t="s">
        <v>2092</v>
      </c>
      <c r="G181" s="14"/>
      <c r="H181" s="14">
        <v>10</v>
      </c>
      <c r="I181" s="14">
        <v>20</v>
      </c>
      <c r="J181" s="14">
        <v>144</v>
      </c>
      <c r="K181" s="14">
        <v>1</v>
      </c>
      <c r="L181" s="14">
        <v>2</v>
      </c>
      <c r="M181" s="14">
        <v>0</v>
      </c>
      <c r="N181" s="14">
        <v>0</v>
      </c>
      <c r="O181" s="14">
        <v>0</v>
      </c>
      <c r="P181" s="14"/>
      <c r="Q181" s="14"/>
      <c r="R181" s="14"/>
    </row>
    <row r="182" spans="1:19">
      <c r="A182" s="8"/>
      <c r="B182" s="14">
        <v>194</v>
      </c>
      <c r="C182" s="14">
        <v>560</v>
      </c>
      <c r="D182" s="14">
        <v>22</v>
      </c>
      <c r="E182" s="14">
        <v>1</v>
      </c>
      <c r="F182" s="14" t="s">
        <v>2092</v>
      </c>
      <c r="G182" s="14"/>
      <c r="H182" s="14">
        <v>20</v>
      </c>
      <c r="I182" s="14">
        <v>30</v>
      </c>
      <c r="J182" s="14">
        <v>144</v>
      </c>
      <c r="K182" s="14">
        <v>1</v>
      </c>
      <c r="L182" s="14">
        <v>2</v>
      </c>
      <c r="M182" s="14">
        <v>0</v>
      </c>
      <c r="N182" s="14">
        <v>0</v>
      </c>
      <c r="O182" s="14">
        <v>0</v>
      </c>
      <c r="P182" s="14"/>
      <c r="Q182" s="14"/>
      <c r="R182" s="14"/>
    </row>
    <row r="183" spans="1:19">
      <c r="A183" s="8"/>
      <c r="B183" s="14">
        <v>195</v>
      </c>
      <c r="C183" s="14">
        <v>562</v>
      </c>
      <c r="D183" s="14">
        <v>11</v>
      </c>
      <c r="E183" s="14">
        <v>5</v>
      </c>
      <c r="F183" s="14" t="s">
        <v>2093</v>
      </c>
      <c r="G183" s="14"/>
      <c r="H183" s="14">
        <v>50</v>
      </c>
      <c r="I183" s="14">
        <v>50</v>
      </c>
      <c r="J183" s="14">
        <v>0</v>
      </c>
      <c r="K183" s="14">
        <v>1</v>
      </c>
      <c r="L183" s="14">
        <v>0</v>
      </c>
      <c r="M183" s="14">
        <v>0</v>
      </c>
      <c r="N183" s="14">
        <v>0</v>
      </c>
      <c r="O183" s="14">
        <v>0</v>
      </c>
      <c r="P183" s="14"/>
      <c r="Q183" s="14"/>
      <c r="R183" s="14"/>
    </row>
    <row r="184" spans="1:19">
      <c r="A184" s="8"/>
      <c r="B184" s="14">
        <v>196</v>
      </c>
      <c r="C184" s="14">
        <v>562</v>
      </c>
      <c r="D184" s="14">
        <v>13</v>
      </c>
      <c r="E184" s="14">
        <v>0</v>
      </c>
      <c r="F184" s="14" t="s">
        <v>2093</v>
      </c>
      <c r="G184" s="14"/>
      <c r="H184" s="14">
        <v>30</v>
      </c>
      <c r="I184" s="14">
        <v>30</v>
      </c>
      <c r="J184" s="14">
        <v>0</v>
      </c>
      <c r="K184" s="14">
        <v>1</v>
      </c>
      <c r="L184" s="14">
        <v>0</v>
      </c>
      <c r="M184" s="14">
        <v>0</v>
      </c>
      <c r="N184" s="14">
        <v>0</v>
      </c>
      <c r="O184" s="14">
        <v>0</v>
      </c>
      <c r="P184" s="14"/>
      <c r="Q184" s="14"/>
      <c r="R184" s="14">
        <v>2</v>
      </c>
    </row>
    <row r="185" spans="1:19">
      <c r="A185" s="8"/>
      <c r="B185" s="14">
        <v>197</v>
      </c>
      <c r="C185" s="14">
        <v>566</v>
      </c>
      <c r="D185" s="14">
        <v>1</v>
      </c>
      <c r="E185" s="14">
        <v>4</v>
      </c>
      <c r="F185" s="14" t="s">
        <v>2157</v>
      </c>
      <c r="G185" s="14"/>
      <c r="H185" s="14">
        <v>65</v>
      </c>
      <c r="I185" s="14">
        <v>80</v>
      </c>
      <c r="J185" s="14">
        <v>256</v>
      </c>
      <c r="K185" s="14">
        <v>10</v>
      </c>
      <c r="L185" s="14">
        <v>3</v>
      </c>
      <c r="M185" s="14">
        <v>0</v>
      </c>
      <c r="N185" s="14">
        <v>0</v>
      </c>
      <c r="O185" s="14">
        <v>0</v>
      </c>
      <c r="P185" s="14"/>
      <c r="Q185" s="14"/>
      <c r="R185" s="14"/>
    </row>
    <row r="186" spans="1:19">
      <c r="A186" s="8"/>
      <c r="B186" s="14">
        <v>198</v>
      </c>
      <c r="C186" s="14">
        <v>566</v>
      </c>
      <c r="D186" s="14">
        <v>16</v>
      </c>
      <c r="E186" s="14">
        <v>0</v>
      </c>
      <c r="F186" s="14" t="s">
        <v>2157</v>
      </c>
      <c r="G186" s="14"/>
      <c r="H186" s="14">
        <v>5</v>
      </c>
      <c r="I186" s="14">
        <v>5</v>
      </c>
      <c r="J186" s="14">
        <v>0</v>
      </c>
      <c r="K186" s="14">
        <v>1</v>
      </c>
      <c r="L186" s="14">
        <v>3</v>
      </c>
      <c r="M186" s="14">
        <v>0</v>
      </c>
      <c r="N186" s="14">
        <v>0</v>
      </c>
      <c r="O186" s="14">
        <v>10</v>
      </c>
      <c r="P186" s="14"/>
      <c r="Q186" s="14"/>
      <c r="R186" s="14"/>
    </row>
    <row r="187" spans="1:19">
      <c r="A187" s="8"/>
      <c r="B187" s="14">
        <v>199</v>
      </c>
      <c r="C187" s="14">
        <v>566</v>
      </c>
      <c r="D187" s="14">
        <v>6</v>
      </c>
      <c r="E187" s="14">
        <v>0</v>
      </c>
      <c r="F187" s="14" t="s">
        <v>2157</v>
      </c>
      <c r="G187" s="14" t="s">
        <v>1502</v>
      </c>
      <c r="H187" s="14">
        <v>70</v>
      </c>
      <c r="I187" s="14">
        <v>70</v>
      </c>
      <c r="J187" s="14">
        <v>0</v>
      </c>
      <c r="K187" s="14">
        <v>1</v>
      </c>
      <c r="L187" s="14">
        <v>3</v>
      </c>
      <c r="M187" s="14">
        <v>0</v>
      </c>
      <c r="N187" s="14">
        <v>0</v>
      </c>
      <c r="O187" s="14">
        <v>0</v>
      </c>
      <c r="P187" s="14"/>
      <c r="Q187" s="14"/>
      <c r="R187" s="14">
        <v>21</v>
      </c>
    </row>
    <row r="188" spans="1:19">
      <c r="A188" s="8"/>
      <c r="B188" s="14">
        <v>200</v>
      </c>
      <c r="C188" s="14">
        <v>566</v>
      </c>
      <c r="D188" s="14">
        <v>9</v>
      </c>
      <c r="E188" s="14">
        <v>4</v>
      </c>
      <c r="F188" s="14" t="s">
        <v>2157</v>
      </c>
      <c r="G188" s="14" t="s">
        <v>1502</v>
      </c>
      <c r="H188" s="14">
        <v>45</v>
      </c>
      <c r="I188" s="14">
        <v>45</v>
      </c>
      <c r="J188" s="14">
        <v>0</v>
      </c>
      <c r="K188" s="14">
        <v>1</v>
      </c>
      <c r="L188" s="14">
        <v>3</v>
      </c>
      <c r="M188" s="14">
        <v>0</v>
      </c>
      <c r="N188" s="14">
        <v>0</v>
      </c>
      <c r="O188" s="14">
        <v>0</v>
      </c>
      <c r="P188" s="14"/>
      <c r="Q188" s="14"/>
      <c r="R188" s="14">
        <v>21</v>
      </c>
      <c r="S188" t="b">
        <f>H188=I188</f>
        <v>1</v>
      </c>
    </row>
    <row r="189" spans="1:19">
      <c r="A189" s="8"/>
      <c r="B189" s="14">
        <v>201</v>
      </c>
      <c r="C189" s="14">
        <v>568</v>
      </c>
      <c r="D189" s="14">
        <v>6</v>
      </c>
      <c r="E189" s="14">
        <v>0</v>
      </c>
      <c r="F189" s="14" t="s">
        <v>2316</v>
      </c>
      <c r="G189" s="14"/>
      <c r="H189" s="14">
        <v>100</v>
      </c>
      <c r="I189" s="14">
        <v>100</v>
      </c>
      <c r="J189" s="14">
        <v>0</v>
      </c>
      <c r="K189" s="14">
        <v>10</v>
      </c>
      <c r="L189" s="14">
        <v>4</v>
      </c>
      <c r="M189" s="14">
        <v>0</v>
      </c>
      <c r="N189" s="14">
        <v>5</v>
      </c>
      <c r="O189" s="14">
        <v>0</v>
      </c>
      <c r="P189" s="14"/>
      <c r="Q189" s="14"/>
      <c r="R189" s="14"/>
    </row>
    <row r="190" spans="1:19">
      <c r="A190" s="8"/>
      <c r="B190" s="14">
        <v>202</v>
      </c>
      <c r="C190" s="14">
        <v>568</v>
      </c>
      <c r="D190" s="14">
        <v>7</v>
      </c>
      <c r="E190" s="14">
        <v>0</v>
      </c>
      <c r="F190" s="14" t="s">
        <v>2316</v>
      </c>
      <c r="G190" s="14"/>
      <c r="H190" s="14">
        <v>100</v>
      </c>
      <c r="I190" s="14">
        <v>100</v>
      </c>
      <c r="J190" s="14">
        <v>0</v>
      </c>
      <c r="K190" s="14">
        <v>1</v>
      </c>
      <c r="L190" s="14">
        <v>4</v>
      </c>
      <c r="M190" s="14">
        <v>0</v>
      </c>
      <c r="N190" s="14">
        <v>5</v>
      </c>
      <c r="O190" s="14">
        <v>0</v>
      </c>
      <c r="P190" s="14"/>
      <c r="Q190" s="14"/>
      <c r="R190" s="14"/>
      <c r="S190" t="b">
        <f>H190=I190</f>
        <v>1</v>
      </c>
    </row>
    <row r="191" spans="1:19">
      <c r="A191" s="8"/>
      <c r="B191" s="14">
        <v>203</v>
      </c>
      <c r="C191" s="14">
        <v>568</v>
      </c>
      <c r="D191" s="14">
        <v>36</v>
      </c>
      <c r="E191" s="14">
        <v>0</v>
      </c>
      <c r="F191" s="14" t="s">
        <v>2316</v>
      </c>
      <c r="G191" s="14"/>
      <c r="H191" s="14">
        <v>0</v>
      </c>
      <c r="I191" s="14">
        <v>0</v>
      </c>
      <c r="J191" s="14">
        <v>0</v>
      </c>
      <c r="K191" s="14">
        <v>1</v>
      </c>
      <c r="L191" s="14">
        <v>6</v>
      </c>
      <c r="M191" s="14">
        <v>0</v>
      </c>
      <c r="N191" s="14">
        <v>5</v>
      </c>
      <c r="O191" s="14">
        <v>0</v>
      </c>
      <c r="P191" s="14"/>
      <c r="Q191" s="14"/>
      <c r="R191" s="14"/>
    </row>
    <row r="192" spans="1:19">
      <c r="A192" s="8"/>
      <c r="B192" s="14">
        <v>204</v>
      </c>
      <c r="C192" s="14">
        <v>569</v>
      </c>
      <c r="D192" s="14">
        <v>3</v>
      </c>
      <c r="E192" s="14">
        <v>0</v>
      </c>
      <c r="F192" s="14" t="s">
        <v>2317</v>
      </c>
      <c r="G192" s="14"/>
      <c r="H192" s="14">
        <v>40</v>
      </c>
      <c r="I192" s="14">
        <v>55</v>
      </c>
      <c r="J192" s="14">
        <v>147</v>
      </c>
      <c r="K192" s="14">
        <v>1</v>
      </c>
      <c r="L192" s="14">
        <v>2</v>
      </c>
      <c r="M192" s="14">
        <v>0</v>
      </c>
      <c r="N192" s="14">
        <v>1</v>
      </c>
      <c r="O192" s="14">
        <v>0</v>
      </c>
      <c r="P192" s="14"/>
      <c r="Q192" s="14"/>
      <c r="R192" s="14"/>
    </row>
    <row r="193" spans="1:19">
      <c r="A193" s="8"/>
      <c r="B193" s="14">
        <v>205</v>
      </c>
      <c r="C193" s="14">
        <v>570</v>
      </c>
      <c r="D193" s="14">
        <v>3</v>
      </c>
      <c r="E193" s="14">
        <v>0</v>
      </c>
      <c r="F193" s="14" t="s">
        <v>2318</v>
      </c>
      <c r="G193" s="14"/>
      <c r="H193" s="14">
        <v>30</v>
      </c>
      <c r="I193" s="14">
        <v>45</v>
      </c>
      <c r="J193" s="14">
        <v>150</v>
      </c>
      <c r="K193" s="14">
        <v>1</v>
      </c>
      <c r="L193" s="14">
        <v>1</v>
      </c>
      <c r="M193" s="14">
        <v>0</v>
      </c>
      <c r="N193" s="14">
        <v>2</v>
      </c>
      <c r="O193" s="14">
        <v>0</v>
      </c>
      <c r="P193" s="14">
        <v>168</v>
      </c>
      <c r="Q193" s="14">
        <v>169</v>
      </c>
      <c r="R193" s="14"/>
    </row>
    <row r="194" spans="1:19">
      <c r="A194" s="8"/>
      <c r="B194" s="14">
        <v>206</v>
      </c>
      <c r="C194" s="14">
        <v>570</v>
      </c>
      <c r="D194" s="14">
        <v>5</v>
      </c>
      <c r="E194" s="14">
        <v>0</v>
      </c>
      <c r="F194" s="14" t="s">
        <v>2318</v>
      </c>
      <c r="G194" s="14"/>
      <c r="H194" s="14">
        <v>35</v>
      </c>
      <c r="I194" s="14">
        <v>45</v>
      </c>
      <c r="J194" s="14">
        <v>150</v>
      </c>
      <c r="K194" s="14">
        <v>1</v>
      </c>
      <c r="L194" s="14">
        <v>1</v>
      </c>
      <c r="M194" s="14">
        <v>0</v>
      </c>
      <c r="N194" s="14">
        <v>2</v>
      </c>
      <c r="O194" s="14">
        <v>0</v>
      </c>
      <c r="P194" s="14">
        <v>168</v>
      </c>
      <c r="Q194" s="14">
        <v>169</v>
      </c>
      <c r="R194" s="14"/>
    </row>
    <row r="195" spans="1:19">
      <c r="A195" s="8"/>
      <c r="B195" s="14">
        <v>207</v>
      </c>
      <c r="C195" s="14">
        <v>570</v>
      </c>
      <c r="D195" s="14">
        <v>15</v>
      </c>
      <c r="E195" s="14">
        <v>0</v>
      </c>
      <c r="F195" s="14" t="s">
        <v>2318</v>
      </c>
      <c r="G195" s="14"/>
      <c r="H195" s="14">
        <v>0</v>
      </c>
      <c r="I195" s="14">
        <v>0</v>
      </c>
      <c r="J195" s="14">
        <v>0</v>
      </c>
      <c r="K195" s="14">
        <v>1</v>
      </c>
      <c r="L195" s="14">
        <v>1</v>
      </c>
      <c r="M195" s="14">
        <v>0</v>
      </c>
      <c r="N195" s="14">
        <v>2</v>
      </c>
      <c r="O195" s="14">
        <v>0</v>
      </c>
      <c r="P195" s="14"/>
      <c r="Q195" s="14"/>
      <c r="R195" s="14">
        <v>4</v>
      </c>
    </row>
    <row r="196" spans="1:19">
      <c r="A196" s="8"/>
      <c r="B196" s="14">
        <v>208</v>
      </c>
      <c r="C196" s="14">
        <v>575</v>
      </c>
      <c r="D196" s="14">
        <v>37</v>
      </c>
      <c r="E196" s="14">
        <v>0</v>
      </c>
      <c r="F196" s="14" t="s">
        <v>2326</v>
      </c>
      <c r="G196" s="14"/>
      <c r="H196" s="14">
        <v>0</v>
      </c>
      <c r="I196" s="14">
        <v>0</v>
      </c>
      <c r="J196" s="14">
        <v>0</v>
      </c>
      <c r="K196" s="14">
        <v>1</v>
      </c>
      <c r="L196" s="14">
        <v>6</v>
      </c>
      <c r="M196" s="14">
        <v>0</v>
      </c>
      <c r="N196" s="14">
        <v>3</v>
      </c>
      <c r="O196" s="14">
        <v>0</v>
      </c>
      <c r="P196" s="14"/>
      <c r="Q196" s="14"/>
      <c r="R196" s="14"/>
    </row>
    <row r="197" spans="1:19">
      <c r="A197" s="8"/>
      <c r="B197" s="14">
        <v>209</v>
      </c>
      <c r="C197" s="14">
        <v>578</v>
      </c>
      <c r="D197" s="14">
        <v>26</v>
      </c>
      <c r="E197" s="14">
        <v>0</v>
      </c>
      <c r="F197" s="14" t="s">
        <v>2329</v>
      </c>
      <c r="G197" s="14"/>
      <c r="H197" s="14">
        <v>0</v>
      </c>
      <c r="I197" s="14">
        <v>0</v>
      </c>
      <c r="J197" s="14">
        <v>0</v>
      </c>
      <c r="K197" s="14">
        <v>0</v>
      </c>
      <c r="L197" s="14">
        <v>7</v>
      </c>
      <c r="M197" s="14">
        <v>0</v>
      </c>
      <c r="N197" s="14">
        <v>1</v>
      </c>
      <c r="O197" s="14">
        <v>0</v>
      </c>
      <c r="P197" s="14"/>
      <c r="Q197" s="14"/>
      <c r="R197" s="14">
        <v>6</v>
      </c>
    </row>
    <row r="198" spans="1:19">
      <c r="A198" s="8"/>
      <c r="B198" s="14">
        <v>210</v>
      </c>
      <c r="C198" s="14">
        <v>580</v>
      </c>
      <c r="D198" s="14">
        <v>2</v>
      </c>
      <c r="E198" s="14">
        <v>0</v>
      </c>
      <c r="F198" s="14" t="s">
        <v>2364</v>
      </c>
      <c r="G198" s="14"/>
      <c r="H198" s="14">
        <v>35</v>
      </c>
      <c r="I198" s="14">
        <v>50</v>
      </c>
      <c r="J198" s="14">
        <v>232</v>
      </c>
      <c r="K198" s="14">
        <v>1</v>
      </c>
      <c r="L198" s="14">
        <v>6</v>
      </c>
      <c r="M198" s="14">
        <v>0</v>
      </c>
      <c r="N198" s="14">
        <v>0</v>
      </c>
      <c r="O198" s="14">
        <v>0</v>
      </c>
      <c r="P198" s="14"/>
      <c r="Q198" s="14"/>
      <c r="R198" s="14">
        <v>9</v>
      </c>
    </row>
    <row r="199" spans="1:19">
      <c r="A199" s="8"/>
      <c r="B199" s="14">
        <v>211</v>
      </c>
      <c r="C199" s="14">
        <v>580</v>
      </c>
      <c r="D199" s="14">
        <v>0</v>
      </c>
      <c r="E199" s="14">
        <v>0</v>
      </c>
      <c r="F199" s="14" t="s">
        <v>2364</v>
      </c>
      <c r="G199" s="14"/>
      <c r="H199" s="14">
        <v>75</v>
      </c>
      <c r="I199" s="14">
        <v>90</v>
      </c>
      <c r="J199" s="14">
        <v>0</v>
      </c>
      <c r="K199" s="14">
        <v>1</v>
      </c>
      <c r="L199" s="14">
        <v>6</v>
      </c>
      <c r="M199" s="14">
        <v>0</v>
      </c>
      <c r="N199" s="14">
        <v>0</v>
      </c>
      <c r="O199" s="14">
        <v>0</v>
      </c>
      <c r="P199" s="14"/>
      <c r="Q199" s="14"/>
      <c r="R199" s="14">
        <v>9</v>
      </c>
    </row>
    <row r="200" spans="1:19">
      <c r="A200" s="8"/>
      <c r="B200" s="14">
        <v>212</v>
      </c>
      <c r="C200" s="14">
        <v>580</v>
      </c>
      <c r="D200" s="14">
        <v>90</v>
      </c>
      <c r="E200" s="14">
        <v>0</v>
      </c>
      <c r="F200" s="14" t="s">
        <v>2364</v>
      </c>
      <c r="G200" s="14"/>
      <c r="H200" s="14">
        <v>0</v>
      </c>
      <c r="I200" s="14">
        <v>0</v>
      </c>
      <c r="J200" s="14">
        <v>0</v>
      </c>
      <c r="K200" s="14">
        <v>1</v>
      </c>
      <c r="L200" s="14">
        <v>6</v>
      </c>
      <c r="M200" s="14">
        <v>0</v>
      </c>
      <c r="N200" s="14">
        <v>0</v>
      </c>
      <c r="O200" s="14">
        <v>0</v>
      </c>
      <c r="P200" s="14"/>
      <c r="Q200" s="14"/>
      <c r="R200" s="14"/>
    </row>
    <row r="201" spans="1:19">
      <c r="A201" s="8"/>
      <c r="B201" s="14">
        <v>213</v>
      </c>
      <c r="C201" s="14">
        <v>583</v>
      </c>
      <c r="D201" s="14">
        <v>21</v>
      </c>
      <c r="E201" s="14">
        <v>0</v>
      </c>
      <c r="F201" s="14" t="s">
        <v>2409</v>
      </c>
      <c r="G201" s="14"/>
      <c r="H201" s="14">
        <v>20</v>
      </c>
      <c r="I201" s="14">
        <v>30</v>
      </c>
      <c r="J201" s="14">
        <v>138</v>
      </c>
      <c r="K201" s="14">
        <v>1</v>
      </c>
      <c r="L201" s="14">
        <v>1</v>
      </c>
      <c r="M201" s="14">
        <v>0</v>
      </c>
      <c r="N201" s="14">
        <v>0</v>
      </c>
      <c r="O201" s="14">
        <v>0</v>
      </c>
      <c r="P201" s="14"/>
      <c r="Q201" s="14"/>
      <c r="R201" s="14"/>
    </row>
    <row r="202" spans="1:19">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9">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9">
      <c r="A204" s="8"/>
      <c r="B204" s="14">
        <v>216</v>
      </c>
      <c r="C204" s="14">
        <v>586</v>
      </c>
      <c r="D204" s="14">
        <v>8</v>
      </c>
      <c r="E204" s="14">
        <v>4</v>
      </c>
      <c r="F204" s="14" t="s">
        <v>2438</v>
      </c>
      <c r="G204" s="14"/>
      <c r="H204" s="14">
        <v>100</v>
      </c>
      <c r="I204" s="14">
        <v>100</v>
      </c>
      <c r="J204" s="14">
        <v>0</v>
      </c>
      <c r="K204" s="14">
        <v>1</v>
      </c>
      <c r="L204" s="14">
        <v>6</v>
      </c>
      <c r="M204" s="14">
        <v>0</v>
      </c>
      <c r="N204" s="14">
        <v>5</v>
      </c>
      <c r="O204" s="14">
        <v>0</v>
      </c>
      <c r="P204" s="14"/>
      <c r="Q204" s="14"/>
      <c r="R204" s="14"/>
    </row>
    <row r="205" spans="1:19">
      <c r="A205" s="8"/>
      <c r="B205" s="14">
        <v>217</v>
      </c>
      <c r="C205" s="14">
        <v>586</v>
      </c>
      <c r="D205" s="14">
        <v>9</v>
      </c>
      <c r="E205" s="14">
        <v>4</v>
      </c>
      <c r="F205" s="14" t="s">
        <v>2448</v>
      </c>
      <c r="G205" s="14"/>
      <c r="H205" s="14">
        <v>130</v>
      </c>
      <c r="I205" s="14">
        <v>130</v>
      </c>
      <c r="J205" s="14">
        <v>0</v>
      </c>
      <c r="K205" s="14">
        <v>1</v>
      </c>
      <c r="L205" s="14">
        <v>6</v>
      </c>
      <c r="M205" s="14">
        <v>0</v>
      </c>
      <c r="N205" s="14">
        <v>5</v>
      </c>
      <c r="O205" s="14">
        <v>0</v>
      </c>
      <c r="P205" s="14"/>
      <c r="Q205" s="14"/>
      <c r="R205" s="14"/>
      <c r="S205" t="b">
        <f>H205=I205</f>
        <v>1</v>
      </c>
    </row>
    <row r="206" spans="1:19">
      <c r="A206" s="8"/>
      <c r="B206" s="14">
        <v>218</v>
      </c>
      <c r="C206" s="14">
        <v>588</v>
      </c>
      <c r="D206" s="14">
        <v>3</v>
      </c>
      <c r="E206" s="14">
        <v>0</v>
      </c>
      <c r="F206" s="14" t="s">
        <v>2443</v>
      </c>
      <c r="G206" s="14"/>
      <c r="H206" s="14">
        <v>20</v>
      </c>
      <c r="I206" s="14">
        <v>30</v>
      </c>
      <c r="J206" s="13">
        <v>137</v>
      </c>
      <c r="K206" s="14">
        <v>1</v>
      </c>
      <c r="L206" s="14">
        <v>2</v>
      </c>
      <c r="M206" s="14">
        <v>0</v>
      </c>
      <c r="N206" s="14">
        <v>0</v>
      </c>
      <c r="O206" s="14">
        <v>0</v>
      </c>
      <c r="P206" s="14">
        <v>175</v>
      </c>
      <c r="Q206" s="14"/>
      <c r="R206" s="14"/>
    </row>
    <row r="207" spans="1:19">
      <c r="A207" s="8"/>
      <c r="B207" s="14">
        <v>219</v>
      </c>
      <c r="C207" s="14">
        <v>588</v>
      </c>
      <c r="D207" s="14">
        <v>20</v>
      </c>
      <c r="E207" s="14">
        <v>1</v>
      </c>
      <c r="F207" s="14" t="s">
        <v>2443</v>
      </c>
      <c r="G207" s="14"/>
      <c r="H207" s="14">
        <v>45</v>
      </c>
      <c r="I207" s="14">
        <v>60</v>
      </c>
      <c r="J207" s="13">
        <v>137</v>
      </c>
      <c r="K207" s="14">
        <v>1</v>
      </c>
      <c r="L207" s="14">
        <v>2</v>
      </c>
      <c r="M207" s="14">
        <v>0</v>
      </c>
      <c r="N207" s="14">
        <v>0</v>
      </c>
      <c r="O207" s="14">
        <v>0</v>
      </c>
      <c r="P207" s="14">
        <v>175</v>
      </c>
      <c r="Q207" s="14"/>
      <c r="R207" s="14"/>
    </row>
    <row r="208" spans="1:19">
      <c r="A208" s="8"/>
      <c r="B208" s="14">
        <v>220</v>
      </c>
      <c r="C208" s="14">
        <v>588</v>
      </c>
      <c r="D208" s="14">
        <v>26</v>
      </c>
      <c r="E208" s="14">
        <v>1</v>
      </c>
      <c r="F208" s="14" t="s">
        <v>2443</v>
      </c>
      <c r="G208" s="14"/>
      <c r="H208" s="14">
        <v>1</v>
      </c>
      <c r="I208" s="14">
        <v>1</v>
      </c>
      <c r="J208" s="13">
        <v>1</v>
      </c>
      <c r="K208" s="14">
        <v>1</v>
      </c>
      <c r="L208" s="14">
        <v>7</v>
      </c>
      <c r="M208" s="14">
        <v>0</v>
      </c>
      <c r="N208" s="14">
        <v>0</v>
      </c>
      <c r="O208" s="14">
        <v>0</v>
      </c>
      <c r="P208" s="14">
        <v>175</v>
      </c>
      <c r="Q208" s="14"/>
      <c r="R208" s="14">
        <v>4</v>
      </c>
    </row>
    <row r="209" spans="1:19">
      <c r="A209" s="8"/>
      <c r="B209" s="14">
        <v>221</v>
      </c>
      <c r="C209" s="14">
        <v>591</v>
      </c>
      <c r="D209" s="14">
        <v>8</v>
      </c>
      <c r="E209" s="14">
        <v>3</v>
      </c>
      <c r="F209" s="14" t="s">
        <v>2493</v>
      </c>
      <c r="G209" s="14"/>
      <c r="H209" s="14">
        <v>100</v>
      </c>
      <c r="I209" s="14">
        <v>100</v>
      </c>
      <c r="J209" s="14">
        <v>0</v>
      </c>
      <c r="K209" s="14">
        <v>1</v>
      </c>
      <c r="L209" s="14">
        <v>6</v>
      </c>
      <c r="M209" s="14">
        <v>0</v>
      </c>
      <c r="N209" s="14">
        <v>7</v>
      </c>
      <c r="O209" s="14">
        <v>0</v>
      </c>
      <c r="P209" s="14"/>
      <c r="Q209" s="14"/>
      <c r="R209" s="14"/>
    </row>
    <row r="210" spans="1:19">
      <c r="A210" s="8"/>
      <c r="B210" s="14">
        <v>222</v>
      </c>
      <c r="C210" s="14">
        <v>591</v>
      </c>
      <c r="D210" s="14">
        <v>9</v>
      </c>
      <c r="E210" s="14">
        <v>3</v>
      </c>
      <c r="F210" s="14" t="s">
        <v>2493</v>
      </c>
      <c r="G210" s="14"/>
      <c r="H210" s="14">
        <v>90</v>
      </c>
      <c r="I210" s="14">
        <v>90</v>
      </c>
      <c r="J210" s="14">
        <v>0</v>
      </c>
      <c r="K210" s="14">
        <v>1</v>
      </c>
      <c r="L210" s="14">
        <v>6</v>
      </c>
      <c r="M210" s="14">
        <v>0</v>
      </c>
      <c r="N210" s="14">
        <v>7</v>
      </c>
      <c r="O210" s="14">
        <v>0</v>
      </c>
      <c r="P210" s="14"/>
      <c r="Q210" s="14"/>
      <c r="R210" s="14"/>
      <c r="S210" t="b">
        <f>H210=I210</f>
        <v>1</v>
      </c>
    </row>
    <row r="211" spans="1:19">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9">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9">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9">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9">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9">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9">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9">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9">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9">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9">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9">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9">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9">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2071</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2158</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2330</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2507</v>
      </c>
      <c r="G245" s="14"/>
      <c r="H245" s="14">
        <v>165</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2327</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2410</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2442</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9">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9">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9">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9">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9">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9">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9">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9">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9">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9">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9">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9">
      <c r="A300" s="8"/>
      <c r="B300" s="14">
        <v>1606</v>
      </c>
      <c r="C300" s="14">
        <v>557</v>
      </c>
      <c r="D300" s="14">
        <v>6</v>
      </c>
      <c r="E300" s="14">
        <v>0</v>
      </c>
      <c r="F300" s="14" t="s">
        <v>2090</v>
      </c>
      <c r="G300" s="14" t="s">
        <v>2100</v>
      </c>
      <c r="H300" s="14">
        <v>40</v>
      </c>
      <c r="I300" s="14">
        <v>70</v>
      </c>
      <c r="J300" s="14">
        <v>240</v>
      </c>
      <c r="K300" s="14">
        <v>10</v>
      </c>
      <c r="L300" s="14">
        <v>3</v>
      </c>
      <c r="M300" s="14">
        <v>0</v>
      </c>
      <c r="N300" s="14">
        <v>0</v>
      </c>
      <c r="O300" s="14">
        <v>0</v>
      </c>
      <c r="P300" s="14"/>
      <c r="Q300" s="14"/>
      <c r="R300" s="14"/>
    </row>
    <row r="301" spans="1:19">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c r="S301" t="b">
        <f t="shared" ref="S301:S305" si="2">H301=I301</f>
        <v>0</v>
      </c>
    </row>
    <row r="302" spans="1:19">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c r="S302" t="b">
        <f t="shared" si="2"/>
        <v>1</v>
      </c>
    </row>
    <row r="303" spans="1:19">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c r="S303" t="b">
        <f t="shared" si="2"/>
        <v>1</v>
      </c>
    </row>
    <row r="304" spans="1:19">
      <c r="A304" s="8"/>
      <c r="B304" s="14">
        <v>1703</v>
      </c>
      <c r="C304" s="14">
        <v>551</v>
      </c>
      <c r="D304" s="14">
        <v>7</v>
      </c>
      <c r="E304" s="14">
        <v>0</v>
      </c>
      <c r="F304" s="14" t="s">
        <v>2071</v>
      </c>
      <c r="G304" s="14"/>
      <c r="H304" s="14">
        <v>30</v>
      </c>
      <c r="I304" s="14">
        <v>30</v>
      </c>
      <c r="J304" s="14">
        <v>0</v>
      </c>
      <c r="K304" s="14">
        <v>1</v>
      </c>
      <c r="L304" s="14">
        <v>3</v>
      </c>
      <c r="M304" s="14">
        <v>0</v>
      </c>
      <c r="N304" s="14">
        <v>0</v>
      </c>
      <c r="O304" s="14">
        <v>0</v>
      </c>
      <c r="P304" s="14"/>
      <c r="Q304" s="14"/>
      <c r="R304" s="14"/>
      <c r="S304" t="b">
        <f t="shared" si="2"/>
        <v>1</v>
      </c>
    </row>
    <row r="305" spans="1:19">
      <c r="A305" s="8"/>
      <c r="B305" s="14">
        <v>1704</v>
      </c>
      <c r="C305" s="14">
        <v>557</v>
      </c>
      <c r="D305" s="14">
        <v>7</v>
      </c>
      <c r="E305" s="14">
        <v>0</v>
      </c>
      <c r="F305" s="14" t="s">
        <v>2090</v>
      </c>
      <c r="G305" s="14" t="s">
        <v>2100</v>
      </c>
      <c r="H305" s="14">
        <v>30</v>
      </c>
      <c r="I305" s="14">
        <v>30</v>
      </c>
      <c r="J305" s="14">
        <v>0</v>
      </c>
      <c r="K305" s="14">
        <v>1</v>
      </c>
      <c r="L305" s="14">
        <v>3</v>
      </c>
      <c r="M305" s="14">
        <v>0</v>
      </c>
      <c r="N305" s="14">
        <v>0</v>
      </c>
      <c r="O305" s="14">
        <v>0</v>
      </c>
      <c r="P305" s="14"/>
      <c r="Q305" s="14"/>
      <c r="R305" s="14"/>
      <c r="S305" t="b">
        <f t="shared" si="2"/>
        <v>1</v>
      </c>
    </row>
    <row r="306" spans="1:19">
      <c r="A306" s="8"/>
      <c r="B306" s="14">
        <v>1801</v>
      </c>
      <c r="C306" s="14">
        <v>557</v>
      </c>
      <c r="D306" s="14">
        <v>8</v>
      </c>
      <c r="E306" s="14">
        <v>1</v>
      </c>
      <c r="F306" s="14" t="s">
        <v>2090</v>
      </c>
      <c r="G306" s="14" t="s">
        <v>1509</v>
      </c>
      <c r="H306" s="14">
        <v>50</v>
      </c>
      <c r="I306" s="14">
        <v>80</v>
      </c>
      <c r="J306" s="14">
        <v>240</v>
      </c>
      <c r="K306" s="14">
        <v>10</v>
      </c>
      <c r="L306" s="14">
        <v>3</v>
      </c>
      <c r="M306" s="14">
        <v>0</v>
      </c>
      <c r="N306" s="14">
        <v>0</v>
      </c>
      <c r="O306" s="14">
        <v>0</v>
      </c>
      <c r="P306" s="14"/>
      <c r="Q306" s="14"/>
      <c r="R306" s="14"/>
    </row>
    <row r="307" spans="1:19">
      <c r="A307" s="8"/>
      <c r="B307" s="14">
        <v>1802</v>
      </c>
      <c r="C307" s="14">
        <v>557</v>
      </c>
      <c r="D307" s="14">
        <v>8</v>
      </c>
      <c r="E307" s="14">
        <v>2</v>
      </c>
      <c r="F307" s="14" t="s">
        <v>2090</v>
      </c>
      <c r="G307" s="14" t="s">
        <v>2169</v>
      </c>
      <c r="H307" s="14">
        <v>50</v>
      </c>
      <c r="I307" s="14">
        <v>80</v>
      </c>
      <c r="J307" s="14">
        <v>240</v>
      </c>
      <c r="K307" s="14">
        <v>10</v>
      </c>
      <c r="L307" s="14">
        <v>3</v>
      </c>
      <c r="M307" s="14">
        <v>0</v>
      </c>
      <c r="N307" s="14">
        <v>0</v>
      </c>
      <c r="O307" s="14">
        <v>0</v>
      </c>
      <c r="P307" s="14"/>
      <c r="Q307" s="14"/>
      <c r="R307" s="14"/>
    </row>
    <row r="308" spans="1:19">
      <c r="A308" s="8"/>
      <c r="B308" s="14">
        <v>1803</v>
      </c>
      <c r="C308" s="14">
        <v>557</v>
      </c>
      <c r="D308" s="14">
        <v>8</v>
      </c>
      <c r="E308" s="14">
        <v>3</v>
      </c>
      <c r="F308" s="14" t="s">
        <v>2090</v>
      </c>
      <c r="G308" s="14" t="s">
        <v>2170</v>
      </c>
      <c r="H308" s="14">
        <v>50</v>
      </c>
      <c r="I308" s="14">
        <v>80</v>
      </c>
      <c r="J308" s="14">
        <v>240</v>
      </c>
      <c r="K308" s="14">
        <v>10</v>
      </c>
      <c r="L308" s="14">
        <v>3</v>
      </c>
      <c r="M308" s="14">
        <v>0</v>
      </c>
      <c r="N308" s="14">
        <v>0</v>
      </c>
      <c r="O308" s="14">
        <v>0</v>
      </c>
      <c r="P308" s="14"/>
      <c r="Q308" s="14"/>
      <c r="R308" s="14"/>
    </row>
    <row r="309" spans="1:19">
      <c r="A309" s="8"/>
      <c r="B309" s="14">
        <v>1804</v>
      </c>
      <c r="C309" s="14">
        <v>557</v>
      </c>
      <c r="D309" s="14">
        <v>8</v>
      </c>
      <c r="E309" s="14">
        <v>4</v>
      </c>
      <c r="F309" s="14" t="s">
        <v>2090</v>
      </c>
      <c r="G309" s="14" t="s">
        <v>2171</v>
      </c>
      <c r="H309" s="14">
        <v>50</v>
      </c>
      <c r="I309" s="14">
        <v>80</v>
      </c>
      <c r="J309" s="14">
        <v>240</v>
      </c>
      <c r="K309" s="14">
        <v>10</v>
      </c>
      <c r="L309" s="14">
        <v>3</v>
      </c>
      <c r="M309" s="14">
        <v>0</v>
      </c>
      <c r="N309" s="14">
        <v>0</v>
      </c>
      <c r="O309" s="14">
        <v>0</v>
      </c>
      <c r="P309" s="14"/>
      <c r="Q309" s="14"/>
      <c r="R309" s="14"/>
    </row>
    <row r="310" spans="1:19">
      <c r="A310" s="8"/>
      <c r="B310" s="14">
        <v>1805</v>
      </c>
      <c r="C310" s="14">
        <v>557</v>
      </c>
      <c r="D310" s="14">
        <v>8</v>
      </c>
      <c r="E310" s="14">
        <v>5</v>
      </c>
      <c r="F310" s="14" t="s">
        <v>2090</v>
      </c>
      <c r="G310" s="14" t="s">
        <v>1510</v>
      </c>
      <c r="H310" s="14">
        <v>50</v>
      </c>
      <c r="I310" s="14">
        <v>80</v>
      </c>
      <c r="J310" s="14">
        <v>240</v>
      </c>
      <c r="K310" s="14">
        <v>10</v>
      </c>
      <c r="L310" s="14">
        <v>3</v>
      </c>
      <c r="M310" s="14">
        <v>0</v>
      </c>
      <c r="N310" s="14">
        <v>0</v>
      </c>
      <c r="O310" s="14">
        <v>0</v>
      </c>
      <c r="P310" s="14"/>
      <c r="Q310" s="14"/>
      <c r="R310" s="14"/>
    </row>
    <row r="311" spans="1:19">
      <c r="A311" s="8"/>
      <c r="B311" s="14">
        <v>1901</v>
      </c>
      <c r="C311" s="14">
        <v>557</v>
      </c>
      <c r="D311" s="14">
        <v>9</v>
      </c>
      <c r="E311" s="14">
        <v>1</v>
      </c>
      <c r="F311" s="14" t="s">
        <v>2090</v>
      </c>
      <c r="G311" s="14" t="s">
        <v>1509</v>
      </c>
      <c r="H311" s="14">
        <v>45</v>
      </c>
      <c r="I311" s="14">
        <v>45</v>
      </c>
      <c r="J311" s="14">
        <v>0</v>
      </c>
      <c r="K311" s="14">
        <v>1</v>
      </c>
      <c r="L311" s="14">
        <v>3</v>
      </c>
      <c r="M311" s="14">
        <v>0</v>
      </c>
      <c r="N311" s="14">
        <v>0</v>
      </c>
      <c r="O311" s="14">
        <v>0</v>
      </c>
      <c r="P311" s="14"/>
      <c r="Q311" s="14"/>
      <c r="R311" s="14"/>
      <c r="S311" t="b">
        <f t="shared" ref="S311:S315" si="3">H311=I311</f>
        <v>1</v>
      </c>
    </row>
    <row r="312" spans="1:19">
      <c r="A312" s="8"/>
      <c r="B312" s="14">
        <v>1902</v>
      </c>
      <c r="C312" s="14">
        <v>557</v>
      </c>
      <c r="D312" s="14">
        <v>9</v>
      </c>
      <c r="E312" s="14">
        <v>2</v>
      </c>
      <c r="F312" s="14" t="s">
        <v>2090</v>
      </c>
      <c r="G312" s="14" t="s">
        <v>2169</v>
      </c>
      <c r="H312" s="14">
        <v>45</v>
      </c>
      <c r="I312" s="14">
        <v>45</v>
      </c>
      <c r="J312" s="14">
        <v>0</v>
      </c>
      <c r="K312" s="14">
        <v>1</v>
      </c>
      <c r="L312" s="14">
        <v>3</v>
      </c>
      <c r="M312" s="14">
        <v>0</v>
      </c>
      <c r="N312" s="14">
        <v>0</v>
      </c>
      <c r="O312" s="14">
        <v>0</v>
      </c>
      <c r="P312" s="14"/>
      <c r="Q312" s="14"/>
      <c r="R312" s="14"/>
      <c r="S312" t="b">
        <f t="shared" si="3"/>
        <v>1</v>
      </c>
    </row>
    <row r="313" spans="1:19">
      <c r="A313" s="8"/>
      <c r="B313" s="14">
        <v>1903</v>
      </c>
      <c r="C313" s="14">
        <v>557</v>
      </c>
      <c r="D313" s="14">
        <v>9</v>
      </c>
      <c r="E313" s="14">
        <v>3</v>
      </c>
      <c r="F313" s="14" t="s">
        <v>2090</v>
      </c>
      <c r="G313" s="14" t="s">
        <v>2170</v>
      </c>
      <c r="H313" s="14">
        <v>45</v>
      </c>
      <c r="I313" s="14">
        <v>45</v>
      </c>
      <c r="J313" s="14">
        <v>0</v>
      </c>
      <c r="K313" s="14">
        <v>1</v>
      </c>
      <c r="L313" s="14">
        <v>3</v>
      </c>
      <c r="M313" s="14">
        <v>0</v>
      </c>
      <c r="N313" s="14">
        <v>0</v>
      </c>
      <c r="O313" s="14">
        <v>0</v>
      </c>
      <c r="P313" s="14"/>
      <c r="Q313" s="14"/>
      <c r="R313" s="14"/>
      <c r="S313" t="b">
        <f t="shared" si="3"/>
        <v>1</v>
      </c>
    </row>
    <row r="314" spans="1:19">
      <c r="A314" s="8"/>
      <c r="B314" s="14">
        <v>1904</v>
      </c>
      <c r="C314" s="14">
        <v>557</v>
      </c>
      <c r="D314" s="14">
        <v>9</v>
      </c>
      <c r="E314" s="14">
        <v>4</v>
      </c>
      <c r="F314" s="14" t="s">
        <v>2090</v>
      </c>
      <c r="G314" s="14" t="s">
        <v>2171</v>
      </c>
      <c r="H314" s="14">
        <v>45</v>
      </c>
      <c r="I314" s="14">
        <v>45</v>
      </c>
      <c r="J314" s="14">
        <v>0</v>
      </c>
      <c r="K314" s="14">
        <v>1</v>
      </c>
      <c r="L314" s="14">
        <v>3</v>
      </c>
      <c r="M314" s="14">
        <v>0</v>
      </c>
      <c r="N314" s="14">
        <v>0</v>
      </c>
      <c r="O314" s="14">
        <v>0</v>
      </c>
      <c r="P314" s="14"/>
      <c r="Q314" s="14"/>
      <c r="R314" s="14"/>
      <c r="S314" t="b">
        <f t="shared" si="3"/>
        <v>1</v>
      </c>
    </row>
    <row r="315" spans="1:19">
      <c r="A315" s="8"/>
      <c r="B315" s="14">
        <v>1905</v>
      </c>
      <c r="C315" s="14">
        <v>557</v>
      </c>
      <c r="D315" s="14">
        <v>9</v>
      </c>
      <c r="E315" s="14">
        <v>5</v>
      </c>
      <c r="F315" s="14" t="s">
        <v>2090</v>
      </c>
      <c r="G315" s="14" t="s">
        <v>1510</v>
      </c>
      <c r="H315" s="14">
        <v>45</v>
      </c>
      <c r="I315" s="14">
        <v>45</v>
      </c>
      <c r="J315" s="14">
        <v>0</v>
      </c>
      <c r="K315" s="14">
        <v>1</v>
      </c>
      <c r="L315" s="14">
        <v>3</v>
      </c>
      <c r="M315" s="14">
        <v>0</v>
      </c>
      <c r="N315" s="14">
        <v>0</v>
      </c>
      <c r="O315" s="14">
        <v>0</v>
      </c>
      <c r="P315" s="14"/>
      <c r="Q315" s="14"/>
      <c r="R315" s="14"/>
      <c r="S315" t="b">
        <f t="shared" si="3"/>
        <v>1</v>
      </c>
    </row>
    <row r="316" spans="1:19">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9">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9">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9">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9">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9">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9">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9">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9">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9">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9">
      <c r="A326" s="8"/>
      <c r="B326" s="14">
        <v>2054</v>
      </c>
      <c r="C326" s="14">
        <v>565</v>
      </c>
      <c r="D326" s="14">
        <v>10</v>
      </c>
      <c r="E326" s="14">
        <v>0</v>
      </c>
      <c r="F326" s="14" t="s">
        <v>2158</v>
      </c>
      <c r="G326" s="14"/>
      <c r="H326" s="14">
        <v>20</v>
      </c>
      <c r="I326" s="14">
        <v>30</v>
      </c>
      <c r="J326" s="14">
        <v>126</v>
      </c>
      <c r="K326" s="14">
        <v>1</v>
      </c>
      <c r="L326" s="14">
        <v>3</v>
      </c>
      <c r="M326" s="14">
        <v>0</v>
      </c>
      <c r="N326" s="14">
        <v>0</v>
      </c>
      <c r="O326" s="14">
        <v>0</v>
      </c>
      <c r="P326" s="14"/>
      <c r="Q326" s="14"/>
      <c r="R326" s="14"/>
    </row>
    <row r="327" spans="1:19">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c r="S327" t="b">
        <f>H327=I327</f>
        <v>1</v>
      </c>
    </row>
    <row r="328" spans="1:19">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9">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9">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9">
      <c r="A331" s="8"/>
      <c r="B331" s="14">
        <v>2303</v>
      </c>
      <c r="C331" s="14">
        <v>563</v>
      </c>
      <c r="D331" s="14">
        <v>13</v>
      </c>
      <c r="E331" s="14">
        <v>0</v>
      </c>
      <c r="F331" s="14" t="s">
        <v>2155</v>
      </c>
      <c r="G331" s="14"/>
      <c r="H331" s="14">
        <v>25</v>
      </c>
      <c r="I331" s="14">
        <v>25</v>
      </c>
      <c r="J331" s="14">
        <v>0</v>
      </c>
      <c r="K331" s="14">
        <v>1</v>
      </c>
      <c r="L331" s="14">
        <v>0</v>
      </c>
      <c r="M331" s="14">
        <v>0</v>
      </c>
      <c r="N331" s="14">
        <v>0</v>
      </c>
      <c r="O331" s="14">
        <v>0</v>
      </c>
      <c r="P331" s="14"/>
      <c r="Q331" s="14"/>
      <c r="R331" s="14"/>
    </row>
    <row r="332" spans="1:19">
      <c r="A332" s="8"/>
      <c r="B332" s="14">
        <v>2304</v>
      </c>
      <c r="C332" s="14">
        <v>563</v>
      </c>
      <c r="D332" s="14">
        <v>13</v>
      </c>
      <c r="E332" s="14">
        <v>0</v>
      </c>
      <c r="F332" s="14" t="s">
        <v>2155</v>
      </c>
      <c r="G332" s="14"/>
      <c r="H332" s="14">
        <v>50</v>
      </c>
      <c r="I332" s="14">
        <v>50</v>
      </c>
      <c r="J332" s="14">
        <v>0</v>
      </c>
      <c r="K332" s="14">
        <v>1</v>
      </c>
      <c r="L332" s="14">
        <v>0</v>
      </c>
      <c r="M332" s="14">
        <v>0</v>
      </c>
      <c r="N332" s="14">
        <v>0</v>
      </c>
      <c r="O332" s="14">
        <v>0</v>
      </c>
      <c r="P332" s="14"/>
      <c r="Q332" s="14"/>
      <c r="R332" s="14">
        <v>2</v>
      </c>
    </row>
    <row r="333" spans="1:19">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9">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9">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9">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2040</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2168</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2168</v>
      </c>
      <c r="G344" s="14" t="s">
        <v>2352</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2075</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2437</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2369</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2045</v>
      </c>
      <c r="B2" s="9" t="s">
        <v>1407</v>
      </c>
      <c r="C2" s="9" t="s">
        <v>2042</v>
      </c>
      <c r="D2" s="9" t="s">
        <v>2043</v>
      </c>
      <c r="E2" s="9" t="s">
        <v>2044</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2050</v>
      </c>
      <c r="E7" s="14" t="s">
        <v>2051</v>
      </c>
      <c r="F7" s="14">
        <v>27</v>
      </c>
      <c r="G7" s="14">
        <v>99</v>
      </c>
      <c r="H7" s="14">
        <v>3</v>
      </c>
      <c r="I7" s="14">
        <v>99</v>
      </c>
      <c r="J7" s="14">
        <v>15</v>
      </c>
    </row>
    <row r="8" spans="1:10">
      <c r="A8" s="8"/>
      <c r="B8" s="14">
        <v>505</v>
      </c>
      <c r="C8" s="14" t="s">
        <v>1776</v>
      </c>
      <c r="D8" s="14" t="s">
        <v>2046</v>
      </c>
      <c r="E8" s="14"/>
      <c r="F8" s="14">
        <v>14</v>
      </c>
      <c r="G8" s="14">
        <v>0</v>
      </c>
      <c r="H8" s="14">
        <v>1</v>
      </c>
      <c r="I8" s="14">
        <v>99</v>
      </c>
      <c r="J8" s="14">
        <v>10</v>
      </c>
    </row>
    <row r="9" spans="1:10">
      <c r="A9" s="8"/>
      <c r="B9" s="14">
        <v>519</v>
      </c>
      <c r="C9" s="14" t="s">
        <v>1929</v>
      </c>
      <c r="D9" s="14" t="s">
        <v>2052</v>
      </c>
      <c r="E9" s="14" t="s">
        <v>2053</v>
      </c>
      <c r="F9" s="14">
        <v>25</v>
      </c>
      <c r="G9" s="14">
        <v>99</v>
      </c>
      <c r="H9" s="14">
        <v>3</v>
      </c>
      <c r="I9" s="14">
        <v>7</v>
      </c>
      <c r="J9" s="14">
        <v>20</v>
      </c>
    </row>
    <row r="10" spans="1:10">
      <c r="A10" s="8"/>
      <c r="B10" s="14">
        <v>524</v>
      </c>
      <c r="C10" s="14" t="s">
        <v>1941</v>
      </c>
      <c r="D10" s="14" t="s">
        <v>2047</v>
      </c>
      <c r="E10" s="14"/>
      <c r="F10" s="14">
        <v>12</v>
      </c>
      <c r="G10" s="14">
        <v>7</v>
      </c>
      <c r="H10" s="14">
        <v>0</v>
      </c>
      <c r="I10" s="14">
        <v>7</v>
      </c>
      <c r="J10" s="14">
        <v>1</v>
      </c>
    </row>
    <row r="11" spans="1:10">
      <c r="A11" s="8"/>
      <c r="B11" s="14">
        <v>525</v>
      </c>
      <c r="C11" s="14" t="s">
        <v>1934</v>
      </c>
      <c r="D11" s="14" t="s">
        <v>2049</v>
      </c>
      <c r="E11" s="14"/>
      <c r="F11" s="14">
        <v>7</v>
      </c>
      <c r="G11" s="14">
        <v>0</v>
      </c>
      <c r="H11" s="14">
        <v>1</v>
      </c>
      <c r="I11" s="14">
        <v>0</v>
      </c>
      <c r="J11" s="14">
        <v>40</v>
      </c>
    </row>
    <row r="12" spans="1:10">
      <c r="A12" s="8"/>
      <c r="B12" s="14">
        <v>532</v>
      </c>
      <c r="C12" s="14" t="s">
        <v>1953</v>
      </c>
      <c r="D12" s="14" t="s">
        <v>2048</v>
      </c>
      <c r="E12" s="14" t="s">
        <v>2048</v>
      </c>
      <c r="F12" s="14">
        <v>1</v>
      </c>
      <c r="G12" s="14">
        <v>99</v>
      </c>
      <c r="H12" s="14">
        <v>3</v>
      </c>
      <c r="I12" s="14">
        <v>35</v>
      </c>
      <c r="J12" s="14">
        <v>10</v>
      </c>
    </row>
    <row r="13" spans="1:10">
      <c r="A13" s="8"/>
      <c r="B13" s="14">
        <v>544</v>
      </c>
      <c r="C13" s="14" t="s">
        <v>2054</v>
      </c>
      <c r="D13" s="14" t="s">
        <v>2055</v>
      </c>
      <c r="E13" s="14"/>
      <c r="F13" s="14">
        <v>12</v>
      </c>
      <c r="G13" s="14">
        <v>0</v>
      </c>
      <c r="H13" s="14">
        <v>3</v>
      </c>
      <c r="I13" s="14">
        <v>33</v>
      </c>
      <c r="J13" s="14">
        <v>1</v>
      </c>
    </row>
    <row r="14" spans="1:10">
      <c r="A14" s="8"/>
      <c r="B14" s="14">
        <v>545</v>
      </c>
      <c r="C14" s="14" t="s">
        <v>2056</v>
      </c>
      <c r="D14" s="14" t="s">
        <v>2057</v>
      </c>
      <c r="E14" s="14" t="s">
        <v>2057</v>
      </c>
      <c r="F14" s="14">
        <v>25</v>
      </c>
      <c r="G14" s="14">
        <v>99</v>
      </c>
      <c r="H14" s="14">
        <v>3</v>
      </c>
      <c r="I14" s="14">
        <v>35</v>
      </c>
      <c r="J14" s="14">
        <v>10</v>
      </c>
    </row>
    <row r="15" spans="1:10">
      <c r="A15" s="8"/>
      <c r="B15" s="14">
        <v>546</v>
      </c>
      <c r="C15" s="14" t="s">
        <v>2058</v>
      </c>
      <c r="D15" s="14" t="s">
        <v>2059</v>
      </c>
      <c r="E15" s="14" t="s">
        <v>2060</v>
      </c>
      <c r="F15" s="14">
        <v>25</v>
      </c>
      <c r="G15" s="14">
        <v>99</v>
      </c>
      <c r="H15" s="14">
        <v>0</v>
      </c>
      <c r="I15" s="14">
        <v>41</v>
      </c>
      <c r="J15" s="14">
        <v>10</v>
      </c>
    </row>
    <row r="16" spans="1:10">
      <c r="A16" s="8"/>
      <c r="B16" s="14">
        <v>547</v>
      </c>
      <c r="C16" s="14" t="s">
        <v>2061</v>
      </c>
      <c r="D16" s="14" t="s">
        <v>2062</v>
      </c>
      <c r="E16" s="14"/>
      <c r="F16" s="14">
        <v>12</v>
      </c>
      <c r="G16" s="14">
        <v>99</v>
      </c>
      <c r="H16" s="14">
        <v>0</v>
      </c>
      <c r="I16" s="14">
        <v>6</v>
      </c>
      <c r="J16" s="14">
        <v>1</v>
      </c>
    </row>
    <row r="17" spans="1:10">
      <c r="A17" s="8"/>
      <c r="B17" s="14">
        <v>552</v>
      </c>
      <c r="C17" s="14" t="s">
        <v>2069</v>
      </c>
      <c r="D17" s="14" t="s">
        <v>2099</v>
      </c>
      <c r="E17" s="14" t="s">
        <v>2419</v>
      </c>
      <c r="F17" s="14">
        <v>3</v>
      </c>
      <c r="G17" s="14">
        <v>99</v>
      </c>
      <c r="H17" s="14">
        <v>3</v>
      </c>
      <c r="I17" s="14">
        <v>6</v>
      </c>
      <c r="J17" s="14">
        <v>100</v>
      </c>
    </row>
    <row r="18" spans="1:10">
      <c r="A18" s="8"/>
      <c r="B18" s="14">
        <v>559</v>
      </c>
      <c r="C18" s="14" t="s">
        <v>2094</v>
      </c>
      <c r="D18" s="14" t="s">
        <v>2098</v>
      </c>
      <c r="E18" s="14" t="s">
        <v>2098</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2179</v>
      </c>
      <c r="F2" s="9" t="s">
        <v>2218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2180</v>
      </c>
      <c r="F7" s="14" t="s">
        <v>1665</v>
      </c>
    </row>
    <row r="8" spans="1:6">
      <c r="A8" s="8"/>
      <c r="B8" s="14">
        <v>1</v>
      </c>
      <c r="C8" s="14">
        <v>5</v>
      </c>
      <c r="D8" s="14">
        <v>0</v>
      </c>
      <c r="E8" s="14" t="s">
        <v>2181</v>
      </c>
      <c r="F8" s="14" t="s">
        <v>1666</v>
      </c>
    </row>
    <row r="9" spans="1:6">
      <c r="A9" s="8"/>
      <c r="B9" s="14">
        <v>2</v>
      </c>
      <c r="C9" s="14">
        <v>5</v>
      </c>
      <c r="D9" s="14">
        <v>0</v>
      </c>
      <c r="E9" s="14" t="s">
        <v>2182</v>
      </c>
      <c r="F9" s="14" t="s">
        <v>1667</v>
      </c>
    </row>
    <row r="10" spans="1:6">
      <c r="A10" s="8"/>
      <c r="B10" s="14">
        <v>3</v>
      </c>
      <c r="C10" s="14">
        <v>5</v>
      </c>
      <c r="D10" s="14">
        <v>6</v>
      </c>
      <c r="E10" s="14" t="s">
        <v>2183</v>
      </c>
      <c r="F10" s="14" t="s">
        <v>1668</v>
      </c>
    </row>
    <row r="11" spans="1:6">
      <c r="A11" s="8"/>
      <c r="B11" s="14">
        <v>4</v>
      </c>
      <c r="C11" s="14">
        <v>5</v>
      </c>
      <c r="D11" s="14">
        <v>6</v>
      </c>
      <c r="E11" s="14" t="s">
        <v>2184</v>
      </c>
      <c r="F11" s="14" t="s">
        <v>1669</v>
      </c>
    </row>
    <row r="12" spans="1:6">
      <c r="A12" s="8"/>
      <c r="B12" s="14">
        <v>5</v>
      </c>
      <c r="C12" s="14">
        <v>6</v>
      </c>
      <c r="D12" s="14">
        <v>5</v>
      </c>
      <c r="E12" s="14" t="s">
        <v>2185</v>
      </c>
      <c r="F12" s="14" t="s">
        <v>1670</v>
      </c>
    </row>
    <row r="13" spans="1:6">
      <c r="A13" s="8"/>
      <c r="B13" s="14">
        <v>6</v>
      </c>
      <c r="C13" s="14">
        <v>5</v>
      </c>
      <c r="D13" s="14">
        <v>0</v>
      </c>
      <c r="E13" s="14" t="s">
        <v>2186</v>
      </c>
      <c r="F13" s="14" t="s">
        <v>1671</v>
      </c>
    </row>
    <row r="14" spans="1:6">
      <c r="A14" s="8"/>
      <c r="B14" s="14">
        <v>7</v>
      </c>
      <c r="C14" s="14">
        <v>5</v>
      </c>
      <c r="D14" s="14">
        <v>0</v>
      </c>
      <c r="E14" s="14" t="s">
        <v>2187</v>
      </c>
      <c r="F14" s="14" t="s">
        <v>1672</v>
      </c>
    </row>
    <row r="15" spans="1:6">
      <c r="A15" s="8"/>
      <c r="B15" s="14">
        <v>8</v>
      </c>
      <c r="C15" s="14">
        <v>5</v>
      </c>
      <c r="D15" s="14">
        <v>0</v>
      </c>
      <c r="E15" s="14" t="s">
        <v>2188</v>
      </c>
      <c r="F15" s="14" t="s">
        <v>1673</v>
      </c>
    </row>
    <row r="16" spans="1:6">
      <c r="A16" s="8"/>
      <c r="B16" s="14">
        <v>9</v>
      </c>
      <c r="C16" s="14">
        <v>0</v>
      </c>
      <c r="D16" s="14">
        <v>0</v>
      </c>
      <c r="E16" s="14" t="s">
        <v>2189</v>
      </c>
      <c r="F16" s="14" t="s">
        <v>1674</v>
      </c>
    </row>
    <row r="17" spans="1:6">
      <c r="A17" s="8"/>
      <c r="B17" s="14">
        <v>10</v>
      </c>
      <c r="C17" s="14">
        <v>5</v>
      </c>
      <c r="D17" s="14">
        <v>0</v>
      </c>
      <c r="E17" s="14" t="s">
        <v>2190</v>
      </c>
      <c r="F17" s="14" t="s">
        <v>1502</v>
      </c>
    </row>
    <row r="18" spans="1:6">
      <c r="A18" s="8"/>
      <c r="B18" s="14">
        <v>11</v>
      </c>
      <c r="C18" s="14">
        <v>0</v>
      </c>
      <c r="D18" s="14">
        <v>0</v>
      </c>
      <c r="E18" s="14" t="s">
        <v>2191</v>
      </c>
      <c r="F18" s="14" t="s">
        <v>1675</v>
      </c>
    </row>
    <row r="19" spans="1:6">
      <c r="A19" s="8"/>
      <c r="B19" s="14">
        <v>12</v>
      </c>
      <c r="C19" s="14">
        <v>0</v>
      </c>
      <c r="D19" s="14">
        <v>0</v>
      </c>
      <c r="E19" s="14" t="s">
        <v>2192</v>
      </c>
      <c r="F19" s="14" t="s">
        <v>1676</v>
      </c>
    </row>
    <row r="20" spans="1:6">
      <c r="A20" s="8"/>
      <c r="B20" s="14">
        <v>13</v>
      </c>
      <c r="C20" s="14">
        <v>5</v>
      </c>
      <c r="D20" s="14">
        <v>0</v>
      </c>
      <c r="E20" s="14" t="s">
        <v>2193</v>
      </c>
      <c r="F20" s="14" t="s">
        <v>2392</v>
      </c>
    </row>
    <row r="21" spans="1:6">
      <c r="A21" s="8"/>
      <c r="B21" s="14">
        <v>14</v>
      </c>
      <c r="C21" s="14">
        <v>0</v>
      </c>
      <c r="D21" s="14">
        <v>0</v>
      </c>
      <c r="E21" s="14" t="s">
        <v>2194</v>
      </c>
      <c r="F21" s="14" t="s">
        <v>1678</v>
      </c>
    </row>
    <row r="22" spans="1:6">
      <c r="A22" s="8"/>
      <c r="B22" s="14">
        <v>15</v>
      </c>
      <c r="C22" s="14">
        <v>0</v>
      </c>
      <c r="D22" s="14">
        <v>0</v>
      </c>
      <c r="E22" s="14" t="s">
        <v>2195</v>
      </c>
      <c r="F22" s="14" t="s">
        <v>1679</v>
      </c>
    </row>
    <row r="23" spans="1:6">
      <c r="A23" s="8"/>
      <c r="B23" s="14">
        <v>16</v>
      </c>
      <c r="C23" s="14">
        <v>5</v>
      </c>
      <c r="D23" s="14">
        <v>0</v>
      </c>
      <c r="E23" s="14" t="s">
        <v>2196</v>
      </c>
      <c r="F23" s="14" t="s">
        <v>2393</v>
      </c>
    </row>
    <row r="24" spans="1:6">
      <c r="A24" s="8"/>
      <c r="B24" s="14">
        <v>18</v>
      </c>
      <c r="C24" s="14">
        <v>0</v>
      </c>
      <c r="D24" s="14">
        <v>0</v>
      </c>
      <c r="E24" s="14" t="s">
        <v>2197</v>
      </c>
      <c r="F24" s="14" t="s">
        <v>1682</v>
      </c>
    </row>
    <row r="25" spans="1:6">
      <c r="A25" s="8"/>
      <c r="B25" s="14">
        <v>19</v>
      </c>
      <c r="C25" s="14">
        <v>5</v>
      </c>
      <c r="D25" s="14">
        <v>6</v>
      </c>
      <c r="E25" s="14" t="s">
        <v>2198</v>
      </c>
      <c r="F25" s="14" t="s">
        <v>1683</v>
      </c>
    </row>
    <row r="26" spans="1:6">
      <c r="A26" s="8"/>
      <c r="B26" s="14">
        <v>20</v>
      </c>
      <c r="C26" s="14">
        <v>5</v>
      </c>
      <c r="D26" s="14">
        <v>6</v>
      </c>
      <c r="E26" s="14" t="s">
        <v>2199</v>
      </c>
      <c r="F26" s="14" t="s">
        <v>1684</v>
      </c>
    </row>
    <row r="27" spans="1:6">
      <c r="A27" s="8"/>
      <c r="B27" s="14">
        <v>21</v>
      </c>
      <c r="C27" s="14">
        <v>5</v>
      </c>
      <c r="D27" s="14">
        <v>6</v>
      </c>
      <c r="E27" s="14" t="s">
        <v>2200</v>
      </c>
      <c r="F27" s="14" t="s">
        <v>1685</v>
      </c>
    </row>
    <row r="28" spans="1:6">
      <c r="A28" s="8"/>
      <c r="B28" s="14">
        <v>22</v>
      </c>
      <c r="C28" s="14">
        <v>5</v>
      </c>
      <c r="D28" s="14">
        <v>6</v>
      </c>
      <c r="E28" s="14" t="s">
        <v>2201</v>
      </c>
      <c r="F28" s="14" t="s">
        <v>1686</v>
      </c>
    </row>
    <row r="29" spans="1:6">
      <c r="A29" s="8"/>
      <c r="B29" s="14">
        <v>23</v>
      </c>
      <c r="C29" s="14">
        <v>5</v>
      </c>
      <c r="D29" s="14">
        <v>6</v>
      </c>
      <c r="E29" s="14" t="s">
        <v>2202</v>
      </c>
      <c r="F29" s="14" t="s">
        <v>2394</v>
      </c>
    </row>
    <row r="30" spans="1:6">
      <c r="A30" s="8"/>
      <c r="B30" s="14">
        <v>24</v>
      </c>
      <c r="C30" s="14">
        <v>0</v>
      </c>
      <c r="D30" s="14">
        <v>0</v>
      </c>
      <c r="E30" s="14" t="s">
        <v>2203</v>
      </c>
      <c r="F30" s="14" t="s">
        <v>2395</v>
      </c>
    </row>
    <row r="31" spans="1:6">
      <c r="A31" s="8"/>
      <c r="B31" s="14">
        <v>25</v>
      </c>
      <c r="C31" s="14">
        <v>3</v>
      </c>
      <c r="D31" s="14">
        <v>4</v>
      </c>
      <c r="E31" s="14" t="s">
        <v>2204</v>
      </c>
      <c r="F31" s="14" t="s">
        <v>1506</v>
      </c>
    </row>
    <row r="32" spans="1:6">
      <c r="A32" s="8"/>
      <c r="B32" s="14">
        <v>26</v>
      </c>
      <c r="C32" s="14">
        <v>0</v>
      </c>
      <c r="D32" s="14">
        <v>0</v>
      </c>
      <c r="E32" s="14" t="s">
        <v>2205</v>
      </c>
      <c r="F32" s="14" t="s">
        <v>1505</v>
      </c>
    </row>
    <row r="33" spans="1:6">
      <c r="A33" s="8"/>
      <c r="B33" s="14">
        <v>27</v>
      </c>
      <c r="C33" s="14">
        <v>3</v>
      </c>
      <c r="D33" s="14">
        <v>4</v>
      </c>
      <c r="E33" s="14" t="s">
        <v>2206</v>
      </c>
      <c r="F33" s="14" t="s">
        <v>2396</v>
      </c>
    </row>
    <row r="34" spans="1:6">
      <c r="A34" s="8"/>
      <c r="B34" s="14">
        <v>28</v>
      </c>
      <c r="C34" s="14">
        <v>0</v>
      </c>
      <c r="D34" s="14">
        <v>0</v>
      </c>
      <c r="E34" s="14" t="s">
        <v>2207</v>
      </c>
      <c r="F34" s="14" t="s">
        <v>2397</v>
      </c>
    </row>
    <row r="35" spans="1:6">
      <c r="A35" s="8"/>
      <c r="B35" s="14">
        <v>29</v>
      </c>
      <c r="C35" s="14">
        <v>0</v>
      </c>
      <c r="D35" s="14">
        <v>0</v>
      </c>
      <c r="E35" s="14" t="s">
        <v>2208</v>
      </c>
      <c r="F35" s="14" t="s">
        <v>2398</v>
      </c>
    </row>
    <row r="36" spans="1:6">
      <c r="A36" s="8"/>
      <c r="B36" s="14">
        <v>30</v>
      </c>
      <c r="C36" s="14">
        <v>0</v>
      </c>
      <c r="D36" s="14">
        <v>0</v>
      </c>
      <c r="E36" s="14" t="s">
        <v>2209</v>
      </c>
      <c r="F36" s="14" t="s">
        <v>2399</v>
      </c>
    </row>
    <row r="37" spans="1:6">
      <c r="A37" s="8"/>
      <c r="B37" s="14">
        <v>31</v>
      </c>
      <c r="C37" s="14">
        <v>0</v>
      </c>
      <c r="D37" s="14">
        <v>0</v>
      </c>
      <c r="E37" s="14" t="s">
        <v>2210</v>
      </c>
      <c r="F37" s="14" t="s">
        <v>1887</v>
      </c>
    </row>
    <row r="38" spans="1:6">
      <c r="A38" s="8"/>
      <c r="B38" s="14">
        <v>32</v>
      </c>
      <c r="C38" s="14">
        <v>0</v>
      </c>
      <c r="D38" s="14">
        <v>0</v>
      </c>
      <c r="E38" s="14" t="s">
        <v>2211</v>
      </c>
      <c r="F38" s="14" t="s">
        <v>2400</v>
      </c>
    </row>
    <row r="39" spans="1:6">
      <c r="A39" s="8"/>
      <c r="B39" s="14">
        <v>33</v>
      </c>
      <c r="C39" s="14">
        <v>0</v>
      </c>
      <c r="D39" s="14">
        <v>0</v>
      </c>
      <c r="E39" s="14" t="s">
        <v>2212</v>
      </c>
      <c r="F39" s="14" t="s">
        <v>2213</v>
      </c>
    </row>
    <row r="40" spans="1:6">
      <c r="A40" s="8"/>
      <c r="B40" s="14">
        <v>34</v>
      </c>
      <c r="C40" s="14">
        <v>0</v>
      </c>
      <c r="D40" s="14">
        <v>0</v>
      </c>
      <c r="E40" s="14" t="s">
        <v>2214</v>
      </c>
      <c r="F40" s="14" t="s">
        <v>2401</v>
      </c>
    </row>
    <row r="41" spans="1:6">
      <c r="A41" s="8"/>
      <c r="B41" s="14">
        <v>35</v>
      </c>
      <c r="C41" s="14">
        <v>0</v>
      </c>
      <c r="D41" s="14">
        <v>0</v>
      </c>
      <c r="E41" s="14" t="s">
        <v>2215</v>
      </c>
      <c r="F41" s="14" t="s">
        <v>2216</v>
      </c>
    </row>
    <row r="42" spans="1:6">
      <c r="A42" s="8"/>
      <c r="B42" s="14">
        <v>36</v>
      </c>
      <c r="C42" s="14">
        <v>0</v>
      </c>
      <c r="D42" s="14">
        <v>0</v>
      </c>
      <c r="E42" s="14" t="s">
        <v>2217</v>
      </c>
      <c r="F42" s="14" t="s">
        <v>2352</v>
      </c>
    </row>
    <row r="43" spans="1:6">
      <c r="A43" s="8"/>
      <c r="B43" s="14">
        <v>37</v>
      </c>
      <c r="C43" s="14">
        <v>0</v>
      </c>
      <c r="D43" s="14">
        <v>0</v>
      </c>
      <c r="E43" s="14" t="s">
        <v>2402</v>
      </c>
      <c r="F43" s="14" t="s">
        <v>2403</v>
      </c>
    </row>
    <row r="44" spans="1:6">
      <c r="A44" s="8"/>
      <c r="B44" s="14">
        <v>38</v>
      </c>
      <c r="C44" s="14">
        <v>0</v>
      </c>
      <c r="D44" s="14">
        <v>0</v>
      </c>
      <c r="E44" s="14" t="s">
        <v>2404</v>
      </c>
      <c r="F44" s="14" t="s">
        <v>2405</v>
      </c>
    </row>
    <row r="45" spans="1:6">
      <c r="A45" s="8"/>
      <c r="B45" s="14">
        <v>90</v>
      </c>
      <c r="C45" s="14">
        <v>0</v>
      </c>
      <c r="D45" s="14">
        <v>0</v>
      </c>
      <c r="E45" s="14" t="s">
        <v>2406</v>
      </c>
      <c r="F45" s="14" t="s">
        <v>2407</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133" activePane="bottomLeft" state="frozen"/>
      <selection pane="bottomLeft" activeCell="N148" sqref="N14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2021</v>
      </c>
      <c r="F142" s="11" t="s">
        <v>2030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2025</v>
      </c>
      <c r="F143" s="11" t="s">
        <v>2031</v>
      </c>
      <c r="G143" s="14">
        <v>1</v>
      </c>
      <c r="H143" s="14">
        <v>0</v>
      </c>
      <c r="I143" s="14"/>
      <c r="J143" s="14">
        <v>1</v>
      </c>
      <c r="K143" s="14">
        <v>1518</v>
      </c>
      <c r="L143" s="14"/>
      <c r="M143" s="14">
        <v>1101</v>
      </c>
      <c r="N143" s="14">
        <v>6</v>
      </c>
      <c r="O143" s="14"/>
      <c r="P143" s="14"/>
    </row>
    <row r="144" spans="1:16">
      <c r="A144" s="8"/>
      <c r="B144" s="14">
        <v>139</v>
      </c>
      <c r="C144" s="14">
        <v>7</v>
      </c>
      <c r="D144" s="14">
        <v>1</v>
      </c>
      <c r="E144" s="11" t="s">
        <v>2063</v>
      </c>
      <c r="F144" s="11" t="s">
        <v>2064</v>
      </c>
      <c r="G144" s="14">
        <v>8</v>
      </c>
      <c r="H144" s="14">
        <v>0</v>
      </c>
      <c r="I144" s="14"/>
      <c r="J144" s="14">
        <v>3</v>
      </c>
      <c r="K144" s="14">
        <v>1519</v>
      </c>
      <c r="L144" s="14"/>
      <c r="M144" s="14">
        <v>510</v>
      </c>
      <c r="N144" s="14">
        <v>1016</v>
      </c>
      <c r="O144" s="14"/>
      <c r="P144" s="14"/>
    </row>
    <row r="145" spans="1:16">
      <c r="A145" s="8"/>
      <c r="B145" s="14">
        <v>140</v>
      </c>
      <c r="C145" s="14">
        <v>10</v>
      </c>
      <c r="D145" s="14">
        <v>1</v>
      </c>
      <c r="E145" s="11" t="s">
        <v>2072</v>
      </c>
      <c r="F145" s="11" t="s">
        <v>2073</v>
      </c>
      <c r="G145" s="14">
        <v>4</v>
      </c>
      <c r="H145" s="14">
        <v>5</v>
      </c>
      <c r="I145" s="14"/>
      <c r="J145" s="14">
        <v>2</v>
      </c>
      <c r="K145" s="14">
        <v>1601</v>
      </c>
      <c r="L145" s="14"/>
      <c r="M145" s="14">
        <v>1101</v>
      </c>
      <c r="N145" s="14">
        <v>1108</v>
      </c>
      <c r="O145" s="14"/>
      <c r="P145" s="14"/>
    </row>
    <row r="146" spans="1:16">
      <c r="A146" s="8"/>
      <c r="B146" s="14">
        <v>141</v>
      </c>
      <c r="C146" s="14">
        <v>20</v>
      </c>
      <c r="D146" s="14">
        <v>1</v>
      </c>
      <c r="E146" s="11" t="s">
        <v>2088</v>
      </c>
      <c r="F146" s="11" t="s">
        <v>2086</v>
      </c>
      <c r="G146" s="14">
        <v>5</v>
      </c>
      <c r="H146" s="14">
        <v>1</v>
      </c>
      <c r="I146" s="14"/>
      <c r="J146" s="14">
        <v>3</v>
      </c>
      <c r="K146" s="14">
        <v>1131</v>
      </c>
      <c r="L146" s="14"/>
      <c r="M146" s="14">
        <v>1101</v>
      </c>
      <c r="N146" s="14">
        <v>603</v>
      </c>
      <c r="O146" s="14"/>
      <c r="P146" s="14"/>
    </row>
    <row r="147" spans="1:16">
      <c r="A147" s="8"/>
      <c r="B147" s="14">
        <v>142</v>
      </c>
      <c r="C147" s="14">
        <v>24</v>
      </c>
      <c r="D147" s="14">
        <v>1</v>
      </c>
      <c r="E147" s="11" t="s">
        <v>2087</v>
      </c>
      <c r="F147" s="11" t="s">
        <v>2085</v>
      </c>
      <c r="G147" s="14">
        <v>6</v>
      </c>
      <c r="H147" s="14">
        <v>1</v>
      </c>
      <c r="I147" s="14"/>
      <c r="J147" s="14">
        <v>4</v>
      </c>
      <c r="K147" s="14">
        <v>1006</v>
      </c>
      <c r="L147" s="14"/>
      <c r="M147" s="14">
        <v>1101</v>
      </c>
      <c r="N147" s="14">
        <v>1521</v>
      </c>
      <c r="O147" s="14"/>
      <c r="P147" s="14"/>
    </row>
    <row r="148" spans="1:16">
      <c r="A148" s="8"/>
      <c r="B148" s="14">
        <v>143</v>
      </c>
      <c r="C148" s="14">
        <v>21</v>
      </c>
      <c r="D148" s="14">
        <v>1</v>
      </c>
      <c r="E148" s="11" t="s">
        <v>2150</v>
      </c>
      <c r="F148" s="11" t="s">
        <v>2149</v>
      </c>
      <c r="G148" s="14">
        <v>1</v>
      </c>
      <c r="H148" s="14">
        <v>3</v>
      </c>
      <c r="I148" s="14"/>
      <c r="J148" s="14">
        <v>1</v>
      </c>
      <c r="K148" s="14">
        <v>249</v>
      </c>
      <c r="L148" s="14"/>
      <c r="M148" s="14">
        <v>1101</v>
      </c>
      <c r="N148" s="14">
        <v>1132</v>
      </c>
      <c r="O148" s="14"/>
      <c r="P148" s="14"/>
    </row>
    <row r="149" spans="1:16">
      <c r="A149" s="8"/>
      <c r="B149" s="14">
        <v>144</v>
      </c>
      <c r="C149" s="14">
        <v>33</v>
      </c>
      <c r="D149" s="14">
        <v>1</v>
      </c>
      <c r="E149" s="11" t="s">
        <v>2160</v>
      </c>
      <c r="F149" s="11" t="s">
        <v>2159</v>
      </c>
      <c r="G149" s="14">
        <v>5</v>
      </c>
      <c r="H149" s="14">
        <v>4</v>
      </c>
      <c r="I149" s="14"/>
      <c r="J149" s="14">
        <v>3</v>
      </c>
      <c r="K149" s="14">
        <v>1007</v>
      </c>
      <c r="L149" s="14"/>
      <c r="M149" s="14">
        <v>1101</v>
      </c>
      <c r="N149" s="14">
        <v>501</v>
      </c>
      <c r="O149" s="14"/>
      <c r="P149" s="14"/>
    </row>
    <row r="150" spans="1:16">
      <c r="A150" s="8"/>
      <c r="B150" s="14">
        <v>145</v>
      </c>
      <c r="C150" s="14">
        <v>1</v>
      </c>
      <c r="D150" s="14">
        <v>1</v>
      </c>
      <c r="E150" s="11" t="s">
        <v>2308</v>
      </c>
      <c r="F150" s="11" t="s">
        <v>2309</v>
      </c>
      <c r="G150" s="14">
        <v>5</v>
      </c>
      <c r="H150" s="14">
        <v>0</v>
      </c>
      <c r="I150" s="14"/>
      <c r="J150" s="14">
        <v>5</v>
      </c>
      <c r="K150" s="14">
        <v>1133</v>
      </c>
      <c r="L150" s="14"/>
      <c r="M150" s="14">
        <v>1101</v>
      </c>
      <c r="N150" s="14">
        <v>1522</v>
      </c>
      <c r="O150" s="14"/>
      <c r="P150" s="14"/>
    </row>
    <row r="151" spans="1:16">
      <c r="A151" s="8"/>
      <c r="B151" s="14">
        <v>146</v>
      </c>
      <c r="C151" s="14">
        <v>106</v>
      </c>
      <c r="D151" s="14">
        <v>1</v>
      </c>
      <c r="E151" s="11" t="s">
        <v>2319</v>
      </c>
      <c r="F151" s="11" t="s">
        <v>2320</v>
      </c>
      <c r="G151" s="14">
        <v>5</v>
      </c>
      <c r="H151" s="14">
        <v>2</v>
      </c>
      <c r="I151" s="14"/>
      <c r="J151" s="14">
        <v>3</v>
      </c>
      <c r="K151" s="14">
        <v>1135</v>
      </c>
      <c r="L151" s="14"/>
      <c r="M151" s="14">
        <v>1101</v>
      </c>
      <c r="N151" s="14">
        <v>1017</v>
      </c>
      <c r="O151" s="14"/>
      <c r="P151" s="14"/>
    </row>
    <row r="152" spans="1:16">
      <c r="A152" s="8"/>
      <c r="B152" s="14">
        <v>147</v>
      </c>
      <c r="C152" s="14">
        <v>107</v>
      </c>
      <c r="D152" s="14">
        <v>1</v>
      </c>
      <c r="E152" s="11" t="s">
        <v>2333</v>
      </c>
      <c r="F152" s="11" t="s">
        <v>2332</v>
      </c>
      <c r="G152" s="14">
        <v>3</v>
      </c>
      <c r="H152" s="14">
        <v>2</v>
      </c>
      <c r="I152" s="14"/>
      <c r="J152" s="14">
        <v>1</v>
      </c>
      <c r="K152" s="14">
        <v>1523</v>
      </c>
      <c r="L152" s="14"/>
      <c r="M152" s="14">
        <v>1101</v>
      </c>
      <c r="N152" s="14">
        <v>281</v>
      </c>
      <c r="O152" s="14"/>
      <c r="P152" s="14"/>
    </row>
    <row r="153" spans="1:16">
      <c r="A153" s="8"/>
      <c r="B153" s="14">
        <v>148</v>
      </c>
      <c r="C153" s="14">
        <v>22</v>
      </c>
      <c r="D153" s="14">
        <v>1</v>
      </c>
      <c r="E153" s="11" t="s">
        <v>2357</v>
      </c>
      <c r="F153" s="11" t="s">
        <v>2358</v>
      </c>
      <c r="G153" s="14">
        <v>4</v>
      </c>
      <c r="H153" s="14">
        <v>0</v>
      </c>
      <c r="I153" s="14"/>
      <c r="J153" s="14">
        <v>2</v>
      </c>
      <c r="K153" s="14">
        <v>1602</v>
      </c>
      <c r="L153" s="14"/>
      <c r="M153" s="14">
        <v>1101</v>
      </c>
      <c r="N153" s="14">
        <v>1603</v>
      </c>
      <c r="O153" s="14"/>
      <c r="P153" s="14"/>
    </row>
    <row r="154" spans="1:16">
      <c r="A154" s="8"/>
      <c r="B154" s="14">
        <v>149</v>
      </c>
      <c r="C154" s="14">
        <v>23</v>
      </c>
      <c r="D154" s="14">
        <v>1</v>
      </c>
      <c r="E154" s="11" t="s">
        <v>2366</v>
      </c>
      <c r="F154" s="11" t="s">
        <v>2367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2425</v>
      </c>
      <c r="F155" s="11" t="s">
        <v>2504</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2439</v>
      </c>
      <c r="F156" s="11" t="s">
        <v>2505</v>
      </c>
      <c r="G156" s="14">
        <v>6</v>
      </c>
      <c r="H156" s="14">
        <v>1</v>
      </c>
      <c r="I156" s="14"/>
      <c r="J156" s="14">
        <v>4</v>
      </c>
      <c r="K156" s="14">
        <v>508</v>
      </c>
      <c r="L156" s="14"/>
      <c r="M156" s="14">
        <v>1402</v>
      </c>
      <c r="N156" s="14">
        <v>1525</v>
      </c>
      <c r="O156" s="14"/>
      <c r="P156" s="14"/>
    </row>
    <row r="157" spans="1:16">
      <c r="A157" s="8"/>
      <c r="B157" s="14">
        <v>152</v>
      </c>
      <c r="C157" s="14">
        <v>91</v>
      </c>
      <c r="D157" s="14">
        <v>1</v>
      </c>
      <c r="E157" s="11" t="s">
        <v>2487</v>
      </c>
      <c r="F157" s="11" t="s">
        <v>2483</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2423</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2424</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2028</v>
      </c>
      <c r="F234" s="11" t="s">
        <v>2032</v>
      </c>
      <c r="G234" s="14">
        <v>7</v>
      </c>
      <c r="H234" s="14">
        <v>0</v>
      </c>
      <c r="I234" s="14"/>
      <c r="J234" s="14">
        <v>6</v>
      </c>
      <c r="K234" s="14"/>
      <c r="L234" s="14"/>
      <c r="M234" s="14"/>
      <c r="N234" s="14">
        <v>1507</v>
      </c>
      <c r="O234" s="14"/>
      <c r="P234" s="14">
        <v>1115</v>
      </c>
    </row>
    <row r="235" spans="1:16">
      <c r="A235" s="8"/>
      <c r="B235" s="14">
        <v>5078</v>
      </c>
      <c r="C235" s="14">
        <v>36</v>
      </c>
      <c r="D235" s="14">
        <v>2</v>
      </c>
      <c r="E235" s="11" t="s">
        <v>2081</v>
      </c>
      <c r="F235" s="11" t="s">
        <v>2082</v>
      </c>
      <c r="G235" s="14">
        <v>2</v>
      </c>
      <c r="H235" s="14">
        <v>3</v>
      </c>
      <c r="I235" s="14"/>
      <c r="J235" s="14">
        <v>1</v>
      </c>
      <c r="K235" s="14"/>
      <c r="L235" s="14"/>
      <c r="M235" s="14"/>
      <c r="N235" s="14">
        <v>9</v>
      </c>
      <c r="O235" s="14"/>
      <c r="P235" s="14"/>
    </row>
    <row r="236" spans="1:16">
      <c r="A236" s="8"/>
      <c r="B236" s="14">
        <v>5079</v>
      </c>
      <c r="C236" s="14">
        <v>22</v>
      </c>
      <c r="D236" s="14">
        <v>2</v>
      </c>
      <c r="E236" s="11" t="s">
        <v>2095</v>
      </c>
      <c r="F236" s="11" t="s">
        <v>2096</v>
      </c>
      <c r="G236" s="14">
        <v>4</v>
      </c>
      <c r="H236" s="14">
        <v>0</v>
      </c>
      <c r="I236" s="14"/>
      <c r="J236" s="14">
        <v>2</v>
      </c>
      <c r="K236" s="14"/>
      <c r="L236" s="14"/>
      <c r="M236" s="14"/>
      <c r="N236" s="14">
        <v>1115</v>
      </c>
      <c r="O236" s="14"/>
      <c r="P236" s="14">
        <v>1112</v>
      </c>
    </row>
    <row r="237" spans="1:16">
      <c r="A237" s="8"/>
      <c r="B237" s="14">
        <v>5080</v>
      </c>
      <c r="C237" s="14">
        <v>105</v>
      </c>
      <c r="D237" s="14">
        <v>2</v>
      </c>
      <c r="E237" s="11" t="s">
        <v>2310</v>
      </c>
      <c r="F237" s="11" t="s">
        <v>2311</v>
      </c>
      <c r="G237" s="14">
        <v>4</v>
      </c>
      <c r="H237" s="14">
        <v>0</v>
      </c>
      <c r="I237" s="14"/>
      <c r="J237" s="14">
        <v>2</v>
      </c>
      <c r="K237" s="14"/>
      <c r="L237" s="14"/>
      <c r="M237" s="14"/>
      <c r="N237" s="14">
        <v>1511</v>
      </c>
      <c r="O237" s="14"/>
      <c r="P237" s="14">
        <v>1134</v>
      </c>
    </row>
    <row r="238" spans="1:16">
      <c r="A238" s="8"/>
      <c r="B238" s="14">
        <v>5081</v>
      </c>
      <c r="C238" s="14">
        <v>45</v>
      </c>
      <c r="D238" s="14">
        <v>2</v>
      </c>
      <c r="E238" s="11" t="s">
        <v>2420</v>
      </c>
      <c r="F238" s="11" t="s">
        <v>2506</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tabSelected="1"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2084</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2372</v>
      </c>
      <c r="D18" s="11" t="s">
        <v>2373</v>
      </c>
      <c r="E18" s="11" t="s">
        <v>2373</v>
      </c>
      <c r="F18" s="14">
        <v>0</v>
      </c>
      <c r="G18" s="14">
        <v>3</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2176</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2177</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2151</v>
      </c>
      <c r="D62" s="11" t="s">
        <v>2152</v>
      </c>
      <c r="E62" s="11" t="s">
        <v>2153</v>
      </c>
      <c r="F62" s="14">
        <v>1</v>
      </c>
      <c r="G62" s="14">
        <v>1</v>
      </c>
      <c r="H62" s="14" t="s">
        <v>1879</v>
      </c>
      <c r="I62" s="23">
        <v>7</v>
      </c>
      <c r="J62" s="14">
        <v>0</v>
      </c>
      <c r="K62" s="14">
        <v>0</v>
      </c>
      <c r="L62" s="14">
        <v>0</v>
      </c>
      <c r="M62" s="14">
        <v>1</v>
      </c>
      <c r="N62" s="14">
        <v>25</v>
      </c>
      <c r="O62" s="14">
        <v>1</v>
      </c>
    </row>
    <row r="63" spans="1:15">
      <c r="A63" s="8"/>
      <c r="B63" s="14">
        <v>250</v>
      </c>
      <c r="C63" s="11" t="s">
        <v>2413</v>
      </c>
      <c r="D63" s="11" t="s">
        <v>2415</v>
      </c>
      <c r="E63" s="11" t="s">
        <v>2414</v>
      </c>
      <c r="F63" s="14">
        <v>1</v>
      </c>
      <c r="G63" s="14">
        <v>1</v>
      </c>
      <c r="H63" s="14" t="s">
        <v>2416</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2426</v>
      </c>
      <c r="D72" s="11" t="s">
        <v>2428</v>
      </c>
      <c r="E72" s="11" t="s">
        <v>2429</v>
      </c>
      <c r="F72" s="14">
        <v>1</v>
      </c>
      <c r="G72" s="14">
        <v>3</v>
      </c>
      <c r="H72" s="14"/>
      <c r="I72" s="23">
        <v>6</v>
      </c>
      <c r="J72" s="14">
        <v>0</v>
      </c>
      <c r="K72" s="14">
        <v>0</v>
      </c>
      <c r="L72" s="14">
        <v>0</v>
      </c>
      <c r="M72" s="14">
        <v>33</v>
      </c>
      <c r="N72" s="14">
        <v>3</v>
      </c>
      <c r="O72" s="14"/>
    </row>
    <row r="73" spans="1:15">
      <c r="A73" s="8"/>
      <c r="B73" s="14">
        <v>260</v>
      </c>
      <c r="C73" s="11" t="s">
        <v>2427</v>
      </c>
      <c r="D73" s="11" t="s">
        <v>2430</v>
      </c>
      <c r="E73" s="11" t="s">
        <v>2431</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2334</v>
      </c>
      <c r="D82" s="11" t="s">
        <v>2337</v>
      </c>
      <c r="E82" s="11" t="s">
        <v>2338</v>
      </c>
      <c r="F82" s="14">
        <v>1</v>
      </c>
      <c r="G82" s="14">
        <v>1</v>
      </c>
      <c r="H82" s="14" t="s">
        <v>2339</v>
      </c>
      <c r="I82" s="23">
        <v>7</v>
      </c>
      <c r="J82" s="14">
        <v>0</v>
      </c>
      <c r="K82" s="14">
        <v>0</v>
      </c>
      <c r="L82" s="14">
        <v>0</v>
      </c>
      <c r="M82" s="14">
        <v>5</v>
      </c>
      <c r="N82" s="14">
        <v>50</v>
      </c>
      <c r="O82" s="14">
        <v>1</v>
      </c>
    </row>
    <row r="83" spans="1:15">
      <c r="A83" s="8"/>
      <c r="B83" s="14">
        <v>299</v>
      </c>
      <c r="C83" s="11" t="s">
        <v>2070</v>
      </c>
      <c r="D83" s="11" t="s">
        <v>2115</v>
      </c>
      <c r="E83" s="11" t="s">
        <v>2116</v>
      </c>
      <c r="F83" s="14">
        <v>1</v>
      </c>
      <c r="G83" s="14">
        <v>1</v>
      </c>
      <c r="H83" s="14" t="s">
        <v>2117</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2172</v>
      </c>
      <c r="E91" s="11" t="s">
        <v>2173</v>
      </c>
      <c r="F91" s="14">
        <v>0</v>
      </c>
      <c r="G91" s="14">
        <v>0</v>
      </c>
      <c r="H91" s="14" t="s">
        <v>1454</v>
      </c>
      <c r="I91" s="23">
        <v>6</v>
      </c>
      <c r="J91" s="14">
        <v>0</v>
      </c>
      <c r="K91" s="14">
        <v>0</v>
      </c>
      <c r="L91" s="14">
        <v>0</v>
      </c>
      <c r="M91" s="14">
        <v>1</v>
      </c>
      <c r="N91" s="14">
        <v>60</v>
      </c>
      <c r="O91" s="14">
        <v>8</v>
      </c>
    </row>
    <row r="92" spans="1:15">
      <c r="A92" s="8"/>
      <c r="B92" s="14">
        <v>408</v>
      </c>
      <c r="C92" s="11" t="s">
        <v>798</v>
      </c>
      <c r="D92" s="11" t="s">
        <v>2174</v>
      </c>
      <c r="E92" s="11" t="s">
        <v>2175</v>
      </c>
      <c r="F92" s="14">
        <v>0</v>
      </c>
      <c r="G92" s="14">
        <v>0</v>
      </c>
      <c r="H92" s="14" t="s">
        <v>1455</v>
      </c>
      <c r="I92" s="23">
        <v>6</v>
      </c>
      <c r="J92" s="14">
        <v>0</v>
      </c>
      <c r="K92" s="14">
        <v>5</v>
      </c>
      <c r="L92" s="14">
        <v>0</v>
      </c>
      <c r="M92" s="14">
        <v>1</v>
      </c>
      <c r="N92" s="14">
        <v>60</v>
      </c>
      <c r="O92" s="14">
        <v>8</v>
      </c>
    </row>
    <row r="93" spans="1:15">
      <c r="A93" s="8"/>
      <c r="B93" s="14">
        <v>409</v>
      </c>
      <c r="C93" s="11" t="s">
        <v>2178</v>
      </c>
      <c r="D93" s="11" t="s">
        <v>2118</v>
      </c>
      <c r="E93" s="11" t="s">
        <v>2119</v>
      </c>
      <c r="F93" s="14">
        <v>0</v>
      </c>
      <c r="G93" s="14">
        <v>3</v>
      </c>
      <c r="H93" s="14"/>
      <c r="I93" s="23">
        <v>6</v>
      </c>
      <c r="J93" s="14">
        <v>0</v>
      </c>
      <c r="K93" s="14">
        <v>0</v>
      </c>
      <c r="L93" s="14">
        <v>5</v>
      </c>
      <c r="M93" s="14">
        <v>1</v>
      </c>
      <c r="N93" s="14">
        <v>10</v>
      </c>
      <c r="O93" s="14">
        <v>0</v>
      </c>
    </row>
    <row r="94" spans="1:15">
      <c r="A94" s="8"/>
      <c r="B94" s="14">
        <v>410</v>
      </c>
      <c r="C94" s="11" t="s">
        <v>2120</v>
      </c>
      <c r="D94" s="11" t="s">
        <v>2121</v>
      </c>
      <c r="E94" s="11" t="s">
        <v>2122</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2449</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2440</v>
      </c>
      <c r="D102" s="11" t="s">
        <v>2444</v>
      </c>
      <c r="E102" s="11" t="s">
        <v>2444</v>
      </c>
      <c r="F102" s="14">
        <v>1</v>
      </c>
      <c r="G102" s="14">
        <v>0</v>
      </c>
      <c r="H102" s="14" t="s">
        <v>2445</v>
      </c>
      <c r="I102" s="23">
        <v>99</v>
      </c>
      <c r="J102" s="14">
        <v>0</v>
      </c>
      <c r="K102" s="14">
        <v>0</v>
      </c>
      <c r="L102" s="14">
        <v>0</v>
      </c>
      <c r="M102" s="14">
        <v>0</v>
      </c>
      <c r="N102" s="14">
        <v>15</v>
      </c>
      <c r="O102" s="14"/>
    </row>
    <row r="103" spans="1:15">
      <c r="A103" s="8"/>
      <c r="B103" s="14">
        <v>509</v>
      </c>
      <c r="C103" s="11" t="s">
        <v>2498</v>
      </c>
      <c r="D103" s="11" t="s">
        <v>2500</v>
      </c>
      <c r="E103" s="11" t="s">
        <v>2499</v>
      </c>
      <c r="F103" s="14">
        <v>1</v>
      </c>
      <c r="G103" s="14">
        <v>0</v>
      </c>
      <c r="H103" s="14" t="s">
        <v>2501</v>
      </c>
      <c r="I103" s="23">
        <v>99</v>
      </c>
      <c r="J103" s="14">
        <v>0</v>
      </c>
      <c r="K103" s="14">
        <v>0</v>
      </c>
      <c r="L103" s="14">
        <v>0</v>
      </c>
      <c r="M103" s="14">
        <v>0</v>
      </c>
      <c r="N103" s="14">
        <v>25</v>
      </c>
      <c r="O103" s="14"/>
    </row>
    <row r="104" spans="1:15">
      <c r="A104" s="8"/>
      <c r="B104" s="14">
        <v>510</v>
      </c>
      <c r="C104" s="11" t="s">
        <v>2576</v>
      </c>
      <c r="D104" s="11" t="s">
        <v>2139</v>
      </c>
      <c r="E104" s="11" t="s">
        <v>2139</v>
      </c>
      <c r="F104" s="14">
        <v>99</v>
      </c>
      <c r="G104" s="14">
        <v>0</v>
      </c>
      <c r="H104" s="14"/>
      <c r="I104" s="23">
        <v>99</v>
      </c>
      <c r="J104" s="14">
        <v>0</v>
      </c>
      <c r="K104" s="14">
        <v>0</v>
      </c>
      <c r="L104" s="14">
        <v>0</v>
      </c>
      <c r="M104" s="14">
        <v>0</v>
      </c>
      <c r="N104" s="14">
        <v>1</v>
      </c>
      <c r="O104" s="14"/>
    </row>
    <row r="105" spans="1:15">
      <c r="A105" s="8"/>
      <c r="B105" s="14">
        <v>601</v>
      </c>
      <c r="C105" s="11" t="s">
        <v>578</v>
      </c>
      <c r="D105" s="11" t="s">
        <v>1585</v>
      </c>
      <c r="E105" s="11" t="s">
        <v>1103</v>
      </c>
      <c r="F105" s="14">
        <v>1</v>
      </c>
      <c r="G105" s="14">
        <v>1</v>
      </c>
      <c r="H105" s="14" t="s">
        <v>1456</v>
      </c>
      <c r="I105" s="23">
        <v>7</v>
      </c>
      <c r="J105" s="14">
        <v>0</v>
      </c>
      <c r="K105" s="14">
        <v>0</v>
      </c>
      <c r="L105" s="14">
        <v>0</v>
      </c>
      <c r="M105" s="14">
        <v>1</v>
      </c>
      <c r="N105" s="14">
        <v>50</v>
      </c>
      <c r="O105" s="14">
        <v>1</v>
      </c>
    </row>
    <row r="106" spans="1:15">
      <c r="A106" s="8"/>
      <c r="B106" s="14">
        <v>602</v>
      </c>
      <c r="C106" s="11" t="s">
        <v>1586</v>
      </c>
      <c r="D106" s="11" t="s">
        <v>1587</v>
      </c>
      <c r="E106" s="11" t="s">
        <v>1588</v>
      </c>
      <c r="F106" s="14">
        <v>1</v>
      </c>
      <c r="G106" s="14">
        <v>1</v>
      </c>
      <c r="H106" s="14"/>
      <c r="I106" s="23">
        <v>7</v>
      </c>
      <c r="J106" s="14">
        <v>0</v>
      </c>
      <c r="K106" s="14">
        <v>0</v>
      </c>
      <c r="L106" s="14">
        <v>0</v>
      </c>
      <c r="M106" s="14">
        <v>1</v>
      </c>
      <c r="N106" s="14">
        <v>100</v>
      </c>
      <c r="O106" s="14">
        <v>1</v>
      </c>
    </row>
    <row r="107" spans="1:15">
      <c r="A107" s="8"/>
      <c r="B107" s="14">
        <v>603</v>
      </c>
      <c r="C107" s="11" t="s">
        <v>2144</v>
      </c>
      <c r="D107" s="11" t="s">
        <v>2050</v>
      </c>
      <c r="E107" s="11" t="s">
        <v>2051</v>
      </c>
      <c r="F107" s="14">
        <v>99</v>
      </c>
      <c r="G107" s="14">
        <v>0</v>
      </c>
      <c r="H107" s="14"/>
      <c r="I107" s="23">
        <v>6</v>
      </c>
      <c r="J107" s="14">
        <v>0</v>
      </c>
      <c r="K107" s="14">
        <v>0</v>
      </c>
      <c r="L107" s="14">
        <v>0</v>
      </c>
      <c r="M107" s="14">
        <v>27</v>
      </c>
      <c r="N107" s="14">
        <v>15</v>
      </c>
      <c r="O107" s="14"/>
    </row>
    <row r="108" spans="1:15">
      <c r="A108" s="8"/>
      <c r="B108" s="14">
        <v>604</v>
      </c>
      <c r="C108" s="11" t="s">
        <v>2417</v>
      </c>
      <c r="D108" s="11" t="s">
        <v>2418</v>
      </c>
      <c r="E108" s="11" t="s">
        <v>2418</v>
      </c>
      <c r="F108" s="14">
        <v>99</v>
      </c>
      <c r="G108" s="14">
        <v>1</v>
      </c>
      <c r="H108" s="14"/>
      <c r="I108" s="23">
        <v>7</v>
      </c>
      <c r="J108" s="14">
        <v>0</v>
      </c>
      <c r="K108" s="14">
        <v>0</v>
      </c>
      <c r="L108" s="14">
        <v>0</v>
      </c>
      <c r="M108" s="14">
        <v>3</v>
      </c>
      <c r="N108" s="14">
        <v>100</v>
      </c>
      <c r="O108" s="14"/>
    </row>
    <row r="109" spans="1:15">
      <c r="A109" s="8"/>
      <c r="B109" s="14">
        <v>1001</v>
      </c>
      <c r="C109" s="11" t="s">
        <v>372</v>
      </c>
      <c r="D109" s="11" t="s">
        <v>1164</v>
      </c>
      <c r="E109" s="11" t="s">
        <v>699</v>
      </c>
      <c r="F109" s="14">
        <v>0</v>
      </c>
      <c r="G109" s="14">
        <v>1</v>
      </c>
      <c r="H109" s="14" t="s">
        <v>1457</v>
      </c>
      <c r="I109" s="23">
        <v>2</v>
      </c>
      <c r="J109" s="14">
        <v>0</v>
      </c>
      <c r="K109" s="14">
        <v>0</v>
      </c>
      <c r="L109" s="14">
        <v>0</v>
      </c>
      <c r="M109" s="14">
        <v>21</v>
      </c>
      <c r="N109" s="14"/>
      <c r="O109" s="14">
        <v>1</v>
      </c>
    </row>
    <row r="110" spans="1:15">
      <c r="A110" s="8"/>
      <c r="B110" s="14">
        <v>1002</v>
      </c>
      <c r="C110" s="11" t="s">
        <v>373</v>
      </c>
      <c r="D110" s="11" t="s">
        <v>1165</v>
      </c>
      <c r="E110" s="11" t="s">
        <v>699</v>
      </c>
      <c r="F110" s="14">
        <v>0</v>
      </c>
      <c r="G110" s="14">
        <v>1</v>
      </c>
      <c r="H110" s="14"/>
      <c r="I110" s="23">
        <v>7</v>
      </c>
      <c r="J110" s="14">
        <v>0</v>
      </c>
      <c r="K110" s="14">
        <v>0</v>
      </c>
      <c r="L110" s="14">
        <v>0</v>
      </c>
      <c r="M110" s="14">
        <v>30</v>
      </c>
      <c r="N110" s="14">
        <v>5</v>
      </c>
      <c r="O110" s="14"/>
    </row>
    <row r="111" spans="1:15">
      <c r="A111" s="8"/>
      <c r="B111" s="14">
        <v>1003</v>
      </c>
      <c r="C111" s="11" t="s">
        <v>2353</v>
      </c>
      <c r="D111" s="11" t="s">
        <v>1166</v>
      </c>
      <c r="E111" s="11" t="s">
        <v>699</v>
      </c>
      <c r="F111" s="14">
        <v>0</v>
      </c>
      <c r="G111" s="14">
        <v>1</v>
      </c>
      <c r="H111" s="14"/>
      <c r="I111" s="23">
        <v>2</v>
      </c>
      <c r="J111" s="14">
        <v>0</v>
      </c>
      <c r="K111" s="14">
        <v>0</v>
      </c>
      <c r="L111" s="14">
        <v>0</v>
      </c>
      <c r="M111" s="14">
        <v>22</v>
      </c>
      <c r="N111" s="14"/>
      <c r="O111" s="14">
        <v>2</v>
      </c>
    </row>
    <row r="112" spans="1:15">
      <c r="A112" s="8"/>
      <c r="B112" s="14">
        <v>1004</v>
      </c>
      <c r="C112" s="11" t="s">
        <v>1458</v>
      </c>
      <c r="D112" s="11" t="s">
        <v>1412</v>
      </c>
      <c r="E112" s="11" t="s">
        <v>699</v>
      </c>
      <c r="F112" s="14">
        <v>0</v>
      </c>
      <c r="G112" s="14">
        <v>1</v>
      </c>
      <c r="H112" s="14"/>
      <c r="I112" s="23">
        <v>7</v>
      </c>
      <c r="J112" s="14">
        <v>0</v>
      </c>
      <c r="K112" s="14">
        <v>0</v>
      </c>
      <c r="L112" s="14">
        <v>0</v>
      </c>
      <c r="M112" s="14">
        <v>12</v>
      </c>
      <c r="N112" s="14">
        <v>5</v>
      </c>
      <c r="O112" s="14"/>
    </row>
    <row r="113" spans="1:15">
      <c r="A113" s="8"/>
      <c r="B113" s="14">
        <v>1005</v>
      </c>
      <c r="C113" s="11" t="s">
        <v>1459</v>
      </c>
      <c r="D113" s="11" t="s">
        <v>1167</v>
      </c>
      <c r="E113" s="11" t="s">
        <v>699</v>
      </c>
      <c r="F113" s="14">
        <v>0</v>
      </c>
      <c r="G113" s="14">
        <v>3</v>
      </c>
      <c r="H113" s="14"/>
      <c r="I113" s="23">
        <v>7</v>
      </c>
      <c r="J113" s="14">
        <v>0</v>
      </c>
      <c r="K113" s="14">
        <v>0</v>
      </c>
      <c r="L113" s="14">
        <v>0</v>
      </c>
      <c r="M113" s="14">
        <v>20</v>
      </c>
      <c r="N113" s="14"/>
      <c r="O113" s="14">
        <v>0</v>
      </c>
    </row>
    <row r="114" spans="1:15">
      <c r="A114" s="8"/>
      <c r="B114" s="14">
        <v>1006</v>
      </c>
      <c r="C114" s="11" t="s">
        <v>1216</v>
      </c>
      <c r="D114" s="11" t="s">
        <v>1168</v>
      </c>
      <c r="E114" s="11" t="s">
        <v>699</v>
      </c>
      <c r="F114" s="14">
        <v>0</v>
      </c>
      <c r="G114" s="14">
        <v>1</v>
      </c>
      <c r="H114" s="14"/>
      <c r="I114" s="23">
        <v>6</v>
      </c>
      <c r="J114" s="14">
        <v>0</v>
      </c>
      <c r="K114" s="14">
        <v>0</v>
      </c>
      <c r="L114" s="14">
        <v>0</v>
      </c>
      <c r="M114" s="14">
        <v>14</v>
      </c>
      <c r="N114" s="14">
        <v>10</v>
      </c>
      <c r="O114" s="14"/>
    </row>
    <row r="115" spans="1:15">
      <c r="A115" s="8"/>
      <c r="B115" s="14">
        <v>1007</v>
      </c>
      <c r="C115" s="11" t="s">
        <v>1217</v>
      </c>
      <c r="D115" s="11" t="s">
        <v>1169</v>
      </c>
      <c r="E115" s="11" t="s">
        <v>699</v>
      </c>
      <c r="F115" s="14">
        <v>0</v>
      </c>
      <c r="G115" s="14">
        <v>1</v>
      </c>
      <c r="H115" s="14"/>
      <c r="I115" s="23">
        <v>7</v>
      </c>
      <c r="J115" s="14">
        <v>0</v>
      </c>
      <c r="K115" s="14">
        <v>0</v>
      </c>
      <c r="L115" s="14">
        <v>0</v>
      </c>
      <c r="M115" s="14">
        <v>12</v>
      </c>
      <c r="N115" s="14">
        <v>2</v>
      </c>
      <c r="O115" s="14"/>
    </row>
    <row r="116" spans="1:15">
      <c r="A116" s="8"/>
      <c r="B116" s="14">
        <v>1008</v>
      </c>
      <c r="C116" s="11" t="s">
        <v>1218</v>
      </c>
      <c r="D116" s="11" t="s">
        <v>1170</v>
      </c>
      <c r="E116" s="11" t="s">
        <v>699</v>
      </c>
      <c r="F116" s="14">
        <v>0</v>
      </c>
      <c r="G116" s="14">
        <v>1</v>
      </c>
      <c r="H116" s="14"/>
      <c r="I116" s="23">
        <v>7</v>
      </c>
      <c r="J116" s="14">
        <v>0</v>
      </c>
      <c r="K116" s="14">
        <v>0</v>
      </c>
      <c r="L116" s="14">
        <v>0</v>
      </c>
      <c r="M116" s="14">
        <v>11</v>
      </c>
      <c r="N116" s="14">
        <v>25</v>
      </c>
      <c r="O116" s="14">
        <v>3</v>
      </c>
    </row>
    <row r="117" spans="1:15">
      <c r="A117" s="8"/>
      <c r="B117" s="14">
        <v>1011</v>
      </c>
      <c r="C117" s="11" t="s">
        <v>1460</v>
      </c>
      <c r="D117" s="11" t="s">
        <v>1413</v>
      </c>
      <c r="E117" s="11" t="s">
        <v>699</v>
      </c>
      <c r="F117" s="14">
        <v>0</v>
      </c>
      <c r="G117" s="14">
        <v>3</v>
      </c>
      <c r="H117" s="14" t="s">
        <v>1461</v>
      </c>
      <c r="I117" s="23">
        <v>6</v>
      </c>
      <c r="J117" s="14">
        <v>0</v>
      </c>
      <c r="K117" s="14">
        <v>0</v>
      </c>
      <c r="L117" s="14">
        <v>0</v>
      </c>
      <c r="M117" s="14">
        <v>11</v>
      </c>
      <c r="N117" s="14">
        <v>50</v>
      </c>
      <c r="O117" s="14">
        <v>4</v>
      </c>
    </row>
    <row r="118" spans="1:15">
      <c r="A118" s="8"/>
      <c r="B118" s="14">
        <v>1012</v>
      </c>
      <c r="C118" s="11" t="s">
        <v>1483</v>
      </c>
      <c r="D118" s="11" t="s">
        <v>1492</v>
      </c>
      <c r="E118" s="11" t="s">
        <v>699</v>
      </c>
      <c r="F118" s="14">
        <v>0</v>
      </c>
      <c r="G118" s="14">
        <v>3</v>
      </c>
      <c r="H118" s="14"/>
      <c r="I118" s="23">
        <v>7</v>
      </c>
      <c r="J118" s="14">
        <v>0</v>
      </c>
      <c r="K118" s="14">
        <v>0</v>
      </c>
      <c r="L118" s="14">
        <v>0</v>
      </c>
      <c r="M118" s="14">
        <v>23</v>
      </c>
      <c r="N118" s="14"/>
      <c r="O118" s="14">
        <v>1</v>
      </c>
    </row>
    <row r="119" spans="1:15">
      <c r="A119" s="8"/>
      <c r="B119" s="14">
        <v>1013</v>
      </c>
      <c r="C119" s="11" t="s">
        <v>1883</v>
      </c>
      <c r="D119" s="11" t="s">
        <v>1884</v>
      </c>
      <c r="E119" s="11" t="s">
        <v>699</v>
      </c>
      <c r="F119" s="14">
        <v>0</v>
      </c>
      <c r="G119" s="14">
        <v>3</v>
      </c>
      <c r="H119" s="14"/>
      <c r="I119" s="23">
        <v>7</v>
      </c>
      <c r="J119" s="14">
        <v>0</v>
      </c>
      <c r="K119" s="14">
        <v>0</v>
      </c>
      <c r="L119" s="14">
        <v>0</v>
      </c>
      <c r="M119" s="14">
        <v>24</v>
      </c>
      <c r="N119" s="14"/>
      <c r="O119" s="14">
        <v>2</v>
      </c>
    </row>
    <row r="120" spans="1:15">
      <c r="A120" s="8"/>
      <c r="B120" s="14">
        <v>1014</v>
      </c>
      <c r="C120" s="11" t="s">
        <v>1763</v>
      </c>
      <c r="D120" s="11" t="s">
        <v>1884</v>
      </c>
      <c r="E120" s="11" t="s">
        <v>699</v>
      </c>
      <c r="F120" s="14">
        <v>0</v>
      </c>
      <c r="G120" s="14">
        <v>3</v>
      </c>
      <c r="H120" s="14"/>
      <c r="I120" s="23">
        <v>7</v>
      </c>
      <c r="J120" s="14">
        <v>0</v>
      </c>
      <c r="K120" s="14">
        <v>0</v>
      </c>
      <c r="L120" s="14">
        <v>0</v>
      </c>
      <c r="M120" s="14">
        <v>24</v>
      </c>
      <c r="N120" s="14"/>
      <c r="O120" s="14">
        <v>2</v>
      </c>
    </row>
    <row r="121" spans="1:15">
      <c r="A121" s="8"/>
      <c r="B121" s="14">
        <v>1015</v>
      </c>
      <c r="C121" s="11" t="s">
        <v>2123</v>
      </c>
      <c r="D121" s="11" t="s">
        <v>2124</v>
      </c>
      <c r="E121" s="11" t="s">
        <v>699</v>
      </c>
      <c r="F121" s="14">
        <v>0</v>
      </c>
      <c r="G121" s="14">
        <v>1</v>
      </c>
      <c r="H121" s="14"/>
      <c r="I121" s="23">
        <v>7</v>
      </c>
      <c r="J121" s="14">
        <v>0</v>
      </c>
      <c r="K121" s="14">
        <v>0</v>
      </c>
      <c r="L121" s="14">
        <v>0</v>
      </c>
      <c r="M121" s="14">
        <v>8</v>
      </c>
      <c r="N121" s="14"/>
      <c r="O121" s="14">
        <v>0</v>
      </c>
    </row>
    <row r="122" spans="1:15">
      <c r="A122" s="8"/>
      <c r="B122" s="14">
        <v>1016</v>
      </c>
      <c r="C122" s="11" t="s">
        <v>2066</v>
      </c>
      <c r="D122" s="11" t="s">
        <v>2125</v>
      </c>
      <c r="E122" s="11" t="s">
        <v>699</v>
      </c>
      <c r="F122" s="14">
        <v>0</v>
      </c>
      <c r="G122" s="14">
        <v>3</v>
      </c>
      <c r="H122" s="14"/>
      <c r="I122" s="23">
        <v>6</v>
      </c>
      <c r="J122" s="14">
        <v>0</v>
      </c>
      <c r="K122" s="14">
        <v>0</v>
      </c>
      <c r="L122" s="14">
        <v>0</v>
      </c>
      <c r="M122" s="14">
        <v>12</v>
      </c>
      <c r="N122" s="14">
        <v>1</v>
      </c>
      <c r="O122" s="14"/>
    </row>
    <row r="123" spans="1:15">
      <c r="A123" s="8"/>
      <c r="B123" s="14">
        <v>1017</v>
      </c>
      <c r="C123" s="11" t="s">
        <v>2324</v>
      </c>
      <c r="D123" s="11" t="s">
        <v>2325</v>
      </c>
      <c r="E123" s="11" t="s">
        <v>699</v>
      </c>
      <c r="F123" s="14">
        <v>0</v>
      </c>
      <c r="G123" s="14">
        <v>3</v>
      </c>
      <c r="H123" s="14"/>
      <c r="I123" s="23">
        <v>8</v>
      </c>
      <c r="J123" s="14">
        <v>0</v>
      </c>
      <c r="K123" s="14">
        <v>0</v>
      </c>
      <c r="L123" s="14">
        <v>0</v>
      </c>
      <c r="M123" s="14">
        <v>12</v>
      </c>
      <c r="N123" s="14">
        <v>2</v>
      </c>
      <c r="O123" s="14"/>
    </row>
    <row r="124" spans="1:15">
      <c r="A124" s="8"/>
      <c r="B124" s="14">
        <v>1018</v>
      </c>
      <c r="C124" s="11" t="s">
        <v>2370</v>
      </c>
      <c r="D124" s="11" t="s">
        <v>2371</v>
      </c>
      <c r="E124" s="11"/>
      <c r="F124" s="14">
        <v>0</v>
      </c>
      <c r="G124" s="14">
        <v>3</v>
      </c>
      <c r="H124" s="14"/>
      <c r="I124" s="23">
        <v>7</v>
      </c>
      <c r="J124" s="14">
        <v>0</v>
      </c>
      <c r="K124" s="14">
        <v>0</v>
      </c>
      <c r="L124" s="14">
        <v>0</v>
      </c>
      <c r="M124" s="14">
        <v>51</v>
      </c>
      <c r="N124" s="14"/>
      <c r="O124" s="14">
        <v>5</v>
      </c>
    </row>
    <row r="125" spans="1:15">
      <c r="A125" s="8"/>
      <c r="B125" s="14">
        <v>1101</v>
      </c>
      <c r="C125" s="11" t="s">
        <v>1462</v>
      </c>
      <c r="D125" s="11" t="s">
        <v>374</v>
      </c>
      <c r="E125" s="11" t="s">
        <v>699</v>
      </c>
      <c r="F125" s="14">
        <v>1</v>
      </c>
      <c r="G125" s="14">
        <v>1</v>
      </c>
      <c r="H125" s="14"/>
      <c r="I125" s="23">
        <v>7</v>
      </c>
      <c r="J125" s="14">
        <v>0</v>
      </c>
      <c r="K125" s="14">
        <v>0</v>
      </c>
      <c r="L125" s="14">
        <v>0</v>
      </c>
      <c r="M125" s="14">
        <v>12</v>
      </c>
      <c r="N125" s="14">
        <v>1</v>
      </c>
      <c r="O125" s="14"/>
    </row>
    <row r="126" spans="1:15">
      <c r="A126" s="8"/>
      <c r="B126" s="14">
        <v>1102</v>
      </c>
      <c r="C126" s="11" t="s">
        <v>375</v>
      </c>
      <c r="D126" s="11" t="s">
        <v>1171</v>
      </c>
      <c r="E126" s="11" t="s">
        <v>699</v>
      </c>
      <c r="F126" s="14">
        <v>1</v>
      </c>
      <c r="G126" s="14">
        <v>1</v>
      </c>
      <c r="H126" s="14" t="s">
        <v>1148</v>
      </c>
      <c r="I126" s="23">
        <v>7</v>
      </c>
      <c r="J126" s="14">
        <v>0</v>
      </c>
      <c r="K126" s="14">
        <v>0</v>
      </c>
      <c r="L126" s="14">
        <v>0</v>
      </c>
      <c r="M126" s="14">
        <v>13</v>
      </c>
      <c r="N126" s="14">
        <v>50</v>
      </c>
      <c r="O126" s="14"/>
    </row>
    <row r="127" spans="1:15">
      <c r="A127" s="8"/>
      <c r="B127" s="14">
        <v>1103</v>
      </c>
      <c r="C127" s="11" t="s">
        <v>376</v>
      </c>
      <c r="D127" s="11" t="s">
        <v>1172</v>
      </c>
      <c r="E127" s="11" t="s">
        <v>699</v>
      </c>
      <c r="F127" s="14">
        <v>1</v>
      </c>
      <c r="G127" s="14">
        <v>1</v>
      </c>
      <c r="H127" s="14"/>
      <c r="I127" s="23">
        <v>6</v>
      </c>
      <c r="J127" s="14">
        <v>0</v>
      </c>
      <c r="K127" s="14">
        <v>0</v>
      </c>
      <c r="L127" s="14">
        <v>0</v>
      </c>
      <c r="M127" s="14">
        <v>14</v>
      </c>
      <c r="N127" s="14">
        <v>5</v>
      </c>
      <c r="O127" s="14"/>
    </row>
    <row r="128" spans="1:15">
      <c r="A128" s="8"/>
      <c r="B128" s="14">
        <v>1104</v>
      </c>
      <c r="C128" s="11" t="s">
        <v>377</v>
      </c>
      <c r="D128" s="11" t="s">
        <v>1173</v>
      </c>
      <c r="E128" s="11" t="s">
        <v>699</v>
      </c>
      <c r="F128" s="14">
        <v>1</v>
      </c>
      <c r="G128" s="14">
        <v>1</v>
      </c>
      <c r="H128" s="14"/>
      <c r="I128" s="23">
        <v>7</v>
      </c>
      <c r="J128" s="14">
        <v>0</v>
      </c>
      <c r="K128" s="14">
        <v>0</v>
      </c>
      <c r="L128" s="14">
        <v>0</v>
      </c>
      <c r="M128" s="14">
        <v>11</v>
      </c>
      <c r="N128" s="14">
        <v>30</v>
      </c>
      <c r="O128" s="14">
        <v>1</v>
      </c>
    </row>
    <row r="129" spans="1:15">
      <c r="A129" s="8"/>
      <c r="B129" s="14">
        <v>1105</v>
      </c>
      <c r="C129" s="11" t="s">
        <v>378</v>
      </c>
      <c r="D129" s="11" t="s">
        <v>1174</v>
      </c>
      <c r="E129" s="11" t="s">
        <v>699</v>
      </c>
      <c r="F129" s="14">
        <v>1</v>
      </c>
      <c r="G129" s="14">
        <v>1</v>
      </c>
      <c r="H129" s="14"/>
      <c r="I129" s="23">
        <v>4</v>
      </c>
      <c r="J129" s="14">
        <v>0</v>
      </c>
      <c r="K129" s="14">
        <v>0</v>
      </c>
      <c r="L129" s="14">
        <v>0</v>
      </c>
      <c r="M129" s="14">
        <v>13</v>
      </c>
      <c r="N129" s="14">
        <v>10</v>
      </c>
      <c r="O129" s="14"/>
    </row>
    <row r="130" spans="1:15">
      <c r="A130" s="8"/>
      <c r="B130" s="14">
        <v>1106</v>
      </c>
      <c r="C130" s="11" t="s">
        <v>379</v>
      </c>
      <c r="D130" s="11" t="s">
        <v>1175</v>
      </c>
      <c r="E130" s="11" t="s">
        <v>699</v>
      </c>
      <c r="F130" s="14">
        <v>1</v>
      </c>
      <c r="G130" s="14">
        <v>1</v>
      </c>
      <c r="H130" s="14"/>
      <c r="I130" s="23">
        <v>6</v>
      </c>
      <c r="J130" s="14">
        <v>0</v>
      </c>
      <c r="K130" s="14">
        <v>0</v>
      </c>
      <c r="L130" s="14">
        <v>0</v>
      </c>
      <c r="M130" s="14">
        <v>13</v>
      </c>
      <c r="N130" s="14">
        <v>7</v>
      </c>
      <c r="O130" s="14"/>
    </row>
    <row r="131" spans="1:15">
      <c r="A131" s="8"/>
      <c r="B131" s="14">
        <v>1107</v>
      </c>
      <c r="C131" s="11" t="s">
        <v>1463</v>
      </c>
      <c r="D131" s="11" t="s">
        <v>1414</v>
      </c>
      <c r="E131" s="11" t="s">
        <v>699</v>
      </c>
      <c r="F131" s="14">
        <v>1</v>
      </c>
      <c r="G131" s="14">
        <v>2</v>
      </c>
      <c r="H131" s="14"/>
      <c r="I131" s="23">
        <v>7</v>
      </c>
      <c r="J131" s="14">
        <v>0</v>
      </c>
      <c r="K131" s="14">
        <v>0</v>
      </c>
      <c r="L131" s="14">
        <v>0</v>
      </c>
      <c r="M131" s="14">
        <v>12</v>
      </c>
      <c r="N131" s="14">
        <v>1</v>
      </c>
      <c r="O131" s="14"/>
    </row>
    <row r="132" spans="1:15">
      <c r="A132" s="8"/>
      <c r="B132" s="14">
        <v>1108</v>
      </c>
      <c r="C132" s="11" t="s">
        <v>1464</v>
      </c>
      <c r="D132" s="11" t="s">
        <v>1415</v>
      </c>
      <c r="E132" s="11" t="s">
        <v>699</v>
      </c>
      <c r="F132" s="14">
        <v>1</v>
      </c>
      <c r="G132" s="14">
        <v>2</v>
      </c>
      <c r="H132" s="14"/>
      <c r="I132" s="23">
        <v>6</v>
      </c>
      <c r="J132" s="14">
        <v>0</v>
      </c>
      <c r="K132" s="14">
        <v>0</v>
      </c>
      <c r="L132" s="14">
        <v>0</v>
      </c>
      <c r="M132" s="14">
        <v>13</v>
      </c>
      <c r="N132" s="14">
        <v>7</v>
      </c>
      <c r="O132" s="14"/>
    </row>
    <row r="133" spans="1:15">
      <c r="A133" s="8"/>
      <c r="B133" s="14">
        <v>1109</v>
      </c>
      <c r="C133" s="11" t="s">
        <v>1104</v>
      </c>
      <c r="D133" s="11" t="s">
        <v>1176</v>
      </c>
      <c r="E133" s="11" t="s">
        <v>699</v>
      </c>
      <c r="F133" s="14">
        <v>1</v>
      </c>
      <c r="G133" s="14">
        <v>1</v>
      </c>
      <c r="H133" s="14" t="s">
        <v>1423</v>
      </c>
      <c r="I133" s="23">
        <v>7</v>
      </c>
      <c r="J133" s="14">
        <v>0</v>
      </c>
      <c r="K133" s="14">
        <v>0</v>
      </c>
      <c r="L133" s="14">
        <v>0</v>
      </c>
      <c r="M133" s="14">
        <v>12</v>
      </c>
      <c r="N133" s="14">
        <v>3</v>
      </c>
      <c r="O133" s="14"/>
    </row>
    <row r="134" spans="1:15">
      <c r="A134" s="8"/>
      <c r="B134" s="14">
        <v>1110</v>
      </c>
      <c r="C134" s="11" t="s">
        <v>1465</v>
      </c>
      <c r="D134" s="11" t="s">
        <v>1177</v>
      </c>
      <c r="E134" s="11" t="s">
        <v>699</v>
      </c>
      <c r="F134" s="14">
        <v>1</v>
      </c>
      <c r="G134" s="14">
        <v>3</v>
      </c>
      <c r="H134" s="14"/>
      <c r="I134" s="23">
        <v>7</v>
      </c>
      <c r="J134" s="14">
        <v>0</v>
      </c>
      <c r="K134" s="14">
        <v>0</v>
      </c>
      <c r="L134" s="14">
        <v>0</v>
      </c>
      <c r="M134" s="14">
        <v>13</v>
      </c>
      <c r="N134" s="14">
        <v>7</v>
      </c>
      <c r="O134" s="14"/>
    </row>
    <row r="135" spans="1:15">
      <c r="A135" s="8"/>
      <c r="B135" s="14">
        <v>1111</v>
      </c>
      <c r="C135" s="11" t="s">
        <v>1613</v>
      </c>
      <c r="D135" s="11" t="s">
        <v>1178</v>
      </c>
      <c r="E135" s="11" t="s">
        <v>699</v>
      </c>
      <c r="F135" s="14">
        <v>1</v>
      </c>
      <c r="G135" s="14">
        <v>1</v>
      </c>
      <c r="H135" s="14" t="s">
        <v>1466</v>
      </c>
      <c r="I135" s="23">
        <v>7</v>
      </c>
      <c r="J135" s="14">
        <v>0</v>
      </c>
      <c r="K135" s="14">
        <v>0</v>
      </c>
      <c r="L135" s="14">
        <v>0</v>
      </c>
      <c r="M135" s="14">
        <v>12</v>
      </c>
      <c r="N135" s="14">
        <v>1</v>
      </c>
      <c r="O135" s="14"/>
    </row>
    <row r="136" spans="1:15">
      <c r="A136" s="8"/>
      <c r="B136" s="14">
        <v>1112</v>
      </c>
      <c r="C136" s="11" t="s">
        <v>1219</v>
      </c>
      <c r="D136" s="11" t="s">
        <v>1179</v>
      </c>
      <c r="E136" s="11" t="s">
        <v>699</v>
      </c>
      <c r="F136" s="14">
        <v>1</v>
      </c>
      <c r="G136" s="14">
        <v>1</v>
      </c>
      <c r="H136" s="14" t="s">
        <v>1180</v>
      </c>
      <c r="I136" s="23">
        <v>7</v>
      </c>
      <c r="J136" s="14">
        <v>0</v>
      </c>
      <c r="K136" s="14">
        <v>0</v>
      </c>
      <c r="L136" s="14">
        <v>0</v>
      </c>
      <c r="M136" s="14">
        <v>12</v>
      </c>
      <c r="N136" s="14">
        <v>1</v>
      </c>
      <c r="O136" s="14"/>
    </row>
    <row r="137" spans="1:15">
      <c r="A137" s="8"/>
      <c r="B137" s="14">
        <v>1113</v>
      </c>
      <c r="C137" s="11" t="s">
        <v>1220</v>
      </c>
      <c r="D137" s="11" t="s">
        <v>1181</v>
      </c>
      <c r="E137" s="11" t="s">
        <v>699</v>
      </c>
      <c r="F137" s="14">
        <v>1</v>
      </c>
      <c r="G137" s="14">
        <v>1</v>
      </c>
      <c r="H137" s="14" t="s">
        <v>1182</v>
      </c>
      <c r="I137" s="23">
        <v>7</v>
      </c>
      <c r="J137" s="14">
        <v>0</v>
      </c>
      <c r="K137" s="14">
        <v>0</v>
      </c>
      <c r="L137" s="14">
        <v>0</v>
      </c>
      <c r="M137" s="14">
        <v>13</v>
      </c>
      <c r="N137" s="14">
        <v>15</v>
      </c>
      <c r="O137" s="14"/>
    </row>
    <row r="138" spans="1:15">
      <c r="A138" s="8"/>
      <c r="B138" s="14">
        <v>1114</v>
      </c>
      <c r="C138" s="11" t="s">
        <v>1221</v>
      </c>
      <c r="D138" s="11" t="s">
        <v>1183</v>
      </c>
      <c r="E138" s="11" t="s">
        <v>699</v>
      </c>
      <c r="F138" s="14">
        <v>1</v>
      </c>
      <c r="G138" s="14">
        <v>1</v>
      </c>
      <c r="H138" s="14" t="s">
        <v>1423</v>
      </c>
      <c r="I138" s="23">
        <v>6</v>
      </c>
      <c r="J138" s="14">
        <v>0</v>
      </c>
      <c r="K138" s="14">
        <v>0</v>
      </c>
      <c r="L138" s="14">
        <v>0</v>
      </c>
      <c r="M138" s="14">
        <v>14</v>
      </c>
      <c r="N138" s="14">
        <v>10</v>
      </c>
      <c r="O138" s="14"/>
    </row>
    <row r="139" spans="1:15">
      <c r="A139" s="8"/>
      <c r="B139" s="14">
        <v>1115</v>
      </c>
      <c r="C139" s="11" t="s">
        <v>1222</v>
      </c>
      <c r="D139" s="11" t="s">
        <v>1184</v>
      </c>
      <c r="E139" s="11" t="s">
        <v>699</v>
      </c>
      <c r="F139" s="14">
        <v>1</v>
      </c>
      <c r="G139" s="14">
        <v>1</v>
      </c>
      <c r="H139" s="14"/>
      <c r="I139" s="23">
        <v>5</v>
      </c>
      <c r="J139" s="14">
        <v>0</v>
      </c>
      <c r="K139" s="14">
        <v>0</v>
      </c>
      <c r="L139" s="14">
        <v>0</v>
      </c>
      <c r="M139" s="14">
        <v>13</v>
      </c>
      <c r="N139" s="14">
        <v>10</v>
      </c>
      <c r="O139" s="14"/>
    </row>
    <row r="140" spans="1:15">
      <c r="A140" s="8"/>
      <c r="B140" s="14">
        <v>1116</v>
      </c>
      <c r="C140" s="11" t="s">
        <v>1223</v>
      </c>
      <c r="D140" s="11" t="s">
        <v>1185</v>
      </c>
      <c r="E140" s="11" t="s">
        <v>699</v>
      </c>
      <c r="F140" s="14">
        <v>1</v>
      </c>
      <c r="G140" s="14">
        <v>1</v>
      </c>
      <c r="H140" s="14"/>
      <c r="I140" s="23">
        <v>5</v>
      </c>
      <c r="J140" s="14">
        <v>0</v>
      </c>
      <c r="K140" s="14">
        <v>0</v>
      </c>
      <c r="L140" s="14">
        <v>0</v>
      </c>
      <c r="M140" s="14">
        <v>12</v>
      </c>
      <c r="N140" s="14">
        <v>1</v>
      </c>
      <c r="O140" s="14"/>
    </row>
    <row r="141" spans="1:15">
      <c r="A141" s="8"/>
      <c r="B141" s="14">
        <v>1117</v>
      </c>
      <c r="C141" s="11" t="s">
        <v>1480</v>
      </c>
      <c r="D141" s="11" t="s">
        <v>1481</v>
      </c>
      <c r="E141" s="11" t="s">
        <v>699</v>
      </c>
      <c r="F141" s="14">
        <v>1</v>
      </c>
      <c r="G141" s="14">
        <v>1</v>
      </c>
      <c r="H141" s="14"/>
      <c r="I141" s="23">
        <v>99</v>
      </c>
      <c r="J141" s="14">
        <v>0</v>
      </c>
      <c r="K141" s="14">
        <v>0</v>
      </c>
      <c r="L141" s="14">
        <v>0</v>
      </c>
      <c r="M141" s="14">
        <v>2</v>
      </c>
      <c r="N141" s="14">
        <v>10</v>
      </c>
      <c r="O141" s="14"/>
    </row>
    <row r="142" spans="1:15">
      <c r="A142" s="8"/>
      <c r="B142" s="14">
        <v>1118</v>
      </c>
      <c r="C142" s="11" t="s">
        <v>1589</v>
      </c>
      <c r="D142" s="11" t="s">
        <v>1590</v>
      </c>
      <c r="E142" s="11" t="s">
        <v>699</v>
      </c>
      <c r="F142" s="14">
        <v>1</v>
      </c>
      <c r="G142" s="14">
        <v>3</v>
      </c>
      <c r="H142" s="14" t="s">
        <v>1591</v>
      </c>
      <c r="I142" s="23">
        <v>7</v>
      </c>
      <c r="J142" s="14">
        <v>0</v>
      </c>
      <c r="K142" s="14">
        <v>0</v>
      </c>
      <c r="L142" s="14">
        <v>0</v>
      </c>
      <c r="M142" s="14">
        <v>12</v>
      </c>
      <c r="N142" s="14">
        <v>1</v>
      </c>
      <c r="O142" s="14"/>
    </row>
    <row r="143" spans="1:15">
      <c r="A143" s="8"/>
      <c r="B143" s="14">
        <v>1119</v>
      </c>
      <c r="C143" s="11" t="s">
        <v>1592</v>
      </c>
      <c r="D143" s="11" t="s">
        <v>1593</v>
      </c>
      <c r="E143" s="11" t="s">
        <v>699</v>
      </c>
      <c r="F143" s="14">
        <v>1</v>
      </c>
      <c r="G143" s="14">
        <v>3</v>
      </c>
      <c r="H143" s="14" t="s">
        <v>1594</v>
      </c>
      <c r="I143" s="23">
        <v>7</v>
      </c>
      <c r="J143" s="14">
        <v>0</v>
      </c>
      <c r="K143" s="14">
        <v>0</v>
      </c>
      <c r="L143" s="14">
        <v>0</v>
      </c>
      <c r="M143" s="14">
        <v>12</v>
      </c>
      <c r="N143" s="14">
        <v>1</v>
      </c>
      <c r="O143" s="14"/>
    </row>
    <row r="144" spans="1:15">
      <c r="A144" s="8"/>
      <c r="B144" s="14">
        <v>1120</v>
      </c>
      <c r="C144" s="11" t="s">
        <v>1949</v>
      </c>
      <c r="D144" s="11" t="s">
        <v>2126</v>
      </c>
      <c r="E144" s="11" t="s">
        <v>699</v>
      </c>
      <c r="F144" s="14">
        <v>1</v>
      </c>
      <c r="G144" s="14">
        <v>3</v>
      </c>
      <c r="H144" s="14" t="s">
        <v>2127</v>
      </c>
      <c r="I144" s="23">
        <v>6</v>
      </c>
      <c r="J144" s="14">
        <v>0</v>
      </c>
      <c r="K144" s="14">
        <v>0</v>
      </c>
      <c r="L144" s="14">
        <v>0</v>
      </c>
      <c r="M144" s="14">
        <v>0</v>
      </c>
      <c r="N144" s="14">
        <v>0</v>
      </c>
      <c r="O144" s="14"/>
    </row>
    <row r="145" spans="1:15">
      <c r="A145" s="8"/>
      <c r="B145" s="14">
        <v>1131</v>
      </c>
      <c r="C145" s="11" t="s">
        <v>2089</v>
      </c>
      <c r="D145" s="11" t="s">
        <v>2128</v>
      </c>
      <c r="E145" s="11" t="s">
        <v>699</v>
      </c>
      <c r="F145" s="14">
        <v>1</v>
      </c>
      <c r="G145" s="14">
        <v>3</v>
      </c>
      <c r="H145" s="14" t="s">
        <v>2129</v>
      </c>
      <c r="I145" s="23">
        <v>4</v>
      </c>
      <c r="J145" s="14">
        <v>0</v>
      </c>
      <c r="K145" s="14">
        <v>0</v>
      </c>
      <c r="L145" s="14">
        <v>0</v>
      </c>
      <c r="M145" s="14">
        <v>14</v>
      </c>
      <c r="N145" s="14">
        <v>5</v>
      </c>
      <c r="O145" s="14"/>
    </row>
    <row r="146" spans="1:15">
      <c r="A146" s="8"/>
      <c r="B146" s="14">
        <v>1132</v>
      </c>
      <c r="C146" s="11" t="s">
        <v>2575</v>
      </c>
      <c r="D146" s="11" t="s">
        <v>2154</v>
      </c>
      <c r="E146" s="11"/>
      <c r="F146" s="14">
        <v>1</v>
      </c>
      <c r="G146" s="14">
        <v>1</v>
      </c>
      <c r="H146" s="14" t="s">
        <v>1182</v>
      </c>
      <c r="I146" s="23">
        <v>4</v>
      </c>
      <c r="J146" s="14">
        <v>0</v>
      </c>
      <c r="K146" s="14">
        <v>0</v>
      </c>
      <c r="L146" s="14">
        <v>0</v>
      </c>
      <c r="M146" s="14">
        <v>14</v>
      </c>
      <c r="N146" s="14">
        <v>10</v>
      </c>
      <c r="O146" s="14"/>
    </row>
    <row r="147" spans="1:15">
      <c r="A147" s="8"/>
      <c r="B147" s="14">
        <v>1133</v>
      </c>
      <c r="C147" s="11" t="s">
        <v>2163</v>
      </c>
      <c r="D147" s="11" t="s">
        <v>2164</v>
      </c>
      <c r="E147" s="11" t="s">
        <v>699</v>
      </c>
      <c r="F147" s="14">
        <v>1</v>
      </c>
      <c r="G147" s="14">
        <v>3</v>
      </c>
      <c r="H147" s="14" t="s">
        <v>2165</v>
      </c>
      <c r="I147" s="23">
        <v>4</v>
      </c>
      <c r="J147" s="14">
        <v>0</v>
      </c>
      <c r="K147" s="14">
        <v>0</v>
      </c>
      <c r="L147" s="14">
        <v>0</v>
      </c>
      <c r="M147" s="14">
        <v>12</v>
      </c>
      <c r="N147" s="14">
        <v>2</v>
      </c>
      <c r="O147" s="14"/>
    </row>
    <row r="148" spans="1:15">
      <c r="A148" s="8"/>
      <c r="B148" s="14">
        <v>1134</v>
      </c>
      <c r="C148" s="11" t="s">
        <v>2312</v>
      </c>
      <c r="D148" s="11" t="s">
        <v>2313</v>
      </c>
      <c r="E148" s="11" t="s">
        <v>699</v>
      </c>
      <c r="F148" s="14">
        <v>1</v>
      </c>
      <c r="G148" s="14">
        <v>2</v>
      </c>
      <c r="H148" s="14"/>
      <c r="I148" s="23">
        <v>4</v>
      </c>
      <c r="J148" s="14">
        <v>0</v>
      </c>
      <c r="K148" s="14">
        <v>0</v>
      </c>
      <c r="L148" s="14">
        <v>0</v>
      </c>
      <c r="M148" s="14">
        <v>13</v>
      </c>
      <c r="N148" s="14">
        <v>5</v>
      </c>
      <c r="O148" s="14"/>
    </row>
    <row r="149" spans="1:15">
      <c r="A149" s="8"/>
      <c r="B149" s="14">
        <v>1135</v>
      </c>
      <c r="C149" s="11" t="s">
        <v>2321</v>
      </c>
      <c r="D149" s="11" t="s">
        <v>2322</v>
      </c>
      <c r="E149" s="11"/>
      <c r="F149" s="14">
        <v>1</v>
      </c>
      <c r="G149" s="14">
        <v>3</v>
      </c>
      <c r="H149" s="14" t="s">
        <v>2323</v>
      </c>
      <c r="I149" s="23">
        <v>7</v>
      </c>
      <c r="J149" s="14">
        <v>0</v>
      </c>
      <c r="K149" s="14">
        <v>0</v>
      </c>
      <c r="L149" s="14">
        <v>0</v>
      </c>
      <c r="M149" s="14">
        <v>12</v>
      </c>
      <c r="N149" s="14">
        <v>1</v>
      </c>
      <c r="O149" s="14"/>
    </row>
    <row r="150" spans="1:15">
      <c r="A150" s="8"/>
      <c r="B150" s="14">
        <v>1136</v>
      </c>
      <c r="C150" s="11" t="s">
        <v>2434</v>
      </c>
      <c r="D150" s="11" t="s">
        <v>2435</v>
      </c>
      <c r="E150" s="11"/>
      <c r="F150" s="14">
        <v>1</v>
      </c>
      <c r="G150" s="14">
        <v>3</v>
      </c>
      <c r="H150" s="14" t="s">
        <v>2436</v>
      </c>
      <c r="I150" s="23">
        <v>6</v>
      </c>
      <c r="J150" s="14">
        <v>0</v>
      </c>
      <c r="K150" s="14">
        <v>0</v>
      </c>
      <c r="L150" s="14">
        <v>0</v>
      </c>
      <c r="M150" s="14">
        <v>12</v>
      </c>
      <c r="N150" s="14">
        <v>1</v>
      </c>
      <c r="O150" s="14"/>
    </row>
    <row r="151" spans="1:15">
      <c r="A151" s="8"/>
      <c r="B151" s="14">
        <v>1137</v>
      </c>
      <c r="C151" s="11" t="s">
        <v>2502</v>
      </c>
      <c r="D151" s="11" t="s">
        <v>2503</v>
      </c>
      <c r="E151" s="11"/>
      <c r="F151" s="14">
        <v>1</v>
      </c>
      <c r="G151" s="14">
        <v>1</v>
      </c>
      <c r="H151" s="14"/>
      <c r="I151" s="23">
        <v>7</v>
      </c>
      <c r="J151" s="14">
        <v>0</v>
      </c>
      <c r="K151" s="14">
        <v>0</v>
      </c>
      <c r="L151" s="14">
        <v>0</v>
      </c>
      <c r="M151" s="14">
        <v>52</v>
      </c>
      <c r="N151" s="14">
        <v>1</v>
      </c>
      <c r="O151" s="14"/>
    </row>
    <row r="152" spans="1:15">
      <c r="A152" s="8"/>
      <c r="B152" s="14">
        <v>1203</v>
      </c>
      <c r="C152" s="11" t="s">
        <v>775</v>
      </c>
      <c r="D152" s="11" t="s">
        <v>1186</v>
      </c>
      <c r="E152" s="11" t="s">
        <v>699</v>
      </c>
      <c r="F152" s="14">
        <v>2</v>
      </c>
      <c r="G152" s="14">
        <v>1</v>
      </c>
      <c r="H152" s="14" t="s">
        <v>1424</v>
      </c>
      <c r="I152" s="23">
        <v>7</v>
      </c>
      <c r="J152" s="14">
        <v>0</v>
      </c>
      <c r="K152" s="14">
        <v>0</v>
      </c>
      <c r="L152" s="14">
        <v>0</v>
      </c>
      <c r="M152" s="14">
        <v>11</v>
      </c>
      <c r="N152" s="14">
        <v>50</v>
      </c>
      <c r="O152" s="14">
        <v>1</v>
      </c>
    </row>
    <row r="153" spans="1:15">
      <c r="A153" s="8"/>
      <c r="B153" s="14">
        <v>1204</v>
      </c>
      <c r="C153" s="11" t="s">
        <v>1885</v>
      </c>
      <c r="D153" s="11" t="s">
        <v>1886</v>
      </c>
      <c r="E153" s="11" t="s">
        <v>699</v>
      </c>
      <c r="F153" s="14">
        <v>1</v>
      </c>
      <c r="G153" s="14">
        <v>1</v>
      </c>
      <c r="H153" s="14" t="s">
        <v>1887</v>
      </c>
      <c r="I153" s="23">
        <v>6</v>
      </c>
      <c r="J153" s="14">
        <v>0</v>
      </c>
      <c r="K153" s="14">
        <v>0</v>
      </c>
      <c r="L153" s="14">
        <v>0</v>
      </c>
      <c r="M153" s="14">
        <v>12</v>
      </c>
      <c r="N153" s="14">
        <v>1</v>
      </c>
      <c r="O153" s="14"/>
    </row>
    <row r="154" spans="1:15">
      <c r="A154" s="8"/>
      <c r="B154" s="14">
        <v>1205</v>
      </c>
      <c r="C154" s="11" t="s">
        <v>1624</v>
      </c>
      <c r="D154" s="11" t="s">
        <v>1888</v>
      </c>
      <c r="E154" s="11" t="s">
        <v>699</v>
      </c>
      <c r="F154" s="14">
        <v>2</v>
      </c>
      <c r="G154" s="14">
        <v>3</v>
      </c>
      <c r="H154" s="14" t="s">
        <v>1887</v>
      </c>
      <c r="I154" s="23">
        <v>99</v>
      </c>
      <c r="J154" s="14">
        <v>0</v>
      </c>
      <c r="K154" s="14">
        <v>0</v>
      </c>
      <c r="L154" s="14">
        <v>0</v>
      </c>
      <c r="M154" s="14">
        <v>13</v>
      </c>
      <c r="N154" s="14">
        <v>15</v>
      </c>
      <c r="O154" s="14"/>
    </row>
    <row r="155" spans="1:15">
      <c r="A155" s="8"/>
      <c r="B155" s="14">
        <v>1302</v>
      </c>
      <c r="C155" s="11" t="s">
        <v>2130</v>
      </c>
      <c r="D155" s="11" t="s">
        <v>2131</v>
      </c>
      <c r="E155" s="11" t="s">
        <v>699</v>
      </c>
      <c r="F155" s="14">
        <v>3</v>
      </c>
      <c r="G155" s="14">
        <v>1</v>
      </c>
      <c r="H155" s="14" t="s">
        <v>1424</v>
      </c>
      <c r="I155" s="23">
        <v>4</v>
      </c>
      <c r="J155" s="14">
        <v>0</v>
      </c>
      <c r="K155" s="14">
        <v>0</v>
      </c>
      <c r="L155" s="14">
        <v>0</v>
      </c>
      <c r="M155" s="14">
        <v>11</v>
      </c>
      <c r="N155" s="14">
        <v>15</v>
      </c>
      <c r="O155" s="14">
        <v>1</v>
      </c>
    </row>
    <row r="156" spans="1:15">
      <c r="A156" s="8"/>
      <c r="B156" s="14">
        <v>1401</v>
      </c>
      <c r="C156" s="11" t="s">
        <v>2433</v>
      </c>
      <c r="D156" s="11" t="s">
        <v>2432</v>
      </c>
      <c r="E156" s="11"/>
      <c r="F156" s="14">
        <v>4</v>
      </c>
      <c r="G156" s="14">
        <v>1</v>
      </c>
      <c r="H156" s="14"/>
      <c r="I156" s="23">
        <v>7</v>
      </c>
      <c r="J156" s="14">
        <v>0</v>
      </c>
      <c r="K156" s="14">
        <v>0</v>
      </c>
      <c r="L156" s="14">
        <v>0</v>
      </c>
      <c r="M156" s="14">
        <v>30</v>
      </c>
      <c r="N156" s="14">
        <v>2</v>
      </c>
      <c r="O156" s="14"/>
    </row>
    <row r="157" spans="1:15">
      <c r="A157" s="8"/>
      <c r="B157" s="14">
        <v>1402</v>
      </c>
      <c r="C157" s="11" t="s">
        <v>2446</v>
      </c>
      <c r="D157" s="11" t="s">
        <v>2447</v>
      </c>
      <c r="E157" s="11"/>
      <c r="F157" s="14">
        <v>5</v>
      </c>
      <c r="G157" s="14">
        <v>3</v>
      </c>
      <c r="H157" s="14"/>
      <c r="I157" s="23">
        <v>7</v>
      </c>
      <c r="J157" s="14">
        <v>0</v>
      </c>
      <c r="K157" s="14">
        <v>0</v>
      </c>
      <c r="L157" s="14">
        <v>0</v>
      </c>
      <c r="M157" s="14">
        <v>9</v>
      </c>
      <c r="N157" s="14">
        <v>5</v>
      </c>
      <c r="O157" s="14"/>
    </row>
    <row r="158" spans="1:15">
      <c r="A158" s="8"/>
      <c r="B158" s="14">
        <v>1501</v>
      </c>
      <c r="C158" s="11" t="s">
        <v>382</v>
      </c>
      <c r="D158" s="11" t="s">
        <v>383</v>
      </c>
      <c r="E158" s="11" t="s">
        <v>699</v>
      </c>
      <c r="F158" s="14">
        <v>2</v>
      </c>
      <c r="G158" s="14">
        <v>0</v>
      </c>
      <c r="H158" s="14"/>
      <c r="I158" s="23">
        <v>99</v>
      </c>
      <c r="J158" s="14">
        <v>0</v>
      </c>
      <c r="K158" s="14">
        <v>0</v>
      </c>
      <c r="L158" s="14">
        <v>0</v>
      </c>
      <c r="M158" s="14">
        <v>0</v>
      </c>
      <c r="N158" s="14">
        <v>20</v>
      </c>
      <c r="O158" s="14"/>
    </row>
    <row r="159" spans="1:15">
      <c r="A159" s="8"/>
      <c r="B159" s="14">
        <v>1502</v>
      </c>
      <c r="C159" s="11" t="s">
        <v>384</v>
      </c>
      <c r="D159" s="11" t="s">
        <v>1187</v>
      </c>
      <c r="E159" s="11" t="s">
        <v>699</v>
      </c>
      <c r="F159" s="14">
        <v>3</v>
      </c>
      <c r="G159" s="14">
        <v>1</v>
      </c>
      <c r="H159" s="14" t="s">
        <v>1188</v>
      </c>
      <c r="I159" s="23">
        <v>7</v>
      </c>
      <c r="J159" s="14">
        <v>0</v>
      </c>
      <c r="K159" s="14">
        <v>0</v>
      </c>
      <c r="L159" s="14">
        <v>0</v>
      </c>
      <c r="M159" s="14">
        <v>11</v>
      </c>
      <c r="N159" s="14">
        <v>50</v>
      </c>
      <c r="O159" s="14">
        <v>1</v>
      </c>
    </row>
    <row r="160" spans="1:15">
      <c r="A160" s="8"/>
      <c r="B160" s="14">
        <v>1503</v>
      </c>
      <c r="C160" s="11" t="s">
        <v>1105</v>
      </c>
      <c r="D160" s="11" t="s">
        <v>1106</v>
      </c>
      <c r="E160" s="11" t="s">
        <v>699</v>
      </c>
      <c r="F160" s="14">
        <v>0</v>
      </c>
      <c r="G160" s="14">
        <v>0</v>
      </c>
      <c r="H160" s="14" t="s">
        <v>1467</v>
      </c>
      <c r="I160" s="23">
        <v>99</v>
      </c>
      <c r="J160" s="14">
        <v>0</v>
      </c>
      <c r="K160" s="14">
        <v>0</v>
      </c>
      <c r="L160" s="14">
        <v>0</v>
      </c>
      <c r="M160" s="14">
        <v>30</v>
      </c>
      <c r="N160" s="14">
        <v>1</v>
      </c>
      <c r="O160" s="14"/>
    </row>
    <row r="161" spans="1:15">
      <c r="A161" s="8"/>
      <c r="B161" s="14">
        <v>1504</v>
      </c>
      <c r="C161" s="11" t="s">
        <v>548</v>
      </c>
      <c r="D161" s="11" t="s">
        <v>1468</v>
      </c>
      <c r="E161" s="11" t="s">
        <v>699</v>
      </c>
      <c r="F161" s="14">
        <v>0</v>
      </c>
      <c r="G161" s="14">
        <v>0</v>
      </c>
      <c r="H161" s="14" t="s">
        <v>1469</v>
      </c>
      <c r="I161" s="23">
        <v>99</v>
      </c>
      <c r="J161" s="14">
        <v>0</v>
      </c>
      <c r="K161" s="14">
        <v>0</v>
      </c>
      <c r="L161" s="14">
        <v>0</v>
      </c>
      <c r="M161" s="14">
        <v>30</v>
      </c>
      <c r="N161" s="14">
        <v>1</v>
      </c>
      <c r="O161" s="14"/>
    </row>
    <row r="162" spans="1:15">
      <c r="A162" s="8"/>
      <c r="B162" s="14">
        <v>1505</v>
      </c>
      <c r="C162" s="11" t="s">
        <v>1470</v>
      </c>
      <c r="D162" s="11" t="s">
        <v>1471</v>
      </c>
      <c r="E162" s="11" t="s">
        <v>699</v>
      </c>
      <c r="F162" s="14">
        <v>99</v>
      </c>
      <c r="G162" s="14">
        <v>0</v>
      </c>
      <c r="H162" s="14" t="s">
        <v>1455</v>
      </c>
      <c r="I162" s="23">
        <v>7</v>
      </c>
      <c r="J162" s="14">
        <v>0</v>
      </c>
      <c r="K162" s="14">
        <v>0</v>
      </c>
      <c r="L162" s="14">
        <v>0</v>
      </c>
      <c r="M162" s="14">
        <v>12</v>
      </c>
      <c r="N162" s="14">
        <v>8</v>
      </c>
      <c r="O162" s="14"/>
    </row>
    <row r="163" spans="1:15">
      <c r="A163" s="8"/>
      <c r="B163" s="14">
        <v>1506</v>
      </c>
      <c r="C163" s="11" t="s">
        <v>1889</v>
      </c>
      <c r="D163" s="11" t="s">
        <v>1472</v>
      </c>
      <c r="E163" s="11" t="s">
        <v>699</v>
      </c>
      <c r="F163" s="14">
        <v>99</v>
      </c>
      <c r="G163" s="14">
        <v>3</v>
      </c>
      <c r="H163" s="14" t="s">
        <v>1473</v>
      </c>
      <c r="I163" s="23">
        <v>7</v>
      </c>
      <c r="J163" s="14">
        <v>0</v>
      </c>
      <c r="K163" s="14">
        <v>0</v>
      </c>
      <c r="L163" s="14">
        <v>0</v>
      </c>
      <c r="M163" s="14">
        <v>15</v>
      </c>
      <c r="N163" s="14">
        <v>2</v>
      </c>
      <c r="O163" s="14"/>
    </row>
    <row r="164" spans="1:15">
      <c r="A164" s="8"/>
      <c r="B164" s="14">
        <v>1507</v>
      </c>
      <c r="C164" s="11" t="s">
        <v>1224</v>
      </c>
      <c r="D164" s="11" t="s">
        <v>1189</v>
      </c>
      <c r="E164" s="11" t="s">
        <v>699</v>
      </c>
      <c r="F164" s="14">
        <v>3</v>
      </c>
      <c r="G164" s="14">
        <v>1</v>
      </c>
      <c r="H164" s="14" t="s">
        <v>1182</v>
      </c>
      <c r="I164" s="23">
        <v>7</v>
      </c>
      <c r="J164" s="14">
        <v>0</v>
      </c>
      <c r="K164" s="14">
        <v>0</v>
      </c>
      <c r="L164" s="14">
        <v>0</v>
      </c>
      <c r="M164" s="14">
        <v>11</v>
      </c>
      <c r="N164" s="14">
        <v>25</v>
      </c>
      <c r="O164" s="14">
        <v>1</v>
      </c>
    </row>
    <row r="165" spans="1:15">
      <c r="A165" s="8"/>
      <c r="B165" s="14">
        <v>1508</v>
      </c>
      <c r="C165" s="11" t="s">
        <v>1225</v>
      </c>
      <c r="D165" s="11" t="s">
        <v>1190</v>
      </c>
      <c r="E165" s="11" t="s">
        <v>699</v>
      </c>
      <c r="F165" s="14">
        <v>3</v>
      </c>
      <c r="G165" s="14">
        <v>1</v>
      </c>
      <c r="H165" s="14"/>
      <c r="I165" s="23">
        <v>7</v>
      </c>
      <c r="J165" s="14">
        <v>0</v>
      </c>
      <c r="K165" s="14">
        <v>0</v>
      </c>
      <c r="L165" s="14">
        <v>0</v>
      </c>
      <c r="M165" s="14">
        <v>32</v>
      </c>
      <c r="N165" s="14">
        <v>7</v>
      </c>
      <c r="O165" s="14">
        <v>1</v>
      </c>
    </row>
    <row r="166" spans="1:15">
      <c r="A166" s="8"/>
      <c r="B166" s="14">
        <v>1509</v>
      </c>
      <c r="C166" s="11" t="s">
        <v>1610</v>
      </c>
      <c r="D166" s="11" t="s">
        <v>1614</v>
      </c>
      <c r="E166" s="11" t="s">
        <v>699</v>
      </c>
      <c r="F166" s="14">
        <v>99</v>
      </c>
      <c r="G166" s="14">
        <v>0</v>
      </c>
      <c r="H166" s="14" t="s">
        <v>1615</v>
      </c>
      <c r="I166" s="23">
        <v>4</v>
      </c>
      <c r="J166" s="14">
        <v>0</v>
      </c>
      <c r="K166" s="14">
        <v>0</v>
      </c>
      <c r="L166" s="14">
        <v>0</v>
      </c>
      <c r="M166" s="14">
        <v>12</v>
      </c>
      <c r="N166" s="14">
        <v>2</v>
      </c>
      <c r="O166" s="14"/>
    </row>
    <row r="167" spans="1:15">
      <c r="A167" s="8"/>
      <c r="B167" s="14">
        <v>1510</v>
      </c>
      <c r="C167" s="11" t="s">
        <v>1616</v>
      </c>
      <c r="D167" s="11" t="s">
        <v>1617</v>
      </c>
      <c r="E167" s="11" t="s">
        <v>699</v>
      </c>
      <c r="F167" s="14">
        <v>0</v>
      </c>
      <c r="G167" s="14">
        <v>1</v>
      </c>
      <c r="H167" s="14" t="s">
        <v>1424</v>
      </c>
      <c r="I167" s="23">
        <v>4</v>
      </c>
      <c r="J167" s="14">
        <v>0</v>
      </c>
      <c r="K167" s="14">
        <v>0</v>
      </c>
      <c r="L167" s="14">
        <v>0</v>
      </c>
      <c r="M167" s="14">
        <v>11</v>
      </c>
      <c r="N167" s="14">
        <v>15</v>
      </c>
      <c r="O167" s="14"/>
    </row>
    <row r="168" spans="1:15">
      <c r="A168" s="8"/>
      <c r="B168" s="14">
        <v>1511</v>
      </c>
      <c r="C168" s="11" t="s">
        <v>1622</v>
      </c>
      <c r="D168" s="11" t="s">
        <v>383</v>
      </c>
      <c r="E168" s="11" t="s">
        <v>699</v>
      </c>
      <c r="F168" s="14">
        <v>2</v>
      </c>
      <c r="G168" s="14">
        <v>0</v>
      </c>
      <c r="H168" s="14"/>
      <c r="I168" s="23">
        <v>99</v>
      </c>
      <c r="J168" s="14">
        <v>0</v>
      </c>
      <c r="K168" s="14">
        <v>0</v>
      </c>
      <c r="L168" s="14">
        <v>0</v>
      </c>
      <c r="M168" s="14">
        <v>0</v>
      </c>
      <c r="N168" s="14">
        <v>10</v>
      </c>
      <c r="O168" s="14"/>
    </row>
    <row r="169" spans="1:15">
      <c r="A169" s="8"/>
      <c r="B169" s="14">
        <v>1512</v>
      </c>
      <c r="C169" s="11" t="s">
        <v>1890</v>
      </c>
      <c r="D169" s="11" t="s">
        <v>1472</v>
      </c>
      <c r="E169" s="11" t="s">
        <v>699</v>
      </c>
      <c r="F169" s="14">
        <v>99</v>
      </c>
      <c r="G169" s="14">
        <v>3</v>
      </c>
      <c r="H169" s="14" t="s">
        <v>1473</v>
      </c>
      <c r="I169" s="23">
        <v>7</v>
      </c>
      <c r="J169" s="14">
        <v>0</v>
      </c>
      <c r="K169" s="14">
        <v>0</v>
      </c>
      <c r="L169" s="14">
        <v>0</v>
      </c>
      <c r="M169" s="14">
        <v>15</v>
      </c>
      <c r="N169" s="14">
        <v>2</v>
      </c>
      <c r="O169" s="14"/>
    </row>
    <row r="170" spans="1:15">
      <c r="A170" s="8"/>
      <c r="B170" s="14">
        <v>1513</v>
      </c>
      <c r="C170" s="11" t="s">
        <v>1891</v>
      </c>
      <c r="D170" s="11" t="s">
        <v>1892</v>
      </c>
      <c r="E170" s="11" t="s">
        <v>699</v>
      </c>
      <c r="F170" s="14">
        <v>99</v>
      </c>
      <c r="G170" s="14">
        <v>0</v>
      </c>
      <c r="H170" s="14" t="s">
        <v>1893</v>
      </c>
      <c r="I170" s="23">
        <v>6</v>
      </c>
      <c r="J170" s="14">
        <v>0</v>
      </c>
      <c r="K170" s="14">
        <v>5</v>
      </c>
      <c r="L170" s="14">
        <v>0</v>
      </c>
      <c r="M170" s="14">
        <v>12</v>
      </c>
      <c r="N170" s="14">
        <v>25</v>
      </c>
      <c r="O170" s="14"/>
    </row>
    <row r="171" spans="1:15">
      <c r="A171" s="8"/>
      <c r="B171" s="14">
        <v>1514</v>
      </c>
      <c r="C171" s="11" t="s">
        <v>1894</v>
      </c>
      <c r="D171" s="11" t="s">
        <v>1895</v>
      </c>
      <c r="E171" s="11" t="s">
        <v>699</v>
      </c>
      <c r="F171" s="14">
        <v>99</v>
      </c>
      <c r="G171" s="14">
        <v>0</v>
      </c>
      <c r="H171" s="14" t="s">
        <v>1455</v>
      </c>
      <c r="I171" s="23">
        <v>7</v>
      </c>
      <c r="J171" s="14">
        <v>0</v>
      </c>
      <c r="K171" s="14">
        <v>0</v>
      </c>
      <c r="L171" s="14">
        <v>0</v>
      </c>
      <c r="M171" s="14">
        <v>12</v>
      </c>
      <c r="N171" s="14">
        <v>8</v>
      </c>
      <c r="O171" s="14"/>
    </row>
    <row r="172" spans="1:15">
      <c r="A172" s="8"/>
      <c r="B172" s="14">
        <v>1515</v>
      </c>
      <c r="C172" s="11" t="s">
        <v>2132</v>
      </c>
      <c r="D172" s="11" t="s">
        <v>1472</v>
      </c>
      <c r="E172" s="11" t="s">
        <v>699</v>
      </c>
      <c r="F172" s="14">
        <v>99</v>
      </c>
      <c r="G172" s="14">
        <v>3</v>
      </c>
      <c r="H172" s="14" t="s">
        <v>1473</v>
      </c>
      <c r="I172" s="23">
        <v>7</v>
      </c>
      <c r="J172" s="14">
        <v>0</v>
      </c>
      <c r="K172" s="14">
        <v>0</v>
      </c>
      <c r="L172" s="14">
        <v>0</v>
      </c>
      <c r="M172" s="14">
        <v>15</v>
      </c>
      <c r="N172" s="14">
        <v>2</v>
      </c>
      <c r="O172" s="14"/>
    </row>
    <row r="173" spans="1:15">
      <c r="A173" s="8"/>
      <c r="B173" s="14">
        <v>1516</v>
      </c>
      <c r="C173" s="11" t="s">
        <v>2133</v>
      </c>
      <c r="D173" s="11" t="s">
        <v>2134</v>
      </c>
      <c r="E173" s="11" t="s">
        <v>699</v>
      </c>
      <c r="F173" s="14">
        <v>99</v>
      </c>
      <c r="G173" s="14">
        <v>3</v>
      </c>
      <c r="H173" s="14"/>
      <c r="I173" s="23">
        <v>7</v>
      </c>
      <c r="J173" s="14">
        <v>0</v>
      </c>
      <c r="K173" s="14">
        <v>0</v>
      </c>
      <c r="L173" s="14">
        <v>0</v>
      </c>
      <c r="M173" s="14">
        <v>0</v>
      </c>
      <c r="N173" s="14">
        <v>1</v>
      </c>
      <c r="O173" s="14"/>
    </row>
    <row r="174" spans="1:15">
      <c r="A174" s="8"/>
      <c r="B174" s="14">
        <v>1517</v>
      </c>
      <c r="C174" s="11" t="s">
        <v>2135</v>
      </c>
      <c r="D174" s="11" t="s">
        <v>2134</v>
      </c>
      <c r="E174" s="11" t="s">
        <v>699</v>
      </c>
      <c r="F174" s="14">
        <v>99</v>
      </c>
      <c r="G174" s="14">
        <v>3</v>
      </c>
      <c r="H174" s="14"/>
      <c r="I174" s="23">
        <v>7</v>
      </c>
      <c r="J174" s="14">
        <v>0</v>
      </c>
      <c r="K174" s="14">
        <v>0</v>
      </c>
      <c r="L174" s="14">
        <v>0</v>
      </c>
      <c r="M174" s="14">
        <v>0</v>
      </c>
      <c r="N174" s="14">
        <v>1</v>
      </c>
      <c r="O174" s="14"/>
    </row>
    <row r="175" spans="1:15">
      <c r="A175" s="8"/>
      <c r="B175" s="14">
        <v>1518</v>
      </c>
      <c r="C175" s="11" t="s">
        <v>2136</v>
      </c>
      <c r="D175" s="11" t="s">
        <v>2137</v>
      </c>
      <c r="E175" s="11" t="s">
        <v>699</v>
      </c>
      <c r="F175" s="14">
        <v>99</v>
      </c>
      <c r="G175" s="14">
        <v>0</v>
      </c>
      <c r="H175" s="14"/>
      <c r="I175" s="23">
        <v>7</v>
      </c>
      <c r="J175" s="14">
        <v>0</v>
      </c>
      <c r="K175" s="14">
        <v>0</v>
      </c>
      <c r="L175" s="14">
        <v>0</v>
      </c>
      <c r="M175" s="14">
        <v>16</v>
      </c>
      <c r="N175" s="14">
        <v>2</v>
      </c>
      <c r="O175" s="14"/>
    </row>
    <row r="176" spans="1:15">
      <c r="A176" s="8"/>
      <c r="B176" s="14">
        <v>1519</v>
      </c>
      <c r="C176" s="11" t="s">
        <v>2067</v>
      </c>
      <c r="D176" s="11" t="s">
        <v>2138</v>
      </c>
      <c r="E176" s="11" t="s">
        <v>699</v>
      </c>
      <c r="F176" s="14">
        <v>99</v>
      </c>
      <c r="G176" s="14">
        <v>0</v>
      </c>
      <c r="H176" s="14"/>
      <c r="I176" s="23">
        <v>7</v>
      </c>
      <c r="J176" s="14">
        <v>0</v>
      </c>
      <c r="K176" s="14">
        <v>0</v>
      </c>
      <c r="L176" s="14">
        <v>0</v>
      </c>
      <c r="M176" s="14">
        <v>0</v>
      </c>
      <c r="N176" s="14">
        <v>1</v>
      </c>
      <c r="O176" s="14"/>
    </row>
    <row r="177" spans="1:15">
      <c r="A177" s="8"/>
      <c r="B177" s="14">
        <v>1521</v>
      </c>
      <c r="C177" s="11" t="s">
        <v>2140</v>
      </c>
      <c r="D177" s="11" t="s">
        <v>2141</v>
      </c>
      <c r="E177" s="11" t="s">
        <v>699</v>
      </c>
      <c r="F177" s="14">
        <v>99</v>
      </c>
      <c r="G177" s="14">
        <v>3</v>
      </c>
      <c r="H177" s="14" t="s">
        <v>2039</v>
      </c>
      <c r="I177" s="23">
        <v>7</v>
      </c>
      <c r="J177" s="14">
        <v>0</v>
      </c>
      <c r="K177" s="14">
        <v>0</v>
      </c>
      <c r="L177" s="14">
        <v>0</v>
      </c>
      <c r="M177" s="14">
        <v>15</v>
      </c>
      <c r="N177" s="14">
        <v>2</v>
      </c>
      <c r="O177" s="14"/>
    </row>
    <row r="178" spans="1:15">
      <c r="A178" s="8"/>
      <c r="B178" s="14">
        <v>1522</v>
      </c>
      <c r="C178" s="11" t="s">
        <v>2166</v>
      </c>
      <c r="D178" s="11" t="s">
        <v>2167</v>
      </c>
      <c r="E178" s="11" t="s">
        <v>699</v>
      </c>
      <c r="F178" s="14">
        <v>99</v>
      </c>
      <c r="G178" s="14">
        <v>3</v>
      </c>
      <c r="H178" s="14" t="s">
        <v>2165</v>
      </c>
      <c r="I178" s="23">
        <v>7</v>
      </c>
      <c r="J178" s="14">
        <v>0</v>
      </c>
      <c r="K178" s="14">
        <v>0</v>
      </c>
      <c r="L178" s="14">
        <v>0</v>
      </c>
      <c r="M178" s="14">
        <v>15</v>
      </c>
      <c r="N178" s="14">
        <v>2</v>
      </c>
      <c r="O178" s="14"/>
    </row>
    <row r="179" spans="1:15">
      <c r="A179" s="8"/>
      <c r="B179" s="14">
        <v>1523</v>
      </c>
      <c r="C179" s="11" t="s">
        <v>2335</v>
      </c>
      <c r="D179" s="11" t="s">
        <v>2336</v>
      </c>
      <c r="E179" s="11"/>
      <c r="F179" s="14">
        <v>99</v>
      </c>
      <c r="G179" s="14">
        <v>0</v>
      </c>
      <c r="H179" s="14"/>
      <c r="I179" s="23">
        <v>7</v>
      </c>
      <c r="J179" s="14">
        <v>0</v>
      </c>
      <c r="K179" s="14">
        <v>0</v>
      </c>
      <c r="L179" s="14">
        <v>0</v>
      </c>
      <c r="M179" s="14">
        <v>29</v>
      </c>
      <c r="N179" s="14">
        <v>1</v>
      </c>
      <c r="O179" s="14"/>
    </row>
    <row r="180" spans="1:15">
      <c r="A180" s="8"/>
      <c r="B180" s="14">
        <v>1524</v>
      </c>
      <c r="C180" s="11" t="s">
        <v>2411</v>
      </c>
      <c r="D180" s="11" t="s">
        <v>2412</v>
      </c>
      <c r="E180" s="11" t="s">
        <v>699</v>
      </c>
      <c r="F180" s="14">
        <v>99</v>
      </c>
      <c r="G180" s="14">
        <v>0</v>
      </c>
      <c r="H180" s="14"/>
      <c r="I180" s="23">
        <v>7</v>
      </c>
      <c r="J180" s="14">
        <v>0</v>
      </c>
      <c r="K180" s="14">
        <v>0</v>
      </c>
      <c r="L180" s="14">
        <v>0</v>
      </c>
      <c r="M180" s="14">
        <v>0</v>
      </c>
      <c r="N180" s="14"/>
      <c r="O180" s="14"/>
    </row>
    <row r="181" spans="1:15">
      <c r="A181" s="8"/>
      <c r="B181" s="14">
        <v>1525</v>
      </c>
      <c r="C181" s="11" t="s">
        <v>2441</v>
      </c>
      <c r="D181" s="11" t="s">
        <v>2141</v>
      </c>
      <c r="E181" s="11" t="s">
        <v>699</v>
      </c>
      <c r="F181" s="14">
        <v>99</v>
      </c>
      <c r="G181" s="14">
        <v>3</v>
      </c>
      <c r="H181" s="14" t="s">
        <v>2039</v>
      </c>
      <c r="I181" s="23">
        <v>7</v>
      </c>
      <c r="J181" s="14">
        <v>0</v>
      </c>
      <c r="K181" s="14">
        <v>0</v>
      </c>
      <c r="L181" s="14">
        <v>0</v>
      </c>
      <c r="M181" s="14">
        <v>15</v>
      </c>
      <c r="N181" s="14">
        <v>2</v>
      </c>
      <c r="O181" s="14"/>
    </row>
    <row r="182" spans="1:15">
      <c r="A182" s="8"/>
      <c r="B182" s="14">
        <v>1601</v>
      </c>
      <c r="C182" s="11" t="s">
        <v>2142</v>
      </c>
      <c r="D182" s="11" t="s">
        <v>2143</v>
      </c>
      <c r="E182" s="11" t="s">
        <v>699</v>
      </c>
      <c r="F182" s="14">
        <v>8</v>
      </c>
      <c r="G182" s="14">
        <v>0</v>
      </c>
      <c r="H182" s="14"/>
      <c r="I182" s="23">
        <v>6</v>
      </c>
      <c r="J182" s="14">
        <v>0</v>
      </c>
      <c r="K182" s="14">
        <v>0</v>
      </c>
      <c r="L182" s="14">
        <v>5</v>
      </c>
      <c r="M182" s="14">
        <v>16</v>
      </c>
      <c r="N182" s="14">
        <v>2</v>
      </c>
      <c r="O182" s="14"/>
    </row>
    <row r="183" spans="1:15">
      <c r="A183" s="8"/>
      <c r="B183" s="14">
        <v>1602</v>
      </c>
      <c r="C183" s="11" t="s">
        <v>2360</v>
      </c>
      <c r="D183" s="11" t="s">
        <v>2359</v>
      </c>
      <c r="E183" s="11" t="s">
        <v>699</v>
      </c>
      <c r="F183" s="14">
        <v>8</v>
      </c>
      <c r="G183" s="14">
        <v>0</v>
      </c>
      <c r="H183" s="14"/>
      <c r="I183" s="23">
        <v>6</v>
      </c>
      <c r="J183" s="14">
        <v>0</v>
      </c>
      <c r="K183" s="14">
        <v>0</v>
      </c>
      <c r="L183" s="14">
        <v>0</v>
      </c>
      <c r="M183" s="14">
        <v>14</v>
      </c>
      <c r="N183" s="14">
        <v>10</v>
      </c>
      <c r="O183" s="14"/>
    </row>
    <row r="184" spans="1:15">
      <c r="A184" s="8"/>
      <c r="B184" s="14">
        <v>1603</v>
      </c>
      <c r="C184" s="11" t="s">
        <v>2361</v>
      </c>
      <c r="D184" s="11" t="s">
        <v>2362</v>
      </c>
      <c r="E184" s="11" t="s">
        <v>699</v>
      </c>
      <c r="F184" s="14">
        <v>8</v>
      </c>
      <c r="G184" s="14">
        <v>0</v>
      </c>
      <c r="H184" s="14"/>
      <c r="I184" s="23">
        <v>6</v>
      </c>
      <c r="J184" s="14">
        <v>0</v>
      </c>
      <c r="K184" s="14">
        <v>0</v>
      </c>
      <c r="L184" s="14">
        <v>0</v>
      </c>
      <c r="M184" s="14">
        <v>12</v>
      </c>
      <c r="N184" s="14">
        <v>2</v>
      </c>
      <c r="O184" s="14"/>
    </row>
    <row r="185" spans="1:15">
      <c r="A185" s="8"/>
      <c r="B185" s="14">
        <v>1604</v>
      </c>
      <c r="C185" s="11" t="s">
        <v>2376</v>
      </c>
      <c r="D185" s="11" t="s">
        <v>2374</v>
      </c>
      <c r="E185" s="11" t="s">
        <v>699</v>
      </c>
      <c r="F185" s="14">
        <v>99</v>
      </c>
      <c r="G185" s="14">
        <v>0</v>
      </c>
      <c r="H185" s="14" t="s">
        <v>2375</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1992</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1993</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1994</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2111</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2113</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2112</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2349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2114</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1993</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2390</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1992</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2388</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2035</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2389</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2387</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2453</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2349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2455</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2454</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2463</v>
      </c>
      <c r="I2" s="9" t="s">
        <v>2464</v>
      </c>
      <c r="J2" s="9" t="s">
        <v>2465</v>
      </c>
      <c r="K2" s="9" t="s">
        <v>2466</v>
      </c>
      <c r="L2" s="9" t="s">
        <v>2467</v>
      </c>
      <c r="M2" s="9" t="s">
        <v>2468</v>
      </c>
      <c r="N2" s="9" t="s">
        <v>2475</v>
      </c>
      <c r="O2" s="9" t="s">
        <v>2476</v>
      </c>
      <c r="P2" s="9" t="s">
        <v>2477</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2474</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2290</v>
      </c>
      <c r="F7" s="14">
        <v>10</v>
      </c>
      <c r="G7" s="14">
        <v>1</v>
      </c>
      <c r="H7" s="11"/>
      <c r="I7" s="11"/>
      <c r="J7" s="11"/>
      <c r="K7" s="11"/>
      <c r="L7" s="11"/>
      <c r="M7" s="11"/>
      <c r="N7" s="11"/>
      <c r="O7" s="11"/>
      <c r="P7" s="11"/>
    </row>
    <row r="8" spans="1:16">
      <c r="A8" s="8"/>
      <c r="B8" s="14">
        <v>64</v>
      </c>
      <c r="C8" s="14">
        <v>1</v>
      </c>
      <c r="D8" s="14">
        <v>2</v>
      </c>
      <c r="E8" s="11" t="s">
        <v>2291</v>
      </c>
      <c r="F8" s="14">
        <v>10</v>
      </c>
      <c r="G8" s="14">
        <v>1</v>
      </c>
      <c r="H8" s="11"/>
      <c r="I8" s="11"/>
      <c r="J8" s="11"/>
      <c r="K8" s="11"/>
      <c r="L8" s="11"/>
      <c r="M8" s="11"/>
      <c r="N8" s="11"/>
      <c r="O8" s="11"/>
      <c r="P8" s="11"/>
    </row>
    <row r="9" spans="1:16">
      <c r="A9" s="8"/>
      <c r="B9" s="14">
        <v>64</v>
      </c>
      <c r="C9" s="14">
        <v>1</v>
      </c>
      <c r="D9" s="14">
        <v>3</v>
      </c>
      <c r="E9" s="11" t="s">
        <v>1993</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2292</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2390</v>
      </c>
      <c r="F15" s="14">
        <v>15</v>
      </c>
      <c r="G15" s="14">
        <v>1</v>
      </c>
      <c r="H15" s="11"/>
      <c r="I15" s="11"/>
      <c r="J15" s="11"/>
      <c r="K15" s="11"/>
      <c r="L15" s="11"/>
      <c r="M15" s="11"/>
      <c r="N15" s="11"/>
      <c r="O15" s="11"/>
      <c r="P15" s="11"/>
    </row>
    <row r="16" spans="1:16">
      <c r="A16" s="8"/>
      <c r="B16" s="14">
        <v>65</v>
      </c>
      <c r="C16" s="14">
        <v>2</v>
      </c>
      <c r="D16" s="14">
        <v>1</v>
      </c>
      <c r="E16" s="11" t="s">
        <v>2350</v>
      </c>
      <c r="F16" s="14">
        <v>10</v>
      </c>
      <c r="G16" s="14">
        <v>0</v>
      </c>
      <c r="H16" s="14" t="s">
        <v>2478</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1992</v>
      </c>
      <c r="F20" s="14">
        <v>10</v>
      </c>
      <c r="G20" s="14">
        <v>0</v>
      </c>
      <c r="H20" s="11" t="s">
        <v>704</v>
      </c>
      <c r="I20" s="14">
        <v>10</v>
      </c>
      <c r="J20" s="14" t="s">
        <v>2479</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2388</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2035</v>
      </c>
      <c r="F24" s="14">
        <v>15</v>
      </c>
      <c r="G24" s="14">
        <v>1</v>
      </c>
      <c r="H24" s="14"/>
      <c r="I24" s="14"/>
      <c r="J24" s="14"/>
      <c r="K24" s="14"/>
      <c r="L24" s="14"/>
      <c r="M24" s="14"/>
      <c r="N24" s="14"/>
      <c r="O24" s="14"/>
      <c r="P24" s="14"/>
    </row>
    <row r="25" spans="1:16">
      <c r="A25" s="8"/>
      <c r="B25" s="14">
        <v>66</v>
      </c>
      <c r="C25" s="14">
        <v>3</v>
      </c>
      <c r="D25" s="14">
        <v>1</v>
      </c>
      <c r="E25" s="11" t="s">
        <v>2389</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2387</v>
      </c>
      <c r="F27" s="14">
        <v>15</v>
      </c>
      <c r="G27" s="14">
        <v>1</v>
      </c>
      <c r="H27" s="14"/>
      <c r="I27" s="14"/>
      <c r="J27" s="14"/>
      <c r="K27" s="14"/>
      <c r="L27" s="14"/>
      <c r="M27" s="14"/>
      <c r="N27" s="14"/>
      <c r="O27" s="14"/>
      <c r="P27" s="14"/>
    </row>
    <row r="28" spans="1:16">
      <c r="A28" s="8"/>
      <c r="B28" s="14">
        <v>67</v>
      </c>
      <c r="C28" s="14">
        <v>1</v>
      </c>
      <c r="D28" s="14">
        <v>1</v>
      </c>
      <c r="E28" s="11" t="s">
        <v>2453</v>
      </c>
      <c r="F28" s="14">
        <v>10</v>
      </c>
      <c r="G28" s="14">
        <v>0</v>
      </c>
      <c r="H28" s="11" t="s">
        <v>704</v>
      </c>
      <c r="I28" s="11" t="s">
        <v>2471</v>
      </c>
      <c r="J28" s="11"/>
      <c r="K28" s="11" t="s">
        <v>2469</v>
      </c>
      <c r="L28" s="14">
        <v>-150</v>
      </c>
      <c r="M28" s="11"/>
      <c r="N28" s="11"/>
      <c r="O28" s="11"/>
      <c r="P28" s="11"/>
    </row>
    <row r="29" spans="1:16">
      <c r="A29" s="8"/>
      <c r="B29" s="14">
        <v>67</v>
      </c>
      <c r="C29" s="14">
        <v>1</v>
      </c>
      <c r="D29" s="14">
        <v>2</v>
      </c>
      <c r="E29" s="11" t="s">
        <v>2349</v>
      </c>
      <c r="F29" s="14">
        <v>10</v>
      </c>
      <c r="G29" s="14">
        <v>0</v>
      </c>
      <c r="H29" s="11" t="s">
        <v>706</v>
      </c>
      <c r="I29" s="11" t="s">
        <v>2470</v>
      </c>
      <c r="J29" s="11"/>
      <c r="K29" s="11"/>
      <c r="L29" s="11"/>
      <c r="M29" s="11"/>
      <c r="N29" s="11"/>
      <c r="O29" s="11"/>
      <c r="P29" s="11"/>
    </row>
    <row r="30" spans="1:16">
      <c r="A30" s="8"/>
      <c r="B30" s="14">
        <v>67</v>
      </c>
      <c r="C30" s="14">
        <v>1</v>
      </c>
      <c r="D30" s="14">
        <v>3</v>
      </c>
      <c r="E30" s="11" t="s">
        <v>2455</v>
      </c>
      <c r="F30" s="14">
        <v>15</v>
      </c>
      <c r="G30" s="14">
        <v>1</v>
      </c>
      <c r="H30" s="11"/>
      <c r="I30" s="11"/>
      <c r="J30" s="11"/>
      <c r="K30" s="11"/>
      <c r="L30" s="11"/>
      <c r="M30" s="11"/>
      <c r="N30" s="11"/>
      <c r="O30" s="11"/>
      <c r="P30" s="11"/>
    </row>
    <row r="31" spans="1:16">
      <c r="A31" s="8"/>
      <c r="B31" s="14">
        <v>67</v>
      </c>
      <c r="C31" s="14">
        <v>1</v>
      </c>
      <c r="D31" s="14">
        <v>4</v>
      </c>
      <c r="E31" s="11" t="s">
        <v>2454</v>
      </c>
      <c r="F31" s="14">
        <v>0</v>
      </c>
      <c r="G31" s="14">
        <v>0</v>
      </c>
      <c r="H31" s="11" t="s">
        <v>2472</v>
      </c>
      <c r="I31" s="11" t="s">
        <v>2471</v>
      </c>
      <c r="J31" s="11" t="s">
        <v>2473</v>
      </c>
      <c r="K31" s="11"/>
      <c r="L31" s="11"/>
      <c r="M31" s="11"/>
      <c r="N31" s="11"/>
      <c r="O31" s="11"/>
      <c r="P31" s="11"/>
    </row>
    <row r="32" spans="1:16">
      <c r="A32" s="8"/>
      <c r="B32" s="14">
        <v>68</v>
      </c>
      <c r="C32" s="14">
        <v>1</v>
      </c>
      <c r="D32" s="14">
        <v>1</v>
      </c>
      <c r="E32" s="11" t="s">
        <v>2349</v>
      </c>
      <c r="F32" s="14">
        <v>10</v>
      </c>
      <c r="G32" s="14">
        <v>0</v>
      </c>
      <c r="H32" s="11" t="s">
        <v>706</v>
      </c>
      <c r="I32" s="11" t="s">
        <v>2470</v>
      </c>
      <c r="J32" s="11"/>
      <c r="K32" s="11"/>
      <c r="L32" s="14"/>
      <c r="M32" s="11"/>
      <c r="N32" s="11"/>
      <c r="O32" s="11"/>
      <c r="P32" s="11"/>
    </row>
    <row r="33" spans="1:16">
      <c r="A33" s="8"/>
      <c r="B33" s="14">
        <v>68</v>
      </c>
      <c r="C33" s="14">
        <v>1</v>
      </c>
      <c r="D33" s="14">
        <v>2</v>
      </c>
      <c r="E33" s="11" t="s">
        <v>2517</v>
      </c>
      <c r="F33" s="14">
        <v>10</v>
      </c>
      <c r="G33" s="14">
        <v>1</v>
      </c>
      <c r="H33" s="11"/>
      <c r="I33" s="11"/>
      <c r="J33" s="11"/>
      <c r="K33" s="11"/>
      <c r="L33" s="11"/>
      <c r="M33" s="11"/>
      <c r="N33" s="11"/>
      <c r="O33" s="11"/>
      <c r="P33" s="11"/>
    </row>
    <row r="34" spans="1:16">
      <c r="A34" s="8"/>
      <c r="B34" s="14">
        <v>68</v>
      </c>
      <c r="C34" s="14">
        <v>1</v>
      </c>
      <c r="D34" s="14">
        <v>3</v>
      </c>
      <c r="E34" s="11" t="s">
        <v>2518</v>
      </c>
      <c r="F34" s="14">
        <v>15</v>
      </c>
      <c r="G34" s="14">
        <v>1</v>
      </c>
      <c r="H34" s="11"/>
      <c r="I34" s="11"/>
      <c r="J34" s="11"/>
      <c r="K34" s="11"/>
      <c r="L34" s="11"/>
      <c r="M34" s="11"/>
      <c r="N34" s="11"/>
      <c r="O34" s="11"/>
      <c r="P34" s="11"/>
    </row>
    <row r="35" spans="1:16">
      <c r="A35" s="8"/>
      <c r="B35" s="14">
        <v>68</v>
      </c>
      <c r="C35" s="14">
        <v>2</v>
      </c>
      <c r="D35" s="14">
        <v>1</v>
      </c>
      <c r="E35" s="11" t="s">
        <v>2519</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2292</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2527</v>
      </c>
      <c r="B2" s="9" t="s">
        <v>685</v>
      </c>
      <c r="C2" s="9" t="s">
        <v>2525</v>
      </c>
      <c r="D2" s="9" t="s">
        <v>1115</v>
      </c>
      <c r="E2" s="9" t="s">
        <v>2526</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2528</v>
      </c>
      <c r="D7" s="11" t="s">
        <v>196</v>
      </c>
      <c r="E7" s="11" t="s">
        <v>2532</v>
      </c>
      <c r="F7" s="11" t="s">
        <v>2531</v>
      </c>
    </row>
    <row r="8" spans="1:6">
      <c r="A8" s="8"/>
      <c r="B8" s="14">
        <v>68</v>
      </c>
      <c r="C8" s="11" t="s">
        <v>2529</v>
      </c>
      <c r="D8" s="11" t="s">
        <v>197</v>
      </c>
      <c r="E8" s="11" t="s">
        <v>2532</v>
      </c>
      <c r="F8" s="11" t="s">
        <v>2531</v>
      </c>
    </row>
    <row r="9" spans="1:6">
      <c r="A9" s="8"/>
      <c r="B9" s="14">
        <v>68</v>
      </c>
      <c r="C9" s="11" t="s">
        <v>2474</v>
      </c>
      <c r="D9" s="11" t="s">
        <v>188</v>
      </c>
      <c r="E9" s="11" t="s">
        <v>2532</v>
      </c>
      <c r="F9" s="11" t="s">
        <v>2471</v>
      </c>
    </row>
    <row r="10" spans="1:6">
      <c r="A10" s="8"/>
      <c r="B10" s="14">
        <v>68</v>
      </c>
      <c r="C10" s="11" t="s">
        <v>2530</v>
      </c>
      <c r="D10" s="11" t="s">
        <v>189</v>
      </c>
      <c r="E10" s="11" t="s">
        <v>2532</v>
      </c>
      <c r="F10" s="11" t="s">
        <v>2471</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2025-02-19T08:36:28Z</dcterms:modified>
</cp:coreProperties>
</file>