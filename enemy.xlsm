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react-app\"/>
    </mc:Choice>
  </mc:AlternateContent>
  <xr:revisionPtr revIDLastSave="0" documentId="13_ncr:1_{B599AA76-B150-4522-B562-3000B943C550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MAIN" sheetId="5" r:id="rId1"/>
    <sheet name="Data" sheetId="13" state="hidden" r:id="rId2"/>
    <sheet name="character_name" sheetId="61" state="hidden" r:id="rId3"/>
    <sheet name="enemy_conert" sheetId="34" r:id="rId4"/>
    <sheet name="遭遇戦" sheetId="74" state="hidden" r:id="rId5"/>
    <sheet name="enemy" sheetId="65" r:id="rId6"/>
    <sheet name="Sheet2" sheetId="90" state="hidden" r:id="rId7"/>
    <sheet name="grade" sheetId="72" r:id="rId8"/>
    <sheet name="bonus" sheetId="73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5" hidden="1">enemy!$A$6:$T$348</definedName>
    <definedName name="_xlnm._FilterDatabase" localSheetId="0" hidden="1">MAIN!$F:$F</definedName>
    <definedName name="_xleta.IF" hidden="1" xlm="1">#NAME?</definedName>
    <definedName name="_xleta.INDEX" hidden="1" xlm="1">#NAME?</definedName>
    <definedName name="_xleta.MATCH" hidden="1" xlm="1">#NAME?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pivotCaches>
    <pivotCache cacheId="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4" i="90" l="1"/>
  <c r="D223" i="90"/>
  <c r="D222" i="90"/>
  <c r="D221" i="90"/>
  <c r="D220" i="90"/>
  <c r="D219" i="90"/>
  <c r="D218" i="90"/>
  <c r="D217" i="90"/>
  <c r="D216" i="90"/>
  <c r="D215" i="90"/>
  <c r="D214" i="90"/>
  <c r="D213" i="90"/>
  <c r="D212" i="90"/>
  <c r="D211" i="90"/>
  <c r="D210" i="90"/>
  <c r="D209" i="90"/>
  <c r="D208" i="90"/>
  <c r="D207" i="90"/>
  <c r="D206" i="90"/>
  <c r="D205" i="90"/>
  <c r="D204" i="90"/>
  <c r="D203" i="90"/>
  <c r="D202" i="90"/>
  <c r="D201" i="90"/>
  <c r="D200" i="90"/>
  <c r="D199" i="90"/>
  <c r="D198" i="90"/>
  <c r="D197" i="90"/>
  <c r="D196" i="90"/>
  <c r="D195" i="90"/>
  <c r="D194" i="90"/>
  <c r="D193" i="90"/>
  <c r="D192" i="90"/>
  <c r="D191" i="90"/>
  <c r="D190" i="90"/>
  <c r="D189" i="90"/>
  <c r="D188" i="90"/>
  <c r="D187" i="90"/>
  <c r="D186" i="90"/>
  <c r="D185" i="90"/>
  <c r="D184" i="90"/>
  <c r="D183" i="90"/>
  <c r="D182" i="90"/>
  <c r="D181" i="90"/>
  <c r="D180" i="90"/>
  <c r="D179" i="90"/>
  <c r="D178" i="90"/>
  <c r="D177" i="90"/>
  <c r="D176" i="90"/>
  <c r="D175" i="90"/>
  <c r="D174" i="90"/>
  <c r="D173" i="90"/>
  <c r="D172" i="90"/>
  <c r="D171" i="90"/>
  <c r="D170" i="90"/>
  <c r="D169" i="90"/>
  <c r="D168" i="90"/>
  <c r="D167" i="90"/>
  <c r="D166" i="90"/>
  <c r="D165" i="90"/>
  <c r="D164" i="90"/>
  <c r="D163" i="90"/>
  <c r="D162" i="90"/>
  <c r="D161" i="90"/>
  <c r="D160" i="90"/>
  <c r="D159" i="90"/>
  <c r="D158" i="90"/>
  <c r="D157" i="90"/>
  <c r="D156" i="90"/>
  <c r="D155" i="90"/>
  <c r="D154" i="90"/>
  <c r="D153" i="90"/>
  <c r="D152" i="90"/>
  <c r="D151" i="90"/>
  <c r="D150" i="90"/>
  <c r="D149" i="90"/>
  <c r="D148" i="90"/>
  <c r="D147" i="90"/>
  <c r="D146" i="90"/>
  <c r="D145" i="90"/>
  <c r="D144" i="90"/>
  <c r="D143" i="90"/>
  <c r="D142" i="90"/>
  <c r="D141" i="90"/>
  <c r="D140" i="90"/>
  <c r="D139" i="90"/>
  <c r="D138" i="90"/>
  <c r="D137" i="90"/>
  <c r="D136" i="90"/>
  <c r="D135" i="90"/>
  <c r="D134" i="90"/>
  <c r="D133" i="90"/>
  <c r="D132" i="90"/>
  <c r="D131" i="90"/>
  <c r="D130" i="90"/>
  <c r="D129" i="90"/>
  <c r="D128" i="90"/>
  <c r="D127" i="90"/>
  <c r="D126" i="90"/>
  <c r="D125" i="90"/>
  <c r="D124" i="90"/>
  <c r="D123" i="90"/>
  <c r="D122" i="90"/>
  <c r="D121" i="90"/>
  <c r="D120" i="90"/>
  <c r="D119" i="90"/>
  <c r="D118" i="90"/>
  <c r="D117" i="90"/>
  <c r="D116" i="90"/>
  <c r="D115" i="90"/>
  <c r="D114" i="90"/>
  <c r="D113" i="90"/>
  <c r="D112" i="90"/>
  <c r="D111" i="90"/>
  <c r="D110" i="90"/>
  <c r="D109" i="90"/>
  <c r="D108" i="90"/>
  <c r="D107" i="90"/>
  <c r="D106" i="90"/>
  <c r="D105" i="90"/>
  <c r="D104" i="90"/>
  <c r="D103" i="90"/>
  <c r="D102" i="90"/>
  <c r="D101" i="90"/>
  <c r="D100" i="90"/>
  <c r="D99" i="90"/>
  <c r="D98" i="90"/>
  <c r="D97" i="90"/>
  <c r="D96" i="90"/>
  <c r="D95" i="90"/>
  <c r="D94" i="90"/>
  <c r="D93" i="90"/>
  <c r="D92" i="90"/>
  <c r="D91" i="90"/>
  <c r="D90" i="90"/>
  <c r="D89" i="90"/>
  <c r="D88" i="90"/>
  <c r="D87" i="90"/>
  <c r="D86" i="90"/>
  <c r="D85" i="90"/>
  <c r="D84" i="90"/>
  <c r="D83" i="90"/>
  <c r="D82" i="90"/>
  <c r="D81" i="90"/>
  <c r="D80" i="90"/>
  <c r="D79" i="90"/>
  <c r="D78" i="90"/>
  <c r="D77" i="90"/>
  <c r="D76" i="90"/>
  <c r="D75" i="90"/>
  <c r="D74" i="90"/>
  <c r="D73" i="90"/>
  <c r="D72" i="90"/>
  <c r="D71" i="90"/>
  <c r="D70" i="90"/>
  <c r="D69" i="90"/>
  <c r="D68" i="90"/>
  <c r="D67" i="90"/>
  <c r="D66" i="90"/>
  <c r="D65" i="90"/>
  <c r="D64" i="90"/>
  <c r="D63" i="90"/>
  <c r="D62" i="90"/>
  <c r="D61" i="90"/>
  <c r="D60" i="90"/>
  <c r="D59" i="90"/>
  <c r="D58" i="90"/>
  <c r="D57" i="90"/>
  <c r="D56" i="90"/>
  <c r="D55" i="90"/>
  <c r="D54" i="90"/>
  <c r="D53" i="90"/>
  <c r="D52" i="90"/>
  <c r="D51" i="90"/>
  <c r="D50" i="90"/>
  <c r="D49" i="90"/>
  <c r="D48" i="90"/>
  <c r="D47" i="90"/>
  <c r="D46" i="90"/>
  <c r="D45" i="90"/>
  <c r="D44" i="90"/>
  <c r="D43" i="90"/>
  <c r="D42" i="90"/>
  <c r="D41" i="90"/>
  <c r="D40" i="90"/>
  <c r="D39" i="90"/>
  <c r="D38" i="90"/>
  <c r="D37" i="90"/>
  <c r="D36" i="90"/>
  <c r="D35" i="90"/>
  <c r="D34" i="90"/>
  <c r="D33" i="90"/>
  <c r="D32" i="90"/>
  <c r="D31" i="90"/>
  <c r="D30" i="90"/>
  <c r="D29" i="90"/>
  <c r="D28" i="90"/>
  <c r="D27" i="90"/>
  <c r="D26" i="90"/>
  <c r="D25" i="90"/>
  <c r="D24" i="90"/>
  <c r="D23" i="90"/>
  <c r="D22" i="90"/>
  <c r="D21" i="90"/>
  <c r="D20" i="90"/>
  <c r="D19" i="90"/>
  <c r="D18" i="90"/>
  <c r="D17" i="90"/>
  <c r="D16" i="90"/>
  <c r="D15" i="90"/>
  <c r="D14" i="90"/>
  <c r="D13" i="90"/>
  <c r="D12" i="90"/>
  <c r="D11" i="90"/>
  <c r="D10" i="90"/>
  <c r="D9" i="90"/>
  <c r="D8" i="90"/>
  <c r="D7" i="90"/>
  <c r="E224" i="90"/>
  <c r="E223" i="90"/>
  <c r="E222" i="90"/>
  <c r="E221" i="90"/>
  <c r="E220" i="90"/>
  <c r="E219" i="90"/>
  <c r="E218" i="90"/>
  <c r="E217" i="90"/>
  <c r="E216" i="90"/>
  <c r="E215" i="90"/>
  <c r="E214" i="90"/>
  <c r="E213" i="90"/>
  <c r="E212" i="90"/>
  <c r="E211" i="90"/>
  <c r="E210" i="90"/>
  <c r="E209" i="90"/>
  <c r="E208" i="90"/>
  <c r="E207" i="90"/>
  <c r="E206" i="90"/>
  <c r="E205" i="90"/>
  <c r="E204" i="90"/>
  <c r="E203" i="90"/>
  <c r="E202" i="90"/>
  <c r="E201" i="90"/>
  <c r="E200" i="90"/>
  <c r="E199" i="90"/>
  <c r="E198" i="90"/>
  <c r="E197" i="90"/>
  <c r="E196" i="90"/>
  <c r="E195" i="90"/>
  <c r="E194" i="90"/>
  <c r="E193" i="90"/>
  <c r="E192" i="90"/>
  <c r="E191" i="90"/>
  <c r="E190" i="90"/>
  <c r="E189" i="90"/>
  <c r="E188" i="90"/>
  <c r="E187" i="90"/>
  <c r="E186" i="90"/>
  <c r="E185" i="90"/>
  <c r="E184" i="90"/>
  <c r="E183" i="90"/>
  <c r="E182" i="90"/>
  <c r="E181" i="90"/>
  <c r="E180" i="90"/>
  <c r="E179" i="90"/>
  <c r="E178" i="90"/>
  <c r="E177" i="90"/>
  <c r="E176" i="90"/>
  <c r="E175" i="90"/>
  <c r="E174" i="90"/>
  <c r="E173" i="90"/>
  <c r="E172" i="90"/>
  <c r="E171" i="90"/>
  <c r="E170" i="90"/>
  <c r="E169" i="90"/>
  <c r="E168" i="90"/>
  <c r="E167" i="90"/>
  <c r="E166" i="90"/>
  <c r="E165" i="90"/>
  <c r="E164" i="90"/>
  <c r="E163" i="90"/>
  <c r="E162" i="90"/>
  <c r="E161" i="90"/>
  <c r="E160" i="90"/>
  <c r="E159" i="90"/>
  <c r="E158" i="90"/>
  <c r="E157" i="90"/>
  <c r="E156" i="90"/>
  <c r="E155" i="90"/>
  <c r="E154" i="90"/>
  <c r="E153" i="90"/>
  <c r="E152" i="90"/>
  <c r="E151" i="90"/>
  <c r="E150" i="90"/>
  <c r="E149" i="90"/>
  <c r="E148" i="90"/>
  <c r="E147" i="90"/>
  <c r="E146" i="90"/>
  <c r="E145" i="90"/>
  <c r="E144" i="90"/>
  <c r="E143" i="90"/>
  <c r="E142" i="90"/>
  <c r="E141" i="90"/>
  <c r="E140" i="90"/>
  <c r="E139" i="90"/>
  <c r="E138" i="90"/>
  <c r="E137" i="90"/>
  <c r="E136" i="90"/>
  <c r="E135" i="90"/>
  <c r="E134" i="90"/>
  <c r="E133" i="90"/>
  <c r="E132" i="90"/>
  <c r="E131" i="90"/>
  <c r="E130" i="90"/>
  <c r="E129" i="90"/>
  <c r="E128" i="90"/>
  <c r="E127" i="90"/>
  <c r="E126" i="90"/>
  <c r="E125" i="90"/>
  <c r="E124" i="90"/>
  <c r="E123" i="90"/>
  <c r="E122" i="90"/>
  <c r="E121" i="90"/>
  <c r="E120" i="90"/>
  <c r="E119" i="90"/>
  <c r="E118" i="90"/>
  <c r="E117" i="90"/>
  <c r="E116" i="90"/>
  <c r="E115" i="90"/>
  <c r="E114" i="90"/>
  <c r="E113" i="90"/>
  <c r="E112" i="90"/>
  <c r="E111" i="90"/>
  <c r="E110" i="90"/>
  <c r="E109" i="90"/>
  <c r="E108" i="90"/>
  <c r="E107" i="90"/>
  <c r="E106" i="90"/>
  <c r="E105" i="90"/>
  <c r="E104" i="90"/>
  <c r="E103" i="90"/>
  <c r="E102" i="90"/>
  <c r="E101" i="90"/>
  <c r="E100" i="90"/>
  <c r="E99" i="90"/>
  <c r="E98" i="90"/>
  <c r="E97" i="90"/>
  <c r="E96" i="90"/>
  <c r="E95" i="90"/>
  <c r="E94" i="90"/>
  <c r="E93" i="90"/>
  <c r="E92" i="90"/>
  <c r="E91" i="90"/>
  <c r="E90" i="90"/>
  <c r="E89" i="90"/>
  <c r="E88" i="90"/>
  <c r="E87" i="90"/>
  <c r="E86" i="90"/>
  <c r="E85" i="90"/>
  <c r="E84" i="90"/>
  <c r="E83" i="90"/>
  <c r="E82" i="90"/>
  <c r="E81" i="90"/>
  <c r="E80" i="90"/>
  <c r="E79" i="90"/>
  <c r="E78" i="90"/>
  <c r="E77" i="90"/>
  <c r="E76" i="90"/>
  <c r="E75" i="90"/>
  <c r="E74" i="90"/>
  <c r="E73" i="90"/>
  <c r="E72" i="90"/>
  <c r="E71" i="90"/>
  <c r="E70" i="90"/>
  <c r="E69" i="90"/>
  <c r="E68" i="90"/>
  <c r="E67" i="90"/>
  <c r="E66" i="90"/>
  <c r="E65" i="90"/>
  <c r="E64" i="90"/>
  <c r="E63" i="90"/>
  <c r="E62" i="90"/>
  <c r="E61" i="90"/>
  <c r="E60" i="90"/>
  <c r="E59" i="90"/>
  <c r="E58" i="90"/>
  <c r="E57" i="90"/>
  <c r="E56" i="90"/>
  <c r="E55" i="90"/>
  <c r="E54" i="90"/>
  <c r="E53" i="90"/>
  <c r="E52" i="90"/>
  <c r="E51" i="90"/>
  <c r="E50" i="90"/>
  <c r="E49" i="90"/>
  <c r="E48" i="90"/>
  <c r="E47" i="90"/>
  <c r="E46" i="90"/>
  <c r="E45" i="90"/>
  <c r="E44" i="90"/>
  <c r="E43" i="90"/>
  <c r="E42" i="90"/>
  <c r="E41" i="90"/>
  <c r="E40" i="90"/>
  <c r="E39" i="90"/>
  <c r="E38" i="90"/>
  <c r="E37" i="90"/>
  <c r="E36" i="90"/>
  <c r="E35" i="90"/>
  <c r="E34" i="90"/>
  <c r="E33" i="90"/>
  <c r="E32" i="90"/>
  <c r="E31" i="90"/>
  <c r="E30" i="90"/>
  <c r="E29" i="90"/>
  <c r="E28" i="90"/>
  <c r="E27" i="90"/>
  <c r="E26" i="90"/>
  <c r="E25" i="90"/>
  <c r="E24" i="90"/>
  <c r="E23" i="90"/>
  <c r="E22" i="90"/>
  <c r="E21" i="90"/>
  <c r="E20" i="90"/>
  <c r="E19" i="90"/>
  <c r="E18" i="90"/>
  <c r="E17" i="90"/>
  <c r="E16" i="90"/>
  <c r="E15" i="90"/>
  <c r="E14" i="90"/>
  <c r="E13" i="90"/>
  <c r="E12" i="90"/>
  <c r="E11" i="90"/>
  <c r="E10" i="90"/>
  <c r="E9" i="90"/>
  <c r="E8" i="90"/>
  <c r="E7" i="90"/>
  <c r="A1" i="65"/>
  <c r="A1" i="73" l="1"/>
  <c r="A1" i="72"/>
  <c r="A1" i="61"/>
  <c r="A1" i="7" l="1"/>
  <c r="B5" i="5" l="1"/>
  <c r="B6" i="5"/>
  <c r="B4" i="5"/>
  <c r="B3" i="5"/>
  <c r="B2" i="5"/>
</calcChain>
</file>

<file path=xl/sharedStrings.xml><?xml version="1.0" encoding="utf-8"?>
<sst xmlns="http://schemas.openxmlformats.org/spreadsheetml/2006/main" count="4919" uniqueCount="1247">
  <si>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</si>
  <si>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</si>
  <si>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</si>
  <si>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</si>
  <si>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</si>
  <si>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</si>
  <si>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</si>
  <si>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</si>
  <si>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</si>
  <si>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</si>
  <si>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</si>
  <si>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</si>
  <si>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</si>
  <si>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</si>
  <si>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</si>
  <si>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</si>
  <si>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</si>
  <si>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</si>
  <si>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</si>
  <si>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</si>
  <si>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</si>
  <si>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</si>
  <si>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</si>
  <si>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</si>
  <si>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</si>
  <si>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</si>
  <si>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</si>
  <si>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</si>
  <si>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</si>
  <si>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</si>
  <si>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</si>
  <si>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</si>
  <si>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troops</t>
    <phoneticPr fontId="1"/>
  </si>
  <si>
    <t>1,0</t>
    <phoneticPr fontId="1"/>
  </si>
  <si>
    <t>3,0</t>
    <phoneticPr fontId="1"/>
  </si>
  <si>
    <t>destruction</t>
    <phoneticPr fontId="1"/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</si>
  <si>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</si>
  <si>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</si>
  <si>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</si>
  <si>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</si>
  <si>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</si>
  <si>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</si>
  <si>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</si>
  <si>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</si>
  <si>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</si>
  <si>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</si>
  <si>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</si>
  <si>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</si>
  <si>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</si>
  <si>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</si>
  <si>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</si>
  <si>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</si>
  <si>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</si>
  <si>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</si>
  <si>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</si>
  <si>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</si>
  <si>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</si>
  <si>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</si>
  <si>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</si>
  <si>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</si>
  <si>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</si>
  <si>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</si>
  <si>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</si>
  <si>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</si>
  <si>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</si>
  <si>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</si>
  <si>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</si>
  <si>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</si>
  <si>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</si>
  <si>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</si>
  <si>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</si>
  <si>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</si>
  <si>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</si>
  <si>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</si>
  <si>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</si>
  <si>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</si>
  <si>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</si>
  <si>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</si>
  <si>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</si>
  <si>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</si>
  <si>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</si>
  <si>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</si>
  <si>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</si>
  <si>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</si>
  <si>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</si>
  <si>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</si>
  <si>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</si>
  <si>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</si>
  <si>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</si>
  <si>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</si>
  <si>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</si>
  <si>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</si>
  <si>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</si>
  <si>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</si>
  <si>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</si>
  <si>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</si>
  <si>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</si>
  <si>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</si>
  <si>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</si>
  <si>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</si>
  <si>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</si>
  <si>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</si>
  <si>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</si>
  <si>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</si>
  <si>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</si>
  <si>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</si>
  <si>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</si>
  <si>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</si>
  <si>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</si>
  <si>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</si>
  <si>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</si>
  <si>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</si>
  <si>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</si>
  <si>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</si>
  <si>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</si>
  <si>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</si>
  <si>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</si>
  <si>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</si>
  <si>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</si>
  <si>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</si>
  <si>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</si>
  <si>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</si>
  <si>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</si>
  <si>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</si>
  <si>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</si>
  <si>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</si>
  <si>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</si>
  <si>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</si>
  <si>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</si>
  <si>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</si>
  <si>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</si>
  <si>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</si>
  <si>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</si>
  <si>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</si>
  <si>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</si>
  <si>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</si>
  <si>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</si>
  <si>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</si>
  <si>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</si>
  <si>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</si>
  <si>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</si>
  <si>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</si>
  <si>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</si>
  <si>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</si>
  <si>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</si>
  <si>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</si>
  <si>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</si>
  <si>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</si>
  <si>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</si>
  <si>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</si>
  <si>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</si>
  <si>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○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</si>
  <si>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</si>
  <si>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</si>
  <si>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</si>
  <si>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</si>
  <si>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</si>
  <si>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</si>
  <si>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</si>
  <si>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</si>
  <si>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</si>
  <si>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</si>
  <si>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</si>
  <si>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</si>
  <si>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</si>
  <si>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</si>
  <si>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</si>
  <si>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</si>
  <si>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</si>
  <si>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</si>
  <si>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</si>
  <si>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</si>
  <si>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</si>
  <si>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</si>
  <si>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</si>
  <si>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</si>
  <si>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</si>
  <si>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</si>
  <si>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</si>
  <si>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</si>
  <si>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31C</t>
    <phoneticPr fontId="1"/>
  </si>
  <si>
    <t>31X</t>
    <phoneticPr fontId="1"/>
  </si>
  <si>
    <t>ability</t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</si>
  <si>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</si>
  <si>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</si>
  <si>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</si>
  <si>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</si>
  <si>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</si>
  <si>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</si>
  <si>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30G</t>
    <phoneticPr fontId="1"/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</si>
  <si>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</si>
  <si>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</si>
  <si>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</si>
  <si>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</si>
  <si>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</si>
  <si>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</si>
  <si>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</si>
  <si>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</si>
  <si>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</si>
  <si>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</si>
  <si>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</si>
  <si>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</si>
  <si>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</si>
  <si>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</si>
  <si>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</si>
  <si>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</si>
  <si>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</si>
  <si>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</si>
  <si>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サンプル</t>
    <phoneticPr fontId="1"/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</si>
  <si>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</si>
  <si>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</si>
  <si>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</si>
  <si>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</si>
  <si>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</si>
  <si>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</si>
  <si>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(50F)デススラッグΩ(第2形態)</t>
  </si>
  <si>
    <t>耐性ダウン</t>
    <rPh sb="0" eb="2">
      <t>タイセイ</t>
    </rPh>
    <phoneticPr fontId="1"/>
  </si>
  <si>
    <t>[幻影]アラクネラインA : Lv.15</t>
  </si>
  <si>
    <t>[幻影]アラクネラインA : Lv.14</t>
  </si>
  <si>
    <t>[幻影]アラクネラインA : Lv.13</t>
  </si>
  <si>
    <t>31D</t>
    <phoneticPr fontId="1"/>
  </si>
  <si>
    <t>31A</t>
    <phoneticPr fontId="1"/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</si>
  <si>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</si>
  <si>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</si>
  <si>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10,0</t>
    <phoneticPr fontId="1"/>
  </si>
  <si>
    <t>score_attack_no</t>
    <phoneticPr fontId="1"/>
  </si>
  <si>
    <t>grade</t>
  </si>
  <si>
    <t>half</t>
    <phoneticPr fontId="1"/>
  </si>
  <si>
    <t/>
  </si>
  <si>
    <t>grade_name</t>
    <phoneticPr fontId="1"/>
  </si>
  <si>
    <t>grade_rate</t>
    <phoneticPr fontId="1"/>
  </si>
  <si>
    <t>grade_none</t>
    <phoneticPr fontId="1"/>
  </si>
  <si>
    <t>public.grade</t>
  </si>
  <si>
    <t>grade_no</t>
    <phoneticPr fontId="1"/>
  </si>
  <si>
    <t>31B</t>
    <phoneticPr fontId="1"/>
  </si>
  <si>
    <t>アモンY : Lv.3</t>
  </si>
  <si>
    <t>31E</t>
    <phoneticPr fontId="1"/>
  </si>
  <si>
    <t>66000</t>
  </si>
  <si>
    <t>88000</t>
  </si>
  <si>
    <t>450000</t>
  </si>
  <si>
    <t>350000</t>
  </si>
  <si>
    <t>1000000</t>
  </si>
  <si>
    <t>150000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</si>
  <si>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</si>
  <si>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</si>
  <si>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</si>
  <si>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</si>
  <si>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</si>
  <si>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</si>
  <si>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</si>
  <si>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</si>
  <si>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</si>
  <si>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</si>
  <si>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</si>
  <si>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</si>
  <si>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</si>
  <si>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</si>
  <si>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</si>
  <si>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</si>
  <si>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</si>
  <si>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</si>
  <si>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</si>
  <si>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</si>
  <si>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</si>
  <si>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</si>
  <si>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</si>
  <si>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</si>
  <si>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</si>
  <si>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</si>
  <si>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</si>
  <si>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</si>
  <si>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</si>
  <si>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</si>
  <si>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</si>
  <si>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</si>
  <si>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</si>
  <si>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</si>
  <si>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</si>
  <si>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</si>
  <si>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</si>
  <si>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</si>
  <si>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</si>
  <si>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</si>
  <si>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</si>
  <si>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</si>
  <si>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15000</t>
  </si>
  <si>
    <t>21250</t>
  </si>
  <si>
    <t>44000</t>
  </si>
  <si>
    <t>19000</t>
  </si>
  <si>
    <t>860000</t>
  </si>
  <si>
    <t>6500000</t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</si>
  <si>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</si>
  <si>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</si>
  <si>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430000</t>
  </si>
  <si>
    <t>8000000</t>
  </si>
  <si>
    <t>アモンB : Lv.3</t>
  </si>
  <si>
    <t>レクタス/シニスター・ニールB : Lv.3</t>
  </si>
  <si>
    <t>60000</t>
  </si>
  <si>
    <t>900000</t>
  </si>
  <si>
    <t>3050000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</si>
  <si>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</si>
  <si>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</si>
  <si>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</si>
  <si>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</si>
  <si>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</si>
  <si>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90000</t>
  </si>
  <si>
    <t>140000</t>
  </si>
  <si>
    <t>81250</t>
  </si>
  <si>
    <t>12000</t>
  </si>
  <si>
    <t>1400000</t>
  </si>
  <si>
    <t>650000</t>
  </si>
  <si>
    <t>rarity</t>
    <phoneticPr fontId="1"/>
  </si>
  <si>
    <t>アモンW : Lv.3</t>
  </si>
  <si>
    <t>conditions</t>
    <phoneticPr fontId="1"/>
  </si>
  <si>
    <t>effect_size</t>
    <phoneticPr fontId="1"/>
  </si>
  <si>
    <t>skill_list</t>
  </si>
  <si>
    <t>arts_list</t>
  </si>
  <si>
    <t>135000</t>
  </si>
  <si>
    <t>初回</t>
  </si>
  <si>
    <t>チャージ</t>
  </si>
  <si>
    <t>追加ターン</t>
  </si>
  <si>
    <t>9500000</t>
  </si>
  <si>
    <t>buff_kind</t>
  </si>
  <si>
    <t>5ターン毎に敵の攻撃力アップ</t>
  </si>
  <si>
    <t>敵のHP+75%</t>
  </si>
  <si>
    <t>5ターン毎に隊列入れ替え不可</t>
  </si>
  <si>
    <t>ODがLv.2以上でしか発動できない</t>
  </si>
  <si>
    <t>味方の最大DPが割合15%ダウン</t>
  </si>
  <si>
    <t>3ターン毎に味方のDP回復量5%ダウン</t>
  </si>
  <si>
    <t>physical</t>
    <phoneticPr fontId="1"/>
  </si>
  <si>
    <t>アモンP : Lv.3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</si>
  <si>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</si>
  <si>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</si>
  <si>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</si>
  <si>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</si>
  <si>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</si>
  <si>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</si>
  <si>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</si>
  <si>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</si>
  <si>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score_attack</t>
  </si>
  <si>
    <t>enemy_count</t>
    <phoneticPr fontId="1"/>
  </si>
  <si>
    <t>pursuit</t>
    <phoneticPr fontId="1"/>
  </si>
  <si>
    <t>瑞原あいな</t>
    <phoneticPr fontId="1"/>
  </si>
  <si>
    <t>永遠の誓い</t>
    <rPh sb="0" eb="2">
      <t>エイエン</t>
    </rPh>
    <rPh sb="3" eb="4">
      <t>チカ</t>
    </rPh>
    <phoneticPr fontId="1"/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</si>
  <si>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</si>
  <si>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</si>
  <si>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</si>
  <si>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</si>
  <si>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</si>
  <si>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</si>
  <si>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</si>
  <si>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</si>
  <si>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</si>
  <si>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Shield</t>
  </si>
  <si>
    <t>Cannon</t>
  </si>
  <si>
    <t>Gun</t>
  </si>
  <si>
    <t>LargeSword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</si>
  <si>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</si>
  <si>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</si>
  <si>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</si>
  <si>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</si>
  <si>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</si>
  <si>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</si>
  <si>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</si>
  <si>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</si>
  <si>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</si>
  <si>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</si>
  <si>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</si>
  <si>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</si>
  <si>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</si>
  <si>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</si>
  <si>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</si>
  <si>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</si>
  <si>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</si>
  <si>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</si>
  <si>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</si>
  <si>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</si>
  <si>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</si>
  <si>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</si>
  <si>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</si>
  <si>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</si>
  <si>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</si>
  <si>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</si>
  <si>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</si>
  <si>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</si>
  <si>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</si>
  <si>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</si>
  <si>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</si>
  <si>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</si>
  <si>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</si>
  <si>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</si>
  <si>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</si>
  <si>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</si>
  <si>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</si>
  <si>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</si>
  <si>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</si>
  <si>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</si>
  <si>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</si>
  <si>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</si>
  <si>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</si>
  <si>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</si>
  <si>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</si>
  <si>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</si>
  <si>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</si>
  <si>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アモンR : Lv.3</t>
  </si>
  <si>
    <t>1200000</t>
  </si>
  <si>
    <t>17200000</t>
  </si>
  <si>
    <t>850000</t>
  </si>
  <si>
    <t>4500000</t>
  </si>
  <si>
    <t>1350000</t>
  </si>
  <si>
    <t>(水着2024)マッドショックウォーカー</t>
  </si>
  <si>
    <t>(水着2024)デッドロックウォーカー</t>
  </si>
  <si>
    <t>4000000</t>
  </si>
  <si>
    <t>(38F)サミットゴーレム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</si>
  <si>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</si>
  <si>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</si>
  <si>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</si>
  <si>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</si>
  <si>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</si>
  <si>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</si>
  <si>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168000</t>
  </si>
  <si>
    <t>57000</t>
  </si>
  <si>
    <t>70000</t>
  </si>
  <si>
    <t>2100000</t>
  </si>
  <si>
    <t>570000</t>
  </si>
  <si>
    <t>3276000</t>
  </si>
  <si>
    <t>6178000</t>
  </si>
  <si>
    <t>敵の攻撃力がアップ(解除不可)</t>
  </si>
  <si>
    <t>ターン数が30ターンから15ターンに減少</t>
  </si>
  <si>
    <t>213400</t>
  </si>
  <si>
    <t>775000</t>
  </si>
  <si>
    <t>54200</t>
  </si>
  <si>
    <t>60700</t>
  </si>
  <si>
    <t>608300</t>
  </si>
  <si>
    <t>2134000</t>
  </si>
  <si>
    <t>9300000</t>
  </si>
  <si>
    <t>760000</t>
  </si>
  <si>
    <t>45800</t>
  </si>
  <si>
    <t>11650000</t>
  </si>
  <si>
    <t>レクタス/シニスター・ニールB : Lv.4</t>
  </si>
  <si>
    <t>レクタス/シニスター・ニールP : Lv.4</t>
  </si>
  <si>
    <t>3375000</t>
  </si>
  <si>
    <t>[強化変種]ガーディアンクラブ(エリア02-Adventure)</t>
  </si>
  <si>
    <t>1700000</t>
  </si>
  <si>
    <t>レクタス/シニスター・ニールW : Lv.4</t>
  </si>
  <si>
    <t>レクタス/シニスター・ニールY : Lv.4</t>
  </si>
  <si>
    <t>レクタス/シニスター・ニールR : Lv.4</t>
  </si>
  <si>
    <t>アイボリースクーパー(エリア01-Professional)</t>
  </si>
  <si>
    <t>[強化変種]ガーディアンクラブ(エリア02-Professional)</t>
  </si>
  <si>
    <t>[強化変種]エルーシブモール(エリア02-Professional)</t>
  </si>
  <si>
    <t>パイルゴーレム(エリア03-PROFESSIONAL)</t>
  </si>
  <si>
    <t>ライトバレルスクーター(エリア03-PROFESSIONAL)</t>
  </si>
  <si>
    <t>[強化変種]モルアームズγ(エリア04-PROFESSIONAL)</t>
  </si>
  <si>
    <t>[強化変種]モルアームズγ(エリア04-ADVENTURE)</t>
  </si>
  <si>
    <t>634500</t>
  </si>
  <si>
    <t>1269000</t>
  </si>
  <si>
    <t>784800</t>
  </si>
  <si>
    <t>274500</t>
  </si>
  <si>
    <t>549000</t>
  </si>
  <si>
    <t>1551000</t>
  </si>
  <si>
    <t>集中・挑発状態</t>
  </si>
  <si>
    <t>31A3人</t>
  </si>
  <si>
    <t>31E3人</t>
  </si>
  <si>
    <t>破壊率200%以上</t>
    <rPh sb="0" eb="2">
      <t>ハカイ</t>
    </rPh>
    <rPh sb="2" eb="3">
      <t>リツ</t>
    </rPh>
    <rPh sb="7" eb="9">
      <t>イジョウ</t>
    </rPh>
    <phoneticPr fontId="1"/>
  </si>
  <si>
    <t>敵1体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</si>
  <si>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</si>
  <si>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</si>
  <si>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skill_passive</t>
  </si>
  <si>
    <t>ADMIRAL</t>
    <phoneticPr fontId="1"/>
  </si>
  <si>
    <t>[難易度 : X V]レジームホーン(すもも)</t>
  </si>
  <si>
    <t>[難易度 : X V]グラウルホース(あいな)</t>
  </si>
  <si>
    <t>75400</t>
  </si>
  <si>
    <t>193000</t>
  </si>
  <si>
    <t>[難易度 : X V]アシッドサーペント(朱里)</t>
  </si>
  <si>
    <t>263800</t>
  </si>
  <si>
    <t>歌姫の加護</t>
    <rPh sb="0" eb="2">
      <t>ウタヒメ</t>
    </rPh>
    <rPh sb="3" eb="5">
      <t>カゴ</t>
    </rPh>
    <phoneticPr fontId="1"/>
  </si>
  <si>
    <t>sub_no</t>
  </si>
  <si>
    <t>モルアームズα</t>
  </si>
  <si>
    <t>サミットゴーレム</t>
  </si>
  <si>
    <t>トライクロー</t>
  </si>
  <si>
    <t>カースドール</t>
  </si>
  <si>
    <t>バレルウォーカー</t>
  </si>
  <si>
    <t>シャドウ・ユキ[Spitfire]</t>
  </si>
  <si>
    <t>デススラッグ(第1形態)</t>
  </si>
  <si>
    <t>デススラッグ(第2形態)</t>
  </si>
  <si>
    <t>シュリンプクラブ</t>
  </si>
  <si>
    <t>シャドウ・緋雨[バレット]</t>
  </si>
  <si>
    <t>アビスノッカー</t>
  </si>
  <si>
    <t>シャドウ・二以奈[BrandNew]</t>
  </si>
  <si>
    <t>ワイヤーパープルγ</t>
  </si>
  <si>
    <t>シャドウ・菅原[ロリータ白書]</t>
  </si>
  <si>
    <t>アラクネブルーライン</t>
  </si>
  <si>
    <t>シャドウ・三郷[終局]</t>
  </si>
  <si>
    <t>シェルプロテクシオン</t>
  </si>
  <si>
    <t>ファイアノッカー</t>
  </si>
  <si>
    <t>シャドウ・めぐみ[Ikki Burst]</t>
  </si>
  <si>
    <t>ライトバレルウォーカーΩ</t>
  </si>
  <si>
    <t>シャドウ・チロル[迅速滅亡]</t>
  </si>
  <si>
    <t>パープルピラーガーディアン</t>
  </si>
  <si>
    <t>ヒールホッパー</t>
  </si>
  <si>
    <t>キャットホーンβ</t>
  </si>
  <si>
    <t>シャドウ・いちご[フォール・イン・ラヴ]</t>
  </si>
  <si>
    <t>スライミーサンダーα</t>
  </si>
  <si>
    <t>シャドウ・すもも[光]</t>
  </si>
  <si>
    <t>オクトパステイルγ</t>
  </si>
  <si>
    <t>シャドウ・山脇[Knight]</t>
  </si>
  <si>
    <t>アイボリースクーパー</t>
  </si>
  <si>
    <t>シャドウ・月歌[エモーショナル・ソウル]</t>
  </si>
  <si>
    <t>サンダーバード</t>
  </si>
  <si>
    <t>オブジェクションパープル</t>
  </si>
  <si>
    <t>シャドウ・つかさ[メメント・モリ]</t>
  </si>
  <si>
    <t>ヴェイルドデス</t>
  </si>
  <si>
    <t>シャドウ・梢[ノクターン]</t>
  </si>
  <si>
    <t>ダイヤモンドアイS</t>
  </si>
  <si>
    <t>ワイヤーレッドβ</t>
  </si>
  <si>
    <t>シャドウ・丸山[エボリューション]</t>
  </si>
  <si>
    <t>パープルエレファントウィップ</t>
  </si>
  <si>
    <t>シャドウ・柳[Rose]</t>
  </si>
  <si>
    <t>カローラサイス</t>
  </si>
  <si>
    <t>シャドウ・桜庭[星の海]</t>
  </si>
  <si>
    <t>ジラフアイス</t>
  </si>
  <si>
    <t>シャドウ・アイリーン[カーヴァンクル]</t>
  </si>
  <si>
    <t>アラクネレッドライン</t>
  </si>
  <si>
    <t>スウェルサンダークロウ</t>
  </si>
  <si>
    <t>シャドウ・カレン[Killrazor]</t>
  </si>
  <si>
    <t>ヘイルホース</t>
  </si>
  <si>
    <t>シャドウ・アーデルハイド[大乱闘]</t>
  </si>
  <si>
    <t>ダークバード</t>
  </si>
  <si>
    <t>シャドウ・詩紀[Unisono]</t>
  </si>
  <si>
    <t>ライトバルブ</t>
  </si>
  <si>
    <t>シャドウ・真希[仏恥義理]</t>
  </si>
  <si>
    <t>アシッドサーペント</t>
  </si>
  <si>
    <t>スライミーダークγ</t>
  </si>
  <si>
    <t>アイスバレルウォーカー</t>
  </si>
  <si>
    <t>シャドウ・五十鈴[鍵]</t>
  </si>
  <si>
    <t>シャドウ・三野里[RealizeYou]</t>
  </si>
  <si>
    <t>ホワイトアイ</t>
  </si>
  <si>
    <t>キリングヴェイル</t>
  </si>
  <si>
    <t>シャドウ・吹雪[終末]</t>
  </si>
  <si>
    <t>レッドピラーガーディアン</t>
  </si>
  <si>
    <t>シャドウ・天音[エクスペリメンタル]</t>
  </si>
  <si>
    <t>ダークスラッシャー</t>
  </si>
  <si>
    <t>オクトパステイルβ</t>
  </si>
  <si>
    <t>47000</t>
  </si>
  <si>
    <t>76000</t>
  </si>
  <si>
    <t>470000</t>
  </si>
  <si>
    <t>関根しおり</t>
  </si>
  <si>
    <t>関根しおり</t>
    <phoneticPr fontId="1"/>
  </si>
  <si>
    <t>しおり</t>
    <phoneticPr fontId="1"/>
  </si>
  <si>
    <t>Scythe</t>
  </si>
  <si>
    <t>芳岡ユイ</t>
    <rPh sb="0" eb="2">
      <t>ヨシオカ</t>
    </rPh>
    <phoneticPr fontId="1"/>
  </si>
  <si>
    <t>ユイ</t>
    <phoneticPr fontId="1"/>
  </si>
  <si>
    <t>Sword</t>
  </si>
  <si>
    <t>岩沢雅美</t>
  </si>
  <si>
    <t>岩沢雅美</t>
    <phoneticPr fontId="1"/>
  </si>
  <si>
    <t>岩沢</t>
    <phoneticPr fontId="1"/>
  </si>
  <si>
    <t>DoubleSword</t>
  </si>
  <si>
    <t>Gun</t>
    <phoneticPr fontId="1"/>
  </si>
  <si>
    <t>Sword</t>
    <phoneticPr fontId="1"/>
  </si>
  <si>
    <t>Scythe</t>
    <phoneticPr fontId="1"/>
  </si>
  <si>
    <t>Claw</t>
  </si>
  <si>
    <t>七瀬七海</t>
    <phoneticPr fontId="1"/>
  </si>
  <si>
    <t>七海</t>
    <phoneticPr fontId="1"/>
  </si>
  <si>
    <t>HEA</t>
    <phoneticPr fontId="1"/>
  </si>
  <si>
    <t>[難易度 : X V]アラクネブレイド(みゆき)</t>
  </si>
  <si>
    <t>[難易度 : X V]フォーリンハイロゥ(ひさ子)</t>
  </si>
  <si>
    <t>[難易度 : X V]グルーミーデス(しおり)</t>
  </si>
  <si>
    <t>112000</t>
  </si>
  <si>
    <t>105400</t>
  </si>
  <si>
    <t>145300</t>
  </si>
  <si>
    <t>ブレイク</t>
    <phoneticPr fontId="1"/>
  </si>
  <si>
    <t>集中・挑発状態</t>
    <rPh sb="0" eb="2">
      <t>シュウチュウ</t>
    </rPh>
    <rPh sb="3" eb="5">
      <t>チョウハツ</t>
    </rPh>
    <rPh sb="5" eb="7">
      <t>ジョウタイ</t>
    </rPh>
    <phoneticPr fontId="1"/>
  </si>
  <si>
    <t>影分身</t>
    <rPh sb="0" eb="1">
      <t>カゲ</t>
    </rPh>
    <rPh sb="1" eb="3">
      <t>ブンシン</t>
    </rPh>
    <phoneticPr fontId="1"/>
  </si>
  <si>
    <t>火属性以外フィールド</t>
    <rPh sb="0" eb="1">
      <t>ヒ</t>
    </rPh>
    <rPh sb="1" eb="3">
      <t>ゾクセイ</t>
    </rPh>
    <rPh sb="3" eb="5">
      <t>イガイ</t>
    </rPh>
    <phoneticPr fontId="1"/>
  </si>
  <si>
    <t>歌姫の加護以外</t>
    <rPh sb="0" eb="2">
      <t>ウタヒメ</t>
    </rPh>
    <rPh sb="3" eb="5">
      <t>カゴ</t>
    </rPh>
    <rPh sb="5" eb="7">
      <t>イガイ</t>
    </rPh>
    <phoneticPr fontId="1"/>
  </si>
  <si>
    <t>バフ解除</t>
    <rPh sb="2" eb="4">
      <t>カイジョ</t>
    </rPh>
    <phoneticPr fontId="1"/>
  </si>
  <si>
    <t>確率30%</t>
    <rPh sb="0" eb="2">
      <t>カクリツ</t>
    </rPh>
    <phoneticPr fontId="1"/>
  </si>
  <si>
    <t>ダウンターン</t>
    <phoneticPr fontId="1"/>
  </si>
  <si>
    <t>ネガティブ以外</t>
    <rPh sb="5" eb="7">
      <t>イガイ</t>
    </rPh>
    <phoneticPr fontId="1"/>
  </si>
  <si>
    <t>オーバードライブ中</t>
    <rPh sb="8" eb="9">
      <t>チュウ</t>
    </rPh>
    <phoneticPr fontId="1"/>
  </si>
  <si>
    <t>124400</t>
  </si>
  <si>
    <t>[難易度 : X V]デススラッグ(ユイナ3周年)</t>
  </si>
  <si>
    <t>[強化変種]ポイズンスクーパー(エリア04-PROFESSIONAL)</t>
  </si>
  <si>
    <t>[強化変種]ミスアームズ(エリア04-ADVENTURE)</t>
  </si>
  <si>
    <t>[強化変種]ポイズンスクーパー(エリア04-ADVENTURE)</t>
  </si>
  <si>
    <t>[強化変種]ミスアームズ(エリア04-PROFESSIONAL)</t>
  </si>
  <si>
    <t>68400</t>
  </si>
  <si>
    <t>1100000</t>
  </si>
  <si>
    <t>effect_kind1</t>
    <phoneticPr fontId="1"/>
  </si>
  <si>
    <t>effect_size1</t>
    <phoneticPr fontId="1"/>
  </si>
  <si>
    <t>conditions1</t>
    <phoneticPr fontId="1"/>
  </si>
  <si>
    <t>effect_kind2</t>
    <phoneticPr fontId="1"/>
  </si>
  <si>
    <t>effect_size2</t>
    <phoneticPr fontId="1"/>
  </si>
  <si>
    <t>conditions2</t>
    <phoneticPr fontId="1"/>
  </si>
  <si>
    <t>element_4</t>
  </si>
  <si>
    <t>15</t>
    <phoneticPr fontId="1"/>
  </si>
  <si>
    <t>3</t>
    <phoneticPr fontId="1"/>
  </si>
  <si>
    <t>effect_kind3</t>
    <phoneticPr fontId="1"/>
  </si>
  <si>
    <t>effect_size3</t>
    <phoneticPr fontId="1"/>
  </si>
  <si>
    <t>conditions3</t>
    <phoneticPr fontId="1"/>
  </si>
  <si>
    <t>physical_1</t>
  </si>
  <si>
    <t>SRP</t>
    <phoneticPr fontId="1"/>
  </si>
  <si>
    <t>bike</t>
    <phoneticPr fontId="1"/>
  </si>
  <si>
    <t>七瀬七海</t>
  </si>
  <si>
    <t>RIDER</t>
    <phoneticPr fontId="1"/>
  </si>
  <si>
    <t>手塚咲</t>
    <rPh sb="0" eb="2">
      <t>テヅカ</t>
    </rPh>
    <rPh sb="2" eb="3">
      <t>サ</t>
    </rPh>
    <phoneticPr fontId="1"/>
  </si>
  <si>
    <t>手塚</t>
    <rPh sb="0" eb="2">
      <t>テズカ</t>
    </rPh>
    <phoneticPr fontId="1"/>
  </si>
  <si>
    <t>浅見真紀子</t>
    <phoneticPr fontId="1"/>
  </si>
  <si>
    <t>浅見</t>
    <phoneticPr fontId="1"/>
  </si>
  <si>
    <t>bonus</t>
  </si>
  <si>
    <t>bonus_no</t>
    <phoneticPr fontId="1"/>
  </si>
  <si>
    <t>effect_kind</t>
    <phoneticPr fontId="1"/>
  </si>
  <si>
    <t>public.bonus</t>
  </si>
  <si>
    <t>1</t>
    <phoneticPr fontId="1"/>
  </si>
  <si>
    <t>2</t>
    <phoneticPr fontId="1"/>
  </si>
  <si>
    <t>4</t>
    <phoneticPr fontId="1"/>
  </si>
  <si>
    <t>30</t>
    <phoneticPr fontId="1"/>
  </si>
  <si>
    <t>STAT_UP</t>
    <phoneticPr fontId="1"/>
  </si>
  <si>
    <t>Co</t>
  </si>
  <si>
    <t>[強化変種]カウリックプライヤー</t>
  </si>
  <si>
    <t>Ca</t>
  </si>
  <si>
    <t>[強化変種]キャットホーンγ</t>
  </si>
  <si>
    <t>De</t>
  </si>
  <si>
    <t>デザートコンカラー</t>
  </si>
  <si>
    <t>Sw</t>
  </si>
  <si>
    <t>[強化変種]チェッカークロウ</t>
  </si>
  <si>
    <t>Ra</t>
  </si>
  <si>
    <t>Ta</t>
  </si>
  <si>
    <t>トールフレシア</t>
  </si>
  <si>
    <t>[強化変種]フレームロード</t>
  </si>
  <si>
    <t>[強化変種]ダスキーハンマー</t>
  </si>
  <si>
    <t>エレファントウィップ</t>
  </si>
  <si>
    <t>ADVENTURE</t>
    <phoneticPr fontId="1"/>
  </si>
  <si>
    <t>CASUAL</t>
    <phoneticPr fontId="1"/>
  </si>
  <si>
    <t>PROFESSIONAL</t>
    <phoneticPr fontId="1"/>
  </si>
  <si>
    <t>2?</t>
    <phoneticPr fontId="1"/>
  </si>
  <si>
    <t>1?</t>
    <phoneticPr fontId="1"/>
  </si>
  <si>
    <t>STORY</t>
    <phoneticPr fontId="1"/>
  </si>
  <si>
    <t>MISSION</t>
    <phoneticPr fontId="1"/>
  </si>
  <si>
    <t>エリア3</t>
    <phoneticPr fontId="1"/>
  </si>
  <si>
    <t>エリア4</t>
    <phoneticPr fontId="1"/>
  </si>
  <si>
    <t>クロウホース</t>
    <phoneticPr fontId="1"/>
  </si>
  <si>
    <t>トールフレシア</t>
    <phoneticPr fontId="1"/>
  </si>
  <si>
    <t>(20F)バレルウォーカーΩ</t>
  </si>
  <si>
    <t>(28F)パイルゴーレム</t>
  </si>
  <si>
    <t>(33F)パイルゴーレム</t>
  </si>
  <si>
    <t>(48F)バレルウォーカーΩ</t>
  </si>
  <si>
    <t>ヴェイルドデス(エリア02-Professional)</t>
  </si>
  <si>
    <t>パイルゴーレム(エリア03-ADVENTURE)</t>
  </si>
  <si>
    <t>イエローピラーガーディアン(エリア04-PROFESSIONAL)</t>
  </si>
  <si>
    <t>[強化変種]ミスアームズ(エリア04-CASUAL)</t>
  </si>
  <si>
    <t>effect_kind4</t>
    <phoneticPr fontId="1"/>
  </si>
  <si>
    <t>effect_size4</t>
    <phoneticPr fontId="1"/>
  </si>
  <si>
    <t>conditions4</t>
    <phoneticPr fontId="1"/>
  </si>
  <si>
    <t>[難易度 : X V]ハウリングクラブ(菅原)</t>
  </si>
  <si>
    <t>[難易度 : X V]スネアスクーパー(マリア)</t>
  </si>
  <si>
    <t>アニマスフィア(110)</t>
  </si>
  <si>
    <t>132000</t>
  </si>
  <si>
    <t>[練習機]スライミーサーペントγ(絶級Lv4)</t>
  </si>
  <si>
    <t>36000</t>
  </si>
  <si>
    <t>ブルースパイラル</t>
  </si>
  <si>
    <t>シャドウ・タマ[気合一閃]</t>
  </si>
  <si>
    <t>アラクネイエローライン</t>
  </si>
  <si>
    <t>シャドウ・理沙[おうち]</t>
  </si>
  <si>
    <t>ダークレイハンマー</t>
  </si>
  <si>
    <t>390000</t>
  </si>
  <si>
    <t>18000000</t>
  </si>
  <si>
    <t>3900000</t>
  </si>
  <si>
    <t>3000000</t>
  </si>
  <si>
    <t>[練習機]ブーリークラブ(絶級Lv3(突))</t>
  </si>
  <si>
    <t>[練習機]ジラフハイロゥ(絶級Lv3(打))</t>
  </si>
  <si>
    <t>アモンP : Lv.4</t>
  </si>
  <si>
    <t>アモンW : Lv.4</t>
  </si>
  <si>
    <t>アモンY : Lv.4</t>
  </si>
  <si>
    <t>アモンB : Lv.4</t>
  </si>
  <si>
    <t>アモンR : Lv.4</t>
  </si>
  <si>
    <t>[難易度 : X V]テンプティングクロウ(天音)</t>
  </si>
  <si>
    <t>スカルフェザー(第一形態)[Head]</t>
  </si>
  <si>
    <t>スカルフェザー(最終形態)</t>
  </si>
  <si>
    <t>288225</t>
  </si>
  <si>
    <t>手塚(特別訓練Ⅱ)</t>
  </si>
  <si>
    <t>84000</t>
  </si>
  <si>
    <t>element_1</t>
  </si>
  <si>
    <t>hp_rate</t>
  </si>
  <si>
    <t>destruction</t>
  </si>
  <si>
    <t>destruction_limit</t>
  </si>
  <si>
    <t>Blasterのスキル使用回数2回</t>
  </si>
  <si>
    <t>Attackerのスキル使用回数2回</t>
  </si>
  <si>
    <t>Debufferのスキル使用回数2回</t>
  </si>
  <si>
    <t>3ターン毎に敵の攻撃力アップ(解除不可)</t>
  </si>
  <si>
    <t>味方のDP回復量50%ダウン</t>
  </si>
  <si>
    <t>敵の斬属性耐性50%アップ、氷弱点が火弱点に変更</t>
  </si>
  <si>
    <t>element_2</t>
  </si>
  <si>
    <t>5ターン毎に敵の防御力アップ</t>
  </si>
  <si>
    <t>defense_rate</t>
  </si>
  <si>
    <t>step_turn5</t>
  </si>
  <si>
    <t>element_3</t>
  </si>
  <si>
    <t>Healerのスキル使用回数2回</t>
  </si>
  <si>
    <t>敵の攻撃力特大アップ(解除不可)、氷弱点が光弱点に変更</t>
  </si>
  <si>
    <t>行動パターンが変化</t>
  </si>
  <si>
    <t>敵の攻防大アップ、光耐性150%ダウン</t>
  </si>
  <si>
    <t>敵のHP+50%</t>
  </si>
  <si>
    <t>味方のDP回復量50%ダウン(解除不可)</t>
  </si>
  <si>
    <t>ターン開始時にトークンが付与されている味方の攻撃力大アップ(1ターン)</t>
  </si>
  <si>
    <t>power_up</t>
  </si>
  <si>
    <t>token</t>
  </si>
  <si>
    <t>5ターン毎にODゲージ減少</t>
  </si>
  <si>
    <t>3ターン毎にSPが3減少</t>
  </si>
  <si>
    <t>3ターン毎に味方のDP回復量5％ダウン(解除不可)</t>
  </si>
  <si>
    <t>敵の破壊率耐性50%アップ、上限が750に変更</t>
  </si>
  <si>
    <t>全属性弱点追加、ODゲージ200%減少</t>
  </si>
  <si>
    <t>element_5</t>
  </si>
  <si>
    <t>味方のDP回復量40%ダウン</t>
  </si>
  <si>
    <t>属性強化フィールド展開中はOD+5%</t>
  </si>
  <si>
    <t>敵の突属性耐性50%アップ</t>
  </si>
  <si>
    <t>physical_2</t>
  </si>
  <si>
    <t>ODがLv.3でしか発動できない</t>
  </si>
  <si>
    <t>敵の攻撃力特大アップ(解除不可)、光弱点が雷弱点に変更</t>
  </si>
  <si>
    <t>敵の攻撃力がアップ</t>
  </si>
  <si>
    <t>Defenderのスキル使用回数1回</t>
  </si>
  <si>
    <t>敵のDP+50%</t>
  </si>
  <si>
    <t>dp_rate</t>
  </si>
  <si>
    <t>5ターン毎にSPが5減少</t>
  </si>
  <si>
    <t>敵のデバフが効果量アップ</t>
  </si>
  <si>
    <t>敵のDP+75%</t>
  </si>
  <si>
    <t>敵の破壊率耐性50%アップ、破壊率上限が750%にアップ(解除不可)</t>
  </si>
  <si>
    <t>ターン開始時、敵がダウンターン中なら味方に破壊率上昇量30%アップ(1ターン)</t>
  </si>
  <si>
    <t>5</t>
    <phoneticPr fontId="1"/>
  </si>
  <si>
    <t>6</t>
    <phoneticPr fontId="1"/>
  </si>
  <si>
    <t>[難易度 : X V]タイラントウィップ(SNAP：ユキ)</t>
  </si>
  <si>
    <t>[難易度 : X V]ファーネスアイ(SNAP：映夏)</t>
  </si>
  <si>
    <t>手塚(特別訓練Ⅰ)</t>
  </si>
  <si>
    <t>271000</t>
  </si>
  <si>
    <t>effect_kind5</t>
    <phoneticPr fontId="1"/>
  </si>
  <si>
    <t>effect_size5</t>
    <phoneticPr fontId="1"/>
  </si>
  <si>
    <t>conditions5</t>
    <phoneticPr fontId="1"/>
  </si>
  <si>
    <t>[難易度 : X V]ダズルアイボール(水着梢)</t>
  </si>
  <si>
    <t>155000</t>
  </si>
  <si>
    <t>回復スキル効果アップ</t>
    <phoneticPr fontId="1"/>
  </si>
  <si>
    <t>攻撃力上昇スキル効果アップ</t>
    <phoneticPr fontId="1"/>
  </si>
  <si>
    <t>デバフスキル効果アップ</t>
    <phoneticPr fontId="1"/>
  </si>
  <si>
    <t>クリティカル率効果アップ</t>
    <phoneticPr fontId="1"/>
  </si>
  <si>
    <t>挑発・注目状態：ダメージ軽減</t>
    <phoneticPr fontId="1"/>
  </si>
  <si>
    <t>ダメージ軽減</t>
    <phoneticPr fontId="1"/>
  </si>
  <si>
    <t>SSR</t>
    <phoneticPr fontId="1"/>
  </si>
  <si>
    <t>フラットハンド</t>
  </si>
  <si>
    <t>ロータリーモール（第1形態）</t>
  </si>
  <si>
    <t>フラットハンド（第1形態）</t>
  </si>
  <si>
    <t>ロータリーモール（第2形態）</t>
  </si>
  <si>
    <t>フラットハンド（第2形態）</t>
  </si>
  <si>
    <t>59400</t>
  </si>
  <si>
    <t>79200</t>
  </si>
  <si>
    <t>87840</t>
  </si>
  <si>
    <t>175500</t>
  </si>
  <si>
    <t>103500</t>
  </si>
  <si>
    <t>405000</t>
  </si>
  <si>
    <t>247500</t>
  </si>
  <si>
    <t>3116400</t>
  </si>
  <si>
    <t>4550000</t>
  </si>
  <si>
    <t>97500</t>
  </si>
  <si>
    <t>アニマスフィア(100)</t>
  </si>
  <si>
    <t>[練習機]バレルスクーター(絶級Lv3(斬))</t>
  </si>
  <si>
    <t>スカルフェザー(第一形態)[Tail]</t>
  </si>
  <si>
    <t>531440,531440,531440</t>
  </si>
  <si>
    <t>(10F)アビスノッカーΩ</t>
  </si>
  <si>
    <t>(50F)デススラッグΩ(第1形態)</t>
  </si>
  <si>
    <t>[幻影]アラクネラインA : Lv.16</t>
  </si>
  <si>
    <t>(こじゅ)ユグドヴェイル</t>
  </si>
  <si>
    <t>(ひさ子)アニマスフィア</t>
  </si>
  <si>
    <t>(美也)レイラインウォッチャー</t>
  </si>
  <si>
    <t>resonance</t>
  </si>
  <si>
    <t>[難易度 : X V]ウーズゲート(ヴリティカ)</t>
  </si>
  <si>
    <t>[難易度 : X V]ダイオウタコ(月城)</t>
  </si>
  <si>
    <t>7084000,2646000,7084000,2646000</t>
  </si>
  <si>
    <t>116775</t>
  </si>
  <si>
    <t>3060000</t>
  </si>
  <si>
    <t>250000</t>
  </si>
  <si>
    <t>270000</t>
  </si>
  <si>
    <t>500000</t>
  </si>
  <si>
    <t>[強化変種]コフィンアイ(エリア04-PROFESSIONAL)</t>
  </si>
  <si>
    <t>グレイシアバード(PROFESSIONAL)</t>
  </si>
  <si>
    <t>レクタス/シニスター・ニールY(PROFESSIONAL)</t>
  </si>
  <si>
    <t>ヴェイグノッカー(PROFESSIONAL)</t>
  </si>
  <si>
    <t>ライトニングスラッグ(PROFESSIONAL)</t>
  </si>
  <si>
    <t>グレイシアバード(ADVENTURE)</t>
  </si>
  <si>
    <t>レクタス/シニスター・ニールY(ADVENTURE)</t>
  </si>
  <si>
    <t>ヴェイグノッカー(ADVENTURE)</t>
  </si>
  <si>
    <t>ライトニングスラッグ(ADVENTURE)</t>
  </si>
  <si>
    <t>グレイシアバード(CASUAL)</t>
  </si>
  <si>
    <t>レクタス/シニスター・ニールY(CASUAL)</t>
  </si>
  <si>
    <t>ヴェイグノッカー(CASUAL)</t>
  </si>
  <si>
    <t>ライトニングスラッグ(CASUAL)</t>
  </si>
  <si>
    <t>[難易度 : X V]クレイジーノッカー(パワプロ)</t>
  </si>
  <si>
    <t>15</t>
  </si>
  <si>
    <t>氷弱点が光弱点に変更</t>
  </si>
  <si>
    <t>敵の攻撃力特大アップ(解除不可)、氷弱点が雷弱点に変更</t>
  </si>
  <si>
    <t>destruction_resist</t>
  </si>
  <si>
    <t>敵の防御力特大アップ(解除不可)、闇弱点が火弱点に変更</t>
  </si>
  <si>
    <t>敵の防御力超特大アップ</t>
  </si>
  <si>
    <t>敵の防御力超特大アップ(ダウンターンで解除)</t>
  </si>
  <si>
    <t>敵の攻撃力大アップ(解除不可)、闇弱点が光弱点に変更</t>
  </si>
  <si>
    <t>ODがLv.2でしか発動できない</t>
  </si>
  <si>
    <t>ターン開始時、敵がダウンターン中なら光属性攻撃力+10%</t>
  </si>
  <si>
    <t>element_power_up_4</t>
  </si>
  <si>
    <t>Bufferのスキル使用回数2回</t>
  </si>
  <si>
    <t>ターン開始時、敵がダウンターン中ならチャージが付与されている味方の破壊率上昇量35％アップ(1ターン)</t>
  </si>
  <si>
    <t>全属性弱点になり、バトル開始時にODゲージ200%減少</t>
  </si>
  <si>
    <t>ターン開始時、敵がダウンターン中なら味方全体のSP+2</t>
  </si>
  <si>
    <t>行動パターンが変化し、フィールド検知行動が増加</t>
  </si>
  <si>
    <t>5ターン毎に隊列入れ替え不可(解除不可)</t>
  </si>
  <si>
    <t>ターン開始時、敵がダウンターン中で火属性以外の属性強化フィールドが展開中なら、スキル攻撃力＋15％(1ターン)</t>
  </si>
  <si>
    <t>敵の攻撃力大アップ(解除不可)、弱点がが氷と闇属性に変更</t>
  </si>
  <si>
    <t>Defenderのスキル使用回数2回</t>
  </si>
  <si>
    <t>ターン開始時、敵がダウンターン中ならDP回復スキルの効果量+20(1ターン)</t>
  </si>
  <si>
    <t>5ターンごとに、敵のDPを50％回復と攻撃力超特大アップ(解除不可)</t>
  </si>
  <si>
    <t>敵の行動パターンが変化し、DP回復量とバフ効果が強化</t>
  </si>
  <si>
    <t>敵の破壊率耐性50%アップ(解除不可)</t>
  </si>
  <si>
    <t>敵の破壊率耐性50%アップ(ダウンターンで解除)</t>
  </si>
  <si>
    <t>敵の行動パターンが変化し、連続行動が増加</t>
  </si>
  <si>
    <t>敵の氷、雷、光耐性アップ、火弱点が消失</t>
  </si>
  <si>
    <t>毎ターンODゲージ減少</t>
  </si>
  <si>
    <t>4ターン後とに敵の防御力15%アップ(解除不可)</t>
  </si>
  <si>
    <t>step_turn4</t>
  </si>
  <si>
    <t>敵の破壊率耐性75%アップ(解除不可)</t>
  </si>
  <si>
    <t>敵の破壊率耐性75%アップ(ダウンターンで解除)</t>
  </si>
  <si>
    <t>敵の行動パターンが変化し、デバフ効果量上昇、回復行動が増加</t>
  </si>
  <si>
    <t>火弱点が雷弱点に変更</t>
  </si>
  <si>
    <t>敵の破壊率耐性40%アップ、破壊率上限が750%にアップ(解除不可)</t>
  </si>
  <si>
    <t>敵の防御力アップの効果量が50%に上昇</t>
  </si>
  <si>
    <t>敵の防御力アップの効果量が50%に上昇(ダウンターンで解除)</t>
  </si>
  <si>
    <t>毎ターン前衛のSP-2</t>
  </si>
  <si>
    <t>5ターン毎に敵の防御力10%アップ(解除不可)</t>
  </si>
  <si>
    <t>雷弱点が火弱点に変更</t>
  </si>
  <si>
    <t>敵のデバフ行動の使用頻度がアップ、さらに特定の攻撃に防御デバフを追加</t>
  </si>
  <si>
    <t>ターン開始時、やる気が付与されている味方の攻撃力30%アップ(1ターン)</t>
  </si>
  <si>
    <t>敵の攻撃力と防御力が20%アップ(解除不可)</t>
    <rPh sb="17" eb="19">
      <t>カイジョ</t>
    </rPh>
    <rPh sb="19" eb="21">
      <t>フカ</t>
    </rPh>
    <phoneticPr fontId="1"/>
  </si>
  <si>
    <t>dp_rate</t>
    <phoneticPr fontId="1"/>
  </si>
  <si>
    <t>[難易度 : X V]クリーヴホース(三野里)</t>
  </si>
  <si>
    <t>3ターン毎に敵の攻撃力10%アップ(解除不可)</t>
    <rPh sb="8" eb="10">
      <t>コウゲキ</t>
    </rPh>
    <phoneticPr fontId="1"/>
  </si>
  <si>
    <t>hp_rate</t>
    <phoneticPr fontId="1"/>
  </si>
  <si>
    <t>ODがLv.2でしか発動できない</t>
    <phoneticPr fontId="1"/>
  </si>
  <si>
    <t>敵のHP+50%</t>
    <phoneticPr fontId="1"/>
  </si>
  <si>
    <t>敵のDP+25%</t>
    <phoneticPr fontId="1"/>
  </si>
  <si>
    <t>150</t>
    <phoneticPr fontId="1"/>
  </si>
  <si>
    <t>雷・光弱点が闇弱点に変化</t>
    <rPh sb="0" eb="1">
      <t>カミナリ</t>
    </rPh>
    <rPh sb="2" eb="3">
      <t>ヒカリ</t>
    </rPh>
    <rPh sb="3" eb="5">
      <t>ジャクテン</t>
    </rPh>
    <rPh sb="6" eb="7">
      <t>ヤミ</t>
    </rPh>
    <rPh sb="7" eb="9">
      <t>ジャクテン</t>
    </rPh>
    <rPh sb="10" eb="12">
      <t>ヘンカ</t>
    </rPh>
    <phoneticPr fontId="1"/>
  </si>
  <si>
    <t>戦闘開始時ODゲージ100%減少</t>
    <rPh sb="0" eb="2">
      <t>セントウ</t>
    </rPh>
    <rPh sb="2" eb="5">
      <t>カイシジ</t>
    </rPh>
    <phoneticPr fontId="1"/>
  </si>
  <si>
    <t>attack_ref</t>
  </si>
  <si>
    <t>7</t>
    <phoneticPr fontId="1"/>
  </si>
  <si>
    <t>[難易度 : X V]ラークフィーラー(帝へど至る)</t>
  </si>
  <si>
    <t>[演習機III]カースドール(Lv40)</t>
  </si>
  <si>
    <t>93600</t>
  </si>
  <si>
    <t>[演習機III]カローラナイフ(Lv40)</t>
  </si>
  <si>
    <t>108000</t>
  </si>
  <si>
    <t>[演習機III]クロウホース(Lv40)</t>
  </si>
  <si>
    <t>228000</t>
  </si>
  <si>
    <t>[演習機III]スウェルクロウ(Lv40)</t>
  </si>
  <si>
    <t>1440000</t>
  </si>
  <si>
    <t>[演習機III]トールフレシア(Lv40)</t>
  </si>
  <si>
    <t>3840000</t>
  </si>
  <si>
    <t>[演習機III]マッドショック/デッドロックウォーカー(Lv40)</t>
  </si>
  <si>
    <t>2880000</t>
  </si>
  <si>
    <t>3</t>
  </si>
  <si>
    <t>4</t>
  </si>
  <si>
    <t>5</t>
  </si>
  <si>
    <t>6</t>
  </si>
  <si>
    <t>7</t>
  </si>
  <si>
    <t>8</t>
  </si>
  <si>
    <t>敵のDP+150%</t>
    <phoneticPr fontId="1"/>
  </si>
  <si>
    <t>バトル開始時にODゲージ100％減少</t>
    <rPh sb="3" eb="6">
      <t>カイシジ</t>
    </rPh>
    <phoneticPr fontId="1"/>
  </si>
  <si>
    <t>バトル開始時に味方全体のSPが5減少</t>
    <rPh sb="3" eb="5">
      <t>カイシ</t>
    </rPh>
    <rPh sb="5" eb="6">
      <t>ジ</t>
    </rPh>
    <rPh sb="7" eb="9">
      <t>ミカタ</t>
    </rPh>
    <rPh sb="9" eb="11">
      <t>ゼンタイ</t>
    </rPh>
    <rPh sb="16" eb="18">
      <t>ゲンショウ</t>
    </rPh>
    <phoneticPr fontId="1"/>
  </si>
  <si>
    <t>敵の攻撃力+100%アップ(解除不可)</t>
    <rPh sb="0" eb="1">
      <t>テキ</t>
    </rPh>
    <rPh sb="2" eb="5">
      <t>コウゲキリョク</t>
    </rPh>
    <rPh sb="14" eb="16">
      <t>カイジョ</t>
    </rPh>
    <rPh sb="16" eb="18">
      <t>フカ</t>
    </rPh>
    <phoneticPr fontId="1"/>
  </si>
  <si>
    <t>毎ターン前衛のSPが2減少</t>
    <rPh sb="0" eb="1">
      <t>マイ</t>
    </rPh>
    <rPh sb="4" eb="6">
      <t>ゼンエイ</t>
    </rPh>
    <rPh sb="11" eb="13">
      <t>ゲンショウ</t>
    </rPh>
    <phoneticPr fontId="1"/>
  </si>
  <si>
    <t>バトル開始時、前衛の味方にDP腐食(ターン永続/解除不可)を付与</t>
    <rPh sb="3" eb="6">
      <t>カイシジ</t>
    </rPh>
    <rPh sb="7" eb="9">
      <t>ゼンエイ</t>
    </rPh>
    <rPh sb="10" eb="12">
      <t>ミカタ</t>
    </rPh>
    <rPh sb="15" eb="17">
      <t>フショク</t>
    </rPh>
    <rPh sb="21" eb="23">
      <t>エイゾク</t>
    </rPh>
    <rPh sb="24" eb="26">
      <t>カイジョ</t>
    </rPh>
    <rPh sb="26" eb="28">
      <t>フカ</t>
    </rPh>
    <rPh sb="30" eb="32">
      <t>フヨ</t>
    </rPh>
    <phoneticPr fontId="1"/>
  </si>
  <si>
    <t>バトル開始時、敵にデバフ無効(5回)付与</t>
    <rPh sb="3" eb="6">
      <t>カイシジ</t>
    </rPh>
    <rPh sb="7" eb="8">
      <t>テキ</t>
    </rPh>
    <rPh sb="12" eb="14">
      <t>ムコウ</t>
    </rPh>
    <rPh sb="16" eb="17">
      <t>カイ</t>
    </rPh>
    <rPh sb="18" eb="20">
      <t>フヨ</t>
    </rPh>
    <phoneticPr fontId="1"/>
  </si>
  <si>
    <t>[難易度 : X V]ベルクノッカー(SNAP：マリ)</t>
  </si>
  <si>
    <t>[難易度 : X V]ランブリングモール(SNAP：カレンチャン)</t>
  </si>
  <si>
    <t>120700</t>
  </si>
  <si>
    <t>毎ターン味方全体のSPが1減少</t>
    <rPh sb="0" eb="1">
      <t>マイ</t>
    </rPh>
    <rPh sb="4" eb="6">
      <t>ミカタ</t>
    </rPh>
    <rPh sb="6" eb="8">
      <t>ゼンタイ</t>
    </rPh>
    <rPh sb="13" eb="15">
      <t>ゲンショウ</t>
    </rPh>
    <phoneticPr fontId="1"/>
  </si>
  <si>
    <t>バトル開始時にODゲージ100％減少(-300%まで下限突破)</t>
    <rPh sb="3" eb="6">
      <t>カイシジ</t>
    </rPh>
    <rPh sb="26" eb="28">
      <t>カゲン</t>
    </rPh>
    <rPh sb="28" eb="30">
      <t>トッパ</t>
    </rPh>
    <phoneticPr fontId="1"/>
  </si>
  <si>
    <t>ターン開始時、前衛に現在DPの50％のDPダメージ</t>
    <rPh sb="3" eb="6">
      <t>カイシジ</t>
    </rPh>
    <rPh sb="7" eb="9">
      <t>ゼンエイ</t>
    </rPh>
    <rPh sb="10" eb="12">
      <t>ゲンザイ</t>
    </rPh>
    <phoneticPr fontId="1"/>
  </si>
  <si>
    <t>3ターン毎に前衛のSPを0に変更(SP0未満の味方を除く)</t>
    <rPh sb="4" eb="5">
      <t>ゴト</t>
    </rPh>
    <rPh sb="6" eb="8">
      <t>ゼンエイ</t>
    </rPh>
    <rPh sb="14" eb="16">
      <t>ヘンコウ</t>
    </rPh>
    <rPh sb="20" eb="22">
      <t>ミマン</t>
    </rPh>
    <rPh sb="23" eb="25">
      <t>ミカタ</t>
    </rPh>
    <rPh sb="26" eb="27">
      <t>ノゾ</t>
    </rPh>
    <phoneticPr fontId="1"/>
  </si>
  <si>
    <t>味方の最大DPが割合50%ダウン</t>
    <rPh sb="0" eb="2">
      <t>ミカタ</t>
    </rPh>
    <rPh sb="3" eb="5">
      <t>サイダイ</t>
    </rPh>
    <rPh sb="8" eb="10">
      <t>ワリアイ</t>
    </rPh>
    <phoneticPr fontId="1"/>
  </si>
  <si>
    <t>敵のデバフ効果が+1ターン(解除不可)</t>
    <rPh sb="0" eb="1">
      <t>テキ</t>
    </rPh>
    <rPh sb="5" eb="7">
      <t>コウカ</t>
    </rPh>
    <rPh sb="14" eb="16">
      <t>カイジョ</t>
    </rPh>
    <rPh sb="16" eb="18">
      <t>フカ</t>
    </rPh>
    <phoneticPr fontId="1"/>
  </si>
  <si>
    <t>浅見真紀子</t>
  </si>
  <si>
    <t>エグゾウォッチャーΩ : Lv.4</t>
  </si>
  <si>
    <t>エグゾウォッチャーΩ : Lv.3</t>
  </si>
  <si>
    <t>アモンΩ : Lv.4</t>
  </si>
  <si>
    <t>アモンΩ : Lv.3</t>
  </si>
  <si>
    <t>レクタス/シニスター・ニールΩ : Lv.3</t>
  </si>
  <si>
    <t>レクタス/シニスター・ニールΩ : Lv.4</t>
  </si>
  <si>
    <t>1400000,1400000,1400000</t>
  </si>
  <si>
    <t>1600000,1600000,1600000</t>
  </si>
  <si>
    <t>1800000</t>
  </si>
  <si>
    <t>ability_effect</t>
  </si>
  <si>
    <t>ability_list</t>
  </si>
  <si>
    <t>passive_effect</t>
  </si>
  <si>
    <t>passive_list</t>
  </si>
  <si>
    <t>ネザーデンドロン</t>
  </si>
  <si>
    <t>敵のHP+150%</t>
    <phoneticPr fontId="1"/>
  </si>
  <si>
    <t>敵の破壊率耐性50%アップ</t>
    <phoneticPr fontId="1"/>
  </si>
  <si>
    <t>デススラッグEX(第一形態)</t>
  </si>
  <si>
    <t>デススラッグEX(第二形態)</t>
  </si>
  <si>
    <t>25100</t>
  </si>
  <si>
    <t>[難易度 : X V]ネザーデンドロン(手塚)</t>
  </si>
  <si>
    <t>100000000</t>
  </si>
  <si>
    <t>30000000</t>
  </si>
  <si>
    <t>[難易度 : X V]使い魔ブンゴ/魔王ヤマワキ</t>
  </si>
  <si>
    <t>味方の最大DPが割合50%ダウン</t>
    <phoneticPr fontId="1"/>
  </si>
  <si>
    <t>3ターン毎に隊列入れ替え不可</t>
    <phoneticPr fontId="1"/>
  </si>
  <si>
    <t>バトル開始時、前衛のSPを0に変更(SP0未満の味方を除く)</t>
    <rPh sb="3" eb="6">
      <t>カイシジ</t>
    </rPh>
    <rPh sb="7" eb="9">
      <t>ゼンエイ</t>
    </rPh>
    <rPh sb="15" eb="17">
      <t>ヘンコウ</t>
    </rPh>
    <rPh sb="21" eb="23">
      <t>ミマン</t>
    </rPh>
    <rPh sb="24" eb="26">
      <t>ミカタ</t>
    </rPh>
    <rPh sb="27" eb="28">
      <t>ノゾ</t>
    </rPh>
    <phoneticPr fontId="1"/>
  </si>
  <si>
    <t>毎ターン前衛のSPが2減少</t>
    <rPh sb="11" eb="13">
      <t>ゲンショウ</t>
    </rPh>
    <phoneticPr fontId="1"/>
  </si>
  <si>
    <t>ODがLv.3でしか発動可能</t>
    <rPh sb="12" eb="14">
      <t>カノウ</t>
    </rPh>
    <phoneticPr fontId="1"/>
  </si>
  <si>
    <t>[難易度 : X V]リジッドサーペント(SNAP：美也)</t>
  </si>
  <si>
    <t>リジッドサーペント</t>
  </si>
  <si>
    <t>魔王ヤマワキ</t>
  </si>
  <si>
    <t>48000</t>
  </si>
  <si>
    <t>敵の攻撃力+50%アップ(解除不可)</t>
    <rPh sb="0" eb="1">
      <t>テキ</t>
    </rPh>
    <rPh sb="2" eb="5">
      <t>コウゲキリョク</t>
    </rPh>
    <rPh sb="13" eb="15">
      <t>カイジョ</t>
    </rPh>
    <rPh sb="15" eb="17">
      <t>フカ</t>
    </rPh>
    <phoneticPr fontId="1"/>
  </si>
  <si>
    <t>味方のDP回復量100%ダウン(解除不可)</t>
    <rPh sb="5" eb="8">
      <t>カイフクリョウ</t>
    </rPh>
    <phoneticPr fontId="1"/>
  </si>
  <si>
    <t>バトル開始時、前衛の味方に抑制(SP上限15)を付与(ターン永続/解除不可)</t>
    <rPh sb="3" eb="6">
      <t>カイシジ</t>
    </rPh>
    <rPh sb="7" eb="9">
      <t>ゼンエイ</t>
    </rPh>
    <rPh sb="10" eb="12">
      <t>ミカタ</t>
    </rPh>
    <rPh sb="13" eb="15">
      <t>ヨクセイ</t>
    </rPh>
    <rPh sb="18" eb="20">
      <t>ジョウゲン</t>
    </rPh>
    <rPh sb="24" eb="26">
      <t>フヨ</t>
    </rPh>
    <rPh sb="30" eb="32">
      <t>エイゾク</t>
    </rPh>
    <rPh sb="33" eb="35">
      <t>カイジョ</t>
    </rPh>
    <rPh sb="35" eb="37">
      <t>フカ</t>
    </rPh>
    <phoneticPr fontId="1"/>
  </si>
  <si>
    <t>ODがLv.2以上でしか発動できない</t>
    <rPh sb="7" eb="9">
      <t>イジョウ</t>
    </rPh>
    <phoneticPr fontId="1"/>
  </si>
  <si>
    <t>敵のOD減少攻撃が強化(-300%まで下限突破)</t>
    <rPh sb="0" eb="1">
      <t>テキ</t>
    </rPh>
    <rPh sb="4" eb="6">
      <t>ゲンショウ</t>
    </rPh>
    <rPh sb="6" eb="8">
      <t>コウゲキ</t>
    </rPh>
    <rPh sb="9" eb="11">
      <t>キョウカ</t>
    </rPh>
    <rPh sb="19" eb="21">
      <t>カゲン</t>
    </rPh>
    <rPh sb="21" eb="23">
      <t>トッパ</t>
    </rPh>
    <phoneticPr fontId="1"/>
  </si>
  <si>
    <t>[難易度 : X V]フィギュリンホーン</t>
  </si>
  <si>
    <t>フィギュリンホーン</t>
  </si>
  <si>
    <t>19600</t>
  </si>
  <si>
    <t>バトル開始時に味方全体のSPが5減少</t>
    <rPh sb="3" eb="6">
      <t>カイシジ</t>
    </rPh>
    <rPh sb="7" eb="9">
      <t>ミカタ</t>
    </rPh>
    <rPh sb="9" eb="11">
      <t>ゼンタイ</t>
    </rPh>
    <rPh sb="16" eb="18">
      <t>ゲンショウ</t>
    </rPh>
    <phoneticPr fontId="1"/>
  </si>
  <si>
    <t>敵のHP+200%</t>
    <phoneticPr fontId="1"/>
  </si>
  <si>
    <t>[難易度 : X V]フォートレスクラブ(ギャル祈)</t>
  </si>
  <si>
    <t>380000</t>
  </si>
  <si>
    <t>フォートレスクラブ</t>
  </si>
  <si>
    <t>7500</t>
  </si>
  <si>
    <t>全てのスキルの使用回数が1回になる</t>
    <rPh sb="0" eb="1">
      <t>スベ</t>
    </rPh>
    <rPh sb="7" eb="9">
      <t>シヨウ</t>
    </rPh>
    <rPh sb="9" eb="11">
      <t>カイスウ</t>
    </rPh>
    <rPh sb="13" eb="14">
      <t>カイ</t>
    </rPh>
    <phoneticPr fontId="1"/>
  </si>
  <si>
    <t>バトル開始時、敵にデバフ無効（5回）を付与(解除不可)</t>
    <rPh sb="3" eb="6">
      <t>カイシジ</t>
    </rPh>
    <rPh sb="7" eb="8">
      <t>テキ</t>
    </rPh>
    <rPh sb="12" eb="14">
      <t>ムコウ</t>
    </rPh>
    <rPh sb="16" eb="17">
      <t>カイ</t>
    </rPh>
    <rPh sb="19" eb="21">
      <t>フヨ</t>
    </rPh>
    <phoneticPr fontId="1"/>
  </si>
  <si>
    <t>バトル開始時にODゲージ50％減少(-300%まで下限突破)し、味方にOD上昇量12%アップ(永続)を付与</t>
    <rPh sb="3" eb="6">
      <t>カイシジ</t>
    </rPh>
    <rPh sb="15" eb="17">
      <t>ゲンショウ</t>
    </rPh>
    <rPh sb="25" eb="27">
      <t>カゲン</t>
    </rPh>
    <rPh sb="27" eb="29">
      <t>トッパ</t>
    </rPh>
    <rPh sb="32" eb="34">
      <t>ミカタ</t>
    </rPh>
    <rPh sb="37" eb="40">
      <t>ジョウショウリョウ</t>
    </rPh>
    <rPh sb="47" eb="49">
      <t>エイゾク</t>
    </rPh>
    <rPh sb="51" eb="53">
      <t>フヨ</t>
    </rPh>
    <phoneticPr fontId="1"/>
  </si>
  <si>
    <t>行動開始時、チャージ中ではない味方の攻撃力を50％ダウン(解除不可)</t>
    <rPh sb="0" eb="2">
      <t>コウドウ</t>
    </rPh>
    <rPh sb="2" eb="5">
      <t>カイシジ</t>
    </rPh>
    <rPh sb="10" eb="11">
      <t>チュウ</t>
    </rPh>
    <rPh sb="15" eb="17">
      <t>ミカタ</t>
    </rPh>
    <rPh sb="18" eb="21">
      <t>コウゲキリョク</t>
    </rPh>
    <phoneticPr fontId="1"/>
  </si>
  <si>
    <t>ODがLv.3のみ発動可能</t>
    <rPh sb="11" eb="13">
      <t>カノウ</t>
    </rPh>
    <phoneticPr fontId="1"/>
  </si>
  <si>
    <t>バトル開始時、敵に防御力アップ(15%)を5つ付与 敵の終了時に1つ消失(解除不可）</t>
    <rPh sb="3" eb="6">
      <t>カイシジ</t>
    </rPh>
    <rPh sb="7" eb="8">
      <t>テキ</t>
    </rPh>
    <rPh sb="9" eb="12">
      <t>ボウギョリョク</t>
    </rPh>
    <rPh sb="23" eb="25">
      <t>フヨ</t>
    </rPh>
    <rPh sb="26" eb="27">
      <t>テキ</t>
    </rPh>
    <rPh sb="28" eb="31">
      <t>シュウリョウジ</t>
    </rPh>
    <rPh sb="34" eb="36">
      <t>ショウシツ</t>
    </rPh>
    <rPh sb="37" eb="39">
      <t>カイジョ</t>
    </rPh>
    <rPh sb="39" eb="41">
      <t>フカ</t>
    </rPh>
    <phoneticPr fontId="1"/>
  </si>
  <si>
    <t>バトル開始時、敵に防御力アップ(15%)を5つ付与 消失後</t>
    <rPh sb="3" eb="6">
      <t>カイシジ</t>
    </rPh>
    <rPh sb="7" eb="8">
      <t>テキ</t>
    </rPh>
    <rPh sb="9" eb="12">
      <t>ボウギョリョク</t>
    </rPh>
    <rPh sb="23" eb="25">
      <t>フヨ</t>
    </rPh>
    <rPh sb="26" eb="28">
      <t>ショウシツ</t>
    </rPh>
    <rPh sb="28" eb="29">
      <t>ゴ</t>
    </rPh>
    <phoneticPr fontId="1"/>
  </si>
  <si>
    <t>defense_rate</t>
    <phoneticPr fontId="1"/>
  </si>
  <si>
    <t>レッドクリムゾンEX</t>
  </si>
  <si>
    <t>ロータリーモールEX</t>
  </si>
  <si>
    <t>50000000</t>
  </si>
  <si>
    <t>P5R</t>
    <phoneticPr fontId="1"/>
  </si>
  <si>
    <t>モナ</t>
  </si>
  <si>
    <t>モナ</t>
    <phoneticPr fontId="1"/>
  </si>
  <si>
    <t>クイーン</t>
  </si>
  <si>
    <t>クイーン</t>
    <phoneticPr fontId="1"/>
  </si>
  <si>
    <t>BareHands</t>
    <phoneticPr fontId="1"/>
  </si>
  <si>
    <t>ShortSword</t>
    <phoneticPr fontId="1"/>
  </si>
  <si>
    <t>[難易度 : X V]シャドウキャンサー・オリジン(P5R)</t>
  </si>
  <si>
    <t>シャドウキャンサー・オリジン</t>
  </si>
  <si>
    <t>40</t>
  </si>
  <si>
    <t>25</t>
  </si>
  <si>
    <t>敵の破壊率耐性50%アップ(解除不可)</t>
    <phoneticPr fontId="1"/>
  </si>
  <si>
    <t>味方のDP回復量100%ダウン</t>
    <phoneticPr fontId="1"/>
  </si>
  <si>
    <t>ODでのSP上昇を50％減少</t>
    <rPh sb="6" eb="8">
      <t>ジョウショウ</t>
    </rPh>
    <rPh sb="12" eb="14">
      <t>ゲンショウ</t>
    </rPh>
    <phoneticPr fontId="1"/>
  </si>
  <si>
    <t>ターン数が30ターンから10ターンに減少</t>
    <rPh sb="3" eb="4">
      <t>スウ</t>
    </rPh>
    <rPh sb="18" eb="20">
      <t>ゲンショウ</t>
    </rPh>
    <phoneticPr fontId="1"/>
  </si>
  <si>
    <t>カレイドウロボロス・コスモス</t>
  </si>
  <si>
    <t>30</t>
  </si>
  <si>
    <t>全てのスキルの使用可能回数が3回になる</t>
    <rPh sb="0" eb="1">
      <t>スベ</t>
    </rPh>
    <rPh sb="9" eb="11">
      <t>カノウ</t>
    </rPh>
    <phoneticPr fontId="1"/>
  </si>
  <si>
    <t>ヴァイオレット</t>
    <phoneticPr fontId="1"/>
  </si>
  <si>
    <t>Rapier</t>
    <phoneticPr fontId="1"/>
  </si>
  <si>
    <t>敵のデバフ効果量がアップ</t>
    <rPh sb="0" eb="1">
      <t>テキ</t>
    </rPh>
    <rPh sb="5" eb="8">
      <t>コウカリョウ</t>
    </rPh>
    <phoneticPr fontId="1"/>
  </si>
  <si>
    <t>敵のデバフ効果が+2ターン(解除不可)</t>
    <rPh sb="0" eb="1">
      <t>テキ</t>
    </rPh>
    <rPh sb="5" eb="7">
      <t>コウカ</t>
    </rPh>
    <rPh sb="14" eb="16">
      <t>カイジョ</t>
    </rPh>
    <rPh sb="16" eb="18">
      <t>フカ</t>
    </rPh>
    <phoneticPr fontId="1"/>
  </si>
  <si>
    <t>毎ターンODゲージ20％減少</t>
    <rPh sb="0" eb="1">
      <t>マイ</t>
    </rPh>
    <rPh sb="12" eb="14">
      <t>ゲンショウ</t>
    </rPh>
    <phoneticPr fontId="1"/>
  </si>
  <si>
    <t>敵の破壊率耐性70%アップ、破壊率上限が500%にアップ(解除不可)</t>
    <rPh sb="14" eb="16">
      <t>ハカイ</t>
    </rPh>
    <rPh sb="16" eb="17">
      <t>リツ</t>
    </rPh>
    <rPh sb="29" eb="31">
      <t>カイジョ</t>
    </rPh>
    <rPh sb="31" eb="33">
      <t>フカ</t>
    </rPh>
    <phoneticPr fontId="1"/>
  </si>
  <si>
    <t>[難易度 : X V]オーカークロウ(映夏)</t>
  </si>
  <si>
    <t>オーカークロウ</t>
  </si>
  <si>
    <t>5000</t>
  </si>
  <si>
    <t>200</t>
    <phoneticPr fontId="1"/>
  </si>
  <si>
    <t>ブラックンノット</t>
  </si>
  <si>
    <t>4800000</t>
  </si>
  <si>
    <t>[難易度 : X V]クリーヴホース(SNAP：一千子)</t>
  </si>
  <si>
    <t>トールハンマー・オルタナ</t>
  </si>
  <si>
    <t>敵の攻撃力+75%アップ(解除不可)</t>
    <rPh sb="0" eb="1">
      <t>テキ</t>
    </rPh>
    <rPh sb="2" eb="5">
      <t>コウゲキリョク</t>
    </rPh>
    <rPh sb="13" eb="15">
      <t>カイジョ</t>
    </rPh>
    <rPh sb="15" eb="17">
      <t>フカ</t>
    </rPh>
    <phoneticPr fontId="1"/>
  </si>
  <si>
    <t>敵の破壊率耐性50%アップ(解除不可)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</si>
  <si>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3ターン毎に隊列入れ替え不可</t>
    <rPh sb="4" eb="5">
      <t>ゴト</t>
    </rPh>
    <rPh sb="6" eb="8">
      <t>タイレツ</t>
    </rPh>
    <rPh sb="8" eb="9">
      <t>イ</t>
    </rPh>
    <rPh sb="10" eb="11">
      <t>カ</t>
    </rPh>
    <rPh sb="12" eb="14">
      <t>フカ</t>
    </rPh>
    <phoneticPr fontId="1"/>
  </si>
  <si>
    <t>HPゲージが残り1本のとき、敵の破壊率耐性75%アップ(解除不可) HPゲージ残り1本</t>
    <rPh sb="6" eb="7">
      <t>ノコ</t>
    </rPh>
    <rPh sb="9" eb="10">
      <t>ホン</t>
    </rPh>
    <rPh sb="14" eb="15">
      <t>テキ</t>
    </rPh>
    <rPh sb="16" eb="18">
      <t>ハカイ</t>
    </rPh>
    <rPh sb="18" eb="19">
      <t>リツ</t>
    </rPh>
    <rPh sb="19" eb="21">
      <t>タイセイ</t>
    </rPh>
    <rPh sb="28" eb="30">
      <t>カイジョ</t>
    </rPh>
    <rPh sb="30" eb="32">
      <t>フカ</t>
    </rPh>
    <rPh sb="39" eb="40">
      <t>ノコ</t>
    </rPh>
    <rPh sb="42" eb="43">
      <t>ホン</t>
    </rPh>
    <phoneticPr fontId="1"/>
  </si>
  <si>
    <t>HPゲージが残り1本のとき、敵の破壊率耐性75%アップ(解除不可) HPゲージ残り1本以外</t>
    <rPh sb="6" eb="7">
      <t>ノコ</t>
    </rPh>
    <rPh sb="9" eb="10">
      <t>ホン</t>
    </rPh>
    <rPh sb="14" eb="15">
      <t>テキ</t>
    </rPh>
    <rPh sb="16" eb="18">
      <t>ハカイ</t>
    </rPh>
    <rPh sb="18" eb="19">
      <t>リツ</t>
    </rPh>
    <rPh sb="19" eb="21">
      <t>タイセイ</t>
    </rPh>
    <rPh sb="28" eb="30">
      <t>カイジョ</t>
    </rPh>
    <rPh sb="30" eb="32">
      <t>フカ</t>
    </rPh>
    <rPh sb="43" eb="45">
      <t>イガイ</t>
    </rPh>
    <phoneticPr fontId="1"/>
  </si>
  <si>
    <t>バトル開始時、敵に防御力アップ(15%)を5つ付与 敵の行動終了時に1つ消失(解除不可) 防御力アップ無し</t>
    <rPh sb="3" eb="6">
      <t>カイシジ</t>
    </rPh>
    <rPh sb="7" eb="8">
      <t>テキ</t>
    </rPh>
    <rPh sb="9" eb="12">
      <t>ボウギョリョク</t>
    </rPh>
    <rPh sb="23" eb="25">
      <t>フヨ</t>
    </rPh>
    <rPh sb="26" eb="27">
      <t>テキ</t>
    </rPh>
    <rPh sb="28" eb="30">
      <t>コウドウ</t>
    </rPh>
    <rPh sb="30" eb="33">
      <t>シュウリョウジ</t>
    </rPh>
    <rPh sb="36" eb="38">
      <t>ショウシツ</t>
    </rPh>
    <rPh sb="39" eb="41">
      <t>カイジョ</t>
    </rPh>
    <rPh sb="41" eb="43">
      <t>フカ</t>
    </rPh>
    <rPh sb="45" eb="48">
      <t>ボウギョリョク</t>
    </rPh>
    <rPh sb="51" eb="52">
      <t>ナ</t>
    </rPh>
    <phoneticPr fontId="1"/>
  </si>
  <si>
    <t>バトル開始時、敵に防御力アップ(15%)を5つ付与 敵の行動終了時に1つ消失(解除不可) 防御力アップ1つ</t>
    <rPh sb="3" eb="6">
      <t>カイシジ</t>
    </rPh>
    <rPh sb="7" eb="8">
      <t>テキ</t>
    </rPh>
    <rPh sb="9" eb="12">
      <t>ボウギョリョク</t>
    </rPh>
    <rPh sb="23" eb="25">
      <t>フヨ</t>
    </rPh>
    <rPh sb="26" eb="27">
      <t>テキ</t>
    </rPh>
    <rPh sb="28" eb="30">
      <t>コウドウ</t>
    </rPh>
    <rPh sb="30" eb="33">
      <t>シュウリョウジ</t>
    </rPh>
    <rPh sb="36" eb="38">
      <t>ショウシツ</t>
    </rPh>
    <rPh sb="39" eb="41">
      <t>カイジョ</t>
    </rPh>
    <rPh sb="41" eb="43">
      <t>フカ</t>
    </rPh>
    <phoneticPr fontId="1"/>
  </si>
  <si>
    <t>バトル開始時、敵に防御力アップ(15%)を5つ付与 敵の行動終了時に1つ消失(解除不可) 防御力アップ2つ</t>
    <rPh sb="3" eb="6">
      <t>カイシジ</t>
    </rPh>
    <rPh sb="7" eb="8">
      <t>テキ</t>
    </rPh>
    <rPh sb="9" eb="12">
      <t>ボウギョリョク</t>
    </rPh>
    <rPh sb="23" eb="25">
      <t>フヨ</t>
    </rPh>
    <rPh sb="26" eb="27">
      <t>テキ</t>
    </rPh>
    <rPh sb="28" eb="30">
      <t>コウドウ</t>
    </rPh>
    <rPh sb="30" eb="33">
      <t>シュウリョウジ</t>
    </rPh>
    <rPh sb="36" eb="38">
      <t>ショウシツ</t>
    </rPh>
    <rPh sb="39" eb="41">
      <t>カイジョ</t>
    </rPh>
    <rPh sb="41" eb="43">
      <t>フカ</t>
    </rPh>
    <phoneticPr fontId="1"/>
  </si>
  <si>
    <t>バトル開始時、敵に防御力アップ(15%)を5つ付与 敵の行動終了時に1つ消失(解除不可) 防御力アップ3つ</t>
    <rPh sb="3" eb="6">
      <t>カイシジ</t>
    </rPh>
    <rPh sb="7" eb="8">
      <t>テキ</t>
    </rPh>
    <rPh sb="9" eb="12">
      <t>ボウギョリョク</t>
    </rPh>
    <rPh sb="23" eb="25">
      <t>フヨ</t>
    </rPh>
    <rPh sb="26" eb="27">
      <t>テキ</t>
    </rPh>
    <rPh sb="28" eb="30">
      <t>コウドウ</t>
    </rPh>
    <rPh sb="30" eb="33">
      <t>シュウリョウジ</t>
    </rPh>
    <rPh sb="36" eb="38">
      <t>ショウシツ</t>
    </rPh>
    <rPh sb="39" eb="41">
      <t>カイジョ</t>
    </rPh>
    <rPh sb="41" eb="43">
      <t>フカ</t>
    </rPh>
    <phoneticPr fontId="1"/>
  </si>
  <si>
    <t>バトル開始時、敵に防御力アップ(15%)を5つ付与 敵の行動終了時に1つ消失(解除不可) 防御力アップ5つ</t>
    <rPh sb="3" eb="6">
      <t>カイシジ</t>
    </rPh>
    <rPh sb="7" eb="8">
      <t>テキ</t>
    </rPh>
    <rPh sb="9" eb="12">
      <t>ボウギョリョク</t>
    </rPh>
    <rPh sb="23" eb="25">
      <t>フヨ</t>
    </rPh>
    <rPh sb="26" eb="27">
      <t>テキ</t>
    </rPh>
    <rPh sb="28" eb="30">
      <t>コウドウ</t>
    </rPh>
    <rPh sb="30" eb="33">
      <t>シュウリョウジ</t>
    </rPh>
    <rPh sb="36" eb="38">
      <t>ショウシツ</t>
    </rPh>
    <rPh sb="39" eb="41">
      <t>カイジョ</t>
    </rPh>
    <rPh sb="41" eb="43">
      <t>フカ</t>
    </rPh>
    <phoneticPr fontId="1"/>
  </si>
  <si>
    <t>バトル開始時、敵に防御力アップ(15%)を5つ付与 敵の行動終了時に1つ消失(解除不可) 防御力アップ4つ</t>
    <rPh sb="3" eb="6">
      <t>カイシジ</t>
    </rPh>
    <rPh sb="7" eb="8">
      <t>テキ</t>
    </rPh>
    <rPh sb="9" eb="12">
      <t>ボウギョリョク</t>
    </rPh>
    <rPh sb="23" eb="25">
      <t>フヨ</t>
    </rPh>
    <rPh sb="26" eb="27">
      <t>テキ</t>
    </rPh>
    <rPh sb="28" eb="30">
      <t>コウドウ</t>
    </rPh>
    <rPh sb="30" eb="33">
      <t>シュウリョウジ</t>
    </rPh>
    <rPh sb="36" eb="38">
      <t>ショウシツ</t>
    </rPh>
    <rPh sb="39" eb="41">
      <t>カイジョ</t>
    </rPh>
    <rPh sb="41" eb="43">
      <t>フカ</t>
    </rPh>
    <phoneticPr fontId="1"/>
  </si>
  <si>
    <t>レッドクリムゾン・オルタナ</t>
  </si>
  <si>
    <t>1</t>
  </si>
  <si>
    <t>8</t>
    <phoneticPr fontId="1"/>
  </si>
  <si>
    <t>敵の攻撃力+50%アップ(解除不可)</t>
    <rPh sb="13" eb="15">
      <t>カイジョ</t>
    </rPh>
    <rPh sb="15" eb="17">
      <t>フカ</t>
    </rPh>
    <phoneticPr fontId="1"/>
  </si>
  <si>
    <t>味方のDP回復量100%ダウン(解除不可)</t>
    <rPh sb="0" eb="2">
      <t>ミカタ</t>
    </rPh>
    <rPh sb="5" eb="8">
      <t>カイフクリョウ</t>
    </rPh>
    <rPh sb="16" eb="18">
      <t>カイジョ</t>
    </rPh>
    <rPh sb="18" eb="20">
      <t>フカ</t>
    </rPh>
    <phoneticPr fontId="1"/>
  </si>
  <si>
    <t>52000000</t>
  </si>
  <si>
    <t>敵ステータス+50</t>
    <rPh sb="0" eb="1">
      <t>テキ</t>
    </rPh>
    <phoneticPr fontId="1"/>
  </si>
  <si>
    <t>敵ステータス+100</t>
    <rPh sb="0" eb="1">
      <t>テキ</t>
    </rPh>
    <phoneticPr fontId="1"/>
  </si>
  <si>
    <t>敵ステータス+150</t>
    <rPh sb="0" eb="1">
      <t>テキ</t>
    </rPh>
    <phoneticPr fontId="1"/>
  </si>
  <si>
    <t>敵ステータス+200</t>
    <rPh sb="0" eb="1">
      <t>テキ</t>
    </rPh>
    <phoneticPr fontId="1"/>
  </si>
  <si>
    <t>stat_up</t>
    <phoneticPr fontId="1"/>
  </si>
  <si>
    <t>ヒカリ</t>
    <phoneticPr fontId="1"/>
  </si>
  <si>
    <t>19A</t>
    <phoneticPr fontId="1"/>
  </si>
  <si>
    <t>御崎飛鳥</t>
  </si>
  <si>
    <t>御崎飛鳥</t>
    <phoneticPr fontId="1"/>
  </si>
  <si>
    <t>飛鳥</t>
    <phoneticPr fontId="1"/>
  </si>
  <si>
    <t>成瀬ヒカリ</t>
    <rPh sb="0" eb="2">
      <t>ナルセ</t>
    </rPh>
    <phoneticPr fontId="1"/>
  </si>
  <si>
    <t>与那城レン</t>
  </si>
  <si>
    <t>与那城レン</t>
    <phoneticPr fontId="1"/>
  </si>
  <si>
    <t>レン</t>
    <phoneticPr fontId="1"/>
  </si>
  <si>
    <t>松嶋ちひろ</t>
  </si>
  <si>
    <t>松嶋ちひろ</t>
    <phoneticPr fontId="1"/>
  </si>
  <si>
    <t>ちひろ</t>
  </si>
  <si>
    <t>高宮瑠璃</t>
  </si>
  <si>
    <t>高宮瑠璃</t>
    <phoneticPr fontId="1"/>
  </si>
  <si>
    <t>瑠璃</t>
    <phoneticPr fontId="1"/>
  </si>
  <si>
    <t>虚</t>
    <rPh sb="0" eb="1">
      <t>ウツ</t>
    </rPh>
    <phoneticPr fontId="1"/>
  </si>
  <si>
    <t>release_date</t>
    <phoneticPr fontId="1"/>
  </si>
  <si>
    <t>date</t>
    <phoneticPr fontId="1"/>
  </si>
  <si>
    <t>2022/10/14</t>
  </si>
  <si>
    <t>2022/10/31</t>
  </si>
  <si>
    <t>2022/11/14</t>
  </si>
  <si>
    <t>2022/11/30</t>
  </si>
  <si>
    <t>2022/12/16</t>
  </si>
  <si>
    <t>2022/12/30</t>
  </si>
  <si>
    <t>2023/10/20</t>
  </si>
  <si>
    <t>2023/11/17</t>
  </si>
  <si>
    <t>2023/12/15</t>
  </si>
  <si>
    <t>2023/12/29</t>
  </si>
  <si>
    <t>2024/10/11</t>
  </si>
  <si>
    <t>2024/10/25</t>
  </si>
  <si>
    <t>2024/11/22</t>
  </si>
  <si>
    <t>2024/12/13</t>
  </si>
  <si>
    <t>2024/12/27</t>
  </si>
  <si>
    <t>2025/10/10</t>
  </si>
  <si>
    <t>2025/10/17</t>
  </si>
  <si>
    <t>2025/10/31</t>
  </si>
  <si>
    <t>2025/11/14</t>
  </si>
  <si>
    <t>2025/11/28</t>
  </si>
  <si>
    <t>2025/12/12</t>
  </si>
  <si>
    <t>2025/12/26</t>
  </si>
  <si>
    <t>2022/02/10</t>
  </si>
  <si>
    <t>2022/02/14</t>
  </si>
  <si>
    <t>2022/02/22</t>
  </si>
  <si>
    <t>2022/02/28</t>
  </si>
  <si>
    <t>2022/03/08</t>
  </si>
  <si>
    <t>2022/03/18</t>
  </si>
  <si>
    <t>2022/03/31</t>
  </si>
  <si>
    <t>2022/04/15</t>
  </si>
  <si>
    <t>2022/04/29</t>
  </si>
  <si>
    <t>2022/05/13</t>
  </si>
  <si>
    <t>2022/05/31</t>
  </si>
  <si>
    <t>2022/06/14</t>
  </si>
  <si>
    <t>2022/06/30</t>
  </si>
  <si>
    <t>2022/07/15</t>
  </si>
  <si>
    <t>2022/07/29</t>
  </si>
  <si>
    <t>2022/08/10</t>
  </si>
  <si>
    <t>2022/08/31</t>
  </si>
  <si>
    <t>2022/09/15</t>
  </si>
  <si>
    <t>2022/09/30</t>
  </si>
  <si>
    <t>2023/01/06</t>
  </si>
  <si>
    <t>2023/01/19</t>
  </si>
  <si>
    <t>2023/02/05</t>
  </si>
  <si>
    <t>2023/02/10</t>
  </si>
  <si>
    <t>2023/03/10</t>
  </si>
  <si>
    <t>2023/03/24</t>
  </si>
  <si>
    <t>2023/04/07</t>
  </si>
  <si>
    <t>2023/04/28</t>
  </si>
  <si>
    <t>2023/05/05</t>
  </si>
  <si>
    <t>2023/05/19</t>
  </si>
  <si>
    <t>2023/06/02</t>
  </si>
  <si>
    <t>2023/06/24</t>
  </si>
  <si>
    <t>2023/06/30</t>
  </si>
  <si>
    <t>2023/07/14</t>
  </si>
  <si>
    <t>2023/08/06</t>
  </si>
  <si>
    <t>2023/08/15</t>
  </si>
  <si>
    <t>2023/08/31</t>
  </si>
  <si>
    <t>2023/09/08</t>
  </si>
  <si>
    <t>2023/09/22</t>
  </si>
  <si>
    <t>2023/10/06</t>
  </si>
  <si>
    <t>2023/11/03</t>
  </si>
  <si>
    <t>2023/12/01</t>
  </si>
  <si>
    <t>2024/01/05</t>
  </si>
  <si>
    <t>2024/01/20</t>
  </si>
  <si>
    <t>2024/02/04</t>
  </si>
  <si>
    <t>2024/02/16</t>
  </si>
  <si>
    <t>2024/02/23</t>
  </si>
  <si>
    <t>2024/03/08</t>
  </si>
  <si>
    <t>2024/03/22</t>
  </si>
  <si>
    <t>2024/04/05</t>
  </si>
  <si>
    <t>2024/04/26</t>
  </si>
  <si>
    <t>2024/05/17</t>
  </si>
  <si>
    <t>2024/05/31</t>
  </si>
  <si>
    <t>2024/06/14</t>
  </si>
  <si>
    <t>2024/06/28</t>
  </si>
  <si>
    <t>2024/07/05</t>
  </si>
  <si>
    <t>2024/07/20</t>
  </si>
  <si>
    <t>2024/08/23</t>
  </si>
  <si>
    <t>2024/09/06</t>
  </si>
  <si>
    <t>2024/09/20</t>
  </si>
  <si>
    <t>2024/10/04</t>
  </si>
  <si>
    <t>2024/11/08</t>
  </si>
  <si>
    <t>2024/12/06</t>
  </si>
  <si>
    <t>2025/01/10</t>
  </si>
  <si>
    <t>2025/02/02</t>
  </si>
  <si>
    <t>2025/02/09</t>
  </si>
  <si>
    <t>2025/02/21</t>
  </si>
  <si>
    <t>2025/03/07</t>
  </si>
  <si>
    <t>2025/03/21</t>
  </si>
  <si>
    <t>2025/04/04</t>
  </si>
  <si>
    <t>2025/04/25</t>
  </si>
  <si>
    <t>2025/05/02</t>
  </si>
  <si>
    <t>2025/05/16</t>
  </si>
  <si>
    <t>2025/05/30</t>
  </si>
  <si>
    <t>2025/06/13</t>
  </si>
  <si>
    <t>2025/06/27</t>
  </si>
  <si>
    <t>2025/07/11</t>
  </si>
  <si>
    <t>2025/07/18</t>
  </si>
  <si>
    <t>2025/08/03</t>
  </si>
  <si>
    <t>2025/08/10</t>
  </si>
  <si>
    <t>2025/08/22</t>
  </si>
  <si>
    <t>2025/09/05</t>
  </si>
  <si>
    <t>2025/09/19</t>
  </si>
  <si>
    <t>2025/10/03</t>
  </si>
  <si>
    <t>2026/01/16</t>
  </si>
  <si>
    <t>2026/02/01</t>
  </si>
  <si>
    <t>2026/02/13</t>
  </si>
  <si>
    <t>2026/02/27</t>
  </si>
  <si>
    <t>2026/03/13</t>
  </si>
  <si>
    <t>2026/03/27</t>
  </si>
  <si>
    <t>2026/04/10</t>
  </si>
  <si>
    <t>2026/04/24</t>
  </si>
  <si>
    <t>2026/05/01</t>
  </si>
  <si>
    <t>2026/05/22</t>
  </si>
  <si>
    <t>2026/06/05</t>
  </si>
  <si>
    <t>2026/06/19</t>
  </si>
  <si>
    <t>2026/07/03</t>
  </si>
  <si>
    <t>2026/07/17</t>
  </si>
  <si>
    <t>2026/08/02</t>
  </si>
  <si>
    <t>2026/08/09</t>
  </si>
  <si>
    <t>列ラベル</t>
  </si>
  <si>
    <t>総計</t>
  </si>
  <si>
    <t>行ラベル</t>
  </si>
  <si>
    <t>31A</t>
  </si>
  <si>
    <t>31B</t>
  </si>
  <si>
    <t>31C</t>
  </si>
  <si>
    <t>31D</t>
  </si>
  <si>
    <t>31E</t>
  </si>
  <si>
    <t>31F</t>
  </si>
  <si>
    <t>31X</t>
  </si>
  <si>
    <t>30G</t>
  </si>
  <si>
    <t>19A</t>
  </si>
  <si>
    <t>SRP</t>
  </si>
  <si>
    <t>AB</t>
  </si>
  <si>
    <t>AB</t>
    <phoneticPr fontId="1"/>
  </si>
  <si>
    <t>P5R</t>
  </si>
  <si>
    <t>個数 / 31A</t>
  </si>
  <si>
    <t>2022/02</t>
  </si>
  <si>
    <t>2022/03</t>
  </si>
  <si>
    <t>2022/04</t>
  </si>
  <si>
    <t>2022/05</t>
  </si>
  <si>
    <t>2022/06</t>
  </si>
  <si>
    <t>2022/07</t>
  </si>
  <si>
    <t>2022/08</t>
  </si>
  <si>
    <t>2022/09</t>
  </si>
  <si>
    <t>2022/10</t>
  </si>
  <si>
    <t>2022/11</t>
  </si>
  <si>
    <t>2022/12</t>
  </si>
  <si>
    <t>2023/01</t>
  </si>
  <si>
    <t>2023/02</t>
  </si>
  <si>
    <t>2023/03</t>
  </si>
  <si>
    <t>2023/04</t>
  </si>
  <si>
    <t>2023/05</t>
  </si>
  <si>
    <t>2023/06</t>
  </si>
  <si>
    <t>2023/07</t>
  </si>
  <si>
    <t>2023/08</t>
  </si>
  <si>
    <t>2023/09</t>
  </si>
  <si>
    <t>2023/10</t>
  </si>
  <si>
    <t>2023/11</t>
  </si>
  <si>
    <t>2023/12</t>
  </si>
  <si>
    <t>2024/01</t>
  </si>
  <si>
    <t>2024/02</t>
  </si>
  <si>
    <t>2024/03</t>
  </si>
  <si>
    <t>2024/04</t>
  </si>
  <si>
    <t>2024/05</t>
  </si>
  <si>
    <t>2024/06</t>
  </si>
  <si>
    <t>2024/07</t>
  </si>
  <si>
    <t>2024/08</t>
  </si>
  <si>
    <t>2024/09</t>
  </si>
  <si>
    <t>2024/10</t>
  </si>
  <si>
    <t>2024/11</t>
  </si>
  <si>
    <t>2024/12</t>
  </si>
  <si>
    <t>2025/01</t>
  </si>
  <si>
    <t>2025/02</t>
  </si>
  <si>
    <t>2025/03</t>
  </si>
  <si>
    <t>2025/04</t>
  </si>
  <si>
    <t>2025/05</t>
  </si>
  <si>
    <t>2025/06</t>
  </si>
  <si>
    <t>2025/07</t>
  </si>
  <si>
    <t>2025/08</t>
  </si>
  <si>
    <t>2025/09</t>
  </si>
  <si>
    <t>2025/10</t>
  </si>
  <si>
    <t>2025/11</t>
  </si>
  <si>
    <t>2025/12</t>
  </si>
  <si>
    <t>2026/01</t>
  </si>
  <si>
    <t>2026/02</t>
  </si>
  <si>
    <t>2026/03</t>
  </si>
  <si>
    <t>2026/04</t>
  </si>
  <si>
    <t>2026/05</t>
  </si>
  <si>
    <t>2026/06</t>
  </si>
  <si>
    <t>2026/07</t>
  </si>
  <si>
    <t>2026/08</t>
  </si>
  <si>
    <t>フィーラーEX</t>
  </si>
  <si>
    <t>フラットハンドEX(第一形態)</t>
  </si>
  <si>
    <t>フラットハンドEX(第二形態)</t>
  </si>
  <si>
    <t>ミスアームズ・オルタナ</t>
  </si>
  <si>
    <t>98390</t>
  </si>
  <si>
    <t>20000000</t>
  </si>
  <si>
    <t>120000000</t>
  </si>
  <si>
    <t>140000000</t>
  </si>
  <si>
    <t>45000000</t>
  </si>
  <si>
    <t>敵の破壊率耐性70％アップ、破壊率上限が500%にアップ(解除不可)</t>
    <rPh sb="0" eb="1">
      <t>テキ</t>
    </rPh>
    <rPh sb="2" eb="4">
      <t>ハカイ</t>
    </rPh>
    <rPh sb="4" eb="5">
      <t>リツ</t>
    </rPh>
    <rPh sb="5" eb="7">
      <t>タイセイ</t>
    </rPh>
    <rPh sb="14" eb="16">
      <t>ハカイ</t>
    </rPh>
    <rPh sb="16" eb="17">
      <t>リツ</t>
    </rPh>
    <rPh sb="17" eb="19">
      <t>ジョウゲン</t>
    </rPh>
    <rPh sb="29" eb="31">
      <t>カイジョ</t>
    </rPh>
    <rPh sb="31" eb="33">
      <t>フカ</t>
    </rPh>
    <phoneticPr fontId="1"/>
  </si>
  <si>
    <t>バトル開始時、前衛のSPを-10、スキル攻撃力が150％アップ(永続)</t>
    <rPh sb="3" eb="6">
      <t>カイシジ</t>
    </rPh>
    <rPh sb="7" eb="9">
      <t>ゼンエイ</t>
    </rPh>
    <rPh sb="20" eb="23">
      <t>コウゲキリョク</t>
    </rPh>
    <rPh sb="32" eb="34">
      <t>エイゾク</t>
    </rPh>
    <phoneticPr fontId="1"/>
  </si>
  <si>
    <t>[難易度 : X V]ハウリングクラブ(SNAP：アイリーン)</t>
  </si>
  <si>
    <t>[難易度 : X V]命吹雪(命)</t>
  </si>
  <si>
    <t>[難易度 : X V][練習機]デスウォッチャー(夏いちご)</t>
  </si>
  <si>
    <t>敵のデバフ効果が+1ターン(解除不可)</t>
    <rPh sb="0" eb="1">
      <t>テキ</t>
    </rPh>
    <rPh sb="5" eb="7">
      <t>コウカ</t>
    </rPh>
    <rPh sb="14" eb="16">
      <t>カイジョ</t>
    </rPh>
    <rPh sb="16" eb="18">
      <t>フカ</t>
    </rPh>
    <phoneticPr fontId="1"/>
  </si>
  <si>
    <t>味方の最大DPが割合75％ダウン</t>
    <rPh sb="0" eb="2">
      <t>ミカタ</t>
    </rPh>
    <rPh sb="3" eb="5">
      <t>サイダイ</t>
    </rPh>
    <rPh sb="8" eb="10">
      <t>ワリアイ</t>
    </rPh>
    <phoneticPr fontId="1"/>
  </si>
  <si>
    <t>ターン開始時、スタン状態の味方のSP-5</t>
    <rPh sb="3" eb="6">
      <t>カイシジ</t>
    </rPh>
    <rPh sb="10" eb="12">
      <t>ジョウタイ</t>
    </rPh>
    <rPh sb="13" eb="15">
      <t>ミカタ</t>
    </rPh>
    <phoneticPr fontId="1"/>
  </si>
  <si>
    <t>敵の破壊率耐性50%(解除不可)</t>
    <rPh sb="0" eb="1">
      <t>テキ</t>
    </rPh>
    <rPh sb="2" eb="4">
      <t>ハカイ</t>
    </rPh>
    <rPh sb="4" eb="5">
      <t>リツ</t>
    </rPh>
    <rPh sb="5" eb="7">
      <t>タイセイ</t>
    </rPh>
    <rPh sb="11" eb="13">
      <t>カイジョ</t>
    </rPh>
    <rPh sb="13" eb="15">
      <t>フカ</t>
    </rPh>
    <phoneticPr fontId="1"/>
  </si>
  <si>
    <t>skill_effect</t>
  </si>
  <si>
    <t>フォーリンハイロゥ・オルタナ</t>
  </si>
  <si>
    <t>疫災の運び手/厄災の担い手(X)</t>
  </si>
  <si>
    <t>疫災の運び手/厄災の担い手(EX5)</t>
  </si>
  <si>
    <t>疫災の運び手/厄災の担い手(EX10)</t>
  </si>
  <si>
    <t>疫災の運び手/厄災の担い手(EX15)</t>
  </si>
  <si>
    <t>疫災の運び手/厄災の担い手(EX20)</t>
  </si>
  <si>
    <t>60000000</t>
  </si>
  <si>
    <t>バトル開始時にODゲージ100%減少(-300%まで下限突破)</t>
    <rPh sb="3" eb="6">
      <t>カイシジ</t>
    </rPh>
    <rPh sb="16" eb="18">
      <t>ゲンショウ</t>
    </rPh>
    <rPh sb="26" eb="28">
      <t>カゲン</t>
    </rPh>
    <rPh sb="28" eb="30">
      <t>トッパ</t>
    </rPh>
    <phoneticPr fontId="1"/>
  </si>
  <si>
    <t>敵の行動パターンが変化し、幻惑デバフの効果ターンと効果量がアップ</t>
    <rPh sb="0" eb="1">
      <t>テキ</t>
    </rPh>
    <rPh sb="2" eb="4">
      <t>コウドウ</t>
    </rPh>
    <rPh sb="9" eb="11">
      <t>ヘンカ</t>
    </rPh>
    <rPh sb="13" eb="15">
      <t>ゲンワク</t>
    </rPh>
    <rPh sb="19" eb="21">
      <t>コウカ</t>
    </rPh>
    <rPh sb="25" eb="28">
      <t>コウカリョウ</t>
    </rPh>
    <phoneticPr fontId="1"/>
  </si>
  <si>
    <t>[難易度 : X V]ランブリングモール・オルタナ(SNAP：色葉)</t>
  </si>
  <si>
    <t>ランブリングモール・オルタナ</t>
  </si>
  <si>
    <t>250000000</t>
  </si>
  <si>
    <t>500000000</t>
  </si>
  <si>
    <t>497173913</t>
  </si>
  <si>
    <t>595407609</t>
  </si>
  <si>
    <t>132770</t>
  </si>
  <si>
    <t>67000000</t>
  </si>
  <si>
    <t>敵の破壊率耐性60%(解除不可)</t>
    <rPh sb="0" eb="1">
      <t>テキ</t>
    </rPh>
    <rPh sb="2" eb="4">
      <t>ハカイ</t>
    </rPh>
    <rPh sb="4" eb="5">
      <t>リツ</t>
    </rPh>
    <rPh sb="5" eb="7">
      <t>タイセイ</t>
    </rPh>
    <rPh sb="11" eb="13">
      <t>カイジョ</t>
    </rPh>
    <rPh sb="13" eb="15">
      <t>フカ</t>
    </rPh>
    <phoneticPr fontId="1"/>
  </si>
  <si>
    <t>3ターン毎に敵の攻撃力+30%アップ(解除不可)</t>
    <rPh sb="4" eb="5">
      <t>ゴト</t>
    </rPh>
    <rPh sb="6" eb="7">
      <t>テキ</t>
    </rPh>
    <rPh sb="8" eb="11">
      <t>コウゲキリョク</t>
    </rPh>
    <rPh sb="19" eb="21">
      <t>カイジョ</t>
    </rPh>
    <rPh sb="21" eb="23">
      <t>フカ</t>
    </rPh>
    <phoneticPr fontId="1"/>
  </si>
  <si>
    <t>味方全体の防御力50%ダウン、味方のODゲージ上昇量30%アップ</t>
    <rPh sb="0" eb="2">
      <t>ミカタ</t>
    </rPh>
    <rPh sb="2" eb="4">
      <t>ゼンタイ</t>
    </rPh>
    <rPh sb="5" eb="8">
      <t>ボウギョリョク</t>
    </rPh>
    <rPh sb="15" eb="17">
      <t>ミカタ</t>
    </rPh>
    <rPh sb="23" eb="26">
      <t>ジョウショウリョウ</t>
    </rPh>
    <phoneticPr fontId="1"/>
  </si>
  <si>
    <t xml:space="preserve">味方全体のDP回復量が100%減少 </t>
  </si>
  <si>
    <t>バトル開始時に前衛のSPを0に変更(SP0未満の味方を除く)</t>
    <rPh sb="3" eb="5">
      <t>カイシ</t>
    </rPh>
    <rPh sb="5" eb="6">
      <t>ジ</t>
    </rPh>
    <rPh sb="7" eb="9">
      <t>ゼンエイ</t>
    </rPh>
    <rPh sb="15" eb="17">
      <t>ヘンコウ</t>
    </rPh>
    <rPh sb="21" eb="23">
      <t>ミマン</t>
    </rPh>
    <rPh sb="24" eb="26">
      <t>ミカタ</t>
    </rPh>
    <rPh sb="27" eb="28">
      <t>ノゾ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</si>
</sst>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"/>
  </numFmts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0"/>
      <color theme="1"/>
      <name val="ＭＳ ゴシック"/>
      <family val="3"/>
      <charset val="128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3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4" fillId="0" borderId="0" xfId="0" applyFont="1"/>
    <xf numFmtId="49" fontId="4" fillId="2" borderId="1" xfId="0" applyNumberFormat="1" applyFont="1" applyFill="1" applyBorder="1"/>
    <xf numFmtId="49" fontId="5" fillId="8" borderId="1" xfId="0" applyNumberFormat="1" applyFont="1" applyFill="1" applyBorder="1"/>
    <xf numFmtId="49" fontId="4" fillId="0" borderId="1" xfId="0" applyNumberFormat="1" applyFont="1" applyBorder="1"/>
    <xf numFmtId="49" fontId="4" fillId="2" borderId="0" xfId="0" applyNumberFormat="1" applyFont="1" applyFill="1"/>
    <xf numFmtId="49" fontId="5" fillId="8" borderId="0" xfId="0" applyNumberFormat="1" applyFont="1" applyFill="1"/>
    <xf numFmtId="49" fontId="4" fillId="0" borderId="0" xfId="0" applyNumberFormat="1" applyFont="1"/>
    <xf numFmtId="0" fontId="4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49" fontId="2" fillId="0" borderId="0" xfId="0" applyNumberFormat="1" applyFont="1"/>
    <xf numFmtId="0" fontId="2" fillId="0" borderId="0" xfId="0" applyFont="1"/>
    <xf numFmtId="176" fontId="2" fillId="0" borderId="0" xfId="0" applyNumberFormat="1" applyFont="1"/>
    <xf numFmtId="0" fontId="6" fillId="0" borderId="0" xfId="0" applyFont="1"/>
  </cellXfs>
  <cellStyles count="2">
    <cellStyle name="標準" xfId="0" builtinId="0"/>
    <cellStyle name="標準 2" xfId="1" xr:uid="{00000000-0005-0000-0000-000001000000}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[enemy.xlsm]Sheet2!ピボットテーブル2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3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75000"/>
              </a:schemeClr>
            </a:solidFill>
            <a:ln w="9525">
              <a:solidFill>
                <a:schemeClr val="accent3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rgbClr val="FF99FF"/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rgbClr val="FF99F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0070C0"/>
            </a:solidFill>
            <a:ln w="9525">
              <a:solidFill>
                <a:schemeClr val="accent1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9525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92D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050328288856632E-2"/>
          <c:y val="6.6436527846862381E-2"/>
          <c:w val="0.8679441531393397"/>
          <c:h val="0.82360357322329669"/>
        </c:manualLayout>
      </c:layout>
      <c:lineChart>
        <c:grouping val="standard"/>
        <c:varyColors val="0"/>
        <c:ser>
          <c:idx val="0"/>
          <c:order val="0"/>
          <c:tx>
            <c:strRef>
              <c:f>Sheet2!$J$3:$J$4</c:f>
              <c:strCache>
                <c:ptCount val="1"/>
                <c:pt idx="0">
                  <c:v>19A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Sheet2!$J$5:$J$60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11C-4A42-BF93-74D4388014F7}"/>
            </c:ext>
          </c:extLst>
        </c:ser>
        <c:ser>
          <c:idx val="1"/>
          <c:order val="1"/>
          <c:tx>
            <c:strRef>
              <c:f>Sheet2!$K$3:$K$4</c:f>
              <c:strCache>
                <c:ptCount val="1"/>
                <c:pt idx="0">
                  <c:v>30G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Sheet2!$K$5:$K$60</c:f>
              <c:numCache>
                <c:formatCode>General</c:formatCode>
                <c:ptCount val="5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16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11C-4A42-BF93-74D4388014F7}"/>
            </c:ext>
          </c:extLst>
        </c:ser>
        <c:ser>
          <c:idx val="2"/>
          <c:order val="2"/>
          <c:tx>
            <c:strRef>
              <c:f>Sheet2!$L$3:$L$4</c:f>
              <c:strCache>
                <c:ptCount val="1"/>
                <c:pt idx="0">
                  <c:v>31A</c:v>
                </c:pt>
              </c:strCache>
            </c:strRef>
          </c:tx>
          <c:spPr>
            <a:ln w="28575" cap="rnd">
              <a:solidFill>
                <a:srgbClr val="FF99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FF"/>
              </a:solidFill>
              <a:ln w="9525">
                <a:solidFill>
                  <a:srgbClr val="FF99FF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Sheet2!$L$5:$L$60</c:f>
              <c:numCache>
                <c:formatCode>General</c:formatCode>
                <c:ptCount val="55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22</c:v>
                </c:pt>
                <c:pt idx="23">
                  <c:v>22</c:v>
                </c:pt>
                <c:pt idx="24">
                  <c:v>24</c:v>
                </c:pt>
                <c:pt idx="25">
                  <c:v>24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28</c:v>
                </c:pt>
                <c:pt idx="34">
                  <c:v>29</c:v>
                </c:pt>
                <c:pt idx="35">
                  <c:v>29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33</c:v>
                </c:pt>
                <c:pt idx="43">
                  <c:v>33</c:v>
                </c:pt>
                <c:pt idx="44">
                  <c:v>35</c:v>
                </c:pt>
                <c:pt idx="45">
                  <c:v>35</c:v>
                </c:pt>
                <c:pt idx="46">
                  <c:v>36</c:v>
                </c:pt>
                <c:pt idx="47">
                  <c:v>36</c:v>
                </c:pt>
                <c:pt idx="48">
                  <c:v>37</c:v>
                </c:pt>
                <c:pt idx="49">
                  <c:v>37</c:v>
                </c:pt>
                <c:pt idx="50">
                  <c:v>37</c:v>
                </c:pt>
                <c:pt idx="51">
                  <c:v>38</c:v>
                </c:pt>
                <c:pt idx="52">
                  <c:v>39</c:v>
                </c:pt>
                <c:pt idx="53">
                  <c:v>39</c:v>
                </c:pt>
                <c:pt idx="54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11C-4A42-BF93-74D4388014F7}"/>
            </c:ext>
          </c:extLst>
        </c:ser>
        <c:ser>
          <c:idx val="3"/>
          <c:order val="3"/>
          <c:tx>
            <c:strRef>
              <c:f>Sheet2!$M$3:$M$4</c:f>
              <c:strCache>
                <c:ptCount val="1"/>
                <c:pt idx="0">
                  <c:v>31B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Sheet2!$M$5:$M$60</c:f>
              <c:numCache>
                <c:formatCode>General</c:formatCode>
                <c:ptCount val="55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11C-4A42-BF93-74D4388014F7}"/>
            </c:ext>
          </c:extLst>
        </c:ser>
        <c:ser>
          <c:idx val="4"/>
          <c:order val="4"/>
          <c:tx>
            <c:strRef>
              <c:f>Sheet2!$N$3:$N$4</c:f>
              <c:strCache>
                <c:ptCount val="1"/>
                <c:pt idx="0">
                  <c:v>31C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Sheet2!$N$5:$N$60</c:f>
              <c:numCache>
                <c:formatCode>General</c:formatCode>
                <c:ptCount val="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11</c:v>
                </c:pt>
                <c:pt idx="15">
                  <c:v>11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21</c:v>
                </c:pt>
                <c:pt idx="37">
                  <c:v>21</c:v>
                </c:pt>
                <c:pt idx="38">
                  <c:v>22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26</c:v>
                </c:pt>
                <c:pt idx="46">
                  <c:v>27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11C-4A42-BF93-74D4388014F7}"/>
            </c:ext>
          </c:extLst>
        </c:ser>
        <c:ser>
          <c:idx val="5"/>
          <c:order val="5"/>
          <c:tx>
            <c:strRef>
              <c:f>Sheet2!$O$3:$O$4</c:f>
              <c:strCache>
                <c:ptCount val="1"/>
                <c:pt idx="0">
                  <c:v>31D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Sheet2!$O$5:$O$60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12</c:v>
                </c:pt>
                <c:pt idx="34">
                  <c:v>13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11C-4A42-BF93-74D4388014F7}"/>
            </c:ext>
          </c:extLst>
        </c:ser>
        <c:ser>
          <c:idx val="6"/>
          <c:order val="6"/>
          <c:tx>
            <c:strRef>
              <c:f>Sheet2!$P$3:$P$4</c:f>
              <c:strCache>
                <c:ptCount val="1"/>
                <c:pt idx="0">
                  <c:v>31E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Sheet2!$P$5:$P$60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14</c:v>
                </c:pt>
                <c:pt idx="38">
                  <c:v>14</c:v>
                </c:pt>
                <c:pt idx="39">
                  <c:v>15</c:v>
                </c:pt>
                <c:pt idx="40">
                  <c:v>15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21</c:v>
                </c:pt>
                <c:pt idx="5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11C-4A42-BF93-74D4388014F7}"/>
            </c:ext>
          </c:extLst>
        </c:ser>
        <c:ser>
          <c:idx val="7"/>
          <c:order val="7"/>
          <c:tx>
            <c:strRef>
              <c:f>Sheet2!$Q$3:$Q$4</c:f>
              <c:strCache>
                <c:ptCount val="1"/>
                <c:pt idx="0">
                  <c:v>31F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Sheet2!$Q$5:$Q$60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19</c:v>
                </c:pt>
                <c:pt idx="5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11C-4A42-BF93-74D4388014F7}"/>
            </c:ext>
          </c:extLst>
        </c:ser>
        <c:ser>
          <c:idx val="8"/>
          <c:order val="8"/>
          <c:tx>
            <c:strRef>
              <c:f>Sheet2!$R$3:$R$4</c:f>
              <c:strCache>
                <c:ptCount val="1"/>
                <c:pt idx="0">
                  <c:v>31X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5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Sheet2!$R$5:$R$60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20</c:v>
                </c:pt>
                <c:pt idx="44">
                  <c:v>20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11C-4A42-BF93-74D4388014F7}"/>
            </c:ext>
          </c:extLst>
        </c:ser>
        <c:ser>
          <c:idx val="9"/>
          <c:order val="9"/>
          <c:tx>
            <c:strRef>
              <c:f>Sheet2!$S$3:$S$4</c:f>
              <c:strCache>
                <c:ptCount val="1"/>
                <c:pt idx="0">
                  <c:v>AB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Sheet2!$S$5:$S$60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11C-4A42-BF93-74D4388014F7}"/>
            </c:ext>
          </c:extLst>
        </c:ser>
        <c:ser>
          <c:idx val="10"/>
          <c:order val="10"/>
          <c:tx>
            <c:strRef>
              <c:f>Sheet2!$T$3:$T$4</c:f>
              <c:strCache>
                <c:ptCount val="1"/>
                <c:pt idx="0">
                  <c:v>P5R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Sheet2!$T$5:$T$60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11C-4A42-BF93-74D4388014F7}"/>
            </c:ext>
          </c:extLst>
        </c:ser>
        <c:ser>
          <c:idx val="11"/>
          <c:order val="11"/>
          <c:tx>
            <c:strRef>
              <c:f>Sheet2!$U$3:$U$4</c:f>
              <c:strCache>
                <c:ptCount val="1"/>
                <c:pt idx="0">
                  <c:v>SRP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Sheet2!$U$5:$U$60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11C-4A42-BF93-74D43880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158112"/>
        <c:axId val="1016326351"/>
      </c:lineChart>
      <c:dateAx>
        <c:axId val="17851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6326351"/>
        <c:crosses val="autoZero"/>
        <c:auto val="0"/>
        <c:lblOffset val="100"/>
        <c:baseTimeUnit val="days"/>
      </c:dateAx>
      <c:valAx>
        <c:axId val="1016326351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51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209550</xdr:colOff>
      <xdr:row>0</xdr:row>
      <xdr:rowOff>133350</xdr:rowOff>
    </xdr:from>
    <xdr:to>
      <xdr:col>20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209550</xdr:colOff>
      <xdr:row>0</xdr:row>
      <xdr:rowOff>133350</xdr:rowOff>
    </xdr:from>
    <xdr:to>
      <xdr:col>20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1431F24C-9BAB-4FB5-B839-9E9078BBBF7C}"/>
            </a:ext>
          </a:extLst>
        </xdr:cNvPr>
        <xdr:cNvSpPr/>
      </xdr:nvSpPr>
      <xdr:spPr>
        <a:xfrm>
          <a:off x="17068800" y="133350"/>
          <a:ext cx="628650" cy="1905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8A706B1-414D-46D8-9BF0-C077C7793F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24EA7C-7E26-4982-B4E9-B31DEB8C023F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33C8C9C-A29A-46AD-8871-B7DEB9CEF88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A26B27C-8F05-453D-9ED9-BEB394D4D0F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1647265</xdr:colOff>
      <xdr:row>1</xdr:row>
      <xdr:rowOff>22411</xdr:rowOff>
    </xdr:from>
    <xdr:to>
      <xdr:col>3</xdr:col>
      <xdr:colOff>2409264</xdr:colOff>
      <xdr:row>2</xdr:row>
      <xdr:rowOff>190500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CEA9D53-65D3-49FA-BBAC-A6742207AE4B}"/>
            </a:ext>
          </a:extLst>
        </xdr:cNvPr>
        <xdr:cNvSpPr/>
      </xdr:nvSpPr>
      <xdr:spPr>
        <a:xfrm>
          <a:off x="4235824" y="257735"/>
          <a:ext cx="761999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9729</xdr:colOff>
      <xdr:row>0</xdr:row>
      <xdr:rowOff>6626</xdr:rowOff>
    </xdr:from>
    <xdr:to>
      <xdr:col>68</xdr:col>
      <xdr:colOff>157368</xdr:colOff>
      <xdr:row>27</xdr:row>
      <xdr:rowOff>227772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2A12EAE-A043-D5E6-F0C5-B2694C6BD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63</xdr:col>
      <xdr:colOff>245837</xdr:colOff>
      <xdr:row>0</xdr:row>
      <xdr:rowOff>68746</xdr:rowOff>
    </xdr:from>
    <xdr:to>
      <xdr:col>64</xdr:col>
      <xdr:colOff>359918</xdr:colOff>
      <xdr:row>2</xdr:row>
      <xdr:rowOff>69765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0BE730F-C1CB-2989-7280-2EF05FDD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50794" y="68746"/>
          <a:ext cx="503363" cy="481410"/>
        </a:xfrm>
        <a:prstGeom prst="rect">
          <a:avLst/>
        </a:prstGeom>
      </xdr:spPr>
    </xdr:pic>
    <xdr:clientData/>
  </xdr:twoCellAnchor>
  <xdr:twoCellAnchor editAs="oneCell">
    <xdr:from>
      <xdr:col>64</xdr:col>
      <xdr:colOff>272963</xdr:colOff>
      <xdr:row>8</xdr:row>
      <xdr:rowOff>163374</xdr:rowOff>
    </xdr:from>
    <xdr:to>
      <xdr:col>65</xdr:col>
      <xdr:colOff>358464</xdr:colOff>
      <xdr:row>10</xdr:row>
      <xdr:rowOff>138671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A131219D-3470-A01E-69C4-8ED09376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067202" y="2084939"/>
          <a:ext cx="474784" cy="455689"/>
        </a:xfrm>
        <a:prstGeom prst="rect">
          <a:avLst/>
        </a:prstGeom>
      </xdr:spPr>
    </xdr:pic>
    <xdr:clientData/>
  </xdr:twoCellAnchor>
  <xdr:twoCellAnchor editAs="oneCell">
    <xdr:from>
      <xdr:col>63</xdr:col>
      <xdr:colOff>285956</xdr:colOff>
      <xdr:row>6</xdr:row>
      <xdr:rowOff>157578</xdr:rowOff>
    </xdr:from>
    <xdr:to>
      <xdr:col>65</xdr:col>
      <xdr:colOff>7896</xdr:colOff>
      <xdr:row>8</xdr:row>
      <xdr:rowOff>170030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8D0B215F-51ED-E48F-5B09-9FC159049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90913" y="1598752"/>
          <a:ext cx="500505" cy="492843"/>
        </a:xfrm>
        <a:prstGeom prst="rect">
          <a:avLst/>
        </a:prstGeom>
      </xdr:spPr>
    </xdr:pic>
    <xdr:clientData/>
  </xdr:twoCellAnchor>
  <xdr:twoCellAnchor editAs="oneCell">
    <xdr:from>
      <xdr:col>64</xdr:col>
      <xdr:colOff>273117</xdr:colOff>
      <xdr:row>12</xdr:row>
      <xdr:rowOff>99391</xdr:rowOff>
    </xdr:from>
    <xdr:to>
      <xdr:col>65</xdr:col>
      <xdr:colOff>359095</xdr:colOff>
      <xdr:row>14</xdr:row>
      <xdr:rowOff>46111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57984ABC-C5EF-A1A2-0A33-CFBD42E58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067356" y="2981739"/>
          <a:ext cx="475261" cy="427111"/>
        </a:xfrm>
        <a:prstGeom prst="rect">
          <a:avLst/>
        </a:prstGeom>
      </xdr:spPr>
    </xdr:pic>
    <xdr:clientData/>
  </xdr:twoCellAnchor>
  <xdr:twoCellAnchor editAs="oneCell">
    <xdr:from>
      <xdr:col>63</xdr:col>
      <xdr:colOff>272962</xdr:colOff>
      <xdr:row>11</xdr:row>
      <xdr:rowOff>10096</xdr:rowOff>
    </xdr:from>
    <xdr:to>
      <xdr:col>64</xdr:col>
      <xdr:colOff>339701</xdr:colOff>
      <xdr:row>12</xdr:row>
      <xdr:rowOff>202726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1114682F-C0AA-7024-823A-E23DC732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677919" y="2652248"/>
          <a:ext cx="456021" cy="432826"/>
        </a:xfrm>
        <a:prstGeom prst="rect">
          <a:avLst/>
        </a:prstGeom>
      </xdr:spPr>
    </xdr:pic>
    <xdr:clientData/>
  </xdr:twoCellAnchor>
  <xdr:twoCellAnchor editAs="oneCell">
    <xdr:from>
      <xdr:col>63</xdr:col>
      <xdr:colOff>340727</xdr:colOff>
      <xdr:row>13</xdr:row>
      <xdr:rowOff>214883</xdr:rowOff>
    </xdr:from>
    <xdr:to>
      <xdr:col>65</xdr:col>
      <xdr:colOff>60286</xdr:colOff>
      <xdr:row>15</xdr:row>
      <xdr:rowOff>238764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CE7BDA22-3758-14C1-5067-37F77A179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745684" y="3337426"/>
          <a:ext cx="498124" cy="504273"/>
        </a:xfrm>
        <a:prstGeom prst="rect">
          <a:avLst/>
        </a:prstGeom>
      </xdr:spPr>
    </xdr:pic>
    <xdr:clientData/>
  </xdr:twoCellAnchor>
  <xdr:twoCellAnchor editAs="oneCell">
    <xdr:from>
      <xdr:col>64</xdr:col>
      <xdr:colOff>264785</xdr:colOff>
      <xdr:row>10</xdr:row>
      <xdr:rowOff>77442</xdr:rowOff>
    </xdr:from>
    <xdr:to>
      <xdr:col>65</xdr:col>
      <xdr:colOff>339331</xdr:colOff>
      <xdr:row>12</xdr:row>
      <xdr:rowOff>47024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B5A09860-C913-4D91-D208-2F800B965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059024" y="2479399"/>
          <a:ext cx="463829" cy="449973"/>
        </a:xfrm>
        <a:prstGeom prst="rect">
          <a:avLst/>
        </a:prstGeom>
      </xdr:spPr>
    </xdr:pic>
    <xdr:clientData/>
  </xdr:twoCellAnchor>
  <xdr:twoCellAnchor editAs="oneCell">
    <xdr:from>
      <xdr:col>62</xdr:col>
      <xdr:colOff>66261</xdr:colOff>
      <xdr:row>8</xdr:row>
      <xdr:rowOff>165651</xdr:rowOff>
    </xdr:from>
    <xdr:to>
      <xdr:col>63</xdr:col>
      <xdr:colOff>142816</xdr:colOff>
      <xdr:row>10</xdr:row>
      <xdr:rowOff>153168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90D1D067-A0F6-32FE-370C-13E70CCC1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6081935" y="2087216"/>
          <a:ext cx="465838" cy="467909"/>
        </a:xfrm>
        <a:prstGeom prst="rect">
          <a:avLst/>
        </a:prstGeom>
      </xdr:spPr>
    </xdr:pic>
    <xdr:clientData/>
  </xdr:twoCellAnchor>
  <xdr:twoCellAnchor editAs="oneCell">
    <xdr:from>
      <xdr:col>64</xdr:col>
      <xdr:colOff>258832</xdr:colOff>
      <xdr:row>19</xdr:row>
      <xdr:rowOff>221818</xdr:rowOff>
    </xdr:from>
    <xdr:to>
      <xdr:col>65</xdr:col>
      <xdr:colOff>319566</xdr:colOff>
      <xdr:row>21</xdr:row>
      <xdr:rowOff>120739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7791EB39-24D3-2DD1-9DB2-573544BB3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053071" y="4785535"/>
          <a:ext cx="450017" cy="379313"/>
        </a:xfrm>
        <a:prstGeom prst="rect">
          <a:avLst/>
        </a:prstGeom>
      </xdr:spPr>
    </xdr:pic>
    <xdr:clientData/>
  </xdr:twoCellAnchor>
  <xdr:twoCellAnchor editAs="oneCell">
    <xdr:from>
      <xdr:col>64</xdr:col>
      <xdr:colOff>313445</xdr:colOff>
      <xdr:row>23</xdr:row>
      <xdr:rowOff>221818</xdr:rowOff>
    </xdr:from>
    <xdr:to>
      <xdr:col>65</xdr:col>
      <xdr:colOff>296829</xdr:colOff>
      <xdr:row>25</xdr:row>
      <xdr:rowOff>179017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34CF53A2-9134-7D1D-F7F2-036CF6B15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107684" y="5746318"/>
          <a:ext cx="372667" cy="437590"/>
        </a:xfrm>
        <a:prstGeom prst="rect">
          <a:avLst/>
        </a:prstGeom>
      </xdr:spPr>
    </xdr:pic>
    <xdr:clientData/>
  </xdr:twoCellAnchor>
  <xdr:twoCellAnchor editAs="oneCell">
    <xdr:from>
      <xdr:col>64</xdr:col>
      <xdr:colOff>309821</xdr:colOff>
      <xdr:row>22</xdr:row>
      <xdr:rowOff>67297</xdr:rowOff>
    </xdr:from>
    <xdr:to>
      <xdr:col>65</xdr:col>
      <xdr:colOff>294158</xdr:colOff>
      <xdr:row>23</xdr:row>
      <xdr:rowOff>202769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626D27F7-3202-BB0A-E4B5-AE70B3F93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7104060" y="5351601"/>
          <a:ext cx="373620" cy="375668"/>
        </a:xfrm>
        <a:prstGeom prst="rect">
          <a:avLst/>
        </a:prstGeom>
      </xdr:spPr>
    </xdr:pic>
    <xdr:clientData/>
  </xdr:twoCellAnchor>
  <xdr:twoCellAnchor editAs="oneCell">
    <xdr:from>
      <xdr:col>62</xdr:col>
      <xdr:colOff>63415</xdr:colOff>
      <xdr:row>21</xdr:row>
      <xdr:rowOff>189724</xdr:rowOff>
    </xdr:from>
    <xdr:to>
      <xdr:col>63</xdr:col>
      <xdr:colOff>108719</xdr:colOff>
      <xdr:row>23</xdr:row>
      <xdr:rowOff>6720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F9D260D5-4891-253D-EC41-03A239B7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079089" y="5233833"/>
          <a:ext cx="434587" cy="29738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D17C65A-0080-461D-AC07-3A6A8480292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608517-1D91-45CB-9B68-FBECAF067909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4BF2493-4387-4CCB-87DA-673C2B47E76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45B39A4-76BD-4C4D-91DC-3D6B8C2105A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1322294</xdr:colOff>
      <xdr:row>1</xdr:row>
      <xdr:rowOff>33617</xdr:rowOff>
    </xdr:from>
    <xdr:to>
      <xdr:col>4</xdr:col>
      <xdr:colOff>2084294</xdr:colOff>
      <xdr:row>2</xdr:row>
      <xdr:rowOff>201706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26DCD2E5-311F-4578-9A9E-8C03ABA5595E}"/>
            </a:ext>
          </a:extLst>
        </xdr:cNvPr>
        <xdr:cNvSpPr/>
      </xdr:nvSpPr>
      <xdr:spPr>
        <a:xfrm>
          <a:off x="4325470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4A031F5-4919-46CF-B1D1-F9B85446298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2427F0B-7996-4A5B-80EA-6163C2E4F17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95B655A-56CD-4FDE-A1DB-A039F7B9735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CDEAE3FF-79C1-4882-8B6F-6C61E16ADF6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7</xdr:col>
      <xdr:colOff>145676</xdr:colOff>
      <xdr:row>1</xdr:row>
      <xdr:rowOff>89647</xdr:rowOff>
    </xdr:from>
    <xdr:to>
      <xdr:col>8</xdr:col>
      <xdr:colOff>224117</xdr:colOff>
      <xdr:row>3</xdr:row>
      <xdr:rowOff>22412</xdr:rowOff>
    </xdr:to>
    <xdr:sp macro="[0]!outputBonu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D7E44E8-8917-4453-9953-829163CCE664}"/>
            </a:ext>
          </a:extLst>
        </xdr:cNvPr>
        <xdr:cNvSpPr/>
      </xdr:nvSpPr>
      <xdr:spPr>
        <a:xfrm>
          <a:off x="5591735" y="32497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Desktop/&#21220;&#24608;/old/&#20316;&#26989;&#23436;&#20102;&#22577;&#21578;&#26360;&#20860;&#26908;&#21454;&#20381;&#38972;&#26360;_&#30000;&#21475;&#22823;&#36628;_23&#24180;9&#26376;.xlsx" TargetMode="External"/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LI" refreshedDate="46248.93610983796" createdVersion="8" refreshedVersion="8" minRefreshableVersion="3" recordCount="217" xr:uid="{75C7160B-BF24-4317-80E9-4495343DAE82}">
  <cacheSource type="worksheet">
    <worksheetSource ref="A7:E224" sheet="Sheet2"/>
  </cacheSource>
  <cacheFields count="5">
    <cacheField name="1" numFmtId="0">
      <sharedItems containsSemiMixedTypes="0" containsString="0" containsNumber="1" containsInteger="1" minValue="1" maxValue="113"/>
    </cacheField>
    <cacheField name="12" numFmtId="0">
      <sharedItems containsSemiMixedTypes="0" containsString="0" containsNumber="1" containsInteger="1" minValue="0" maxValue="9"/>
    </cacheField>
    <cacheField name="2022/02/10" numFmtId="49">
      <sharedItems/>
    </cacheField>
    <cacheField name="2022/02" numFmtId="176">
      <sharedItems count="55">
        <s v="2022/02"/>
        <s v="2022/03"/>
        <s v="2022/04"/>
        <s v="2022/05"/>
        <s v="2022/06"/>
        <s v="2022/07"/>
        <s v="2022/08"/>
        <s v="2022/09"/>
        <s v="2022/10"/>
        <s v="2022/11"/>
        <s v="2022/12"/>
        <s v="2023/01"/>
        <s v="2023/02"/>
        <s v="2023/03"/>
        <s v="2023/04"/>
        <s v="2023/05"/>
        <s v="2023/06"/>
        <s v="2023/07"/>
        <s v="2023/08"/>
        <s v="2023/09"/>
        <s v="2023/10"/>
        <s v="2023/11"/>
        <s v="2023/12"/>
        <s v="2024/01"/>
        <s v="2024/02"/>
        <s v="2024/03"/>
        <s v="2024/04"/>
        <s v="2024/05"/>
        <s v="2024/06"/>
        <s v="2024/07"/>
        <s v="2024/08"/>
        <s v="2024/09"/>
        <s v="2024/10"/>
        <s v="2024/11"/>
        <s v="2024/12"/>
        <s v="2025/01"/>
        <s v="2025/02"/>
        <s v="2025/03"/>
        <s v="2025/04"/>
        <s v="2025/05"/>
        <s v="2025/06"/>
        <s v="2025/07"/>
        <s v="2025/08"/>
        <s v="2025/09"/>
        <s v="2025/10"/>
        <s v="2025/11"/>
        <s v="2025/12"/>
        <s v="2026/01"/>
        <s v="2026/02"/>
        <s v="2026/03"/>
        <s v="2026/04"/>
        <s v="2026/05"/>
        <s v="2026/06"/>
        <s v="2026/07"/>
        <s v="2026/08"/>
      </sharedItems>
    </cacheField>
    <cacheField name="31A" numFmtId="0">
      <sharedItems count="12">
        <s v="31A"/>
        <s v="31B"/>
        <s v="31C"/>
        <s v="30G"/>
        <s v="31D"/>
        <s v="31F"/>
        <s v="31E"/>
        <s v="31X"/>
        <s v="AB"/>
        <s v="SRP"/>
        <s v="P5R"/>
        <s v="19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">
  <r>
    <n v="1"/>
    <n v="1"/>
    <s v="2022/02/10"/>
    <x v="0"/>
    <x v="0"/>
  </r>
  <r>
    <n v="2"/>
    <n v="1"/>
    <s v="2022/02/10"/>
    <x v="0"/>
    <x v="0"/>
  </r>
  <r>
    <n v="3"/>
    <n v="1"/>
    <s v="2022/02/10"/>
    <x v="0"/>
    <x v="0"/>
  </r>
  <r>
    <n v="4"/>
    <n v="1"/>
    <s v="2022/02/10"/>
    <x v="0"/>
    <x v="0"/>
  </r>
  <r>
    <n v="5"/>
    <n v="1"/>
    <s v="2022/02/10"/>
    <x v="0"/>
    <x v="0"/>
  </r>
  <r>
    <n v="6"/>
    <n v="1"/>
    <s v="2022/02/10"/>
    <x v="0"/>
    <x v="0"/>
  </r>
  <r>
    <n v="10"/>
    <n v="1"/>
    <s v="2022/02/10"/>
    <x v="0"/>
    <x v="1"/>
  </r>
  <r>
    <n v="12"/>
    <n v="1"/>
    <s v="2022/02/10"/>
    <x v="0"/>
    <x v="1"/>
  </r>
  <r>
    <n v="14"/>
    <n v="1"/>
    <s v="2022/02/10"/>
    <x v="0"/>
    <x v="2"/>
  </r>
  <r>
    <n v="15"/>
    <n v="1"/>
    <s v="2022/02/10"/>
    <x v="0"/>
    <x v="2"/>
  </r>
  <r>
    <n v="16"/>
    <n v="1"/>
    <s v="2022/02/10"/>
    <x v="0"/>
    <x v="2"/>
  </r>
  <r>
    <n v="46"/>
    <n v="1"/>
    <s v="2022/02/10"/>
    <x v="0"/>
    <x v="3"/>
  </r>
  <r>
    <n v="18"/>
    <n v="1"/>
    <s v="2022/02/14"/>
    <x v="0"/>
    <x v="2"/>
  </r>
  <r>
    <n v="13"/>
    <n v="1"/>
    <s v="2022/02/22"/>
    <x v="0"/>
    <x v="2"/>
  </r>
  <r>
    <n v="3"/>
    <n v="1"/>
    <s v="2022/02/28"/>
    <x v="0"/>
    <x v="0"/>
  </r>
  <r>
    <n v="44"/>
    <n v="1"/>
    <s v="2022/02/28"/>
    <x v="0"/>
    <x v="3"/>
  </r>
  <r>
    <n v="8"/>
    <n v="1"/>
    <s v="2022/03/08"/>
    <x v="1"/>
    <x v="1"/>
  </r>
  <r>
    <n v="9"/>
    <n v="1"/>
    <s v="2022/03/08"/>
    <x v="1"/>
    <x v="1"/>
  </r>
  <r>
    <n v="6"/>
    <n v="1"/>
    <s v="2022/03/18"/>
    <x v="1"/>
    <x v="0"/>
  </r>
  <r>
    <n v="19"/>
    <n v="1"/>
    <s v="2022/03/31"/>
    <x v="1"/>
    <x v="4"/>
  </r>
  <r>
    <n v="43"/>
    <n v="1"/>
    <s v="2022/04/15"/>
    <x v="2"/>
    <x v="3"/>
  </r>
  <r>
    <n v="1"/>
    <n v="1"/>
    <s v="2022/04/29"/>
    <x v="2"/>
    <x v="0"/>
  </r>
  <r>
    <n v="48"/>
    <n v="1"/>
    <s v="2022/04/29"/>
    <x v="2"/>
    <x v="3"/>
  </r>
  <r>
    <n v="47"/>
    <n v="1"/>
    <s v="2022/05/13"/>
    <x v="3"/>
    <x v="3"/>
  </r>
  <r>
    <n v="31"/>
    <n v="1"/>
    <s v="2022/05/31"/>
    <x v="3"/>
    <x v="5"/>
  </r>
  <r>
    <n v="32"/>
    <n v="1"/>
    <s v="2022/05/31"/>
    <x v="3"/>
    <x v="5"/>
  </r>
  <r>
    <n v="5"/>
    <n v="1"/>
    <s v="2022/06/14"/>
    <x v="4"/>
    <x v="0"/>
  </r>
  <r>
    <n v="11"/>
    <n v="1"/>
    <s v="2022/06/14"/>
    <x v="4"/>
    <x v="1"/>
  </r>
  <r>
    <n v="17"/>
    <n v="1"/>
    <s v="2022/06/30"/>
    <x v="4"/>
    <x v="2"/>
  </r>
  <r>
    <n v="25"/>
    <n v="1"/>
    <s v="2022/06/30"/>
    <x v="4"/>
    <x v="6"/>
  </r>
  <r>
    <n v="29"/>
    <n v="1"/>
    <s v="2022/07/15"/>
    <x v="5"/>
    <x v="6"/>
  </r>
  <r>
    <n v="2"/>
    <n v="1"/>
    <s v="2022/07/29"/>
    <x v="5"/>
    <x v="0"/>
  </r>
  <r>
    <n v="7"/>
    <n v="1"/>
    <s v="2022/07/29"/>
    <x v="5"/>
    <x v="1"/>
  </r>
  <r>
    <n v="4"/>
    <n v="1"/>
    <s v="2022/08/10"/>
    <x v="6"/>
    <x v="0"/>
  </r>
  <r>
    <n v="9"/>
    <n v="1"/>
    <s v="2022/08/10"/>
    <x v="6"/>
    <x v="1"/>
  </r>
  <r>
    <n v="37"/>
    <n v="1"/>
    <s v="2022/08/31"/>
    <x v="6"/>
    <x v="7"/>
  </r>
  <r>
    <n v="39"/>
    <n v="1"/>
    <s v="2022/08/31"/>
    <x v="6"/>
    <x v="7"/>
  </r>
  <r>
    <n v="33"/>
    <n v="1"/>
    <s v="2022/09/15"/>
    <x v="7"/>
    <x v="5"/>
  </r>
  <r>
    <n v="34"/>
    <n v="1"/>
    <s v="2022/09/15"/>
    <x v="7"/>
    <x v="5"/>
  </r>
  <r>
    <n v="43"/>
    <n v="1"/>
    <s v="2022/09/30"/>
    <x v="7"/>
    <x v="3"/>
  </r>
  <r>
    <n v="45"/>
    <n v="1"/>
    <s v="2022/09/30"/>
    <x v="7"/>
    <x v="3"/>
  </r>
  <r>
    <n v="20"/>
    <n v="1"/>
    <s v="2022/10/14"/>
    <x v="8"/>
    <x v="4"/>
  </r>
  <r>
    <n v="22"/>
    <n v="1"/>
    <s v="2022/10/14"/>
    <x v="8"/>
    <x v="4"/>
  </r>
  <r>
    <n v="10"/>
    <n v="1"/>
    <s v="2022/10/31"/>
    <x v="8"/>
    <x v="1"/>
  </r>
  <r>
    <n v="11"/>
    <n v="1"/>
    <s v="2022/10/31"/>
    <x v="8"/>
    <x v="1"/>
  </r>
  <r>
    <n v="26"/>
    <n v="1"/>
    <s v="2022/11/14"/>
    <x v="9"/>
    <x v="6"/>
  </r>
  <r>
    <n v="27"/>
    <n v="1"/>
    <s v="2022/11/14"/>
    <x v="9"/>
    <x v="6"/>
  </r>
  <r>
    <n v="35"/>
    <n v="1"/>
    <s v="2022/11/30"/>
    <x v="9"/>
    <x v="5"/>
  </r>
  <r>
    <n v="36"/>
    <n v="1"/>
    <s v="2022/11/30"/>
    <x v="9"/>
    <x v="5"/>
  </r>
  <r>
    <n v="13"/>
    <n v="1"/>
    <s v="2022/12/16"/>
    <x v="10"/>
    <x v="2"/>
  </r>
  <r>
    <n v="16"/>
    <n v="1"/>
    <s v="2022/12/16"/>
    <x v="10"/>
    <x v="2"/>
  </r>
  <r>
    <n v="6"/>
    <n v="1"/>
    <s v="2022/12/30"/>
    <x v="10"/>
    <x v="0"/>
  </r>
  <r>
    <n v="14"/>
    <n v="1"/>
    <s v="2023/01/06"/>
    <x v="11"/>
    <x v="2"/>
  </r>
  <r>
    <n v="38"/>
    <n v="1"/>
    <s v="2023/01/19"/>
    <x v="11"/>
    <x v="7"/>
  </r>
  <r>
    <n v="41"/>
    <n v="1"/>
    <s v="2023/01/19"/>
    <x v="11"/>
    <x v="7"/>
  </r>
  <r>
    <n v="1"/>
    <n v="1"/>
    <s v="2023/02/05"/>
    <x v="12"/>
    <x v="0"/>
  </r>
  <r>
    <n v="2"/>
    <n v="1"/>
    <s v="2023/02/05"/>
    <x v="12"/>
    <x v="0"/>
  </r>
  <r>
    <n v="101"/>
    <n v="1"/>
    <s v="2023/02/10"/>
    <x v="12"/>
    <x v="8"/>
  </r>
  <r>
    <n v="102"/>
    <n v="1"/>
    <s v="2023/02/10"/>
    <x v="12"/>
    <x v="8"/>
  </r>
  <r>
    <n v="28"/>
    <n v="1"/>
    <s v="2023/03/10"/>
    <x v="13"/>
    <x v="6"/>
  </r>
  <r>
    <n v="30"/>
    <n v="1"/>
    <s v="2023/03/10"/>
    <x v="13"/>
    <x v="6"/>
  </r>
  <r>
    <n v="46"/>
    <n v="1"/>
    <s v="2023/03/24"/>
    <x v="13"/>
    <x v="3"/>
  </r>
  <r>
    <n v="21"/>
    <n v="1"/>
    <s v="2023/03/24"/>
    <x v="13"/>
    <x v="4"/>
  </r>
  <r>
    <n v="17"/>
    <n v="1"/>
    <s v="2023/04/07"/>
    <x v="14"/>
    <x v="2"/>
  </r>
  <r>
    <n v="18"/>
    <n v="1"/>
    <s v="2023/04/07"/>
    <x v="14"/>
    <x v="2"/>
  </r>
  <r>
    <n v="3"/>
    <n v="1"/>
    <s v="2023/04/28"/>
    <x v="14"/>
    <x v="0"/>
  </r>
  <r>
    <n v="48"/>
    <n v="1"/>
    <s v="2023/04/28"/>
    <x v="14"/>
    <x v="3"/>
  </r>
  <r>
    <n v="7"/>
    <n v="1"/>
    <s v="2023/05/05"/>
    <x v="15"/>
    <x v="1"/>
  </r>
  <r>
    <n v="12"/>
    <n v="1"/>
    <s v="2023/05/05"/>
    <x v="15"/>
    <x v="1"/>
  </r>
  <r>
    <n v="47"/>
    <n v="1"/>
    <s v="2023/05/19"/>
    <x v="15"/>
    <x v="3"/>
  </r>
  <r>
    <n v="24"/>
    <n v="1"/>
    <s v="2023/05/19"/>
    <x v="15"/>
    <x v="4"/>
  </r>
  <r>
    <n v="40"/>
    <n v="1"/>
    <s v="2023/06/02"/>
    <x v="16"/>
    <x v="7"/>
  </r>
  <r>
    <n v="42"/>
    <n v="1"/>
    <s v="2023/06/02"/>
    <x v="16"/>
    <x v="7"/>
  </r>
  <r>
    <n v="18"/>
    <n v="1"/>
    <s v="2023/06/24"/>
    <x v="16"/>
    <x v="2"/>
  </r>
  <r>
    <n v="25"/>
    <n v="1"/>
    <s v="2023/06/24"/>
    <x v="16"/>
    <x v="6"/>
  </r>
  <r>
    <n v="15"/>
    <n v="1"/>
    <s v="2023/06/30"/>
    <x v="16"/>
    <x v="2"/>
  </r>
  <r>
    <n v="22"/>
    <n v="1"/>
    <s v="2023/06/30"/>
    <x v="16"/>
    <x v="4"/>
  </r>
  <r>
    <n v="23"/>
    <n v="1"/>
    <s v="2023/07/14"/>
    <x v="17"/>
    <x v="4"/>
  </r>
  <r>
    <n v="6"/>
    <n v="1"/>
    <s v="2023/08/06"/>
    <x v="18"/>
    <x v="0"/>
  </r>
  <r>
    <n v="43"/>
    <n v="1"/>
    <s v="2023/08/06"/>
    <x v="18"/>
    <x v="3"/>
  </r>
  <r>
    <n v="4"/>
    <n v="1"/>
    <s v="2023/08/15"/>
    <x v="18"/>
    <x v="0"/>
  </r>
  <r>
    <n v="5"/>
    <n v="1"/>
    <s v="2023/08/15"/>
    <x v="18"/>
    <x v="0"/>
  </r>
  <r>
    <n v="35"/>
    <n v="1"/>
    <s v="2023/08/31"/>
    <x v="18"/>
    <x v="5"/>
  </r>
  <r>
    <n v="45"/>
    <n v="1"/>
    <s v="2023/09/08"/>
    <x v="19"/>
    <x v="3"/>
  </r>
  <r>
    <n v="31"/>
    <n v="1"/>
    <s v="2023/09/08"/>
    <x v="19"/>
    <x v="5"/>
  </r>
  <r>
    <n v="2"/>
    <n v="1"/>
    <s v="2023/09/22"/>
    <x v="19"/>
    <x v="0"/>
  </r>
  <r>
    <n v="26"/>
    <n v="1"/>
    <s v="2023/10/06"/>
    <x v="20"/>
    <x v="6"/>
  </r>
  <r>
    <n v="29"/>
    <n v="1"/>
    <s v="2023/10/06"/>
    <x v="20"/>
    <x v="6"/>
  </r>
  <r>
    <n v="17"/>
    <n v="1"/>
    <s v="2023/10/20"/>
    <x v="20"/>
    <x v="2"/>
  </r>
  <r>
    <n v="38"/>
    <n v="1"/>
    <s v="2023/10/20"/>
    <x v="20"/>
    <x v="7"/>
  </r>
  <r>
    <n v="44"/>
    <n v="1"/>
    <s v="2023/11/03"/>
    <x v="21"/>
    <x v="3"/>
  </r>
  <r>
    <n v="47"/>
    <n v="1"/>
    <s v="2023/11/03"/>
    <x v="21"/>
    <x v="3"/>
  </r>
  <r>
    <n v="41"/>
    <n v="1"/>
    <s v="2023/11/17"/>
    <x v="21"/>
    <x v="7"/>
  </r>
  <r>
    <n v="42"/>
    <n v="1"/>
    <s v="2023/11/17"/>
    <x v="21"/>
    <x v="7"/>
  </r>
  <r>
    <n v="19"/>
    <n v="1"/>
    <s v="2023/12/01"/>
    <x v="22"/>
    <x v="4"/>
  </r>
  <r>
    <n v="23"/>
    <n v="1"/>
    <s v="2023/12/01"/>
    <x v="22"/>
    <x v="4"/>
  </r>
  <r>
    <n v="3"/>
    <n v="1"/>
    <s v="2023/12/15"/>
    <x v="22"/>
    <x v="0"/>
  </r>
  <r>
    <n v="6"/>
    <n v="1"/>
    <s v="2023/12/15"/>
    <x v="22"/>
    <x v="0"/>
  </r>
  <r>
    <n v="7"/>
    <n v="1"/>
    <s v="2023/12/29"/>
    <x v="22"/>
    <x v="1"/>
  </r>
  <r>
    <n v="8"/>
    <n v="1"/>
    <s v="2023/12/29"/>
    <x v="22"/>
    <x v="1"/>
  </r>
  <r>
    <n v="28"/>
    <n v="1"/>
    <s v="2024/01/05"/>
    <x v="23"/>
    <x v="6"/>
  </r>
  <r>
    <n v="30"/>
    <n v="1"/>
    <s v="2024/01/05"/>
    <x v="23"/>
    <x v="6"/>
  </r>
  <r>
    <n v="101"/>
    <n v="1"/>
    <s v="2024/01/20"/>
    <x v="23"/>
    <x v="8"/>
  </r>
  <r>
    <n v="102"/>
    <n v="1"/>
    <s v="2024/02/04"/>
    <x v="24"/>
    <x v="8"/>
  </r>
  <r>
    <n v="103"/>
    <n v="1"/>
    <s v="2024/02/04"/>
    <x v="24"/>
    <x v="8"/>
  </r>
  <r>
    <n v="2"/>
    <n v="1"/>
    <s v="2024/02/16"/>
    <x v="24"/>
    <x v="0"/>
  </r>
  <r>
    <n v="13"/>
    <n v="1"/>
    <s v="2024/02/16"/>
    <x v="24"/>
    <x v="2"/>
  </r>
  <r>
    <n v="1"/>
    <n v="0"/>
    <s v="2024/02/23"/>
    <x v="24"/>
    <x v="0"/>
  </r>
  <r>
    <n v="15"/>
    <n v="1"/>
    <s v="2024/03/08"/>
    <x v="25"/>
    <x v="2"/>
  </r>
  <r>
    <n v="16"/>
    <n v="1"/>
    <s v="2024/03/08"/>
    <x v="25"/>
    <x v="2"/>
  </r>
  <r>
    <n v="11"/>
    <n v="1"/>
    <s v="2024/03/22"/>
    <x v="25"/>
    <x v="1"/>
  </r>
  <r>
    <n v="4"/>
    <n v="1"/>
    <s v="2024/04/05"/>
    <x v="26"/>
    <x v="0"/>
  </r>
  <r>
    <n v="38"/>
    <n v="1"/>
    <s v="2024/04/05"/>
    <x v="26"/>
    <x v="7"/>
  </r>
  <r>
    <n v="45"/>
    <n v="1"/>
    <s v="2024/04/26"/>
    <x v="26"/>
    <x v="3"/>
  </r>
  <r>
    <n v="46"/>
    <n v="1"/>
    <s v="2024/04/26"/>
    <x v="26"/>
    <x v="3"/>
  </r>
  <r>
    <n v="24"/>
    <n v="1"/>
    <s v="2024/05/17"/>
    <x v="27"/>
    <x v="4"/>
  </r>
  <r>
    <n v="32"/>
    <n v="1"/>
    <s v="2024/05/17"/>
    <x v="27"/>
    <x v="5"/>
  </r>
  <r>
    <n v="39"/>
    <n v="1"/>
    <s v="2024/05/31"/>
    <x v="27"/>
    <x v="7"/>
  </r>
  <r>
    <n v="40"/>
    <n v="1"/>
    <s v="2024/05/31"/>
    <x v="27"/>
    <x v="7"/>
  </r>
  <r>
    <n v="14"/>
    <n v="1"/>
    <s v="2024/06/14"/>
    <x v="28"/>
    <x v="2"/>
  </r>
  <r>
    <n v="42"/>
    <n v="1"/>
    <s v="2024/06/14"/>
    <x v="28"/>
    <x v="7"/>
  </r>
  <r>
    <n v="43"/>
    <n v="0"/>
    <s v="2024/06/28"/>
    <x v="28"/>
    <x v="3"/>
  </r>
  <r>
    <n v="17"/>
    <n v="1"/>
    <s v="2024/07/05"/>
    <x v="29"/>
    <x v="2"/>
  </r>
  <r>
    <n v="18"/>
    <n v="1"/>
    <s v="2024/07/05"/>
    <x v="29"/>
    <x v="2"/>
  </r>
  <r>
    <n v="3"/>
    <n v="1"/>
    <s v="2024/07/20"/>
    <x v="29"/>
    <x v="0"/>
  </r>
  <r>
    <n v="5"/>
    <n v="1"/>
    <s v="2024/07/20"/>
    <x v="29"/>
    <x v="0"/>
  </r>
  <r>
    <n v="34"/>
    <n v="1"/>
    <s v="2024/08/23"/>
    <x v="30"/>
    <x v="5"/>
  </r>
  <r>
    <n v="36"/>
    <n v="1"/>
    <s v="2024/08/23"/>
    <x v="30"/>
    <x v="5"/>
  </r>
  <r>
    <n v="47"/>
    <n v="1"/>
    <s v="2024/09/06"/>
    <x v="31"/>
    <x v="3"/>
  </r>
  <r>
    <n v="35"/>
    <n v="1"/>
    <s v="2024/09/06"/>
    <x v="31"/>
    <x v="5"/>
  </r>
  <r>
    <n v="27"/>
    <n v="1"/>
    <s v="2024/09/20"/>
    <x v="31"/>
    <x v="6"/>
  </r>
  <r>
    <n v="29"/>
    <n v="1"/>
    <s v="2024/09/20"/>
    <x v="31"/>
    <x v="6"/>
  </r>
  <r>
    <n v="37"/>
    <n v="1"/>
    <s v="2024/10/04"/>
    <x v="32"/>
    <x v="7"/>
  </r>
  <r>
    <n v="2"/>
    <n v="0"/>
    <s v="2024/10/11"/>
    <x v="32"/>
    <x v="0"/>
  </r>
  <r>
    <n v="8"/>
    <n v="1"/>
    <s v="2024/10/25"/>
    <x v="32"/>
    <x v="1"/>
  </r>
  <r>
    <n v="9"/>
    <n v="1"/>
    <s v="2024/10/25"/>
    <x v="32"/>
    <x v="1"/>
  </r>
  <r>
    <n v="7"/>
    <n v="1"/>
    <s v="2024/11/08"/>
    <x v="33"/>
    <x v="1"/>
  </r>
  <r>
    <n v="10"/>
    <n v="1"/>
    <s v="2024/11/08"/>
    <x v="33"/>
    <x v="1"/>
  </r>
  <r>
    <n v="20"/>
    <n v="1"/>
    <s v="2024/11/22"/>
    <x v="33"/>
    <x v="4"/>
  </r>
  <r>
    <n v="24"/>
    <n v="1"/>
    <s v="2024/11/22"/>
    <x v="33"/>
    <x v="4"/>
  </r>
  <r>
    <n v="21"/>
    <n v="1"/>
    <s v="2024/12/06"/>
    <x v="34"/>
    <x v="4"/>
  </r>
  <r>
    <n v="33"/>
    <n v="1"/>
    <s v="2024/12/06"/>
    <x v="34"/>
    <x v="5"/>
  </r>
  <r>
    <n v="1"/>
    <n v="1"/>
    <s v="2024/12/13"/>
    <x v="34"/>
    <x v="0"/>
  </r>
  <r>
    <n v="106"/>
    <n v="1"/>
    <s v="2024/12/27"/>
    <x v="34"/>
    <x v="8"/>
  </r>
  <r>
    <n v="107"/>
    <n v="1"/>
    <s v="2024/12/27"/>
    <x v="34"/>
    <x v="8"/>
  </r>
  <r>
    <n v="22"/>
    <n v="1"/>
    <s v="2025/01/10"/>
    <x v="35"/>
    <x v="4"/>
  </r>
  <r>
    <n v="23"/>
    <n v="1"/>
    <s v="2025/01/10"/>
    <x v="35"/>
    <x v="4"/>
  </r>
  <r>
    <n v="43"/>
    <n v="0"/>
    <s v="2025/02/02"/>
    <x v="36"/>
    <x v="3"/>
  </r>
  <r>
    <n v="19"/>
    <n v="0"/>
    <s v="2025/02/02"/>
    <x v="36"/>
    <x v="4"/>
  </r>
  <r>
    <n v="91"/>
    <n v="0"/>
    <s v="2025/02/09"/>
    <x v="36"/>
    <x v="9"/>
  </r>
  <r>
    <n v="4"/>
    <n v="1"/>
    <s v="2025/02/21"/>
    <x v="36"/>
    <x v="0"/>
  </r>
  <r>
    <n v="13"/>
    <n v="0"/>
    <s v="2025/02/21"/>
    <x v="36"/>
    <x v="2"/>
  </r>
  <r>
    <n v="5"/>
    <n v="1"/>
    <s v="2025/02/21"/>
    <x v="36"/>
    <x v="0"/>
  </r>
  <r>
    <n v="44"/>
    <n v="1"/>
    <s v="2025/03/07"/>
    <x v="37"/>
    <x v="3"/>
  </r>
  <r>
    <n v="46"/>
    <n v="1"/>
    <s v="2025/03/07"/>
    <x v="37"/>
    <x v="3"/>
  </r>
  <r>
    <n v="25"/>
    <n v="0"/>
    <s v="2025/03/21"/>
    <x v="37"/>
    <x v="6"/>
  </r>
  <r>
    <n v="39"/>
    <n v="1"/>
    <s v="2025/04/04"/>
    <x v="38"/>
    <x v="7"/>
  </r>
  <r>
    <n v="41"/>
    <n v="1"/>
    <s v="2025/04/04"/>
    <x v="38"/>
    <x v="7"/>
  </r>
  <r>
    <n v="16"/>
    <n v="0"/>
    <s v="2025/04/25"/>
    <x v="38"/>
    <x v="2"/>
  </r>
  <r>
    <n v="14"/>
    <n v="1"/>
    <s v="2025/05/02"/>
    <x v="39"/>
    <x v="2"/>
  </r>
  <r>
    <n v="15"/>
    <n v="1"/>
    <s v="2025/05/02"/>
    <x v="39"/>
    <x v="2"/>
  </r>
  <r>
    <n v="28"/>
    <n v="1"/>
    <s v="2025/05/16"/>
    <x v="39"/>
    <x v="6"/>
  </r>
  <r>
    <n v="31"/>
    <n v="0"/>
    <s v="2025/05/30"/>
    <x v="39"/>
    <x v="5"/>
  </r>
  <r>
    <n v="34"/>
    <n v="1"/>
    <s v="2025/05/30"/>
    <x v="39"/>
    <x v="5"/>
  </r>
  <r>
    <n v="20"/>
    <n v="1"/>
    <s v="2025/06/13"/>
    <x v="40"/>
    <x v="4"/>
  </r>
  <r>
    <n v="38"/>
    <n v="1"/>
    <s v="2025/06/13"/>
    <x v="40"/>
    <x v="7"/>
  </r>
  <r>
    <n v="10"/>
    <n v="1"/>
    <s v="2025/06/27"/>
    <x v="40"/>
    <x v="1"/>
  </r>
  <r>
    <n v="11"/>
    <n v="1"/>
    <s v="2025/06/27"/>
    <x v="40"/>
    <x v="1"/>
  </r>
  <r>
    <n v="26"/>
    <n v="1"/>
    <s v="2025/07/11"/>
    <x v="41"/>
    <x v="6"/>
  </r>
  <r>
    <n v="30"/>
    <n v="1"/>
    <s v="2025/07/11"/>
    <x v="41"/>
    <x v="6"/>
  </r>
  <r>
    <n v="7"/>
    <n v="0"/>
    <s v="2025/07/18"/>
    <x v="41"/>
    <x v="1"/>
  </r>
  <r>
    <n v="45"/>
    <n v="0"/>
    <s v="2025/08/03"/>
    <x v="42"/>
    <x v="3"/>
  </r>
  <r>
    <n v="48"/>
    <n v="0"/>
    <s v="2025/08/03"/>
    <x v="42"/>
    <x v="3"/>
  </r>
  <r>
    <n v="5"/>
    <n v="0"/>
    <s v="2025/08/10"/>
    <x v="42"/>
    <x v="0"/>
  </r>
  <r>
    <n v="5"/>
    <n v="9"/>
    <s v="2025/08/10"/>
    <x v="42"/>
    <x v="0"/>
  </r>
  <r>
    <n v="18"/>
    <n v="1"/>
    <s v="2025/08/22"/>
    <x v="42"/>
    <x v="2"/>
  </r>
  <r>
    <n v="24"/>
    <n v="0"/>
    <s v="2025/08/22"/>
    <x v="42"/>
    <x v="4"/>
  </r>
  <r>
    <n v="37"/>
    <n v="0"/>
    <s v="2025/09/05"/>
    <x v="43"/>
    <x v="7"/>
  </r>
  <r>
    <n v="40"/>
    <n v="1"/>
    <s v="2025/09/05"/>
    <x v="43"/>
    <x v="7"/>
  </r>
  <r>
    <n v="42"/>
    <n v="1"/>
    <s v="2025/09/19"/>
    <x v="43"/>
    <x v="7"/>
  </r>
  <r>
    <n v="1"/>
    <n v="0"/>
    <s v="2025/10/03"/>
    <x v="44"/>
    <x v="0"/>
  </r>
  <r>
    <n v="8"/>
    <n v="0"/>
    <s v="2025/10/10"/>
    <x v="44"/>
    <x v="1"/>
  </r>
  <r>
    <n v="6"/>
    <n v="0"/>
    <s v="2025/10/17"/>
    <x v="44"/>
    <x v="0"/>
  </r>
  <r>
    <n v="9"/>
    <n v="1"/>
    <s v="2025/10/17"/>
    <x v="44"/>
    <x v="1"/>
  </r>
  <r>
    <n v="27"/>
    <n v="0"/>
    <s v="2025/10/31"/>
    <x v="44"/>
    <x v="6"/>
  </r>
  <r>
    <n v="29"/>
    <n v="1"/>
    <s v="2025/10/31"/>
    <x v="44"/>
    <x v="6"/>
  </r>
  <r>
    <n v="13"/>
    <n v="0"/>
    <s v="2025/11/14"/>
    <x v="45"/>
    <x v="2"/>
  </r>
  <r>
    <n v="32"/>
    <n v="0"/>
    <s v="2025/11/28"/>
    <x v="45"/>
    <x v="5"/>
  </r>
  <r>
    <n v="39"/>
    <n v="1"/>
    <s v="2025/11/28"/>
    <x v="45"/>
    <x v="7"/>
  </r>
  <r>
    <n v="17"/>
    <n v="0"/>
    <s v="2025/12/12"/>
    <x v="46"/>
    <x v="2"/>
  </r>
  <r>
    <n v="1"/>
    <n v="0"/>
    <s v="2025/12/26"/>
    <x v="46"/>
    <x v="0"/>
  </r>
  <r>
    <n v="43"/>
    <n v="0"/>
    <s v="2025/12/26"/>
    <x v="46"/>
    <x v="3"/>
  </r>
  <r>
    <n v="7"/>
    <n v="0"/>
    <s v="2026/01/16"/>
    <x v="47"/>
    <x v="1"/>
  </r>
  <r>
    <n v="91"/>
    <n v="0"/>
    <s v="2026/02/01"/>
    <x v="48"/>
    <x v="9"/>
  </r>
  <r>
    <n v="92"/>
    <n v="0"/>
    <s v="2026/02/13"/>
    <x v="48"/>
    <x v="9"/>
  </r>
  <r>
    <n v="3"/>
    <n v="0"/>
    <s v="2026/02/27"/>
    <x v="48"/>
    <x v="0"/>
  </r>
  <r>
    <n v="13"/>
    <n v="1"/>
    <s v="2026/02/27"/>
    <x v="48"/>
    <x v="2"/>
  </r>
  <r>
    <n v="37"/>
    <n v="1"/>
    <s v="2026/03/13"/>
    <x v="49"/>
    <x v="7"/>
  </r>
  <r>
    <n v="41"/>
    <n v="1"/>
    <s v="2026/03/13"/>
    <x v="49"/>
    <x v="7"/>
  </r>
  <r>
    <n v="47"/>
    <n v="0"/>
    <s v="2026/03/27"/>
    <x v="49"/>
    <x v="3"/>
  </r>
  <r>
    <n v="19"/>
    <n v="0"/>
    <s v="2026/04/10"/>
    <x v="50"/>
    <x v="4"/>
  </r>
  <r>
    <n v="23"/>
    <n v="0"/>
    <s v="2026/04/10"/>
    <x v="50"/>
    <x v="4"/>
  </r>
  <r>
    <n v="35"/>
    <n v="0"/>
    <s v="2026/04/24"/>
    <x v="50"/>
    <x v="5"/>
  </r>
  <r>
    <n v="36"/>
    <n v="0"/>
    <s v="2026/04/24"/>
    <x v="50"/>
    <x v="5"/>
  </r>
  <r>
    <n v="12"/>
    <n v="0"/>
    <s v="2026/05/01"/>
    <x v="51"/>
    <x v="1"/>
  </r>
  <r>
    <n v="4"/>
    <n v="0"/>
    <s v="2026/05/22"/>
    <x v="51"/>
    <x v="0"/>
  </r>
  <r>
    <n v="111"/>
    <n v="1"/>
    <s v="2026/05/22"/>
    <x v="51"/>
    <x v="10"/>
  </r>
  <r>
    <n v="112"/>
    <n v="0"/>
    <s v="2026/05/22"/>
    <x v="51"/>
    <x v="10"/>
  </r>
  <r>
    <n v="1"/>
    <n v="0"/>
    <s v="2026/06/05"/>
    <x v="52"/>
    <x v="0"/>
  </r>
  <r>
    <n v="113"/>
    <n v="0"/>
    <s v="2026/06/05"/>
    <x v="52"/>
    <x v="10"/>
  </r>
  <r>
    <n v="38"/>
    <n v="1"/>
    <s v="2026/06/19"/>
    <x v="52"/>
    <x v="7"/>
  </r>
  <r>
    <n v="42"/>
    <n v="0"/>
    <s v="2026/06/19"/>
    <x v="52"/>
    <x v="7"/>
  </r>
  <r>
    <n v="33"/>
    <n v="0"/>
    <s v="2026/07/03"/>
    <x v="53"/>
    <x v="5"/>
  </r>
  <r>
    <n v="25"/>
    <n v="0"/>
    <s v="2026/07/17"/>
    <x v="53"/>
    <x v="6"/>
  </r>
  <r>
    <n v="28"/>
    <n v="0"/>
    <s v="2026/07/17"/>
    <x v="53"/>
    <x v="6"/>
  </r>
  <r>
    <n v="50"/>
    <n v="0"/>
    <s v="2026/08/02"/>
    <x v="54"/>
    <x v="11"/>
  </r>
  <r>
    <n v="8"/>
    <n v="0"/>
    <s v="2026/08/09"/>
    <x v="5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FDEE4-9862-40D3-96CC-D5125E7559D6}" name="ピボットテーブル2" cacheId="1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13">
  <location ref="I3:V60" firstHeaderRow="1" firstDataRow="2" firstDataCol="1"/>
  <pivotFields count="5">
    <pivotField showAll="0"/>
    <pivotField showAll="0"/>
    <pivotField showAll="0"/>
    <pivotField axis="axisRow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axis="axisCol" dataField="1" showAll="0">
      <items count="13">
        <item x="11"/>
        <item x="3"/>
        <item x="0"/>
        <item x="1"/>
        <item x="2"/>
        <item x="4"/>
        <item x="6"/>
        <item x="5"/>
        <item x="7"/>
        <item x="8"/>
        <item x="10"/>
        <item x="9"/>
        <item t="default"/>
      </items>
    </pivotField>
  </pivotFields>
  <rowFields count="1">
    <field x="3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Fields count="1">
    <field x="4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個数 / 31A" fld="4" subtotal="count" showDataAs="runTotal" baseField="3" baseItem="10"/>
  </dataFields>
  <chartFormats count="24">
    <chartFormat chart="1" format="24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1" format="25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1" format="26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1" format="27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1" format="28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1" format="29" series="1">
      <pivotArea type="data" outline="0" fieldPosition="0">
        <references count="1">
          <reference field="4" count="1" selected="0">
            <x v="5"/>
          </reference>
        </references>
      </pivotArea>
    </chartFormat>
    <chartFormat chart="1" format="30" series="1">
      <pivotArea type="data" outline="0" fieldPosition="0">
        <references count="1">
          <reference field="4" count="1" selected="0">
            <x v="6"/>
          </reference>
        </references>
      </pivotArea>
    </chartFormat>
    <chartFormat chart="1" format="31" series="1">
      <pivotArea type="data" outline="0" fieldPosition="0">
        <references count="1">
          <reference field="4" count="1" selected="0">
            <x v="7"/>
          </reference>
        </references>
      </pivotArea>
    </chartFormat>
    <chartFormat chart="1" format="32" series="1">
      <pivotArea type="data" outline="0" fieldPosition="0">
        <references count="1">
          <reference field="4" count="1" selected="0">
            <x v="8"/>
          </reference>
        </references>
      </pivotArea>
    </chartFormat>
    <chartFormat chart="1" format="33" series="1">
      <pivotArea type="data" outline="0" fieldPosition="0">
        <references count="1">
          <reference field="4" count="1" selected="0">
            <x v="9"/>
          </reference>
        </references>
      </pivotArea>
    </chartFormat>
    <chartFormat chart="1" format="34" series="1">
      <pivotArea type="data" outline="0" fieldPosition="0">
        <references count="1">
          <reference field="4" count="1" selected="0">
            <x v="10"/>
          </reference>
        </references>
      </pivotArea>
    </chartFormat>
    <chartFormat chart="1" format="35" series="1">
      <pivotArea type="data" outline="0" fieldPosition="0">
        <references count="1">
          <reference field="4" count="1" selected="0">
            <x v="11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24"/>
  <sheetViews>
    <sheetView workbookViewId="0">
      <selection activeCell="B30" sqref="B30"/>
    </sheetView>
  </sheetViews>
  <sheetFormatPr defaultRowHeight="18.75" x14ac:dyDescent="0.4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 x14ac:dyDescent="0.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182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 x14ac:dyDescent="0.4">
      <c r="A2" s="5" t="s">
        <v>7</v>
      </c>
      <c r="B2" s="2" t="str">
        <f>VLOOKUP(B1,I:N,2,FALSE)</f>
        <v>localhost</v>
      </c>
      <c r="F2" s="10" t="s">
        <v>19</v>
      </c>
      <c r="G2" s="10" t="s">
        <v>893</v>
      </c>
    </row>
    <row r="3" spans="1:14" x14ac:dyDescent="0.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894</v>
      </c>
    </row>
    <row r="4" spans="1:14" x14ac:dyDescent="0.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316</v>
      </c>
    </row>
    <row r="5" spans="1:14" x14ac:dyDescent="0.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846</v>
      </c>
    </row>
    <row r="6" spans="1:14" x14ac:dyDescent="0.4">
      <c r="A6" s="5" t="s">
        <v>0</v>
      </c>
      <c r="B6" s="2" t="str">
        <f>VLOOKUP(B1,I:N,6,FALSE)</f>
        <v>postgres</v>
      </c>
      <c r="C6" s="7" t="s">
        <v>322</v>
      </c>
      <c r="F6" s="10" t="s">
        <v>19</v>
      </c>
      <c r="G6" s="10" t="s">
        <v>609</v>
      </c>
    </row>
    <row r="7" spans="1:14" x14ac:dyDescent="0.4">
      <c r="A7" s="1"/>
      <c r="F7" s="10" t="s">
        <v>19</v>
      </c>
      <c r="G7" s="10" t="s">
        <v>322</v>
      </c>
    </row>
    <row r="8" spans="1:14" x14ac:dyDescent="0.4">
      <c r="F8" s="10" t="s">
        <v>19</v>
      </c>
      <c r="G8" s="10" t="s">
        <v>91</v>
      </c>
    </row>
    <row r="9" spans="1:14" x14ac:dyDescent="0.4">
      <c r="F9" s="10" t="s">
        <v>19</v>
      </c>
      <c r="G9" s="10" t="s">
        <v>22</v>
      </c>
    </row>
    <row r="10" spans="1:14" x14ac:dyDescent="0.4">
      <c r="F10" s="10" t="s">
        <v>19</v>
      </c>
      <c r="G10" s="10" t="s">
        <v>152</v>
      </c>
    </row>
    <row r="11" spans="1:14" x14ac:dyDescent="0.4">
      <c r="B11"/>
      <c r="F11" s="10" t="s">
        <v>19</v>
      </c>
      <c r="G11" s="10" t="s">
        <v>226</v>
      </c>
    </row>
    <row r="12" spans="1:14" x14ac:dyDescent="0.4">
      <c r="F12" s="10" t="s">
        <v>19</v>
      </c>
      <c r="G12" s="10" t="s">
        <v>895</v>
      </c>
    </row>
    <row r="13" spans="1:14" x14ac:dyDescent="0.4">
      <c r="F13" s="10" t="s">
        <v>19</v>
      </c>
      <c r="G13" s="10" t="s">
        <v>896</v>
      </c>
    </row>
    <row r="14" spans="1:14" x14ac:dyDescent="0.4">
      <c r="F14" s="10" t="s">
        <v>19</v>
      </c>
      <c r="G14" s="10" t="s">
        <v>770</v>
      </c>
    </row>
    <row r="15" spans="1:14" x14ac:dyDescent="0.4">
      <c r="F15" s="10" t="s">
        <v>19</v>
      </c>
      <c r="G15" s="10" t="s">
        <v>339</v>
      </c>
    </row>
    <row r="16" spans="1:14" x14ac:dyDescent="0.4">
      <c r="F16" s="10" t="s">
        <v>19</v>
      </c>
      <c r="G16" s="10" t="s">
        <v>23</v>
      </c>
    </row>
    <row r="17" spans="6:7" x14ac:dyDescent="0.4">
      <c r="F17" s="10" t="s">
        <v>19</v>
      </c>
      <c r="G17" s="10" t="s">
        <v>24</v>
      </c>
    </row>
    <row r="18" spans="6:7" x14ac:dyDescent="0.4">
      <c r="F18" s="10" t="s">
        <v>19</v>
      </c>
      <c r="G18" s="10" t="s">
        <v>1224</v>
      </c>
    </row>
    <row r="19" spans="6:7" x14ac:dyDescent="0.4">
      <c r="F19" s="10" t="s">
        <v>19</v>
      </c>
      <c r="G19" s="10" t="s">
        <v>315</v>
      </c>
    </row>
    <row r="20" spans="6:7" x14ac:dyDescent="0.4">
      <c r="F20" s="10" t="s">
        <v>19</v>
      </c>
      <c r="G20" s="10" t="s">
        <v>467</v>
      </c>
    </row>
    <row r="21" spans="6:7" x14ac:dyDescent="0.4">
      <c r="F21" s="10" t="s">
        <v>19</v>
      </c>
      <c r="G21" s="10" t="s">
        <v>92</v>
      </c>
    </row>
    <row r="22" spans="6:7" x14ac:dyDescent="0.4">
      <c r="F22" s="10" t="s">
        <v>19</v>
      </c>
      <c r="G22" s="10" t="s">
        <v>93</v>
      </c>
    </row>
    <row r="23" spans="6:7" x14ac:dyDescent="0.4">
      <c r="F23" s="10" t="s">
        <v>19</v>
      </c>
      <c r="G23" s="10" t="s">
        <v>94</v>
      </c>
    </row>
    <row r="24" spans="6:7" x14ac:dyDescent="0.4">
      <c r="F24" s="10" t="s">
        <v>19</v>
      </c>
      <c r="G24" s="10" t="s">
        <v>95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P66"/>
  <sheetViews>
    <sheetView workbookViewId="0"/>
  </sheetViews>
  <sheetFormatPr defaultRowHeight="18.75" x14ac:dyDescent="0.4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6" x14ac:dyDescent="0.4">
      <c r="A1">
        <v>0</v>
      </c>
      <c r="B1" t="s">
        <v>36</v>
      </c>
      <c r="C1">
        <v>1</v>
      </c>
      <c r="D1" t="s">
        <v>37</v>
      </c>
      <c r="E1">
        <v>0</v>
      </c>
      <c r="F1" t="s">
        <v>183</v>
      </c>
      <c r="G1">
        <v>1</v>
      </c>
      <c r="H1" t="s">
        <v>357</v>
      </c>
      <c r="I1">
        <v>1</v>
      </c>
      <c r="J1" t="s">
        <v>364</v>
      </c>
      <c r="K1">
        <v>0</v>
      </c>
      <c r="L1" t="s">
        <v>372</v>
      </c>
      <c r="O1">
        <v>1</v>
      </c>
      <c r="P1" t="s">
        <v>460</v>
      </c>
    </row>
    <row r="2" spans="1:16" x14ac:dyDescent="0.4">
      <c r="A2">
        <v>1</v>
      </c>
      <c r="B2" t="s">
        <v>38</v>
      </c>
      <c r="C2">
        <v>2</v>
      </c>
      <c r="D2" t="s">
        <v>39</v>
      </c>
      <c r="E2">
        <v>1</v>
      </c>
      <c r="F2" t="s">
        <v>191</v>
      </c>
      <c r="G2">
        <v>2</v>
      </c>
      <c r="H2" t="s">
        <v>358</v>
      </c>
      <c r="I2">
        <v>2</v>
      </c>
      <c r="J2" t="s">
        <v>738</v>
      </c>
      <c r="K2">
        <v>1</v>
      </c>
      <c r="L2" t="s">
        <v>373</v>
      </c>
      <c r="O2">
        <v>2</v>
      </c>
      <c r="P2" t="s">
        <v>318</v>
      </c>
    </row>
    <row r="3" spans="1:16" x14ac:dyDescent="0.4">
      <c r="A3">
        <v>2</v>
      </c>
      <c r="B3" t="s">
        <v>40</v>
      </c>
      <c r="C3">
        <v>3</v>
      </c>
      <c r="D3" t="s">
        <v>41</v>
      </c>
      <c r="E3">
        <v>2</v>
      </c>
      <c r="F3" t="s">
        <v>192</v>
      </c>
      <c r="G3">
        <v>3</v>
      </c>
      <c r="H3" t="s">
        <v>359</v>
      </c>
      <c r="I3">
        <v>3</v>
      </c>
      <c r="J3" t="s">
        <v>739</v>
      </c>
      <c r="K3">
        <v>2</v>
      </c>
      <c r="L3" t="s">
        <v>374</v>
      </c>
      <c r="O3">
        <v>3</v>
      </c>
      <c r="P3" t="s">
        <v>320</v>
      </c>
    </row>
    <row r="4" spans="1:16" x14ac:dyDescent="0.4">
      <c r="A4">
        <v>3</v>
      </c>
      <c r="B4" t="s">
        <v>42</v>
      </c>
      <c r="C4">
        <v>4</v>
      </c>
      <c r="D4" t="s">
        <v>43</v>
      </c>
      <c r="E4">
        <v>3</v>
      </c>
      <c r="F4" t="s">
        <v>193</v>
      </c>
      <c r="G4">
        <v>4</v>
      </c>
      <c r="H4" t="s">
        <v>360</v>
      </c>
      <c r="I4">
        <v>4</v>
      </c>
      <c r="J4" t="s">
        <v>740</v>
      </c>
      <c r="K4">
        <v>3</v>
      </c>
      <c r="L4" t="s">
        <v>375</v>
      </c>
      <c r="O4">
        <v>4</v>
      </c>
      <c r="P4" t="s">
        <v>579</v>
      </c>
    </row>
    <row r="5" spans="1:16" x14ac:dyDescent="0.4">
      <c r="A5">
        <v>4</v>
      </c>
      <c r="B5" t="s">
        <v>44</v>
      </c>
      <c r="C5">
        <v>5</v>
      </c>
      <c r="D5" t="s">
        <v>45</v>
      </c>
      <c r="E5">
        <v>4</v>
      </c>
      <c r="F5" t="s">
        <v>194</v>
      </c>
      <c r="G5">
        <v>5</v>
      </c>
      <c r="H5" t="s">
        <v>361</v>
      </c>
      <c r="I5">
        <v>5</v>
      </c>
      <c r="J5" t="s">
        <v>741</v>
      </c>
      <c r="K5">
        <v>4</v>
      </c>
      <c r="L5" t="s">
        <v>376</v>
      </c>
      <c r="O5">
        <v>5</v>
      </c>
      <c r="P5" t="s">
        <v>463</v>
      </c>
    </row>
    <row r="6" spans="1:16" x14ac:dyDescent="0.4">
      <c r="A6">
        <v>5</v>
      </c>
      <c r="B6" t="s">
        <v>46</v>
      </c>
      <c r="C6">
        <v>6</v>
      </c>
      <c r="D6" t="s">
        <v>47</v>
      </c>
      <c r="E6">
        <v>5</v>
      </c>
      <c r="F6" t="s">
        <v>195</v>
      </c>
      <c r="G6">
        <v>6</v>
      </c>
      <c r="H6" t="s">
        <v>362</v>
      </c>
      <c r="I6">
        <v>6</v>
      </c>
      <c r="J6" t="s">
        <v>742</v>
      </c>
      <c r="K6">
        <v>5</v>
      </c>
      <c r="L6" t="s">
        <v>377</v>
      </c>
      <c r="O6">
        <v>6</v>
      </c>
      <c r="P6" t="s">
        <v>570</v>
      </c>
    </row>
    <row r="7" spans="1:16" x14ac:dyDescent="0.4">
      <c r="A7">
        <v>6</v>
      </c>
      <c r="B7" t="s">
        <v>48</v>
      </c>
      <c r="C7">
        <v>7</v>
      </c>
      <c r="D7" t="s">
        <v>49</v>
      </c>
      <c r="E7">
        <v>6</v>
      </c>
      <c r="F7" t="s">
        <v>196</v>
      </c>
      <c r="G7">
        <v>7</v>
      </c>
      <c r="H7" t="s">
        <v>363</v>
      </c>
      <c r="I7">
        <v>7</v>
      </c>
      <c r="J7" t="s">
        <v>743</v>
      </c>
      <c r="K7">
        <v>6</v>
      </c>
      <c r="L7" t="s">
        <v>378</v>
      </c>
      <c r="O7">
        <v>7</v>
      </c>
      <c r="P7" t="s">
        <v>576</v>
      </c>
    </row>
    <row r="8" spans="1:16" x14ac:dyDescent="0.4">
      <c r="C8">
        <v>8</v>
      </c>
      <c r="D8" t="s">
        <v>50</v>
      </c>
      <c r="E8">
        <v>7</v>
      </c>
      <c r="F8" t="s">
        <v>197</v>
      </c>
      <c r="G8">
        <v>8</v>
      </c>
      <c r="H8" t="s">
        <v>468</v>
      </c>
      <c r="K8">
        <v>7</v>
      </c>
      <c r="L8" t="s">
        <v>379</v>
      </c>
      <c r="O8">
        <v>8</v>
      </c>
      <c r="P8" t="s">
        <v>577</v>
      </c>
    </row>
    <row r="9" spans="1:16" x14ac:dyDescent="0.4">
      <c r="A9">
        <v>0</v>
      </c>
      <c r="B9" t="s">
        <v>365</v>
      </c>
      <c r="C9">
        <v>9</v>
      </c>
      <c r="D9" t="s">
        <v>51</v>
      </c>
      <c r="E9">
        <v>8</v>
      </c>
      <c r="F9" t="s">
        <v>198</v>
      </c>
      <c r="G9">
        <v>9</v>
      </c>
      <c r="H9" t="s">
        <v>604</v>
      </c>
      <c r="K9">
        <v>8</v>
      </c>
      <c r="L9" t="s">
        <v>380</v>
      </c>
      <c r="O9">
        <v>9</v>
      </c>
      <c r="P9" t="s">
        <v>575</v>
      </c>
    </row>
    <row r="10" spans="1:16" x14ac:dyDescent="0.4">
      <c r="A10">
        <v>1</v>
      </c>
      <c r="B10" t="s">
        <v>366</v>
      </c>
      <c r="C10">
        <v>10</v>
      </c>
      <c r="D10" t="s">
        <v>52</v>
      </c>
      <c r="E10">
        <v>9</v>
      </c>
      <c r="F10" t="s">
        <v>199</v>
      </c>
      <c r="K10">
        <v>9</v>
      </c>
      <c r="L10" t="s">
        <v>381</v>
      </c>
    </row>
    <row r="11" spans="1:16" x14ac:dyDescent="0.4">
      <c r="A11">
        <v>2</v>
      </c>
      <c r="B11" t="s">
        <v>367</v>
      </c>
      <c r="C11">
        <v>11</v>
      </c>
      <c r="D11" t="s">
        <v>53</v>
      </c>
      <c r="E11">
        <v>10</v>
      </c>
      <c r="F11" t="s">
        <v>204</v>
      </c>
      <c r="K11">
        <v>10</v>
      </c>
      <c r="L11" t="s">
        <v>319</v>
      </c>
      <c r="O11">
        <v>11</v>
      </c>
      <c r="P11" t="s">
        <v>375</v>
      </c>
    </row>
    <row r="12" spans="1:16" x14ac:dyDescent="0.4">
      <c r="A12">
        <v>3</v>
      </c>
      <c r="B12" t="s">
        <v>368</v>
      </c>
      <c r="C12">
        <v>12</v>
      </c>
      <c r="D12" t="s">
        <v>54</v>
      </c>
      <c r="E12">
        <v>11</v>
      </c>
      <c r="F12" t="s">
        <v>200</v>
      </c>
      <c r="K12">
        <v>11</v>
      </c>
      <c r="L12" t="s">
        <v>382</v>
      </c>
      <c r="O12">
        <v>12</v>
      </c>
      <c r="P12" t="s">
        <v>377</v>
      </c>
    </row>
    <row r="13" spans="1:16" x14ac:dyDescent="0.4">
      <c r="A13">
        <v>4</v>
      </c>
      <c r="B13" t="s">
        <v>369</v>
      </c>
      <c r="C13">
        <v>13</v>
      </c>
      <c r="D13" t="s">
        <v>55</v>
      </c>
      <c r="E13">
        <v>12</v>
      </c>
      <c r="F13" t="s">
        <v>202</v>
      </c>
      <c r="K13">
        <v>12</v>
      </c>
      <c r="L13" t="s">
        <v>383</v>
      </c>
      <c r="O13">
        <v>13</v>
      </c>
      <c r="P13" t="s">
        <v>571</v>
      </c>
    </row>
    <row r="14" spans="1:16" x14ac:dyDescent="0.4">
      <c r="A14">
        <v>5</v>
      </c>
      <c r="B14" t="s">
        <v>370</v>
      </c>
      <c r="C14">
        <v>14</v>
      </c>
      <c r="D14" t="s">
        <v>56</v>
      </c>
      <c r="E14">
        <v>13</v>
      </c>
      <c r="K14">
        <v>13</v>
      </c>
      <c r="L14" t="s">
        <v>384</v>
      </c>
    </row>
    <row r="15" spans="1:16" x14ac:dyDescent="0.4">
      <c r="A15">
        <v>6</v>
      </c>
      <c r="B15" t="s">
        <v>1010</v>
      </c>
      <c r="C15">
        <v>15</v>
      </c>
      <c r="D15" t="s">
        <v>57</v>
      </c>
      <c r="E15">
        <v>14</v>
      </c>
      <c r="F15" t="s">
        <v>205</v>
      </c>
      <c r="K15">
        <v>14</v>
      </c>
      <c r="L15" t="s">
        <v>385</v>
      </c>
      <c r="O15">
        <v>21</v>
      </c>
      <c r="P15" t="s">
        <v>319</v>
      </c>
    </row>
    <row r="16" spans="1:16" x14ac:dyDescent="0.4">
      <c r="C16">
        <v>16</v>
      </c>
      <c r="D16" t="s">
        <v>58</v>
      </c>
      <c r="E16">
        <v>15</v>
      </c>
      <c r="F16" t="s">
        <v>206</v>
      </c>
      <c r="K16">
        <v>15</v>
      </c>
      <c r="L16" t="s">
        <v>386</v>
      </c>
      <c r="O16">
        <v>22</v>
      </c>
      <c r="P16" t="s">
        <v>572</v>
      </c>
    </row>
    <row r="17" spans="1:16" x14ac:dyDescent="0.4">
      <c r="A17">
        <v>0</v>
      </c>
      <c r="B17" t="s">
        <v>744</v>
      </c>
      <c r="C17">
        <v>17</v>
      </c>
      <c r="D17" t="s">
        <v>59</v>
      </c>
      <c r="E17">
        <v>16</v>
      </c>
      <c r="F17" t="s">
        <v>207</v>
      </c>
      <c r="K17">
        <v>16</v>
      </c>
      <c r="L17" t="s">
        <v>387</v>
      </c>
    </row>
    <row r="18" spans="1:16" x14ac:dyDescent="0.4">
      <c r="A18">
        <v>1</v>
      </c>
      <c r="B18" t="s">
        <v>402</v>
      </c>
      <c r="C18">
        <v>18</v>
      </c>
      <c r="D18" t="s">
        <v>60</v>
      </c>
      <c r="E18">
        <v>17</v>
      </c>
      <c r="F18" t="s">
        <v>184</v>
      </c>
      <c r="K18">
        <v>17</v>
      </c>
      <c r="L18" t="s">
        <v>388</v>
      </c>
      <c r="O18">
        <v>31</v>
      </c>
      <c r="P18" t="s">
        <v>461</v>
      </c>
    </row>
    <row r="19" spans="1:16" x14ac:dyDescent="0.4">
      <c r="A19">
        <v>2</v>
      </c>
      <c r="B19" t="s">
        <v>371</v>
      </c>
      <c r="C19">
        <v>19</v>
      </c>
      <c r="D19" t="s">
        <v>61</v>
      </c>
      <c r="E19">
        <v>18</v>
      </c>
      <c r="F19" t="s">
        <v>201</v>
      </c>
      <c r="K19">
        <v>18</v>
      </c>
      <c r="L19" t="s">
        <v>389</v>
      </c>
      <c r="O19">
        <v>35</v>
      </c>
      <c r="P19" t="s">
        <v>462</v>
      </c>
    </row>
    <row r="20" spans="1:16" x14ac:dyDescent="0.4">
      <c r="A20">
        <v>3</v>
      </c>
      <c r="B20" t="s">
        <v>403</v>
      </c>
      <c r="C20">
        <v>20</v>
      </c>
      <c r="D20" t="s">
        <v>62</v>
      </c>
      <c r="E20">
        <v>19</v>
      </c>
      <c r="F20" t="s">
        <v>203</v>
      </c>
      <c r="K20">
        <v>19</v>
      </c>
      <c r="L20" t="s">
        <v>390</v>
      </c>
    </row>
    <row r="21" spans="1:16" x14ac:dyDescent="0.4">
      <c r="C21">
        <v>21</v>
      </c>
      <c r="D21" t="s">
        <v>63</v>
      </c>
      <c r="E21">
        <v>20</v>
      </c>
      <c r="F21" t="s">
        <v>216</v>
      </c>
      <c r="K21">
        <v>20</v>
      </c>
      <c r="L21" t="s">
        <v>391</v>
      </c>
      <c r="O21">
        <v>41</v>
      </c>
      <c r="P21" t="s">
        <v>573</v>
      </c>
    </row>
    <row r="22" spans="1:16" x14ac:dyDescent="0.4">
      <c r="C22">
        <v>22</v>
      </c>
      <c r="D22" t="s">
        <v>64</v>
      </c>
      <c r="E22">
        <v>21</v>
      </c>
      <c r="F22" t="s">
        <v>222</v>
      </c>
      <c r="K22">
        <v>21</v>
      </c>
      <c r="L22" t="s">
        <v>392</v>
      </c>
      <c r="O22">
        <v>42</v>
      </c>
      <c r="P22" t="s">
        <v>475</v>
      </c>
    </row>
    <row r="23" spans="1:16" x14ac:dyDescent="0.4">
      <c r="C23">
        <v>23</v>
      </c>
      <c r="D23" t="s">
        <v>65</v>
      </c>
      <c r="E23">
        <v>22</v>
      </c>
      <c r="F23" t="s">
        <v>223</v>
      </c>
      <c r="K23">
        <v>22</v>
      </c>
      <c r="L23" t="s">
        <v>393</v>
      </c>
      <c r="O23">
        <v>43</v>
      </c>
      <c r="P23" t="s">
        <v>574</v>
      </c>
    </row>
    <row r="24" spans="1:16" x14ac:dyDescent="0.4">
      <c r="C24">
        <v>24</v>
      </c>
      <c r="D24" t="s">
        <v>66</v>
      </c>
      <c r="K24">
        <v>23</v>
      </c>
      <c r="L24" t="s">
        <v>394</v>
      </c>
      <c r="O24">
        <v>44</v>
      </c>
      <c r="P24" t="s">
        <v>578</v>
      </c>
    </row>
    <row r="25" spans="1:16" x14ac:dyDescent="0.4">
      <c r="C25">
        <v>25</v>
      </c>
      <c r="D25" t="s">
        <v>67</v>
      </c>
      <c r="K25">
        <v>24</v>
      </c>
      <c r="L25" t="s">
        <v>395</v>
      </c>
    </row>
    <row r="26" spans="1:16" x14ac:dyDescent="0.4">
      <c r="C26">
        <v>26</v>
      </c>
      <c r="D26" t="s">
        <v>68</v>
      </c>
      <c r="K26">
        <v>25</v>
      </c>
      <c r="L26" t="s">
        <v>396</v>
      </c>
      <c r="O26">
        <v>51</v>
      </c>
      <c r="P26" t="s">
        <v>464</v>
      </c>
    </row>
    <row r="27" spans="1:16" x14ac:dyDescent="0.4">
      <c r="C27">
        <v>27</v>
      </c>
      <c r="D27" t="s">
        <v>69</v>
      </c>
      <c r="K27">
        <v>26</v>
      </c>
      <c r="L27" t="s">
        <v>397</v>
      </c>
      <c r="O27">
        <v>52</v>
      </c>
      <c r="P27" t="s">
        <v>465</v>
      </c>
    </row>
    <row r="28" spans="1:16" x14ac:dyDescent="0.4">
      <c r="C28">
        <v>28</v>
      </c>
      <c r="D28" t="s">
        <v>70</v>
      </c>
      <c r="K28">
        <v>27</v>
      </c>
      <c r="L28" t="s">
        <v>398</v>
      </c>
      <c r="O28">
        <v>53</v>
      </c>
      <c r="P28" t="s">
        <v>466</v>
      </c>
    </row>
    <row r="29" spans="1:16" x14ac:dyDescent="0.4">
      <c r="C29">
        <v>29</v>
      </c>
      <c r="D29" t="s">
        <v>71</v>
      </c>
      <c r="K29">
        <v>28</v>
      </c>
      <c r="L29" t="s">
        <v>399</v>
      </c>
    </row>
    <row r="30" spans="1:16" x14ac:dyDescent="0.4">
      <c r="C30">
        <v>30</v>
      </c>
      <c r="D30" t="s">
        <v>72</v>
      </c>
      <c r="K30">
        <v>29</v>
      </c>
      <c r="L30" t="s">
        <v>400</v>
      </c>
    </row>
    <row r="31" spans="1:16" x14ac:dyDescent="0.4">
      <c r="C31">
        <v>31</v>
      </c>
      <c r="D31" t="s">
        <v>73</v>
      </c>
      <c r="K31">
        <v>30</v>
      </c>
      <c r="L31" t="s">
        <v>401</v>
      </c>
    </row>
    <row r="32" spans="1:16" x14ac:dyDescent="0.4">
      <c r="C32">
        <v>32</v>
      </c>
      <c r="D32" t="s">
        <v>74</v>
      </c>
      <c r="K32">
        <v>31</v>
      </c>
      <c r="L32" t="s">
        <v>343</v>
      </c>
    </row>
    <row r="33" spans="3:4" x14ac:dyDescent="0.4">
      <c r="C33">
        <v>33</v>
      </c>
      <c r="D33" t="s">
        <v>75</v>
      </c>
    </row>
    <row r="34" spans="3:4" x14ac:dyDescent="0.4">
      <c r="C34">
        <v>34</v>
      </c>
      <c r="D34" t="s">
        <v>76</v>
      </c>
    </row>
    <row r="35" spans="3:4" x14ac:dyDescent="0.4">
      <c r="C35">
        <v>35</v>
      </c>
      <c r="D35" t="s">
        <v>77</v>
      </c>
    </row>
    <row r="36" spans="3:4" x14ac:dyDescent="0.4">
      <c r="C36">
        <v>36</v>
      </c>
      <c r="D36" t="s">
        <v>78</v>
      </c>
    </row>
    <row r="37" spans="3:4" x14ac:dyDescent="0.4">
      <c r="C37">
        <v>37</v>
      </c>
      <c r="D37" t="s">
        <v>79</v>
      </c>
    </row>
    <row r="38" spans="3:4" x14ac:dyDescent="0.4">
      <c r="C38">
        <v>38</v>
      </c>
      <c r="D38" t="s">
        <v>80</v>
      </c>
    </row>
    <row r="39" spans="3:4" x14ac:dyDescent="0.4">
      <c r="C39">
        <v>39</v>
      </c>
      <c r="D39" t="s">
        <v>81</v>
      </c>
    </row>
    <row r="40" spans="3:4" x14ac:dyDescent="0.4">
      <c r="C40">
        <v>40</v>
      </c>
      <c r="D40" t="s">
        <v>82</v>
      </c>
    </row>
    <row r="41" spans="3:4" x14ac:dyDescent="0.4">
      <c r="C41">
        <v>41</v>
      </c>
      <c r="D41" t="s">
        <v>83</v>
      </c>
    </row>
    <row r="42" spans="3:4" x14ac:dyDescent="0.4">
      <c r="C42">
        <v>42</v>
      </c>
      <c r="D42" t="s">
        <v>84</v>
      </c>
    </row>
    <row r="43" spans="3:4" x14ac:dyDescent="0.4">
      <c r="C43">
        <v>43</v>
      </c>
      <c r="D43" t="s">
        <v>85</v>
      </c>
    </row>
    <row r="44" spans="3:4" x14ac:dyDescent="0.4">
      <c r="C44">
        <v>44</v>
      </c>
      <c r="D44" t="s">
        <v>86</v>
      </c>
    </row>
    <row r="45" spans="3:4" x14ac:dyDescent="0.4">
      <c r="C45">
        <v>45</v>
      </c>
      <c r="D45" t="s">
        <v>87</v>
      </c>
    </row>
    <row r="46" spans="3:4" x14ac:dyDescent="0.4">
      <c r="C46">
        <v>46</v>
      </c>
      <c r="D46" t="s">
        <v>88</v>
      </c>
    </row>
    <row r="47" spans="3:4" x14ac:dyDescent="0.4">
      <c r="C47">
        <v>47</v>
      </c>
      <c r="D47" t="s">
        <v>89</v>
      </c>
    </row>
    <row r="48" spans="3:4" x14ac:dyDescent="0.4">
      <c r="C48">
        <v>48</v>
      </c>
      <c r="D48" t="s">
        <v>90</v>
      </c>
    </row>
    <row r="49" spans="3:4" x14ac:dyDescent="0.4">
      <c r="C49">
        <v>49</v>
      </c>
      <c r="D49" t="s">
        <v>997</v>
      </c>
    </row>
    <row r="50" spans="3:4" x14ac:dyDescent="0.4">
      <c r="C50">
        <v>50</v>
      </c>
      <c r="D50" t="s">
        <v>1000</v>
      </c>
    </row>
    <row r="51" spans="3:4" x14ac:dyDescent="0.4">
      <c r="C51">
        <v>51</v>
      </c>
      <c r="D51" t="s">
        <v>1001</v>
      </c>
    </row>
    <row r="52" spans="3:4" x14ac:dyDescent="0.4">
      <c r="C52">
        <v>52</v>
      </c>
      <c r="D52" t="s">
        <v>1004</v>
      </c>
    </row>
    <row r="53" spans="3:4" x14ac:dyDescent="0.4">
      <c r="C53">
        <v>53</v>
      </c>
      <c r="D53" t="s">
        <v>1007</v>
      </c>
    </row>
    <row r="54" spans="3:4" x14ac:dyDescent="0.4">
      <c r="C54">
        <v>91</v>
      </c>
      <c r="D54" t="s">
        <v>603</v>
      </c>
    </row>
    <row r="55" spans="3:4" x14ac:dyDescent="0.4">
      <c r="C55">
        <v>92</v>
      </c>
      <c r="D55" t="s">
        <v>605</v>
      </c>
    </row>
    <row r="56" spans="3:4" x14ac:dyDescent="0.4">
      <c r="C56">
        <v>93</v>
      </c>
      <c r="D56" t="s">
        <v>883</v>
      </c>
    </row>
    <row r="57" spans="3:4" x14ac:dyDescent="0.4">
      <c r="C57">
        <v>101</v>
      </c>
      <c r="D57" t="s">
        <v>147</v>
      </c>
    </row>
    <row r="58" spans="3:4" x14ac:dyDescent="0.4">
      <c r="C58">
        <v>102</v>
      </c>
      <c r="D58" t="s">
        <v>145</v>
      </c>
    </row>
    <row r="59" spans="3:4" x14ac:dyDescent="0.4">
      <c r="C59">
        <v>103</v>
      </c>
      <c r="D59" t="s">
        <v>149</v>
      </c>
    </row>
    <row r="60" spans="3:4" x14ac:dyDescent="0.4">
      <c r="C60">
        <v>104</v>
      </c>
      <c r="D60" t="s">
        <v>291</v>
      </c>
    </row>
    <row r="61" spans="3:4" x14ac:dyDescent="0.4">
      <c r="C61">
        <v>105</v>
      </c>
      <c r="D61" t="s">
        <v>546</v>
      </c>
    </row>
    <row r="62" spans="3:4" x14ac:dyDescent="0.4">
      <c r="C62">
        <v>106</v>
      </c>
      <c r="D62" t="s">
        <v>550</v>
      </c>
    </row>
    <row r="63" spans="3:4" x14ac:dyDescent="0.4">
      <c r="C63">
        <v>107</v>
      </c>
      <c r="D63" t="s">
        <v>553</v>
      </c>
    </row>
    <row r="64" spans="3:4" x14ac:dyDescent="0.4">
      <c r="C64">
        <v>111</v>
      </c>
      <c r="D64" t="s">
        <v>942</v>
      </c>
    </row>
    <row r="65" spans="3:4" x14ac:dyDescent="0.4">
      <c r="C65">
        <v>112</v>
      </c>
      <c r="D65" t="s">
        <v>944</v>
      </c>
    </row>
    <row r="66" spans="3:4" x14ac:dyDescent="0.4">
      <c r="C66">
        <v>113</v>
      </c>
      <c r="D66" t="s">
        <v>959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35"/>
  <sheetViews>
    <sheetView topLeftCell="A4" zoomScale="85" zoomScaleNormal="85" workbookViewId="0">
      <selection activeCell="Q7" sqref="M6:Q7"/>
    </sheetView>
  </sheetViews>
  <sheetFormatPr defaultRowHeight="18.75" x14ac:dyDescent="0.4"/>
  <cols>
    <col min="2" max="7" width="12.5" customWidth="1"/>
  </cols>
  <sheetData>
    <row r="1" spans="1:20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 x14ac:dyDescent="0.4">
      <c r="A2" t="s">
        <v>97</v>
      </c>
      <c r="B2" s="9" t="s">
        <v>29</v>
      </c>
      <c r="C2" s="9" t="s">
        <v>31</v>
      </c>
      <c r="D2" s="9" t="s">
        <v>96</v>
      </c>
      <c r="E2" s="9" t="s">
        <v>32</v>
      </c>
      <c r="F2" s="9" t="s">
        <v>329</v>
      </c>
      <c r="G2" s="9" t="s">
        <v>341</v>
      </c>
    </row>
    <row r="3" spans="1:20" x14ac:dyDescent="0.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 x14ac:dyDescent="0.4">
      <c r="B4" s="9" t="s">
        <v>26</v>
      </c>
      <c r="C4" s="9">
        <v>32</v>
      </c>
      <c r="D4" s="9">
        <v>64</v>
      </c>
      <c r="E4" s="9">
        <v>3</v>
      </c>
      <c r="F4" s="9" t="s">
        <v>33</v>
      </c>
      <c r="G4" s="9" t="s">
        <v>30</v>
      </c>
    </row>
    <row r="5" spans="1:20" x14ac:dyDescent="0.4">
      <c r="B5" s="9">
        <v>1</v>
      </c>
      <c r="C5" s="9"/>
      <c r="D5" s="9"/>
      <c r="E5" s="9"/>
      <c r="F5" s="9"/>
      <c r="G5" s="9"/>
    </row>
    <row r="6" spans="1:20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151</v>
      </c>
    </row>
    <row r="7" spans="1:20" x14ac:dyDescent="0.4">
      <c r="A7" s="8"/>
      <c r="B7" s="13">
        <v>1</v>
      </c>
      <c r="C7" s="11" t="s">
        <v>37</v>
      </c>
      <c r="D7" s="11" t="s">
        <v>98</v>
      </c>
      <c r="E7" s="11" t="s">
        <v>221</v>
      </c>
      <c r="F7" s="13">
        <v>1</v>
      </c>
      <c r="G7" s="13">
        <v>2</v>
      </c>
      <c r="H7" t="s">
        <v>556</v>
      </c>
      <c r="T7" s="16"/>
    </row>
    <row r="8" spans="1:20" x14ac:dyDescent="0.4">
      <c r="A8" s="8"/>
      <c r="B8" s="13">
        <v>2</v>
      </c>
      <c r="C8" s="11" t="s">
        <v>39</v>
      </c>
      <c r="D8" s="11" t="s">
        <v>99</v>
      </c>
      <c r="E8" s="11" t="s">
        <v>221</v>
      </c>
      <c r="F8" s="13">
        <v>2</v>
      </c>
      <c r="G8" s="13">
        <v>3</v>
      </c>
      <c r="H8" t="s">
        <v>354</v>
      </c>
      <c r="O8" s="15"/>
    </row>
    <row r="9" spans="1:20" x14ac:dyDescent="0.4">
      <c r="A9" s="8"/>
      <c r="B9" s="13">
        <v>3</v>
      </c>
      <c r="C9" s="11" t="s">
        <v>41</v>
      </c>
      <c r="D9" s="11" t="s">
        <v>100</v>
      </c>
      <c r="E9" s="11" t="s">
        <v>221</v>
      </c>
      <c r="F9" s="13">
        <v>3</v>
      </c>
      <c r="G9" s="13">
        <v>2</v>
      </c>
      <c r="H9" t="s">
        <v>356</v>
      </c>
    </row>
    <row r="10" spans="1:20" x14ac:dyDescent="0.4">
      <c r="A10" s="8"/>
      <c r="B10" s="13">
        <v>4</v>
      </c>
      <c r="C10" s="11" t="s">
        <v>43</v>
      </c>
      <c r="D10" s="11" t="s">
        <v>101</v>
      </c>
      <c r="E10" s="11" t="s">
        <v>221</v>
      </c>
      <c r="F10" s="13">
        <v>2</v>
      </c>
      <c r="G10" s="13">
        <v>1</v>
      </c>
      <c r="H10" t="s">
        <v>557</v>
      </c>
    </row>
    <row r="11" spans="1:20" x14ac:dyDescent="0.4">
      <c r="A11" s="8"/>
      <c r="B11" s="13">
        <v>5</v>
      </c>
      <c r="C11" s="11" t="s">
        <v>45</v>
      </c>
      <c r="D11" s="11" t="s">
        <v>102</v>
      </c>
      <c r="E11" s="11" t="s">
        <v>221</v>
      </c>
      <c r="F11" s="13">
        <v>1</v>
      </c>
      <c r="G11" s="13">
        <v>4</v>
      </c>
      <c r="H11" t="s">
        <v>549</v>
      </c>
      <c r="T11" s="16"/>
    </row>
    <row r="12" spans="1:20" x14ac:dyDescent="0.4">
      <c r="A12" s="8"/>
      <c r="B12" s="13">
        <v>6</v>
      </c>
      <c r="C12" s="11" t="s">
        <v>47</v>
      </c>
      <c r="D12" s="11" t="s">
        <v>103</v>
      </c>
      <c r="E12" s="11" t="s">
        <v>221</v>
      </c>
      <c r="F12" s="13">
        <v>1</v>
      </c>
      <c r="G12" s="13">
        <v>4</v>
      </c>
      <c r="H12" t="s">
        <v>552</v>
      </c>
      <c r="O12" s="15"/>
    </row>
    <row r="13" spans="1:20" x14ac:dyDescent="0.4">
      <c r="A13" s="8"/>
      <c r="B13" s="13">
        <v>7</v>
      </c>
      <c r="C13" s="11" t="s">
        <v>49</v>
      </c>
      <c r="D13" s="11" t="s">
        <v>104</v>
      </c>
      <c r="E13" s="11" t="s">
        <v>234</v>
      </c>
      <c r="F13" s="13">
        <v>3</v>
      </c>
      <c r="G13" s="13">
        <v>3</v>
      </c>
      <c r="H13" t="s">
        <v>353</v>
      </c>
    </row>
    <row r="14" spans="1:20" x14ac:dyDescent="0.4">
      <c r="A14" s="8"/>
      <c r="B14" s="13">
        <v>8</v>
      </c>
      <c r="C14" s="11" t="s">
        <v>50</v>
      </c>
      <c r="D14" s="11" t="s">
        <v>105</v>
      </c>
      <c r="E14" s="11" t="s">
        <v>234</v>
      </c>
      <c r="F14" s="13">
        <v>2</v>
      </c>
      <c r="G14" s="13">
        <v>2</v>
      </c>
      <c r="H14" t="s">
        <v>557</v>
      </c>
    </row>
    <row r="15" spans="1:20" x14ac:dyDescent="0.4">
      <c r="A15" s="8"/>
      <c r="B15" s="13">
        <v>9</v>
      </c>
      <c r="C15" s="11" t="s">
        <v>51</v>
      </c>
      <c r="D15" s="11" t="s">
        <v>106</v>
      </c>
      <c r="E15" s="11" t="s">
        <v>234</v>
      </c>
      <c r="F15" s="13">
        <v>1</v>
      </c>
      <c r="G15" s="13">
        <v>4</v>
      </c>
      <c r="H15" t="s">
        <v>552</v>
      </c>
      <c r="T15" s="16"/>
    </row>
    <row r="16" spans="1:20" x14ac:dyDescent="0.4">
      <c r="A16" s="8"/>
      <c r="B16" s="13">
        <v>10</v>
      </c>
      <c r="C16" s="11" t="s">
        <v>52</v>
      </c>
      <c r="D16" s="11" t="s">
        <v>107</v>
      </c>
      <c r="E16" s="11" t="s">
        <v>234</v>
      </c>
      <c r="F16" s="13">
        <v>2</v>
      </c>
      <c r="G16" s="13">
        <v>3</v>
      </c>
      <c r="H16" t="s">
        <v>354</v>
      </c>
      <c r="O16" s="15"/>
    </row>
    <row r="17" spans="1:20" x14ac:dyDescent="0.4">
      <c r="A17" s="8"/>
      <c r="B17" s="13">
        <v>11</v>
      </c>
      <c r="C17" s="11" t="s">
        <v>53</v>
      </c>
      <c r="D17" s="11" t="s">
        <v>108</v>
      </c>
      <c r="E17" s="11" t="s">
        <v>234</v>
      </c>
      <c r="F17" s="13">
        <v>1</v>
      </c>
      <c r="G17" s="13">
        <v>4</v>
      </c>
      <c r="H17" t="s">
        <v>549</v>
      </c>
    </row>
    <row r="18" spans="1:20" x14ac:dyDescent="0.4">
      <c r="A18" s="8"/>
      <c r="B18" s="13">
        <v>12</v>
      </c>
      <c r="C18" s="11" t="s">
        <v>54</v>
      </c>
      <c r="D18" s="11" t="s">
        <v>54</v>
      </c>
      <c r="E18" s="11" t="s">
        <v>234</v>
      </c>
      <c r="F18" s="13">
        <v>2</v>
      </c>
      <c r="G18" s="13">
        <v>3</v>
      </c>
      <c r="H18" t="s">
        <v>560</v>
      </c>
    </row>
    <row r="19" spans="1:20" x14ac:dyDescent="0.4">
      <c r="A19" s="8"/>
      <c r="B19" s="13">
        <v>13</v>
      </c>
      <c r="C19" s="11" t="s">
        <v>55</v>
      </c>
      <c r="D19" s="11" t="s">
        <v>109</v>
      </c>
      <c r="E19" s="11" t="s">
        <v>180</v>
      </c>
      <c r="F19" s="13">
        <v>1</v>
      </c>
      <c r="G19" s="13">
        <v>3</v>
      </c>
      <c r="H19" t="s">
        <v>549</v>
      </c>
      <c r="T19" s="16"/>
    </row>
    <row r="20" spans="1:20" x14ac:dyDescent="0.4">
      <c r="A20" s="8"/>
      <c r="B20" s="13">
        <v>14</v>
      </c>
      <c r="C20" s="11" t="s">
        <v>56</v>
      </c>
      <c r="D20" s="11" t="s">
        <v>110</v>
      </c>
      <c r="E20" s="11" t="s">
        <v>180</v>
      </c>
      <c r="F20" s="13">
        <v>3</v>
      </c>
      <c r="G20" s="13">
        <v>3</v>
      </c>
      <c r="H20" t="s">
        <v>353</v>
      </c>
      <c r="O20" s="15"/>
    </row>
    <row r="21" spans="1:20" x14ac:dyDescent="0.4">
      <c r="A21" s="8"/>
      <c r="B21" s="13">
        <v>15</v>
      </c>
      <c r="C21" s="11" t="s">
        <v>57</v>
      </c>
      <c r="D21" s="11" t="s">
        <v>111</v>
      </c>
      <c r="E21" s="11" t="s">
        <v>180</v>
      </c>
      <c r="F21" s="13">
        <v>2</v>
      </c>
      <c r="G21" s="13">
        <v>1</v>
      </c>
      <c r="H21" t="s">
        <v>355</v>
      </c>
    </row>
    <row r="22" spans="1:20" x14ac:dyDescent="0.4">
      <c r="A22" s="8"/>
      <c r="B22" s="13">
        <v>16</v>
      </c>
      <c r="C22" s="11" t="s">
        <v>58</v>
      </c>
      <c r="D22" s="11" t="s">
        <v>112</v>
      </c>
      <c r="E22" s="11" t="s">
        <v>180</v>
      </c>
      <c r="F22" s="13">
        <v>2</v>
      </c>
      <c r="G22" s="13">
        <v>1</v>
      </c>
      <c r="H22" t="s">
        <v>355</v>
      </c>
    </row>
    <row r="23" spans="1:20" x14ac:dyDescent="0.4">
      <c r="A23" s="8"/>
      <c r="B23" s="13">
        <v>17</v>
      </c>
      <c r="C23" s="11" t="s">
        <v>59</v>
      </c>
      <c r="D23" s="11" t="s">
        <v>113</v>
      </c>
      <c r="E23" s="11" t="s">
        <v>180</v>
      </c>
      <c r="F23" s="13">
        <v>1</v>
      </c>
      <c r="G23" s="13">
        <v>4</v>
      </c>
      <c r="H23" t="s">
        <v>552</v>
      </c>
      <c r="T23" s="16"/>
    </row>
    <row r="24" spans="1:20" x14ac:dyDescent="0.4">
      <c r="A24" s="8"/>
      <c r="B24" s="13">
        <v>18</v>
      </c>
      <c r="C24" s="11" t="s">
        <v>60</v>
      </c>
      <c r="D24" s="11" t="s">
        <v>114</v>
      </c>
      <c r="E24" s="11" t="s">
        <v>180</v>
      </c>
      <c r="F24" s="13">
        <v>2</v>
      </c>
      <c r="G24" s="13">
        <v>3</v>
      </c>
      <c r="H24" t="s">
        <v>354</v>
      </c>
      <c r="O24" s="15"/>
    </row>
    <row r="25" spans="1:20" x14ac:dyDescent="0.4">
      <c r="A25" s="8"/>
      <c r="B25" s="13">
        <v>19</v>
      </c>
      <c r="C25" s="11" t="s">
        <v>61</v>
      </c>
      <c r="D25" s="11" t="s">
        <v>115</v>
      </c>
      <c r="E25" s="11" t="s">
        <v>220</v>
      </c>
      <c r="F25" s="13">
        <v>3</v>
      </c>
      <c r="G25" s="13">
        <v>3</v>
      </c>
      <c r="H25" t="s">
        <v>353</v>
      </c>
    </row>
    <row r="26" spans="1:20" x14ac:dyDescent="0.4">
      <c r="A26" s="8"/>
      <c r="B26" s="13">
        <v>20</v>
      </c>
      <c r="C26" s="11" t="s">
        <v>62</v>
      </c>
      <c r="D26" s="11" t="s">
        <v>116</v>
      </c>
      <c r="E26" s="11" t="s">
        <v>220</v>
      </c>
      <c r="F26" s="13">
        <v>2</v>
      </c>
      <c r="G26" s="13">
        <v>1</v>
      </c>
      <c r="H26" t="s">
        <v>557</v>
      </c>
    </row>
    <row r="27" spans="1:20" x14ac:dyDescent="0.4">
      <c r="A27" s="8"/>
      <c r="B27" s="13">
        <v>21</v>
      </c>
      <c r="C27" s="11" t="s">
        <v>63</v>
      </c>
      <c r="D27" s="11" t="s">
        <v>117</v>
      </c>
      <c r="E27" s="11" t="s">
        <v>220</v>
      </c>
      <c r="F27" s="13">
        <v>1</v>
      </c>
      <c r="G27" s="13">
        <v>4</v>
      </c>
      <c r="H27" t="s">
        <v>552</v>
      </c>
      <c r="T27" s="16"/>
    </row>
    <row r="28" spans="1:20" x14ac:dyDescent="0.4">
      <c r="A28" s="8"/>
      <c r="B28" s="13">
        <v>22</v>
      </c>
      <c r="C28" s="11" t="s">
        <v>64</v>
      </c>
      <c r="D28" s="11" t="s">
        <v>118</v>
      </c>
      <c r="E28" s="11" t="s">
        <v>220</v>
      </c>
      <c r="F28" s="13">
        <v>2</v>
      </c>
      <c r="G28" s="13">
        <v>3</v>
      </c>
      <c r="H28" t="s">
        <v>354</v>
      </c>
      <c r="O28" s="15"/>
    </row>
    <row r="29" spans="1:20" x14ac:dyDescent="0.4">
      <c r="A29" s="8"/>
      <c r="B29" s="13">
        <v>23</v>
      </c>
      <c r="C29" s="11" t="s">
        <v>65</v>
      </c>
      <c r="D29" s="11" t="s">
        <v>119</v>
      </c>
      <c r="E29" s="11" t="s">
        <v>220</v>
      </c>
      <c r="F29" s="13">
        <v>3</v>
      </c>
      <c r="G29" s="13">
        <v>2</v>
      </c>
      <c r="H29" t="s">
        <v>356</v>
      </c>
    </row>
    <row r="30" spans="1:20" x14ac:dyDescent="0.4">
      <c r="A30" s="8"/>
      <c r="B30" s="13">
        <v>24</v>
      </c>
      <c r="C30" s="11" t="s">
        <v>342</v>
      </c>
      <c r="D30" s="11" t="s">
        <v>120</v>
      </c>
      <c r="E30" s="11" t="s">
        <v>220</v>
      </c>
      <c r="F30" s="13">
        <v>3</v>
      </c>
      <c r="G30" s="13">
        <v>2</v>
      </c>
      <c r="H30" t="s">
        <v>356</v>
      </c>
    </row>
    <row r="31" spans="1:20" x14ac:dyDescent="0.4">
      <c r="A31" s="8"/>
      <c r="B31" s="13">
        <v>25</v>
      </c>
      <c r="C31" s="11" t="s">
        <v>67</v>
      </c>
      <c r="D31" s="11" t="s">
        <v>121</v>
      </c>
      <c r="E31" s="11" t="s">
        <v>236</v>
      </c>
      <c r="F31" s="13">
        <v>3</v>
      </c>
      <c r="G31" s="14">
        <v>3</v>
      </c>
      <c r="H31" t="s">
        <v>353</v>
      </c>
      <c r="T31" s="16"/>
    </row>
    <row r="32" spans="1:20" x14ac:dyDescent="0.4">
      <c r="A32" s="8"/>
      <c r="B32" s="13">
        <v>26</v>
      </c>
      <c r="C32" s="11" t="s">
        <v>68</v>
      </c>
      <c r="D32" s="11" t="s">
        <v>122</v>
      </c>
      <c r="E32" s="11" t="s">
        <v>236</v>
      </c>
      <c r="F32" s="13">
        <v>1</v>
      </c>
      <c r="G32" s="14">
        <v>4</v>
      </c>
      <c r="H32" t="s">
        <v>558</v>
      </c>
      <c r="O32" s="15"/>
    </row>
    <row r="33" spans="1:20" x14ac:dyDescent="0.4">
      <c r="A33" s="8"/>
      <c r="B33" s="13">
        <v>27</v>
      </c>
      <c r="C33" s="11" t="s">
        <v>69</v>
      </c>
      <c r="D33" s="11" t="s">
        <v>123</v>
      </c>
      <c r="E33" s="11" t="s">
        <v>236</v>
      </c>
      <c r="F33" s="13">
        <v>3</v>
      </c>
      <c r="G33" s="14">
        <v>2</v>
      </c>
      <c r="H33" t="s">
        <v>356</v>
      </c>
    </row>
    <row r="34" spans="1:20" x14ac:dyDescent="0.4">
      <c r="A34" s="8"/>
      <c r="B34" s="13">
        <v>28</v>
      </c>
      <c r="C34" s="11" t="s">
        <v>70</v>
      </c>
      <c r="D34" s="11" t="s">
        <v>124</v>
      </c>
      <c r="E34" s="11" t="s">
        <v>236</v>
      </c>
      <c r="F34" s="13">
        <v>2</v>
      </c>
      <c r="G34" s="14">
        <v>1</v>
      </c>
      <c r="H34" t="s">
        <v>355</v>
      </c>
    </row>
    <row r="35" spans="1:20" x14ac:dyDescent="0.4">
      <c r="A35" s="8"/>
      <c r="B35" s="13">
        <v>29</v>
      </c>
      <c r="C35" s="11" t="s">
        <v>71</v>
      </c>
      <c r="D35" s="11" t="s">
        <v>125</v>
      </c>
      <c r="E35" s="11" t="s">
        <v>236</v>
      </c>
      <c r="F35" s="13">
        <v>1</v>
      </c>
      <c r="G35" s="14">
        <v>4</v>
      </c>
      <c r="H35" t="s">
        <v>549</v>
      </c>
      <c r="T35" s="16"/>
    </row>
    <row r="36" spans="1:20" x14ac:dyDescent="0.4">
      <c r="A36" s="8"/>
      <c r="B36" s="13">
        <v>30</v>
      </c>
      <c r="C36" s="11" t="s">
        <v>72</v>
      </c>
      <c r="D36" s="11" t="s">
        <v>126</v>
      </c>
      <c r="E36" s="11" t="s">
        <v>236</v>
      </c>
      <c r="F36" s="13">
        <v>2</v>
      </c>
      <c r="G36" s="14">
        <v>3</v>
      </c>
      <c r="H36" t="s">
        <v>354</v>
      </c>
      <c r="O36" s="15"/>
    </row>
    <row r="37" spans="1:20" x14ac:dyDescent="0.4">
      <c r="A37" s="8"/>
      <c r="B37" s="13">
        <v>31</v>
      </c>
      <c r="C37" s="11" t="s">
        <v>73</v>
      </c>
      <c r="D37" s="11" t="s">
        <v>127</v>
      </c>
      <c r="E37" s="11" t="s">
        <v>303</v>
      </c>
      <c r="F37" s="13">
        <v>2</v>
      </c>
      <c r="G37" s="14">
        <v>1</v>
      </c>
      <c r="H37" t="s">
        <v>557</v>
      </c>
    </row>
    <row r="38" spans="1:20" x14ac:dyDescent="0.4">
      <c r="A38" s="8"/>
      <c r="B38" s="13">
        <v>32</v>
      </c>
      <c r="C38" s="11" t="s">
        <v>74</v>
      </c>
      <c r="D38" s="11" t="s">
        <v>128</v>
      </c>
      <c r="E38" s="11" t="s">
        <v>303</v>
      </c>
      <c r="F38" s="13">
        <v>2</v>
      </c>
      <c r="G38" s="14">
        <v>3</v>
      </c>
      <c r="H38" t="s">
        <v>354</v>
      </c>
    </row>
    <row r="39" spans="1:20" x14ac:dyDescent="0.4">
      <c r="A39" s="8"/>
      <c r="B39" s="13">
        <v>33</v>
      </c>
      <c r="C39" s="11" t="s">
        <v>75</v>
      </c>
      <c r="D39" s="11" t="s">
        <v>129</v>
      </c>
      <c r="E39" s="11" t="s">
        <v>303</v>
      </c>
      <c r="F39" s="13">
        <v>1</v>
      </c>
      <c r="G39" s="14">
        <v>4</v>
      </c>
      <c r="H39" t="s">
        <v>549</v>
      </c>
      <c r="T39" s="16"/>
    </row>
    <row r="40" spans="1:20" x14ac:dyDescent="0.4">
      <c r="A40" s="8"/>
      <c r="B40" s="13">
        <v>34</v>
      </c>
      <c r="C40" s="11" t="s">
        <v>76</v>
      </c>
      <c r="D40" s="11" t="s">
        <v>130</v>
      </c>
      <c r="E40" s="11" t="s">
        <v>303</v>
      </c>
      <c r="F40" s="13">
        <v>3</v>
      </c>
      <c r="G40" s="14">
        <v>3</v>
      </c>
      <c r="H40" t="s">
        <v>353</v>
      </c>
      <c r="O40" s="15"/>
    </row>
    <row r="41" spans="1:20" x14ac:dyDescent="0.4">
      <c r="A41" s="8"/>
      <c r="B41" s="13">
        <v>35</v>
      </c>
      <c r="C41" s="11" t="s">
        <v>77</v>
      </c>
      <c r="D41" s="11" t="s">
        <v>131</v>
      </c>
      <c r="E41" s="11" t="s">
        <v>303</v>
      </c>
      <c r="F41" s="13">
        <v>1</v>
      </c>
      <c r="G41" s="14">
        <v>4</v>
      </c>
      <c r="H41" t="s">
        <v>558</v>
      </c>
    </row>
    <row r="42" spans="1:20" x14ac:dyDescent="0.4">
      <c r="A42" s="8"/>
      <c r="B42" s="13">
        <v>36</v>
      </c>
      <c r="C42" s="11" t="s">
        <v>78</v>
      </c>
      <c r="D42" s="11" t="s">
        <v>132</v>
      </c>
      <c r="E42" s="11" t="s">
        <v>303</v>
      </c>
      <c r="F42" s="13">
        <v>3</v>
      </c>
      <c r="G42" s="14">
        <v>2</v>
      </c>
      <c r="H42" t="s">
        <v>356</v>
      </c>
    </row>
    <row r="43" spans="1:20" x14ac:dyDescent="0.4">
      <c r="A43" s="8"/>
      <c r="B43" s="13">
        <v>37</v>
      </c>
      <c r="C43" s="11" t="s">
        <v>79</v>
      </c>
      <c r="D43" s="11" t="s">
        <v>133</v>
      </c>
      <c r="E43" s="11" t="s">
        <v>181</v>
      </c>
      <c r="F43" s="13">
        <v>1</v>
      </c>
      <c r="G43" s="13">
        <v>4</v>
      </c>
      <c r="H43" t="s">
        <v>549</v>
      </c>
      <c r="T43" s="16"/>
    </row>
    <row r="44" spans="1:20" x14ac:dyDescent="0.4">
      <c r="A44" s="8"/>
      <c r="B44" s="13">
        <v>38</v>
      </c>
      <c r="C44" s="11" t="s">
        <v>80</v>
      </c>
      <c r="D44" s="11" t="s">
        <v>134</v>
      </c>
      <c r="E44" s="11" t="s">
        <v>181</v>
      </c>
      <c r="F44" s="13">
        <v>1</v>
      </c>
      <c r="G44" s="13">
        <v>4</v>
      </c>
      <c r="H44" t="s">
        <v>552</v>
      </c>
      <c r="O44" s="15"/>
    </row>
    <row r="45" spans="1:20" x14ac:dyDescent="0.4">
      <c r="A45" s="8"/>
      <c r="B45" s="13">
        <v>39</v>
      </c>
      <c r="C45" s="11" t="s">
        <v>81</v>
      </c>
      <c r="D45" s="11" t="s">
        <v>135</v>
      </c>
      <c r="E45" s="11" t="s">
        <v>181</v>
      </c>
      <c r="F45" s="13">
        <v>2</v>
      </c>
      <c r="G45" s="13">
        <v>1</v>
      </c>
      <c r="H45" t="s">
        <v>557</v>
      </c>
    </row>
    <row r="46" spans="1:20" x14ac:dyDescent="0.4">
      <c r="A46" s="8"/>
      <c r="B46" s="13">
        <v>40</v>
      </c>
      <c r="C46" s="11" t="s">
        <v>82</v>
      </c>
      <c r="D46" s="11" t="s">
        <v>136</v>
      </c>
      <c r="E46" s="11" t="s">
        <v>181</v>
      </c>
      <c r="F46" s="13">
        <v>3</v>
      </c>
      <c r="G46" s="13">
        <v>3</v>
      </c>
      <c r="H46" t="s">
        <v>353</v>
      </c>
    </row>
    <row r="47" spans="1:20" x14ac:dyDescent="0.4">
      <c r="A47" s="8"/>
      <c r="B47" s="13">
        <v>41</v>
      </c>
      <c r="C47" s="11" t="s">
        <v>83</v>
      </c>
      <c r="D47" s="11" t="s">
        <v>137</v>
      </c>
      <c r="E47" s="11" t="s">
        <v>181</v>
      </c>
      <c r="F47" s="13">
        <v>3</v>
      </c>
      <c r="G47" s="13">
        <v>2</v>
      </c>
      <c r="H47" t="s">
        <v>356</v>
      </c>
      <c r="T47" s="16"/>
    </row>
    <row r="48" spans="1:20" x14ac:dyDescent="0.4">
      <c r="A48" s="8"/>
      <c r="B48" s="13">
        <v>42</v>
      </c>
      <c r="C48" s="11" t="s">
        <v>84</v>
      </c>
      <c r="D48" s="11" t="s">
        <v>138</v>
      </c>
      <c r="E48" s="11" t="s">
        <v>181</v>
      </c>
      <c r="F48" s="13">
        <v>2</v>
      </c>
      <c r="G48" s="13">
        <v>3</v>
      </c>
      <c r="H48" t="s">
        <v>354</v>
      </c>
      <c r="O48" s="15"/>
    </row>
    <row r="49" spans="1:20" x14ac:dyDescent="0.4">
      <c r="A49" s="8"/>
      <c r="B49" s="13">
        <v>43</v>
      </c>
      <c r="C49" s="11" t="s">
        <v>85</v>
      </c>
      <c r="D49" s="11" t="s">
        <v>139</v>
      </c>
      <c r="E49" s="11" t="s">
        <v>189</v>
      </c>
      <c r="F49" s="13">
        <v>1</v>
      </c>
      <c r="G49" s="13">
        <v>4</v>
      </c>
      <c r="H49" t="s">
        <v>552</v>
      </c>
    </row>
    <row r="50" spans="1:20" x14ac:dyDescent="0.4">
      <c r="A50" s="8"/>
      <c r="B50" s="13">
        <v>44</v>
      </c>
      <c r="C50" s="11" t="s">
        <v>86</v>
      </c>
      <c r="D50" s="11" t="s">
        <v>140</v>
      </c>
      <c r="E50" s="11" t="s">
        <v>189</v>
      </c>
      <c r="F50" s="13">
        <v>3</v>
      </c>
      <c r="G50" s="13">
        <v>2</v>
      </c>
      <c r="H50" t="s">
        <v>356</v>
      </c>
    </row>
    <row r="51" spans="1:20" x14ac:dyDescent="0.4">
      <c r="A51" s="8"/>
      <c r="B51" s="13">
        <v>45</v>
      </c>
      <c r="C51" s="11" t="s">
        <v>87</v>
      </c>
      <c r="D51" s="11" t="s">
        <v>141</v>
      </c>
      <c r="E51" s="11" t="s">
        <v>189</v>
      </c>
      <c r="F51" s="13">
        <v>2</v>
      </c>
      <c r="G51" s="13">
        <v>1</v>
      </c>
      <c r="H51" t="s">
        <v>355</v>
      </c>
      <c r="T51" s="16"/>
    </row>
    <row r="52" spans="1:20" x14ac:dyDescent="0.4">
      <c r="A52" s="8"/>
      <c r="B52" s="13">
        <v>46</v>
      </c>
      <c r="C52" s="11" t="s">
        <v>88</v>
      </c>
      <c r="D52" s="11" t="s">
        <v>142</v>
      </c>
      <c r="E52" s="11" t="s">
        <v>189</v>
      </c>
      <c r="F52" s="13">
        <v>3</v>
      </c>
      <c r="G52" s="13">
        <v>3</v>
      </c>
      <c r="H52" t="s">
        <v>353</v>
      </c>
      <c r="O52" s="15"/>
    </row>
    <row r="53" spans="1:20" x14ac:dyDescent="0.4">
      <c r="A53" s="8"/>
      <c r="B53" s="13">
        <v>47</v>
      </c>
      <c r="C53" s="11" t="s">
        <v>89</v>
      </c>
      <c r="D53" s="11" t="s">
        <v>143</v>
      </c>
      <c r="E53" s="11" t="s">
        <v>189</v>
      </c>
      <c r="F53" s="13">
        <v>2</v>
      </c>
      <c r="G53" s="13">
        <v>1</v>
      </c>
      <c r="H53" t="s">
        <v>557</v>
      </c>
    </row>
    <row r="54" spans="1:20" x14ac:dyDescent="0.4">
      <c r="A54" s="8"/>
      <c r="B54" s="13">
        <v>48</v>
      </c>
      <c r="C54" s="11" t="s">
        <v>90</v>
      </c>
      <c r="D54" s="11" t="s">
        <v>144</v>
      </c>
      <c r="E54" s="11" t="s">
        <v>189</v>
      </c>
      <c r="F54" s="13">
        <v>1</v>
      </c>
      <c r="G54" s="13">
        <v>4</v>
      </c>
      <c r="H54" t="s">
        <v>559</v>
      </c>
    </row>
    <row r="55" spans="1:20" x14ac:dyDescent="0.4">
      <c r="A55" s="8"/>
      <c r="B55" s="13">
        <v>49</v>
      </c>
      <c r="C55" s="11" t="s">
        <v>998</v>
      </c>
      <c r="D55" s="11" t="s">
        <v>999</v>
      </c>
      <c r="E55" s="11" t="s">
        <v>996</v>
      </c>
      <c r="F55" s="13">
        <v>0</v>
      </c>
      <c r="G55" s="13">
        <v>0</v>
      </c>
    </row>
    <row r="56" spans="1:20" x14ac:dyDescent="0.4">
      <c r="A56" s="8"/>
      <c r="B56" s="13">
        <v>50</v>
      </c>
      <c r="C56" s="11" t="s">
        <v>1000</v>
      </c>
      <c r="D56" s="11" t="s">
        <v>995</v>
      </c>
      <c r="E56" s="11" t="s">
        <v>996</v>
      </c>
      <c r="F56" s="13">
        <v>2</v>
      </c>
      <c r="G56" s="13">
        <v>3</v>
      </c>
      <c r="H56" t="s">
        <v>354</v>
      </c>
    </row>
    <row r="57" spans="1:20" x14ac:dyDescent="0.4">
      <c r="A57" s="8"/>
      <c r="B57" s="13">
        <v>51</v>
      </c>
      <c r="C57" s="11" t="s">
        <v>1002</v>
      </c>
      <c r="D57" s="11" t="s">
        <v>1003</v>
      </c>
      <c r="E57" s="11" t="s">
        <v>996</v>
      </c>
      <c r="F57" s="13">
        <v>0</v>
      </c>
      <c r="G57" s="13">
        <v>0</v>
      </c>
    </row>
    <row r="58" spans="1:20" x14ac:dyDescent="0.4">
      <c r="A58" s="8"/>
      <c r="B58" s="13">
        <v>52</v>
      </c>
      <c r="C58" s="11" t="s">
        <v>1005</v>
      </c>
      <c r="D58" s="11" t="s">
        <v>1006</v>
      </c>
      <c r="E58" s="11" t="s">
        <v>996</v>
      </c>
      <c r="F58" s="13">
        <v>0</v>
      </c>
      <c r="G58" s="13">
        <v>0</v>
      </c>
    </row>
    <row r="59" spans="1:20" x14ac:dyDescent="0.4">
      <c r="A59" s="8"/>
      <c r="B59" s="13">
        <v>53</v>
      </c>
      <c r="C59" s="11" t="s">
        <v>1008</v>
      </c>
      <c r="D59" s="11" t="s">
        <v>1009</v>
      </c>
      <c r="E59" s="11" t="s">
        <v>996</v>
      </c>
      <c r="F59" s="13">
        <v>0</v>
      </c>
      <c r="G59" s="13">
        <v>0</v>
      </c>
    </row>
    <row r="60" spans="1:20" x14ac:dyDescent="0.4">
      <c r="A60" s="8"/>
      <c r="B60" s="13">
        <v>91</v>
      </c>
      <c r="C60" s="11" t="s">
        <v>561</v>
      </c>
      <c r="D60" s="11" t="s">
        <v>562</v>
      </c>
      <c r="E60" s="11" t="s">
        <v>601</v>
      </c>
      <c r="F60" s="13">
        <v>2</v>
      </c>
      <c r="G60" s="14">
        <v>1</v>
      </c>
      <c r="H60" t="s">
        <v>602</v>
      </c>
    </row>
    <row r="61" spans="1:20" x14ac:dyDescent="0.4">
      <c r="A61" s="8"/>
      <c r="B61" s="13">
        <v>92</v>
      </c>
      <c r="C61" s="11" t="s">
        <v>605</v>
      </c>
      <c r="D61" s="11" t="s">
        <v>606</v>
      </c>
      <c r="E61" s="11" t="s">
        <v>601</v>
      </c>
      <c r="F61" s="13">
        <v>2</v>
      </c>
      <c r="G61" s="14">
        <v>3</v>
      </c>
    </row>
    <row r="62" spans="1:20" x14ac:dyDescent="0.4">
      <c r="A62" s="8"/>
      <c r="B62" s="13">
        <v>93</v>
      </c>
      <c r="C62" s="11" t="s">
        <v>607</v>
      </c>
      <c r="D62" s="11" t="s">
        <v>608</v>
      </c>
      <c r="E62" s="11" t="s">
        <v>601</v>
      </c>
      <c r="F62" s="13">
        <v>0</v>
      </c>
      <c r="G62" s="14">
        <v>0</v>
      </c>
    </row>
    <row r="63" spans="1:20" x14ac:dyDescent="0.4">
      <c r="A63" s="8"/>
      <c r="B63" s="13">
        <v>101</v>
      </c>
      <c r="C63" s="11" t="s">
        <v>147</v>
      </c>
      <c r="D63" s="11" t="s">
        <v>148</v>
      </c>
      <c r="E63" s="11" t="s">
        <v>304</v>
      </c>
      <c r="F63" s="13">
        <v>1</v>
      </c>
      <c r="G63" s="14">
        <v>2</v>
      </c>
      <c r="H63" t="s">
        <v>552</v>
      </c>
      <c r="T63" s="16"/>
    </row>
    <row r="64" spans="1:20" x14ac:dyDescent="0.4">
      <c r="A64" s="8"/>
      <c r="B64" s="13">
        <v>102</v>
      </c>
      <c r="C64" s="11" t="s">
        <v>145</v>
      </c>
      <c r="D64" s="11" t="s">
        <v>146</v>
      </c>
      <c r="E64" s="11" t="s">
        <v>304</v>
      </c>
      <c r="F64" s="13">
        <v>2</v>
      </c>
      <c r="G64" s="14">
        <v>1</v>
      </c>
      <c r="H64" t="s">
        <v>355</v>
      </c>
      <c r="O64" s="15"/>
    </row>
    <row r="65" spans="1:20" x14ac:dyDescent="0.4">
      <c r="A65" s="8"/>
      <c r="B65" s="13">
        <v>103</v>
      </c>
      <c r="C65" s="11" t="s">
        <v>149</v>
      </c>
      <c r="D65" s="11" t="s">
        <v>150</v>
      </c>
      <c r="E65" s="11" t="s">
        <v>304</v>
      </c>
      <c r="F65" s="13">
        <v>3</v>
      </c>
      <c r="G65" s="14">
        <v>3</v>
      </c>
      <c r="H65" t="s">
        <v>353</v>
      </c>
    </row>
    <row r="66" spans="1:20" x14ac:dyDescent="0.4">
      <c r="A66" s="8"/>
      <c r="B66" s="13">
        <v>104</v>
      </c>
      <c r="C66" s="11" t="s">
        <v>291</v>
      </c>
      <c r="D66" s="11" t="s">
        <v>292</v>
      </c>
      <c r="E66" s="11" t="s">
        <v>304</v>
      </c>
      <c r="F66" s="13">
        <v>3</v>
      </c>
      <c r="G66" s="14">
        <v>2</v>
      </c>
      <c r="H66" t="s">
        <v>356</v>
      </c>
    </row>
    <row r="67" spans="1:20" x14ac:dyDescent="0.4">
      <c r="A67" s="8"/>
      <c r="B67" s="13">
        <v>105</v>
      </c>
      <c r="C67" s="11" t="s">
        <v>547</v>
      </c>
      <c r="D67" s="11" t="s">
        <v>548</v>
      </c>
      <c r="E67" s="11" t="s">
        <v>304</v>
      </c>
      <c r="F67" s="13">
        <v>1</v>
      </c>
      <c r="G67" s="14">
        <v>4</v>
      </c>
      <c r="H67" t="s">
        <v>559</v>
      </c>
    </row>
    <row r="68" spans="1:20" x14ac:dyDescent="0.4">
      <c r="A68" s="8"/>
      <c r="B68" s="13">
        <v>106</v>
      </c>
      <c r="C68" s="11" t="s">
        <v>550</v>
      </c>
      <c r="D68" s="11" t="s">
        <v>551</v>
      </c>
      <c r="E68" s="11" t="s">
        <v>304</v>
      </c>
      <c r="F68" s="13">
        <v>1</v>
      </c>
      <c r="G68" s="14">
        <v>4</v>
      </c>
      <c r="H68" t="s">
        <v>552</v>
      </c>
    </row>
    <row r="69" spans="1:20" x14ac:dyDescent="0.4">
      <c r="A69" s="8"/>
      <c r="B69" s="13">
        <v>107</v>
      </c>
      <c r="C69" s="11" t="s">
        <v>554</v>
      </c>
      <c r="D69" s="11" t="s">
        <v>555</v>
      </c>
      <c r="E69" s="11" t="s">
        <v>304</v>
      </c>
      <c r="F69" s="13">
        <v>2</v>
      </c>
      <c r="G69" s="14">
        <v>3</v>
      </c>
      <c r="H69" t="s">
        <v>354</v>
      </c>
    </row>
    <row r="70" spans="1:20" x14ac:dyDescent="0.4">
      <c r="A70" s="8"/>
      <c r="B70" s="13">
        <v>111</v>
      </c>
      <c r="C70" s="11" t="s">
        <v>943</v>
      </c>
      <c r="D70" s="11" t="s">
        <v>943</v>
      </c>
      <c r="E70" s="11" t="s">
        <v>941</v>
      </c>
      <c r="F70" s="13">
        <v>1</v>
      </c>
      <c r="G70" s="14">
        <v>2</v>
      </c>
      <c r="H70" t="s">
        <v>947</v>
      </c>
    </row>
    <row r="71" spans="1:20" x14ac:dyDescent="0.4">
      <c r="A71" s="8"/>
      <c r="B71" s="13">
        <v>112</v>
      </c>
      <c r="C71" s="11" t="s">
        <v>945</v>
      </c>
      <c r="D71" s="11" t="s">
        <v>945</v>
      </c>
      <c r="E71" s="11" t="s">
        <v>941</v>
      </c>
      <c r="F71" s="13">
        <v>3</v>
      </c>
      <c r="G71" s="14">
        <v>2</v>
      </c>
      <c r="H71" t="s">
        <v>946</v>
      </c>
    </row>
    <row r="72" spans="1:20" x14ac:dyDescent="0.4">
      <c r="A72" s="8"/>
      <c r="B72" s="13">
        <v>113</v>
      </c>
      <c r="C72" s="11" t="s">
        <v>959</v>
      </c>
      <c r="D72" s="11" t="s">
        <v>959</v>
      </c>
      <c r="E72" s="11" t="s">
        <v>941</v>
      </c>
      <c r="F72" s="13">
        <v>1</v>
      </c>
      <c r="G72" s="14">
        <v>2</v>
      </c>
      <c r="H72" t="s">
        <v>960</v>
      </c>
    </row>
    <row r="73" spans="1:20" x14ac:dyDescent="0.4">
      <c r="A73" s="8"/>
      <c r="B73" s="13">
        <v>501</v>
      </c>
      <c r="C73" s="11" t="s">
        <v>561</v>
      </c>
      <c r="D73" s="11" t="s">
        <v>562</v>
      </c>
      <c r="E73" s="11" t="s">
        <v>563</v>
      </c>
      <c r="F73" s="13">
        <v>0</v>
      </c>
      <c r="G73" s="14">
        <v>0</v>
      </c>
    </row>
    <row r="74" spans="1:20" x14ac:dyDescent="0.4">
      <c r="T74" s="16"/>
    </row>
    <row r="75" spans="1:20" x14ac:dyDescent="0.4">
      <c r="O75" s="15"/>
    </row>
    <row r="78" spans="1:20" x14ac:dyDescent="0.4">
      <c r="T78" s="16"/>
    </row>
    <row r="79" spans="1:20" x14ac:dyDescent="0.4">
      <c r="O79" s="15"/>
    </row>
    <row r="82" spans="15:20" x14ac:dyDescent="0.4">
      <c r="T82" s="16"/>
    </row>
    <row r="83" spans="15:20" x14ac:dyDescent="0.4">
      <c r="O83" s="15"/>
    </row>
    <row r="86" spans="15:20" x14ac:dyDescent="0.4">
      <c r="T86" s="16"/>
    </row>
    <row r="87" spans="15:20" x14ac:dyDescent="0.4">
      <c r="O87" s="15"/>
    </row>
    <row r="90" spans="15:20" x14ac:dyDescent="0.4">
      <c r="T90" s="16"/>
    </row>
    <row r="91" spans="15:20" x14ac:dyDescent="0.4">
      <c r="O91" s="15"/>
    </row>
    <row r="94" spans="15:20" x14ac:dyDescent="0.4">
      <c r="T94" s="16"/>
    </row>
    <row r="95" spans="15:20" x14ac:dyDescent="0.4">
      <c r="O95" s="15"/>
    </row>
    <row r="98" spans="15:20" x14ac:dyDescent="0.4">
      <c r="T98" s="16"/>
    </row>
    <row r="99" spans="15:20" x14ac:dyDescent="0.4">
      <c r="O99" s="15"/>
    </row>
    <row r="102" spans="15:20" x14ac:dyDescent="0.4">
      <c r="T102" s="16"/>
    </row>
    <row r="103" spans="15:20" x14ac:dyDescent="0.4">
      <c r="O103" s="15"/>
    </row>
    <row r="106" spans="15:20" x14ac:dyDescent="0.4">
      <c r="T106" s="16"/>
    </row>
    <row r="107" spans="15:20" x14ac:dyDescent="0.4">
      <c r="O107" s="15"/>
    </row>
    <row r="110" spans="15:20" x14ac:dyDescent="0.4">
      <c r="T110" s="16"/>
    </row>
    <row r="111" spans="15:20" x14ac:dyDescent="0.4">
      <c r="O111" s="15"/>
    </row>
    <row r="114" spans="15:20" x14ac:dyDescent="0.4">
      <c r="T114" s="16"/>
    </row>
    <row r="115" spans="15:20" x14ac:dyDescent="0.4">
      <c r="O115" s="15"/>
    </row>
    <row r="118" spans="15:20" x14ac:dyDescent="0.4">
      <c r="T118" s="16"/>
    </row>
    <row r="119" spans="15:20" x14ac:dyDescent="0.4">
      <c r="O119" s="15"/>
    </row>
    <row r="122" spans="15:20" x14ac:dyDescent="0.4">
      <c r="T122" s="16"/>
    </row>
    <row r="123" spans="15:20" x14ac:dyDescent="0.4">
      <c r="O123" s="15"/>
    </row>
    <row r="126" spans="15:20" x14ac:dyDescent="0.4">
      <c r="T126" s="16"/>
    </row>
    <row r="127" spans="15:20" x14ac:dyDescent="0.4">
      <c r="O127" s="15"/>
    </row>
    <row r="130" spans="15:20" x14ac:dyDescent="0.4">
      <c r="T130" s="16"/>
    </row>
    <row r="131" spans="15:20" x14ac:dyDescent="0.4">
      <c r="O131" s="15"/>
    </row>
    <row r="134" spans="15:20" x14ac:dyDescent="0.4">
      <c r="T134" s="16"/>
    </row>
    <row r="135" spans="15:20" x14ac:dyDescent="0.4">
      <c r="O135" s="15"/>
    </row>
  </sheetData>
  <phoneticPr fontId="1"/>
  <dataValidations count="1">
    <dataValidation type="list" allowBlank="1" showInputMessage="1" showErrorMessage="1" sqref="A7:A73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S2"/>
  <sheetViews>
    <sheetView workbookViewId="0">
      <selection activeCell="D34" sqref="D34"/>
    </sheetView>
  </sheetViews>
  <sheetFormatPr defaultRowHeight="16.5" x14ac:dyDescent="0.35"/>
  <cols>
    <col min="1" max="1" width="9" style="17"/>
    <col min="2" max="2" width="17.875" style="17" customWidth="1"/>
    <col min="3" max="3" width="9" style="17"/>
    <col min="4" max="4" width="28.875" style="17" bestFit="1" customWidth="1"/>
    <col min="5" max="5" width="9.5" style="17" bestFit="1" customWidth="1"/>
    <col min="6" max="6" width="9" style="17"/>
    <col min="7" max="7" width="13.25" style="17" customWidth="1"/>
    <col min="8" max="17" width="9" style="17"/>
    <col min="18" max="19" width="19.125" style="17" customWidth="1"/>
    <col min="20" max="16384" width="9" style="17"/>
  </cols>
  <sheetData>
    <row r="1" spans="1:19" x14ac:dyDescent="0.35">
      <c r="A1" s="17" t="s">
        <v>167</v>
      </c>
      <c r="B1" s="18" t="s">
        <v>153</v>
      </c>
      <c r="C1" s="18" t="s">
        <v>154</v>
      </c>
      <c r="D1" s="18" t="s">
        <v>155</v>
      </c>
      <c r="E1" s="18" t="s">
        <v>159</v>
      </c>
      <c r="F1" s="18" t="s">
        <v>168</v>
      </c>
      <c r="G1" s="18" t="s">
        <v>169</v>
      </c>
      <c r="H1" s="18" t="s">
        <v>35</v>
      </c>
      <c r="I1" s="18" t="s">
        <v>160</v>
      </c>
      <c r="J1" s="18" t="s">
        <v>162</v>
      </c>
      <c r="K1" s="18" t="s">
        <v>163</v>
      </c>
      <c r="L1" s="18" t="s">
        <v>164</v>
      </c>
      <c r="M1" s="18" t="s">
        <v>165</v>
      </c>
      <c r="N1" s="18" t="s">
        <v>166</v>
      </c>
      <c r="O1" s="18" t="s">
        <v>156</v>
      </c>
      <c r="P1" s="18" t="s">
        <v>157</v>
      </c>
      <c r="Q1" s="18" t="s">
        <v>158</v>
      </c>
      <c r="R1" s="18" t="s">
        <v>161</v>
      </c>
      <c r="S1" s="21"/>
    </row>
    <row r="2" spans="1:19" x14ac:dyDescent="0.35">
      <c r="A2" s="17" t="s">
        <v>208</v>
      </c>
      <c r="B2" s="19">
        <v>1</v>
      </c>
      <c r="C2" s="19">
        <v>1</v>
      </c>
      <c r="D2" s="19" t="s">
        <v>300</v>
      </c>
      <c r="E2" s="19">
        <v>290</v>
      </c>
      <c r="F2" s="19">
        <v>66000</v>
      </c>
      <c r="G2" s="19">
        <v>300000</v>
      </c>
      <c r="H2" s="19">
        <v>5</v>
      </c>
      <c r="I2" s="19">
        <v>300</v>
      </c>
      <c r="J2" s="19">
        <v>100</v>
      </c>
      <c r="K2" s="19">
        <v>100</v>
      </c>
      <c r="L2" s="19">
        <v>100</v>
      </c>
      <c r="M2" s="19">
        <v>100</v>
      </c>
      <c r="N2" s="19">
        <v>100</v>
      </c>
      <c r="O2" s="19">
        <v>100</v>
      </c>
      <c r="P2" s="19">
        <v>100</v>
      </c>
      <c r="Q2" s="19">
        <v>100</v>
      </c>
      <c r="R2" s="19">
        <v>100</v>
      </c>
      <c r="S2" s="22"/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FABB-FAB4-4937-8DD6-B3A9B340D2EF}">
  <sheetPr codeName="Sheet19"/>
  <dimension ref="A1:S22"/>
  <sheetViews>
    <sheetView workbookViewId="0">
      <selection activeCell="H30" sqref="H30"/>
    </sheetView>
  </sheetViews>
  <sheetFormatPr defaultRowHeight="16.5" x14ac:dyDescent="0.35"/>
  <cols>
    <col min="1" max="1" width="9" style="17"/>
    <col min="2" max="2" width="14.375" style="17" bestFit="1" customWidth="1"/>
    <col min="3" max="3" width="9" style="17"/>
    <col min="4" max="4" width="28.875" style="17" bestFit="1" customWidth="1"/>
    <col min="5" max="5" width="9.5" style="17" bestFit="1" customWidth="1"/>
    <col min="6" max="6" width="9" style="17"/>
    <col min="7" max="7" width="13.25" style="17" customWidth="1"/>
    <col min="8" max="17" width="9" style="17"/>
    <col min="18" max="19" width="19.125" style="17" customWidth="1"/>
    <col min="20" max="16384" width="9" style="17"/>
  </cols>
  <sheetData>
    <row r="1" spans="1:19" x14ac:dyDescent="0.35">
      <c r="A1" s="17" t="s">
        <v>167</v>
      </c>
      <c r="B1" s="18" t="s">
        <v>153</v>
      </c>
      <c r="C1" s="18" t="s">
        <v>154</v>
      </c>
      <c r="D1" s="18" t="s">
        <v>155</v>
      </c>
      <c r="E1" s="18" t="s">
        <v>159</v>
      </c>
      <c r="F1" s="18" t="s">
        <v>168</v>
      </c>
      <c r="G1" s="18" t="s">
        <v>169</v>
      </c>
      <c r="H1" s="18" t="s">
        <v>35</v>
      </c>
      <c r="I1" s="18" t="s">
        <v>160</v>
      </c>
      <c r="J1" s="18" t="s">
        <v>162</v>
      </c>
      <c r="K1" s="18" t="s">
        <v>163</v>
      </c>
      <c r="L1" s="18" t="s">
        <v>164</v>
      </c>
      <c r="M1" s="18" t="s">
        <v>165</v>
      </c>
      <c r="N1" s="18" t="s">
        <v>166</v>
      </c>
      <c r="O1" s="18" t="s">
        <v>156</v>
      </c>
      <c r="P1" s="18" t="s">
        <v>157</v>
      </c>
      <c r="Q1" s="18" t="s">
        <v>158</v>
      </c>
      <c r="R1" s="18" t="s">
        <v>161</v>
      </c>
      <c r="S1" s="21"/>
    </row>
    <row r="2" spans="1:19" x14ac:dyDescent="0.35">
      <c r="A2" s="17" t="s">
        <v>208</v>
      </c>
      <c r="B2" s="19">
        <v>1</v>
      </c>
      <c r="C2" s="19">
        <v>1</v>
      </c>
      <c r="D2" s="19" t="s">
        <v>300</v>
      </c>
      <c r="E2" s="19">
        <v>290</v>
      </c>
      <c r="F2" s="19">
        <v>66000</v>
      </c>
      <c r="G2" s="19">
        <v>300000</v>
      </c>
      <c r="H2" s="19">
        <v>5</v>
      </c>
      <c r="I2" s="19">
        <v>300</v>
      </c>
      <c r="J2" s="19">
        <v>100</v>
      </c>
      <c r="K2" s="19">
        <v>100</v>
      </c>
      <c r="L2" s="19">
        <v>100</v>
      </c>
      <c r="M2" s="19">
        <v>100</v>
      </c>
      <c r="N2" s="19">
        <v>100</v>
      </c>
      <c r="O2" s="19">
        <v>100</v>
      </c>
      <c r="P2" s="19">
        <v>100</v>
      </c>
      <c r="Q2" s="19">
        <v>100</v>
      </c>
      <c r="R2" s="19">
        <v>100</v>
      </c>
      <c r="S2" s="22"/>
    </row>
    <row r="3" spans="1:19" x14ac:dyDescent="0.35">
      <c r="A3" s="17" t="s">
        <v>639</v>
      </c>
      <c r="B3" s="20" t="s">
        <v>633</v>
      </c>
      <c r="C3" s="24">
        <v>1</v>
      </c>
      <c r="D3" s="20" t="s">
        <v>625</v>
      </c>
      <c r="E3" s="20">
        <v>530</v>
      </c>
      <c r="F3" s="20">
        <v>26000</v>
      </c>
      <c r="G3" s="20">
        <v>227500</v>
      </c>
      <c r="H3" s="20">
        <v>10</v>
      </c>
      <c r="I3" s="20">
        <v>999</v>
      </c>
      <c r="J3" s="20">
        <v>100</v>
      </c>
      <c r="K3" s="20">
        <v>100</v>
      </c>
      <c r="L3" s="20">
        <v>100</v>
      </c>
      <c r="M3" s="20">
        <v>100</v>
      </c>
      <c r="N3" s="20">
        <v>100</v>
      </c>
      <c r="O3" s="20">
        <v>100</v>
      </c>
      <c r="P3" s="20">
        <v>150</v>
      </c>
      <c r="Q3" s="20">
        <v>50</v>
      </c>
      <c r="R3" s="20">
        <v>100</v>
      </c>
      <c r="S3" s="23" t="s">
        <v>637</v>
      </c>
    </row>
    <row r="4" spans="1:19" x14ac:dyDescent="0.35">
      <c r="A4" s="17" t="s">
        <v>639</v>
      </c>
      <c r="B4" s="20" t="s">
        <v>632</v>
      </c>
      <c r="C4" s="24">
        <v>1</v>
      </c>
      <c r="D4" s="20" t="s">
        <v>625</v>
      </c>
      <c r="E4" s="20">
        <v>628</v>
      </c>
      <c r="F4" s="20">
        <v>130000</v>
      </c>
      <c r="G4" s="20">
        <v>1137500</v>
      </c>
      <c r="H4" s="20">
        <v>10</v>
      </c>
      <c r="I4" s="20">
        <v>999</v>
      </c>
      <c r="J4" s="20">
        <v>100</v>
      </c>
      <c r="K4" s="20">
        <v>100</v>
      </c>
      <c r="L4" s="20">
        <v>100</v>
      </c>
      <c r="M4" s="20">
        <v>100</v>
      </c>
      <c r="N4" s="20">
        <v>100</v>
      </c>
      <c r="O4" s="20">
        <v>100</v>
      </c>
      <c r="P4" s="20">
        <v>150</v>
      </c>
      <c r="Q4" s="20">
        <v>50</v>
      </c>
      <c r="R4" s="20">
        <v>100</v>
      </c>
      <c r="S4" s="23" t="s">
        <v>637</v>
      </c>
    </row>
    <row r="5" spans="1:19" x14ac:dyDescent="0.35">
      <c r="A5" s="17" t="s">
        <v>639</v>
      </c>
      <c r="B5" s="20" t="s">
        <v>634</v>
      </c>
      <c r="C5" s="24">
        <v>1</v>
      </c>
      <c r="D5" s="20" t="s">
        <v>625</v>
      </c>
      <c r="E5" s="20">
        <v>741</v>
      </c>
      <c r="F5" s="20">
        <v>260000</v>
      </c>
      <c r="G5" s="20">
        <v>2275000</v>
      </c>
      <c r="H5" s="20">
        <v>10</v>
      </c>
      <c r="I5" s="20">
        <v>999</v>
      </c>
      <c r="J5" s="20">
        <v>100</v>
      </c>
      <c r="K5" s="20">
        <v>100</v>
      </c>
      <c r="L5" s="20">
        <v>100</v>
      </c>
      <c r="M5" s="20">
        <v>100</v>
      </c>
      <c r="N5" s="20">
        <v>100</v>
      </c>
      <c r="O5" s="20">
        <v>100</v>
      </c>
      <c r="P5" s="20">
        <v>150</v>
      </c>
      <c r="Q5" s="20">
        <v>50</v>
      </c>
      <c r="R5" s="20">
        <v>100</v>
      </c>
      <c r="S5" s="23" t="s">
        <v>637</v>
      </c>
    </row>
    <row r="6" spans="1:19" x14ac:dyDescent="0.35">
      <c r="A6" s="17" t="s">
        <v>639</v>
      </c>
      <c r="B6" s="20" t="s">
        <v>633</v>
      </c>
      <c r="C6" s="24">
        <v>2</v>
      </c>
      <c r="D6" s="20" t="s">
        <v>621</v>
      </c>
      <c r="E6" s="20">
        <v>576</v>
      </c>
      <c r="F6" s="20">
        <v>76800</v>
      </c>
      <c r="G6" s="20">
        <v>48000</v>
      </c>
      <c r="H6" s="20">
        <v>10</v>
      </c>
      <c r="I6" s="20">
        <v>999</v>
      </c>
      <c r="J6" s="20">
        <v>100</v>
      </c>
      <c r="K6" s="20">
        <v>100</v>
      </c>
      <c r="L6" s="20">
        <v>100</v>
      </c>
      <c r="M6" s="20">
        <v>100</v>
      </c>
      <c r="N6" s="20">
        <v>100</v>
      </c>
      <c r="O6" s="20">
        <v>100</v>
      </c>
      <c r="P6" s="20">
        <v>100</v>
      </c>
      <c r="Q6" s="20">
        <v>150</v>
      </c>
      <c r="R6" s="20">
        <v>100</v>
      </c>
      <c r="S6" s="23" t="s">
        <v>638</v>
      </c>
    </row>
    <row r="7" spans="1:19" x14ac:dyDescent="0.35">
      <c r="A7" s="17" t="s">
        <v>639</v>
      </c>
      <c r="B7" s="20" t="s">
        <v>632</v>
      </c>
      <c r="C7" s="24">
        <v>2</v>
      </c>
      <c r="D7" s="20" t="s">
        <v>621</v>
      </c>
      <c r="E7" s="20">
        <v>674</v>
      </c>
      <c r="F7" s="20">
        <v>384000</v>
      </c>
      <c r="G7" s="20">
        <v>240000</v>
      </c>
      <c r="H7" s="20">
        <v>10</v>
      </c>
      <c r="I7" s="20">
        <v>999</v>
      </c>
      <c r="J7" s="20">
        <v>100</v>
      </c>
      <c r="K7" s="20">
        <v>100</v>
      </c>
      <c r="L7" s="20">
        <v>100</v>
      </c>
      <c r="M7" s="20">
        <v>100</v>
      </c>
      <c r="N7" s="20">
        <v>100</v>
      </c>
      <c r="O7" s="20">
        <v>100</v>
      </c>
      <c r="P7" s="20">
        <v>100</v>
      </c>
      <c r="Q7" s="20">
        <v>150</v>
      </c>
      <c r="R7" s="20">
        <v>100</v>
      </c>
      <c r="S7" s="23" t="s">
        <v>638</v>
      </c>
    </row>
    <row r="8" spans="1:19" x14ac:dyDescent="0.35">
      <c r="A8" s="17" t="s">
        <v>639</v>
      </c>
      <c r="B8" s="20" t="s">
        <v>634</v>
      </c>
      <c r="C8" s="24">
        <v>2</v>
      </c>
      <c r="D8" s="20" t="s">
        <v>621</v>
      </c>
      <c r="E8" s="20">
        <v>787</v>
      </c>
      <c r="F8" s="20">
        <v>768000</v>
      </c>
      <c r="G8" s="20">
        <v>480000</v>
      </c>
      <c r="H8" s="20">
        <v>10</v>
      </c>
      <c r="I8" s="20">
        <v>999</v>
      </c>
      <c r="J8" s="20">
        <v>100</v>
      </c>
      <c r="K8" s="20">
        <v>100</v>
      </c>
      <c r="L8" s="20">
        <v>100</v>
      </c>
      <c r="M8" s="20">
        <v>100</v>
      </c>
      <c r="N8" s="20">
        <v>100</v>
      </c>
      <c r="O8" s="20">
        <v>100</v>
      </c>
      <c r="P8" s="20">
        <v>100</v>
      </c>
      <c r="Q8" s="20">
        <v>150</v>
      </c>
      <c r="R8" s="20">
        <v>100</v>
      </c>
      <c r="S8" s="23" t="s">
        <v>638</v>
      </c>
    </row>
    <row r="9" spans="1:19" x14ac:dyDescent="0.35">
      <c r="A9" s="17" t="s">
        <v>639</v>
      </c>
      <c r="B9" s="20" t="s">
        <v>632</v>
      </c>
      <c r="C9" s="24" t="s">
        <v>635</v>
      </c>
      <c r="D9" s="20" t="s">
        <v>630</v>
      </c>
      <c r="E9" s="20">
        <v>686</v>
      </c>
      <c r="F9" s="20">
        <v>422500</v>
      </c>
      <c r="G9" s="20">
        <v>218000</v>
      </c>
      <c r="H9" s="20">
        <v>10</v>
      </c>
      <c r="I9" s="20">
        <v>999</v>
      </c>
      <c r="J9" s="20">
        <v>100</v>
      </c>
      <c r="K9" s="20">
        <v>100</v>
      </c>
      <c r="L9" s="20">
        <v>100</v>
      </c>
      <c r="M9" s="20">
        <v>100</v>
      </c>
      <c r="N9" s="20">
        <v>100</v>
      </c>
      <c r="O9" s="20">
        <v>100</v>
      </c>
      <c r="P9" s="20">
        <v>100</v>
      </c>
      <c r="Q9" s="20">
        <v>150</v>
      </c>
      <c r="R9" s="20">
        <v>100</v>
      </c>
      <c r="S9" s="23" t="s">
        <v>638</v>
      </c>
    </row>
    <row r="10" spans="1:19" x14ac:dyDescent="0.35">
      <c r="A10" s="17" t="s">
        <v>639</v>
      </c>
      <c r="B10" s="20" t="s">
        <v>634</v>
      </c>
      <c r="C10" s="24" t="s">
        <v>635</v>
      </c>
      <c r="D10" s="20" t="s">
        <v>630</v>
      </c>
      <c r="E10" s="20">
        <v>799</v>
      </c>
      <c r="F10" s="20">
        <v>845000</v>
      </c>
      <c r="G10" s="20">
        <v>436000</v>
      </c>
      <c r="H10" s="20">
        <v>10</v>
      </c>
      <c r="I10" s="20">
        <v>999</v>
      </c>
      <c r="J10" s="20">
        <v>100</v>
      </c>
      <c r="K10" s="20">
        <v>100</v>
      </c>
      <c r="L10" s="20">
        <v>100</v>
      </c>
      <c r="M10" s="20">
        <v>100</v>
      </c>
      <c r="N10" s="20">
        <v>100</v>
      </c>
      <c r="O10" s="20">
        <v>100</v>
      </c>
      <c r="P10" s="20">
        <v>100</v>
      </c>
      <c r="Q10" s="20">
        <v>150</v>
      </c>
      <c r="R10" s="20">
        <v>100</v>
      </c>
      <c r="S10" s="23" t="s">
        <v>638</v>
      </c>
    </row>
    <row r="11" spans="1:19" x14ac:dyDescent="0.35">
      <c r="A11" s="17" t="s">
        <v>639</v>
      </c>
      <c r="B11" s="20" t="s">
        <v>634</v>
      </c>
      <c r="C11" s="24" t="s">
        <v>636</v>
      </c>
      <c r="D11" s="20" t="s">
        <v>631</v>
      </c>
      <c r="E11" s="20">
        <v>811</v>
      </c>
      <c r="F11" s="20">
        <v>1190000</v>
      </c>
      <c r="G11" s="20">
        <v>6460000</v>
      </c>
      <c r="H11" s="20">
        <v>10</v>
      </c>
      <c r="I11" s="20">
        <v>999</v>
      </c>
      <c r="J11" s="20">
        <v>100</v>
      </c>
      <c r="K11" s="20">
        <v>100</v>
      </c>
      <c r="L11" s="20">
        <v>100</v>
      </c>
      <c r="M11" s="20">
        <v>100</v>
      </c>
      <c r="N11" s="20">
        <v>100</v>
      </c>
      <c r="O11" s="20">
        <v>150</v>
      </c>
      <c r="P11" s="20">
        <v>50</v>
      </c>
      <c r="Q11" s="20">
        <v>100</v>
      </c>
      <c r="R11" s="20">
        <v>100</v>
      </c>
      <c r="S11" s="23" t="s">
        <v>638</v>
      </c>
    </row>
    <row r="12" spans="1:19" x14ac:dyDescent="0.35">
      <c r="A12" s="17" t="s">
        <v>640</v>
      </c>
      <c r="B12" s="20" t="s">
        <v>633</v>
      </c>
      <c r="C12" s="24">
        <v>1</v>
      </c>
      <c r="D12" s="20" t="s">
        <v>623</v>
      </c>
      <c r="E12" s="20">
        <v>552</v>
      </c>
      <c r="F12" s="20">
        <v>62400</v>
      </c>
      <c r="G12" s="20">
        <v>546000</v>
      </c>
      <c r="H12" s="20">
        <v>10</v>
      </c>
      <c r="I12" s="20">
        <v>999</v>
      </c>
      <c r="J12" s="20">
        <v>100</v>
      </c>
      <c r="K12" s="20">
        <v>250</v>
      </c>
      <c r="L12" s="20">
        <v>100</v>
      </c>
      <c r="M12" s="20">
        <v>100</v>
      </c>
      <c r="N12" s="20">
        <v>250</v>
      </c>
      <c r="O12" s="20">
        <v>100</v>
      </c>
      <c r="P12" s="20">
        <v>100</v>
      </c>
      <c r="Q12" s="20">
        <v>100</v>
      </c>
      <c r="R12" s="20">
        <v>10</v>
      </c>
      <c r="S12" s="23" t="s">
        <v>637</v>
      </c>
    </row>
    <row r="13" spans="1:19" x14ac:dyDescent="0.35">
      <c r="A13" s="17" t="s">
        <v>640</v>
      </c>
      <c r="B13" s="20" t="s">
        <v>632</v>
      </c>
      <c r="C13" s="24">
        <v>1</v>
      </c>
      <c r="D13" s="20" t="s">
        <v>623</v>
      </c>
      <c r="E13" s="20">
        <v>650</v>
      </c>
      <c r="F13" s="20">
        <v>312000</v>
      </c>
      <c r="G13" s="20">
        <v>2730000</v>
      </c>
      <c r="H13" s="20">
        <v>10</v>
      </c>
      <c r="I13" s="20">
        <v>999</v>
      </c>
      <c r="J13" s="20">
        <v>100</v>
      </c>
      <c r="K13" s="20">
        <v>250</v>
      </c>
      <c r="L13" s="20">
        <v>100</v>
      </c>
      <c r="M13" s="20">
        <v>100</v>
      </c>
      <c r="N13" s="20">
        <v>250</v>
      </c>
      <c r="O13" s="20">
        <v>100</v>
      </c>
      <c r="P13" s="20">
        <v>100</v>
      </c>
      <c r="Q13" s="20">
        <v>100</v>
      </c>
      <c r="R13" s="20">
        <v>10</v>
      </c>
      <c r="S13" s="23" t="s">
        <v>637</v>
      </c>
    </row>
    <row r="14" spans="1:19" x14ac:dyDescent="0.35">
      <c r="A14" s="17" t="s">
        <v>640</v>
      </c>
      <c r="B14" s="20" t="s">
        <v>634</v>
      </c>
      <c r="C14" s="24">
        <v>1</v>
      </c>
      <c r="D14" s="20" t="s">
        <v>623</v>
      </c>
      <c r="E14" s="20">
        <v>763</v>
      </c>
      <c r="F14" s="20">
        <v>624000</v>
      </c>
      <c r="G14" s="20">
        <v>5460000</v>
      </c>
      <c r="H14" s="20">
        <v>10</v>
      </c>
      <c r="I14" s="20">
        <v>999</v>
      </c>
      <c r="J14" s="20">
        <v>100</v>
      </c>
      <c r="K14" s="20">
        <v>250</v>
      </c>
      <c r="L14" s="20">
        <v>100</v>
      </c>
      <c r="M14" s="20">
        <v>100</v>
      </c>
      <c r="N14" s="20">
        <v>250</v>
      </c>
      <c r="O14" s="20">
        <v>100</v>
      </c>
      <c r="P14" s="20">
        <v>100</v>
      </c>
      <c r="Q14" s="20">
        <v>100</v>
      </c>
      <c r="R14" s="20">
        <v>10</v>
      </c>
      <c r="S14" s="23" t="s">
        <v>637</v>
      </c>
    </row>
    <row r="15" spans="1:19" x14ac:dyDescent="0.35">
      <c r="A15" s="17" t="s">
        <v>618</v>
      </c>
      <c r="B15" s="20" t="s">
        <v>633</v>
      </c>
      <c r="C15" s="24" t="s">
        <v>635</v>
      </c>
      <c r="D15" s="20" t="s">
        <v>619</v>
      </c>
      <c r="E15" s="20">
        <v>624</v>
      </c>
      <c r="F15" s="20">
        <v>68400</v>
      </c>
      <c r="G15" s="20">
        <v>167000</v>
      </c>
      <c r="H15" s="20">
        <v>10</v>
      </c>
      <c r="I15" s="20">
        <v>999</v>
      </c>
      <c r="J15" s="20">
        <v>100</v>
      </c>
      <c r="K15" s="20">
        <v>100</v>
      </c>
      <c r="L15" s="20">
        <v>100</v>
      </c>
      <c r="M15" s="20">
        <v>100</v>
      </c>
      <c r="N15" s="20">
        <v>100</v>
      </c>
      <c r="O15" s="20">
        <v>100</v>
      </c>
      <c r="P15" s="20">
        <v>150</v>
      </c>
      <c r="Q15" s="20">
        <v>100</v>
      </c>
      <c r="R15" s="20">
        <v>100</v>
      </c>
      <c r="S15" s="23"/>
    </row>
    <row r="16" spans="1:19" x14ac:dyDescent="0.35">
      <c r="A16" s="17" t="s">
        <v>620</v>
      </c>
      <c r="B16" s="20" t="s">
        <v>632</v>
      </c>
      <c r="C16" s="24" t="s">
        <v>635</v>
      </c>
      <c r="D16" s="20" t="s">
        <v>619</v>
      </c>
      <c r="E16" s="20">
        <v>722</v>
      </c>
      <c r="F16" s="20">
        <v>342000</v>
      </c>
      <c r="G16" s="20">
        <v>835000</v>
      </c>
      <c r="H16" s="20">
        <v>10</v>
      </c>
      <c r="I16" s="20">
        <v>999</v>
      </c>
      <c r="J16" s="20">
        <v>100</v>
      </c>
      <c r="K16" s="20">
        <v>100</v>
      </c>
      <c r="L16" s="20">
        <v>100</v>
      </c>
      <c r="M16" s="20">
        <v>100</v>
      </c>
      <c r="N16" s="20">
        <v>100</v>
      </c>
      <c r="O16" s="20">
        <v>100</v>
      </c>
      <c r="P16" s="20">
        <v>150</v>
      </c>
      <c r="Q16" s="20">
        <v>100</v>
      </c>
      <c r="R16" s="20">
        <v>100</v>
      </c>
      <c r="S16" s="23"/>
    </row>
    <row r="17" spans="1:19" x14ac:dyDescent="0.35">
      <c r="A17" s="17" t="s">
        <v>622</v>
      </c>
      <c r="B17" s="20" t="s">
        <v>634</v>
      </c>
      <c r="C17" s="24" t="s">
        <v>635</v>
      </c>
      <c r="D17" s="20" t="s">
        <v>619</v>
      </c>
      <c r="E17" s="20">
        <v>835</v>
      </c>
      <c r="F17" s="20">
        <v>684000</v>
      </c>
      <c r="G17" s="20">
        <v>1670000</v>
      </c>
      <c r="H17" s="20">
        <v>10</v>
      </c>
      <c r="I17" s="20">
        <v>999</v>
      </c>
      <c r="J17" s="20">
        <v>100</v>
      </c>
      <c r="K17" s="20">
        <v>100</v>
      </c>
      <c r="L17" s="20">
        <v>100</v>
      </c>
      <c r="M17" s="20">
        <v>100</v>
      </c>
      <c r="N17" s="20">
        <v>100</v>
      </c>
      <c r="O17" s="20">
        <v>100</v>
      </c>
      <c r="P17" s="20">
        <v>150</v>
      </c>
      <c r="Q17" s="20">
        <v>100</v>
      </c>
      <c r="R17" s="20">
        <v>100</v>
      </c>
      <c r="S17" s="23"/>
    </row>
    <row r="18" spans="1:19" x14ac:dyDescent="0.35">
      <c r="A18" s="17" t="s">
        <v>627</v>
      </c>
      <c r="B18" s="20" t="s">
        <v>632</v>
      </c>
      <c r="C18" s="24" t="s">
        <v>635</v>
      </c>
      <c r="D18" s="20" t="s">
        <v>629</v>
      </c>
      <c r="E18" s="20">
        <v>722</v>
      </c>
      <c r="F18" s="20">
        <v>274500</v>
      </c>
      <c r="G18" s="20">
        <v>1055000</v>
      </c>
      <c r="H18" s="20">
        <v>10</v>
      </c>
      <c r="I18" s="20">
        <v>999</v>
      </c>
      <c r="J18" s="20">
        <v>100</v>
      </c>
      <c r="K18" s="20">
        <v>100</v>
      </c>
      <c r="L18" s="20">
        <v>100</v>
      </c>
      <c r="M18" s="20">
        <v>100</v>
      </c>
      <c r="N18" s="20">
        <v>100</v>
      </c>
      <c r="O18" s="20">
        <v>150</v>
      </c>
      <c r="P18" s="20">
        <v>100</v>
      </c>
      <c r="Q18" s="20">
        <v>100</v>
      </c>
      <c r="R18" s="20">
        <v>100</v>
      </c>
      <c r="S18" s="23"/>
    </row>
    <row r="19" spans="1:19" x14ac:dyDescent="0.35">
      <c r="A19" s="17" t="s">
        <v>627</v>
      </c>
      <c r="B19" s="20" t="s">
        <v>634</v>
      </c>
      <c r="C19" s="24" t="s">
        <v>635</v>
      </c>
      <c r="D19" s="20" t="s">
        <v>629</v>
      </c>
      <c r="E19" s="20">
        <v>835</v>
      </c>
      <c r="F19" s="20">
        <v>549000</v>
      </c>
      <c r="G19" s="20">
        <v>2110000</v>
      </c>
      <c r="H19" s="20">
        <v>10</v>
      </c>
      <c r="I19" s="20">
        <v>999</v>
      </c>
      <c r="J19" s="20">
        <v>100</v>
      </c>
      <c r="K19" s="20">
        <v>100</v>
      </c>
      <c r="L19" s="20">
        <v>100</v>
      </c>
      <c r="M19" s="20">
        <v>100</v>
      </c>
      <c r="N19" s="20">
        <v>100</v>
      </c>
      <c r="O19" s="20">
        <v>150</v>
      </c>
      <c r="P19" s="20">
        <v>100</v>
      </c>
      <c r="Q19" s="20">
        <v>100</v>
      </c>
      <c r="R19" s="20">
        <v>100</v>
      </c>
      <c r="S19" s="23"/>
    </row>
    <row r="20" spans="1:19" x14ac:dyDescent="0.35">
      <c r="A20" s="17" t="s">
        <v>618</v>
      </c>
      <c r="B20" s="20" t="s">
        <v>634</v>
      </c>
      <c r="C20" s="24" t="s">
        <v>636</v>
      </c>
      <c r="D20" s="20" t="s">
        <v>641</v>
      </c>
      <c r="E20" s="20">
        <v>846</v>
      </c>
      <c r="F20" s="20">
        <v>1390000</v>
      </c>
      <c r="G20" s="20">
        <v>4980000</v>
      </c>
      <c r="H20" s="20">
        <v>10</v>
      </c>
      <c r="I20" s="20">
        <v>999</v>
      </c>
      <c r="J20" s="20">
        <v>100</v>
      </c>
      <c r="K20" s="20">
        <v>100</v>
      </c>
      <c r="L20" s="20">
        <v>100</v>
      </c>
      <c r="M20" s="20">
        <v>100</v>
      </c>
      <c r="N20" s="20">
        <v>100</v>
      </c>
      <c r="O20" s="20">
        <v>100</v>
      </c>
      <c r="P20" s="20">
        <v>150</v>
      </c>
      <c r="Q20" s="20">
        <v>50</v>
      </c>
      <c r="R20" s="20">
        <v>100</v>
      </c>
      <c r="S20" s="23"/>
    </row>
    <row r="21" spans="1:19" x14ac:dyDescent="0.35">
      <c r="A21" s="17" t="s">
        <v>624</v>
      </c>
      <c r="B21" s="20" t="s">
        <v>632</v>
      </c>
      <c r="C21" s="24" t="s">
        <v>636</v>
      </c>
      <c r="D21" s="20" t="s">
        <v>628</v>
      </c>
      <c r="E21" s="20">
        <v>745</v>
      </c>
      <c r="F21" s="20">
        <v>775000</v>
      </c>
      <c r="G21" s="20">
        <v>4200000</v>
      </c>
      <c r="H21" s="20">
        <v>10</v>
      </c>
      <c r="I21" s="20">
        <v>999</v>
      </c>
      <c r="J21" s="20">
        <v>100</v>
      </c>
      <c r="K21" s="20">
        <v>100</v>
      </c>
      <c r="L21" s="20">
        <v>100</v>
      </c>
      <c r="M21" s="20">
        <v>100</v>
      </c>
      <c r="N21" s="20">
        <v>100</v>
      </c>
      <c r="O21" s="20">
        <v>100</v>
      </c>
      <c r="P21" s="20">
        <v>150</v>
      </c>
      <c r="Q21" s="20">
        <v>50</v>
      </c>
      <c r="R21" s="20">
        <v>100</v>
      </c>
      <c r="S21" s="23"/>
    </row>
    <row r="22" spans="1:19" x14ac:dyDescent="0.35">
      <c r="A22" s="17" t="s">
        <v>626</v>
      </c>
      <c r="B22" s="20" t="s">
        <v>634</v>
      </c>
      <c r="C22" s="24" t="s">
        <v>636</v>
      </c>
      <c r="D22" s="20" t="s">
        <v>642</v>
      </c>
      <c r="E22" s="20">
        <v>858</v>
      </c>
      <c r="F22" s="20">
        <v>1550000</v>
      </c>
      <c r="G22" s="20">
        <v>8400000</v>
      </c>
      <c r="H22" s="20">
        <v>10</v>
      </c>
      <c r="I22" s="20">
        <v>999</v>
      </c>
      <c r="J22" s="20">
        <v>100</v>
      </c>
      <c r="K22" s="20">
        <v>100</v>
      </c>
      <c r="L22" s="20">
        <v>100</v>
      </c>
      <c r="M22" s="20">
        <v>100</v>
      </c>
      <c r="N22" s="20">
        <v>100</v>
      </c>
      <c r="O22" s="20">
        <v>100</v>
      </c>
      <c r="P22" s="20">
        <v>150</v>
      </c>
      <c r="Q22" s="20">
        <v>50</v>
      </c>
      <c r="R22" s="20">
        <v>100</v>
      </c>
      <c r="S22" s="23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6AD-1CD9-4ED4-A8DB-A2C42BF0E9E3}">
  <sheetPr codeName="Sheet6"/>
  <dimension ref="A1:T348"/>
  <sheetViews>
    <sheetView topLeftCell="C1" zoomScale="85" zoomScaleNormal="85" workbookViewId="0">
      <pane ySplit="6" topLeftCell="A323" activePane="bottomLeft" state="frozen"/>
      <selection pane="bottomLeft" activeCell="F347" sqref="F347"/>
    </sheetView>
  </sheetViews>
  <sheetFormatPr defaultRowHeight="18.75" x14ac:dyDescent="0.4"/>
  <cols>
    <col min="2" max="3" width="12.5" customWidth="1"/>
    <col min="4" max="4" width="48.25" bestFit="1" customWidth="1"/>
    <col min="5" max="20" width="12.5" customWidth="1"/>
  </cols>
  <sheetData>
    <row r="1" spans="1:20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 x14ac:dyDescent="0.4">
      <c r="A2" t="s">
        <v>167</v>
      </c>
      <c r="B2" s="9" t="s">
        <v>153</v>
      </c>
      <c r="C2" s="9" t="s">
        <v>154</v>
      </c>
      <c r="D2" s="9" t="s">
        <v>155</v>
      </c>
      <c r="E2" s="9" t="s">
        <v>159</v>
      </c>
      <c r="F2" s="9" t="s">
        <v>168</v>
      </c>
      <c r="G2" s="9" t="s">
        <v>169</v>
      </c>
      <c r="H2" s="9" t="s">
        <v>35</v>
      </c>
      <c r="I2" s="9" t="s">
        <v>160</v>
      </c>
      <c r="J2" s="9" t="s">
        <v>162</v>
      </c>
      <c r="K2" s="9" t="s">
        <v>163</v>
      </c>
      <c r="L2" s="9" t="s">
        <v>164</v>
      </c>
      <c r="M2" s="9" t="s">
        <v>165</v>
      </c>
      <c r="N2" s="9" t="s">
        <v>166</v>
      </c>
      <c r="O2" s="9" t="s">
        <v>156</v>
      </c>
      <c r="P2" s="9" t="s">
        <v>157</v>
      </c>
      <c r="Q2" s="9" t="s">
        <v>158</v>
      </c>
      <c r="R2" s="9" t="s">
        <v>161</v>
      </c>
      <c r="S2" s="9" t="s">
        <v>340</v>
      </c>
      <c r="T2" s="9" t="s">
        <v>476</v>
      </c>
    </row>
    <row r="3" spans="1:20" x14ac:dyDescent="0.4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 x14ac:dyDescent="0.4">
      <c r="B4" s="9" t="s">
        <v>30</v>
      </c>
      <c r="C4" s="9" t="s">
        <v>30</v>
      </c>
      <c r="D4" s="9">
        <v>64</v>
      </c>
      <c r="E4" s="9" t="s">
        <v>26</v>
      </c>
      <c r="F4" s="9">
        <v>100</v>
      </c>
      <c r="G4" s="9" t="s">
        <v>224</v>
      </c>
      <c r="H4" s="9" t="s">
        <v>26</v>
      </c>
      <c r="I4" s="9" t="s">
        <v>26</v>
      </c>
      <c r="J4" s="9" t="s">
        <v>34</v>
      </c>
      <c r="K4" s="9" t="s">
        <v>34</v>
      </c>
      <c r="L4" s="9" t="s">
        <v>34</v>
      </c>
      <c r="M4" s="9" t="s">
        <v>34</v>
      </c>
      <c r="N4" s="9" t="s">
        <v>34</v>
      </c>
      <c r="O4" s="9" t="s">
        <v>34</v>
      </c>
      <c r="P4" s="9" t="s">
        <v>34</v>
      </c>
      <c r="Q4" s="9" t="s">
        <v>34</v>
      </c>
      <c r="R4" s="9" t="s">
        <v>34</v>
      </c>
      <c r="S4" s="9" t="s">
        <v>34</v>
      </c>
      <c r="T4" s="9" t="s">
        <v>34</v>
      </c>
    </row>
    <row r="5" spans="1:20" x14ac:dyDescent="0.4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151</v>
      </c>
    </row>
    <row r="7" spans="1:20" s="17" customFormat="1" x14ac:dyDescent="0.4">
      <c r="A7" s="8"/>
      <c r="B7" s="14">
        <v>1</v>
      </c>
      <c r="C7" s="11">
        <v>1</v>
      </c>
      <c r="D7" s="11" t="s">
        <v>173</v>
      </c>
      <c r="E7" s="11">
        <v>290</v>
      </c>
      <c r="F7" s="11" t="s">
        <v>750</v>
      </c>
      <c r="G7" s="11">
        <v>270000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4">
        <v>1</v>
      </c>
      <c r="T7" s="24"/>
    </row>
    <row r="8" spans="1:20" s="17" customFormat="1" x14ac:dyDescent="0.4">
      <c r="A8" s="8"/>
      <c r="B8" s="14">
        <v>1</v>
      </c>
      <c r="C8" s="11">
        <v>2</v>
      </c>
      <c r="D8" s="11" t="s">
        <v>174</v>
      </c>
      <c r="E8" s="11">
        <v>290</v>
      </c>
      <c r="F8" s="11" t="s">
        <v>751</v>
      </c>
      <c r="G8" s="11">
        <v>1512000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4">
        <v>1</v>
      </c>
      <c r="T8" s="24"/>
    </row>
    <row r="9" spans="1:20" s="17" customFormat="1" x14ac:dyDescent="0.4">
      <c r="A9" s="8"/>
      <c r="B9" s="14">
        <v>1</v>
      </c>
      <c r="C9" s="11">
        <v>3</v>
      </c>
      <c r="D9" s="11" t="s">
        <v>746</v>
      </c>
      <c r="E9" s="11">
        <v>310</v>
      </c>
      <c r="F9" s="11" t="s">
        <v>752</v>
      </c>
      <c r="G9" s="11">
        <v>899999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4">
        <v>1</v>
      </c>
      <c r="T9" s="24"/>
    </row>
    <row r="10" spans="1:20" s="17" customFormat="1" x14ac:dyDescent="0.4">
      <c r="A10" s="8"/>
      <c r="B10" s="14">
        <v>1</v>
      </c>
      <c r="C10" s="11">
        <v>4</v>
      </c>
      <c r="D10" s="11" t="s">
        <v>748</v>
      </c>
      <c r="E10" s="11">
        <v>310</v>
      </c>
      <c r="F10" s="11" t="s">
        <v>753</v>
      </c>
      <c r="G10" s="11">
        <v>1658520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4">
        <v>1</v>
      </c>
      <c r="T10" s="24"/>
    </row>
    <row r="11" spans="1:20" s="17" customFormat="1" x14ac:dyDescent="0.4">
      <c r="A11" s="8"/>
      <c r="B11" s="14">
        <v>1</v>
      </c>
      <c r="C11" s="11">
        <v>5</v>
      </c>
      <c r="D11" s="11" t="s">
        <v>170</v>
      </c>
      <c r="E11" s="11">
        <v>270</v>
      </c>
      <c r="F11" s="11" t="s">
        <v>754</v>
      </c>
      <c r="G11" s="11">
        <v>3600000</v>
      </c>
      <c r="H11" s="11">
        <v>10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4">
        <v>1</v>
      </c>
      <c r="T11" s="24"/>
    </row>
    <row r="12" spans="1:20" s="17" customFormat="1" x14ac:dyDescent="0.4">
      <c r="A12" s="8"/>
      <c r="B12" s="14">
        <v>1</v>
      </c>
      <c r="C12" s="11">
        <v>6</v>
      </c>
      <c r="D12" s="11" t="s">
        <v>171</v>
      </c>
      <c r="E12" s="11">
        <v>290</v>
      </c>
      <c r="F12" s="11" t="s">
        <v>755</v>
      </c>
      <c r="G12" s="11">
        <v>9180000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4">
        <v>1</v>
      </c>
      <c r="T12" s="24"/>
    </row>
    <row r="13" spans="1:20" s="17" customFormat="1" x14ac:dyDescent="0.4">
      <c r="A13" s="8"/>
      <c r="B13" s="14">
        <v>1</v>
      </c>
      <c r="C13" s="11">
        <v>7</v>
      </c>
      <c r="D13" s="11" t="s">
        <v>747</v>
      </c>
      <c r="E13" s="11">
        <v>320</v>
      </c>
      <c r="F13" s="11" t="s">
        <v>756</v>
      </c>
      <c r="G13" s="11">
        <v>1687500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4">
        <v>1</v>
      </c>
      <c r="T13" s="24"/>
    </row>
    <row r="14" spans="1:20" s="17" customFormat="1" x14ac:dyDescent="0.4">
      <c r="A14" s="8"/>
      <c r="B14" s="14">
        <v>1</v>
      </c>
      <c r="C14" s="11">
        <v>8</v>
      </c>
      <c r="D14" s="11" t="s">
        <v>749</v>
      </c>
      <c r="E14" s="11">
        <v>320</v>
      </c>
      <c r="F14" s="11" t="s">
        <v>277</v>
      </c>
      <c r="G14" s="11">
        <v>7762500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4">
        <v>1</v>
      </c>
      <c r="T14" s="24"/>
    </row>
    <row r="15" spans="1:20" s="17" customFormat="1" x14ac:dyDescent="0.4">
      <c r="A15" s="8"/>
      <c r="B15" s="14">
        <v>1</v>
      </c>
      <c r="C15" s="11">
        <v>9</v>
      </c>
      <c r="D15" s="11" t="s">
        <v>172</v>
      </c>
      <c r="E15" s="11">
        <v>320</v>
      </c>
      <c r="F15" s="11" t="s">
        <v>239</v>
      </c>
      <c r="G15" s="11">
        <v>13500000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4">
        <v>1</v>
      </c>
      <c r="T15" s="24"/>
    </row>
    <row r="16" spans="1:20" s="17" customFormat="1" x14ac:dyDescent="0.4">
      <c r="A16" s="8"/>
      <c r="B16" s="14">
        <v>1</v>
      </c>
      <c r="C16" s="11">
        <v>10</v>
      </c>
      <c r="D16" s="11" t="s">
        <v>745</v>
      </c>
      <c r="E16" s="11">
        <v>380</v>
      </c>
      <c r="F16" s="11" t="s">
        <v>270</v>
      </c>
      <c r="G16" s="11">
        <v>30400000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4">
        <v>1</v>
      </c>
      <c r="T16" s="24"/>
    </row>
    <row r="17" spans="1:20" s="17" customFormat="1" x14ac:dyDescent="0.4">
      <c r="A17" s="8"/>
      <c r="B17" s="14">
        <v>1</v>
      </c>
      <c r="C17" s="11">
        <v>11</v>
      </c>
      <c r="D17" s="11" t="s">
        <v>190</v>
      </c>
      <c r="E17" s="11">
        <v>380</v>
      </c>
      <c r="F17" s="11" t="s">
        <v>757</v>
      </c>
      <c r="G17" s="11">
        <v>128291800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4">
        <v>1</v>
      </c>
      <c r="T17" s="24"/>
    </row>
    <row r="18" spans="1:20" s="17" customFormat="1" x14ac:dyDescent="0.4">
      <c r="A18" s="8"/>
      <c r="B18" s="14">
        <v>1</v>
      </c>
      <c r="C18" s="11">
        <v>12</v>
      </c>
      <c r="D18" s="11" t="s">
        <v>762</v>
      </c>
      <c r="E18" s="11">
        <v>390</v>
      </c>
      <c r="F18" s="11" t="s">
        <v>773</v>
      </c>
      <c r="G18" s="11">
        <v>148260000</v>
      </c>
      <c r="H18" s="11">
        <v>8</v>
      </c>
      <c r="I18" s="11">
        <v>999</v>
      </c>
      <c r="J18" s="11">
        <v>100</v>
      </c>
      <c r="K18" s="11">
        <v>250</v>
      </c>
      <c r="L18" s="11">
        <v>100</v>
      </c>
      <c r="M18" s="11">
        <v>100</v>
      </c>
      <c r="N18" s="11">
        <v>250</v>
      </c>
      <c r="O18" s="11">
        <v>100</v>
      </c>
      <c r="P18" s="11">
        <v>100</v>
      </c>
      <c r="Q18" s="11">
        <v>100</v>
      </c>
      <c r="R18" s="11">
        <v>10</v>
      </c>
      <c r="S18" s="14">
        <v>1</v>
      </c>
      <c r="T18" s="24"/>
    </row>
    <row r="19" spans="1:20" s="17" customFormat="1" x14ac:dyDescent="0.4">
      <c r="A19" s="8"/>
      <c r="B19" s="14">
        <v>1</v>
      </c>
      <c r="C19" s="11">
        <v>13</v>
      </c>
      <c r="D19" s="11" t="s">
        <v>677</v>
      </c>
      <c r="E19" s="11">
        <v>390</v>
      </c>
      <c r="F19" s="11" t="s">
        <v>773</v>
      </c>
      <c r="G19" s="11">
        <v>148260000</v>
      </c>
      <c r="H19" s="11">
        <v>8</v>
      </c>
      <c r="I19" s="11">
        <v>999</v>
      </c>
      <c r="J19" s="11">
        <v>250</v>
      </c>
      <c r="K19" s="11">
        <v>100</v>
      </c>
      <c r="L19" s="11">
        <v>250</v>
      </c>
      <c r="M19" s="11">
        <v>250</v>
      </c>
      <c r="N19" s="11">
        <v>100</v>
      </c>
      <c r="O19" s="11">
        <v>100</v>
      </c>
      <c r="P19" s="11">
        <v>100</v>
      </c>
      <c r="Q19" s="11">
        <v>100</v>
      </c>
      <c r="R19" s="11">
        <v>10</v>
      </c>
      <c r="S19" s="14">
        <v>1</v>
      </c>
      <c r="T19" s="24"/>
    </row>
    <row r="20" spans="1:20" s="17" customFormat="1" x14ac:dyDescent="0.4">
      <c r="A20" s="8"/>
      <c r="B20" s="14">
        <v>1</v>
      </c>
      <c r="C20" s="11">
        <v>14</v>
      </c>
      <c r="D20" s="11" t="s">
        <v>678</v>
      </c>
      <c r="E20" s="11">
        <v>500</v>
      </c>
      <c r="F20" s="11" t="s">
        <v>758</v>
      </c>
      <c r="G20" s="11">
        <v>156000000</v>
      </c>
      <c r="H20" s="11">
        <v>10</v>
      </c>
      <c r="I20" s="11">
        <v>999</v>
      </c>
      <c r="J20" s="11">
        <v>250</v>
      </c>
      <c r="K20" s="11">
        <v>250</v>
      </c>
      <c r="L20" s="11">
        <v>250</v>
      </c>
      <c r="M20" s="11">
        <v>250</v>
      </c>
      <c r="N20" s="11">
        <v>250</v>
      </c>
      <c r="O20" s="11">
        <v>100</v>
      </c>
      <c r="P20" s="11">
        <v>100</v>
      </c>
      <c r="Q20" s="11">
        <v>100</v>
      </c>
      <c r="R20" s="11">
        <v>10</v>
      </c>
      <c r="S20" s="14">
        <v>1</v>
      </c>
      <c r="T20" s="24"/>
    </row>
    <row r="21" spans="1:20" s="17" customFormat="1" x14ac:dyDescent="0.4">
      <c r="A21" s="8"/>
      <c r="B21" s="14">
        <v>1</v>
      </c>
      <c r="C21" s="11">
        <v>15</v>
      </c>
      <c r="D21" s="11" t="s">
        <v>969</v>
      </c>
      <c r="E21" s="11">
        <v>800</v>
      </c>
      <c r="F21" s="11" t="s">
        <v>970</v>
      </c>
      <c r="G21" s="11">
        <v>180000000</v>
      </c>
      <c r="H21" s="11">
        <v>6</v>
      </c>
      <c r="I21" s="11">
        <v>700</v>
      </c>
      <c r="J21" s="11">
        <v>250</v>
      </c>
      <c r="K21" s="11">
        <v>100</v>
      </c>
      <c r="L21" s="11">
        <v>100</v>
      </c>
      <c r="M21" s="11">
        <v>100</v>
      </c>
      <c r="N21" s="11">
        <v>25</v>
      </c>
      <c r="O21" s="11">
        <v>250</v>
      </c>
      <c r="P21" s="11">
        <v>100</v>
      </c>
      <c r="Q21" s="11">
        <v>100</v>
      </c>
      <c r="R21" s="11">
        <v>100</v>
      </c>
      <c r="S21" s="14">
        <v>1</v>
      </c>
      <c r="T21" s="24"/>
    </row>
    <row r="22" spans="1:20" s="17" customFormat="1" x14ac:dyDescent="0.4">
      <c r="A22" s="8"/>
      <c r="B22" s="14">
        <v>2</v>
      </c>
      <c r="C22" s="11">
        <v>1</v>
      </c>
      <c r="D22" s="11" t="s">
        <v>175</v>
      </c>
      <c r="E22" s="11">
        <v>320</v>
      </c>
      <c r="F22" s="11" t="s">
        <v>414</v>
      </c>
      <c r="G22" s="11">
        <v>120000</v>
      </c>
      <c r="H22" s="11">
        <v>4</v>
      </c>
      <c r="I22" s="11">
        <v>300</v>
      </c>
      <c r="J22" s="11">
        <v>25</v>
      </c>
      <c r="K22" s="11">
        <v>200</v>
      </c>
      <c r="L22" s="11">
        <v>100</v>
      </c>
      <c r="M22" s="11">
        <v>100</v>
      </c>
      <c r="N22" s="11">
        <v>100</v>
      </c>
      <c r="O22" s="11">
        <v>100</v>
      </c>
      <c r="P22" s="11">
        <v>100</v>
      </c>
      <c r="Q22" s="11">
        <v>100</v>
      </c>
      <c r="R22" s="11">
        <v>100</v>
      </c>
      <c r="S22" s="14">
        <v>1</v>
      </c>
      <c r="T22" s="24"/>
    </row>
    <row r="23" spans="1:20" s="17" customFormat="1" x14ac:dyDescent="0.4">
      <c r="A23" s="8"/>
      <c r="B23" s="14">
        <v>2</v>
      </c>
      <c r="C23" s="11">
        <v>2</v>
      </c>
      <c r="D23" s="11" t="s">
        <v>176</v>
      </c>
      <c r="E23" s="11">
        <v>320</v>
      </c>
      <c r="F23" s="11" t="s">
        <v>414</v>
      </c>
      <c r="G23" s="11">
        <v>120000</v>
      </c>
      <c r="H23" s="11">
        <v>4</v>
      </c>
      <c r="I23" s="11">
        <v>300</v>
      </c>
      <c r="J23" s="11">
        <v>100</v>
      </c>
      <c r="K23" s="11">
        <v>25</v>
      </c>
      <c r="L23" s="11">
        <v>200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4">
        <v>1</v>
      </c>
      <c r="T23" s="24"/>
    </row>
    <row r="24" spans="1:20" s="17" customFormat="1" x14ac:dyDescent="0.4">
      <c r="A24" s="8"/>
      <c r="B24" s="14">
        <v>2</v>
      </c>
      <c r="C24" s="11">
        <v>3</v>
      </c>
      <c r="D24" s="11" t="s">
        <v>177</v>
      </c>
      <c r="E24" s="11">
        <v>320</v>
      </c>
      <c r="F24" s="11" t="s">
        <v>414</v>
      </c>
      <c r="G24" s="11">
        <v>120000</v>
      </c>
      <c r="H24" s="11">
        <v>4</v>
      </c>
      <c r="I24" s="11">
        <v>300</v>
      </c>
      <c r="J24" s="11">
        <v>200</v>
      </c>
      <c r="K24" s="11">
        <v>100</v>
      </c>
      <c r="L24" s="11">
        <v>25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4">
        <v>1</v>
      </c>
      <c r="T24" s="24"/>
    </row>
    <row r="25" spans="1:20" s="17" customFormat="1" x14ac:dyDescent="0.4">
      <c r="A25" s="8"/>
      <c r="B25" s="14">
        <v>2</v>
      </c>
      <c r="C25" s="11">
        <v>4</v>
      </c>
      <c r="D25" s="11" t="s">
        <v>178</v>
      </c>
      <c r="E25" s="11">
        <v>320</v>
      </c>
      <c r="F25" s="11" t="s">
        <v>414</v>
      </c>
      <c r="G25" s="11">
        <v>120000</v>
      </c>
      <c r="H25" s="11">
        <v>4</v>
      </c>
      <c r="I25" s="11">
        <v>300</v>
      </c>
      <c r="J25" s="11">
        <v>100</v>
      </c>
      <c r="K25" s="11">
        <v>100</v>
      </c>
      <c r="L25" s="11">
        <v>100</v>
      </c>
      <c r="M25" s="11">
        <v>25</v>
      </c>
      <c r="N25" s="11">
        <v>200</v>
      </c>
      <c r="O25" s="11">
        <v>100</v>
      </c>
      <c r="P25" s="11">
        <v>100</v>
      </c>
      <c r="Q25" s="11">
        <v>100</v>
      </c>
      <c r="R25" s="11">
        <v>100</v>
      </c>
      <c r="S25" s="14">
        <v>1</v>
      </c>
      <c r="T25" s="24"/>
    </row>
    <row r="26" spans="1:20" s="17" customFormat="1" x14ac:dyDescent="0.4">
      <c r="A26" s="8"/>
      <c r="B26" s="14">
        <v>2</v>
      </c>
      <c r="C26" s="11">
        <v>5</v>
      </c>
      <c r="D26" s="11" t="s">
        <v>179</v>
      </c>
      <c r="E26" s="11">
        <v>320</v>
      </c>
      <c r="F26" s="11" t="s">
        <v>414</v>
      </c>
      <c r="G26" s="11">
        <v>120000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200</v>
      </c>
      <c r="N26" s="11">
        <v>25</v>
      </c>
      <c r="O26" s="11">
        <v>100</v>
      </c>
      <c r="P26" s="11">
        <v>100</v>
      </c>
      <c r="Q26" s="11">
        <v>100</v>
      </c>
      <c r="R26" s="11">
        <v>100</v>
      </c>
      <c r="S26" s="14">
        <v>1</v>
      </c>
      <c r="T26" s="24"/>
    </row>
    <row r="27" spans="1:20" s="17" customFormat="1" x14ac:dyDescent="0.4">
      <c r="A27" s="8"/>
      <c r="B27" s="14">
        <v>2</v>
      </c>
      <c r="C27" s="11">
        <v>6</v>
      </c>
      <c r="D27" s="11" t="s">
        <v>415</v>
      </c>
      <c r="E27" s="11">
        <v>400</v>
      </c>
      <c r="F27" s="11" t="s">
        <v>759</v>
      </c>
      <c r="G27" s="11">
        <v>210000</v>
      </c>
      <c r="H27" s="11">
        <v>4</v>
      </c>
      <c r="I27" s="11">
        <v>300</v>
      </c>
      <c r="J27" s="11">
        <v>-100</v>
      </c>
      <c r="K27" s="11">
        <v>200</v>
      </c>
      <c r="L27" s="11">
        <v>100</v>
      </c>
      <c r="M27" s="11">
        <v>-100</v>
      </c>
      <c r="N27" s="11">
        <v>100</v>
      </c>
      <c r="O27" s="11">
        <v>100</v>
      </c>
      <c r="P27" s="11">
        <v>100</v>
      </c>
      <c r="Q27" s="11">
        <v>100</v>
      </c>
      <c r="R27" s="11">
        <v>100</v>
      </c>
      <c r="S27" s="14">
        <v>1</v>
      </c>
      <c r="T27" s="24"/>
    </row>
    <row r="28" spans="1:20" s="17" customFormat="1" x14ac:dyDescent="0.4">
      <c r="A28" s="8"/>
      <c r="B28" s="14">
        <v>2</v>
      </c>
      <c r="C28" s="11">
        <v>7</v>
      </c>
      <c r="D28" s="11" t="s">
        <v>416</v>
      </c>
      <c r="E28" s="11">
        <v>400</v>
      </c>
      <c r="F28" s="11" t="s">
        <v>759</v>
      </c>
      <c r="G28" s="11">
        <v>210000</v>
      </c>
      <c r="H28" s="11">
        <v>4</v>
      </c>
      <c r="I28" s="11">
        <v>300</v>
      </c>
      <c r="J28" s="11">
        <v>100</v>
      </c>
      <c r="K28" s="11">
        <v>-100</v>
      </c>
      <c r="L28" s="11">
        <v>200</v>
      </c>
      <c r="M28" s="11">
        <v>100</v>
      </c>
      <c r="N28" s="11">
        <v>-100</v>
      </c>
      <c r="O28" s="11">
        <v>100</v>
      </c>
      <c r="P28" s="11">
        <v>100</v>
      </c>
      <c r="Q28" s="11">
        <v>100</v>
      </c>
      <c r="R28" s="11">
        <v>100</v>
      </c>
      <c r="S28" s="14">
        <v>1</v>
      </c>
      <c r="T28" s="24"/>
    </row>
    <row r="29" spans="1:20" s="17" customFormat="1" x14ac:dyDescent="0.4">
      <c r="A29" s="8"/>
      <c r="B29" s="14">
        <v>2</v>
      </c>
      <c r="C29" s="11">
        <v>8</v>
      </c>
      <c r="D29" s="11" t="s">
        <v>417</v>
      </c>
      <c r="E29" s="11">
        <v>400</v>
      </c>
      <c r="F29" s="11" t="s">
        <v>759</v>
      </c>
      <c r="G29" s="11">
        <v>210000</v>
      </c>
      <c r="H29" s="11">
        <v>4</v>
      </c>
      <c r="I29" s="11">
        <v>300</v>
      </c>
      <c r="J29" s="11">
        <v>200</v>
      </c>
      <c r="K29" s="11">
        <v>-100</v>
      </c>
      <c r="L29" s="11">
        <v>-100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4">
        <v>1</v>
      </c>
      <c r="T29" s="24"/>
    </row>
    <row r="30" spans="1:20" s="17" customFormat="1" x14ac:dyDescent="0.4">
      <c r="A30" s="8"/>
      <c r="B30" s="14">
        <v>2</v>
      </c>
      <c r="C30" s="11">
        <v>9</v>
      </c>
      <c r="D30" s="11" t="s">
        <v>418</v>
      </c>
      <c r="E30" s="11">
        <v>400</v>
      </c>
      <c r="F30" s="11" t="s">
        <v>759</v>
      </c>
      <c r="G30" s="11">
        <v>210000</v>
      </c>
      <c r="H30" s="11">
        <v>4</v>
      </c>
      <c r="I30" s="11">
        <v>300</v>
      </c>
      <c r="J30" s="11">
        <v>-100</v>
      </c>
      <c r="K30" s="11">
        <v>100</v>
      </c>
      <c r="L30" s="11">
        <v>100</v>
      </c>
      <c r="M30" s="11">
        <v>-100</v>
      </c>
      <c r="N30" s="11">
        <v>200</v>
      </c>
      <c r="O30" s="11">
        <v>100</v>
      </c>
      <c r="P30" s="11">
        <v>100</v>
      </c>
      <c r="Q30" s="11">
        <v>100</v>
      </c>
      <c r="R30" s="11">
        <v>100</v>
      </c>
      <c r="S30" s="14">
        <v>1</v>
      </c>
      <c r="T30" s="24"/>
    </row>
    <row r="31" spans="1:20" s="17" customFormat="1" x14ac:dyDescent="0.4">
      <c r="A31" s="8"/>
      <c r="B31" s="14">
        <v>2</v>
      </c>
      <c r="C31" s="11">
        <v>10</v>
      </c>
      <c r="D31" s="11" t="s">
        <v>419</v>
      </c>
      <c r="E31" s="11">
        <v>400</v>
      </c>
      <c r="F31" s="11" t="s">
        <v>759</v>
      </c>
      <c r="G31" s="11">
        <v>210000</v>
      </c>
      <c r="H31" s="11">
        <v>4</v>
      </c>
      <c r="I31" s="11">
        <v>300</v>
      </c>
      <c r="J31" s="11">
        <v>100</v>
      </c>
      <c r="K31" s="11">
        <v>100</v>
      </c>
      <c r="L31" s="11">
        <v>-100</v>
      </c>
      <c r="M31" s="11">
        <v>200</v>
      </c>
      <c r="N31" s="11">
        <v>-100</v>
      </c>
      <c r="O31" s="11">
        <v>100</v>
      </c>
      <c r="P31" s="11">
        <v>100</v>
      </c>
      <c r="Q31" s="11">
        <v>100</v>
      </c>
      <c r="R31" s="11">
        <v>100</v>
      </c>
      <c r="S31" s="14">
        <v>1</v>
      </c>
      <c r="T31" s="24"/>
    </row>
    <row r="32" spans="1:20" s="17" customFormat="1" x14ac:dyDescent="0.4">
      <c r="A32" s="8"/>
      <c r="B32" s="14">
        <v>2</v>
      </c>
      <c r="C32" s="11">
        <v>11</v>
      </c>
      <c r="D32" s="11" t="s">
        <v>185</v>
      </c>
      <c r="E32" s="11">
        <v>340</v>
      </c>
      <c r="F32" s="11" t="s">
        <v>297</v>
      </c>
      <c r="G32" s="11">
        <v>280000</v>
      </c>
      <c r="H32" s="11">
        <v>4</v>
      </c>
      <c r="I32" s="11">
        <v>300</v>
      </c>
      <c r="J32" s="11">
        <v>25</v>
      </c>
      <c r="K32" s="11">
        <v>250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4">
        <v>2</v>
      </c>
      <c r="T32" s="24"/>
    </row>
    <row r="33" spans="1:20" s="17" customFormat="1" x14ac:dyDescent="0.4">
      <c r="A33" s="8"/>
      <c r="B33" s="14">
        <v>2</v>
      </c>
      <c r="C33" s="11">
        <v>12</v>
      </c>
      <c r="D33" s="11" t="s">
        <v>296</v>
      </c>
      <c r="E33" s="11">
        <v>340</v>
      </c>
      <c r="F33" s="11" t="s">
        <v>297</v>
      </c>
      <c r="G33" s="11">
        <v>280000</v>
      </c>
      <c r="H33" s="11">
        <v>4</v>
      </c>
      <c r="I33" s="11">
        <v>300</v>
      </c>
      <c r="J33" s="11">
        <v>100</v>
      </c>
      <c r="K33" s="11">
        <v>25</v>
      </c>
      <c r="L33" s="11">
        <v>250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4">
        <v>2</v>
      </c>
      <c r="T33" s="24"/>
    </row>
    <row r="34" spans="1:20" s="17" customFormat="1" x14ac:dyDescent="0.4">
      <c r="A34" s="8"/>
      <c r="B34" s="14">
        <v>2</v>
      </c>
      <c r="C34" s="11">
        <v>13</v>
      </c>
      <c r="D34" s="11" t="s">
        <v>186</v>
      </c>
      <c r="E34" s="11">
        <v>340</v>
      </c>
      <c r="F34" s="11" t="s">
        <v>297</v>
      </c>
      <c r="G34" s="11">
        <v>280000</v>
      </c>
      <c r="H34" s="11">
        <v>4</v>
      </c>
      <c r="I34" s="11">
        <v>300</v>
      </c>
      <c r="J34" s="11">
        <v>250</v>
      </c>
      <c r="K34" s="11">
        <v>100</v>
      </c>
      <c r="L34" s="11">
        <v>25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  <c r="S34" s="14">
        <v>2</v>
      </c>
      <c r="T34" s="24"/>
    </row>
    <row r="35" spans="1:20" s="17" customFormat="1" x14ac:dyDescent="0.4">
      <c r="A35" s="8"/>
      <c r="B35" s="14">
        <v>2</v>
      </c>
      <c r="C35" s="11">
        <v>14</v>
      </c>
      <c r="D35" s="11" t="s">
        <v>187</v>
      </c>
      <c r="E35" s="11">
        <v>340</v>
      </c>
      <c r="F35" s="11" t="s">
        <v>297</v>
      </c>
      <c r="G35" s="11">
        <v>280000</v>
      </c>
      <c r="H35" s="11">
        <v>4</v>
      </c>
      <c r="I35" s="11">
        <v>300</v>
      </c>
      <c r="J35" s="11">
        <v>100</v>
      </c>
      <c r="K35" s="11">
        <v>100</v>
      </c>
      <c r="L35" s="11">
        <v>100</v>
      </c>
      <c r="M35" s="11">
        <v>25</v>
      </c>
      <c r="N35" s="11">
        <v>250</v>
      </c>
      <c r="O35" s="11">
        <v>100</v>
      </c>
      <c r="P35" s="11">
        <v>100</v>
      </c>
      <c r="Q35" s="11">
        <v>100</v>
      </c>
      <c r="R35" s="11">
        <v>100</v>
      </c>
      <c r="S35" s="14">
        <v>2</v>
      </c>
      <c r="T35" s="24"/>
    </row>
    <row r="36" spans="1:20" s="17" customFormat="1" x14ac:dyDescent="0.4">
      <c r="A36" s="8"/>
      <c r="B36" s="14">
        <v>2</v>
      </c>
      <c r="C36" s="11">
        <v>15</v>
      </c>
      <c r="D36" s="11" t="s">
        <v>188</v>
      </c>
      <c r="E36" s="11">
        <v>340</v>
      </c>
      <c r="F36" s="11" t="s">
        <v>297</v>
      </c>
      <c r="G36" s="11">
        <v>280000</v>
      </c>
      <c r="H36" s="11">
        <v>4</v>
      </c>
      <c r="I36" s="11">
        <v>300</v>
      </c>
      <c r="J36" s="11">
        <v>100</v>
      </c>
      <c r="K36" s="11">
        <v>100</v>
      </c>
      <c r="L36" s="11">
        <v>100</v>
      </c>
      <c r="M36" s="11">
        <v>250</v>
      </c>
      <c r="N36" s="11">
        <v>25</v>
      </c>
      <c r="O36" s="11">
        <v>100</v>
      </c>
      <c r="P36" s="11">
        <v>100</v>
      </c>
      <c r="Q36" s="11">
        <v>100</v>
      </c>
      <c r="R36" s="11">
        <v>100</v>
      </c>
      <c r="S36" s="14">
        <v>2</v>
      </c>
      <c r="T36" s="24"/>
    </row>
    <row r="37" spans="1:20" s="17" customFormat="1" x14ac:dyDescent="0.4">
      <c r="A37" s="8"/>
      <c r="B37" s="14">
        <v>2</v>
      </c>
      <c r="C37" s="11">
        <v>16</v>
      </c>
      <c r="D37" s="11" t="s">
        <v>446</v>
      </c>
      <c r="E37" s="11">
        <v>430</v>
      </c>
      <c r="F37" s="11" t="s">
        <v>284</v>
      </c>
      <c r="G37" s="11">
        <v>780000</v>
      </c>
      <c r="H37" s="11">
        <v>4</v>
      </c>
      <c r="I37" s="11">
        <v>300</v>
      </c>
      <c r="J37" s="11">
        <v>-100</v>
      </c>
      <c r="K37" s="11">
        <v>250</v>
      </c>
      <c r="L37" s="11">
        <v>100</v>
      </c>
      <c r="M37" s="11">
        <v>-100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4">
        <v>2</v>
      </c>
      <c r="T37" s="24"/>
    </row>
    <row r="38" spans="1:20" s="17" customFormat="1" x14ac:dyDescent="0.4">
      <c r="A38" s="8"/>
      <c r="B38" s="14">
        <v>2</v>
      </c>
      <c r="C38" s="11">
        <v>17</v>
      </c>
      <c r="D38" s="11" t="s">
        <v>439</v>
      </c>
      <c r="E38" s="11">
        <v>430</v>
      </c>
      <c r="F38" s="11" t="s">
        <v>284</v>
      </c>
      <c r="G38" s="11">
        <v>780000</v>
      </c>
      <c r="H38" s="11">
        <v>4</v>
      </c>
      <c r="I38" s="11">
        <v>300</v>
      </c>
      <c r="J38" s="11">
        <v>100</v>
      </c>
      <c r="K38" s="11">
        <v>-100</v>
      </c>
      <c r="L38" s="11">
        <v>250</v>
      </c>
      <c r="M38" s="11">
        <v>100</v>
      </c>
      <c r="N38" s="11">
        <v>-100</v>
      </c>
      <c r="O38" s="11">
        <v>100</v>
      </c>
      <c r="P38" s="11">
        <v>100</v>
      </c>
      <c r="Q38" s="11">
        <v>100</v>
      </c>
      <c r="R38" s="11">
        <v>100</v>
      </c>
      <c r="S38" s="14">
        <v>2</v>
      </c>
      <c r="T38" s="24"/>
    </row>
    <row r="39" spans="1:20" s="17" customFormat="1" x14ac:dyDescent="0.4">
      <c r="A39" s="8"/>
      <c r="B39" s="14">
        <v>2</v>
      </c>
      <c r="C39" s="11">
        <v>18</v>
      </c>
      <c r="D39" s="11" t="s">
        <v>445</v>
      </c>
      <c r="E39" s="11">
        <v>430</v>
      </c>
      <c r="F39" s="11" t="s">
        <v>284</v>
      </c>
      <c r="G39" s="11">
        <v>780000</v>
      </c>
      <c r="H39" s="11">
        <v>4</v>
      </c>
      <c r="I39" s="11">
        <v>300</v>
      </c>
      <c r="J39" s="11">
        <v>250</v>
      </c>
      <c r="K39" s="11">
        <v>-100</v>
      </c>
      <c r="L39" s="11">
        <v>-100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  <c r="S39" s="14">
        <v>2</v>
      </c>
      <c r="T39" s="24"/>
    </row>
    <row r="40" spans="1:20" s="17" customFormat="1" x14ac:dyDescent="0.4">
      <c r="A40" s="8"/>
      <c r="B40" s="14">
        <v>2</v>
      </c>
      <c r="C40" s="11">
        <v>19</v>
      </c>
      <c r="D40" s="11" t="s">
        <v>444</v>
      </c>
      <c r="E40" s="11">
        <v>430</v>
      </c>
      <c r="F40" s="11" t="s">
        <v>284</v>
      </c>
      <c r="G40" s="11">
        <v>780000</v>
      </c>
      <c r="H40" s="11">
        <v>4</v>
      </c>
      <c r="I40" s="11">
        <v>300</v>
      </c>
      <c r="J40" s="11">
        <v>-100</v>
      </c>
      <c r="K40" s="11">
        <v>100</v>
      </c>
      <c r="L40" s="11">
        <v>100</v>
      </c>
      <c r="M40" s="11">
        <v>-100</v>
      </c>
      <c r="N40" s="11">
        <v>250</v>
      </c>
      <c r="O40" s="11">
        <v>100</v>
      </c>
      <c r="P40" s="11">
        <v>100</v>
      </c>
      <c r="Q40" s="11">
        <v>100</v>
      </c>
      <c r="R40" s="11">
        <v>100</v>
      </c>
      <c r="S40" s="14">
        <v>2</v>
      </c>
      <c r="T40" s="24"/>
    </row>
    <row r="41" spans="1:20" s="17" customFormat="1" x14ac:dyDescent="0.4">
      <c r="A41" s="8"/>
      <c r="B41" s="14">
        <v>2</v>
      </c>
      <c r="C41" s="11">
        <v>20</v>
      </c>
      <c r="D41" s="11" t="s">
        <v>440</v>
      </c>
      <c r="E41" s="11">
        <v>430</v>
      </c>
      <c r="F41" s="11" t="s">
        <v>284</v>
      </c>
      <c r="G41" s="11">
        <v>780000</v>
      </c>
      <c r="H41" s="11">
        <v>4</v>
      </c>
      <c r="I41" s="11">
        <v>300</v>
      </c>
      <c r="J41" s="11">
        <v>100</v>
      </c>
      <c r="K41" s="11">
        <v>100</v>
      </c>
      <c r="L41" s="11">
        <v>-100</v>
      </c>
      <c r="M41" s="11">
        <v>250</v>
      </c>
      <c r="N41" s="11">
        <v>-100</v>
      </c>
      <c r="O41" s="11">
        <v>100</v>
      </c>
      <c r="P41" s="11">
        <v>100</v>
      </c>
      <c r="Q41" s="11">
        <v>100</v>
      </c>
      <c r="R41" s="11">
        <v>100</v>
      </c>
      <c r="S41" s="14">
        <v>2</v>
      </c>
      <c r="T41" s="24"/>
    </row>
    <row r="42" spans="1:20" s="17" customFormat="1" x14ac:dyDescent="0.4">
      <c r="A42" s="8"/>
      <c r="B42" s="14">
        <v>2</v>
      </c>
      <c r="C42" s="11">
        <v>21</v>
      </c>
      <c r="D42" s="11" t="s">
        <v>404</v>
      </c>
      <c r="E42" s="11">
        <v>390</v>
      </c>
      <c r="F42" s="11" t="s">
        <v>763</v>
      </c>
      <c r="G42" s="11">
        <v>354293</v>
      </c>
      <c r="H42" s="11">
        <v>4</v>
      </c>
      <c r="I42" s="11">
        <v>300</v>
      </c>
      <c r="J42" s="11">
        <v>10</v>
      </c>
      <c r="K42" s="11">
        <v>350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4">
        <v>1</v>
      </c>
      <c r="T42" s="24"/>
    </row>
    <row r="43" spans="1:20" s="17" customFormat="1" x14ac:dyDescent="0.4">
      <c r="A43" s="8"/>
      <c r="B43" s="14">
        <v>2</v>
      </c>
      <c r="C43" s="11">
        <v>22</v>
      </c>
      <c r="D43" s="11" t="s">
        <v>295</v>
      </c>
      <c r="E43" s="11">
        <v>390</v>
      </c>
      <c r="F43" s="11" t="s">
        <v>763</v>
      </c>
      <c r="G43" s="11">
        <v>354293</v>
      </c>
      <c r="H43" s="11">
        <v>4</v>
      </c>
      <c r="I43" s="11">
        <v>300</v>
      </c>
      <c r="J43" s="11">
        <v>100</v>
      </c>
      <c r="K43" s="11">
        <v>10</v>
      </c>
      <c r="L43" s="11">
        <v>350</v>
      </c>
      <c r="M43" s="11">
        <v>100</v>
      </c>
      <c r="N43" s="11">
        <v>100</v>
      </c>
      <c r="O43" s="11">
        <v>100</v>
      </c>
      <c r="P43" s="11">
        <v>100</v>
      </c>
      <c r="Q43" s="11">
        <v>100</v>
      </c>
      <c r="R43" s="11">
        <v>100</v>
      </c>
      <c r="S43" s="14">
        <v>1</v>
      </c>
      <c r="T43" s="24"/>
    </row>
    <row r="44" spans="1:20" s="17" customFormat="1" x14ac:dyDescent="0.4">
      <c r="A44" s="8"/>
      <c r="B44" s="14">
        <v>2</v>
      </c>
      <c r="C44" s="11">
        <v>23</v>
      </c>
      <c r="D44" s="11" t="s">
        <v>235</v>
      </c>
      <c r="E44" s="11">
        <v>390</v>
      </c>
      <c r="F44" s="11" t="s">
        <v>763</v>
      </c>
      <c r="G44" s="11">
        <v>354293</v>
      </c>
      <c r="H44" s="11">
        <v>4</v>
      </c>
      <c r="I44" s="11">
        <v>300</v>
      </c>
      <c r="J44" s="11">
        <v>350</v>
      </c>
      <c r="K44" s="11">
        <v>100</v>
      </c>
      <c r="L44" s="11">
        <v>10</v>
      </c>
      <c r="M44" s="11">
        <v>100</v>
      </c>
      <c r="N44" s="11">
        <v>100</v>
      </c>
      <c r="O44" s="11">
        <v>100</v>
      </c>
      <c r="P44" s="11">
        <v>100</v>
      </c>
      <c r="Q44" s="11">
        <v>100</v>
      </c>
      <c r="R44" s="11">
        <v>100</v>
      </c>
      <c r="S44" s="14">
        <v>1</v>
      </c>
      <c r="T44" s="24"/>
    </row>
    <row r="45" spans="1:20" s="17" customFormat="1" x14ac:dyDescent="0.4">
      <c r="A45" s="8"/>
      <c r="B45" s="14">
        <v>2</v>
      </c>
      <c r="C45" s="11">
        <v>24</v>
      </c>
      <c r="D45" s="11" t="s">
        <v>312</v>
      </c>
      <c r="E45" s="11">
        <v>390</v>
      </c>
      <c r="F45" s="11" t="s">
        <v>763</v>
      </c>
      <c r="G45" s="11">
        <v>354293</v>
      </c>
      <c r="H45" s="11">
        <v>4</v>
      </c>
      <c r="I45" s="11">
        <v>300</v>
      </c>
      <c r="J45" s="11">
        <v>100</v>
      </c>
      <c r="K45" s="11">
        <v>100</v>
      </c>
      <c r="L45" s="11">
        <v>100</v>
      </c>
      <c r="M45" s="11">
        <v>10</v>
      </c>
      <c r="N45" s="11">
        <v>350</v>
      </c>
      <c r="O45" s="11">
        <v>100</v>
      </c>
      <c r="P45" s="11">
        <v>100</v>
      </c>
      <c r="Q45" s="11">
        <v>100</v>
      </c>
      <c r="R45" s="11">
        <v>100</v>
      </c>
      <c r="S45" s="14">
        <v>1</v>
      </c>
      <c r="T45" s="24"/>
    </row>
    <row r="46" spans="1:20" s="17" customFormat="1" x14ac:dyDescent="0.4">
      <c r="A46" s="8"/>
      <c r="B46" s="14">
        <v>2</v>
      </c>
      <c r="C46" s="11">
        <v>25</v>
      </c>
      <c r="D46" s="11" t="s">
        <v>330</v>
      </c>
      <c r="E46" s="11">
        <v>390</v>
      </c>
      <c r="F46" s="11" t="s">
        <v>763</v>
      </c>
      <c r="G46" s="11">
        <v>354293</v>
      </c>
      <c r="H46" s="11">
        <v>4</v>
      </c>
      <c r="I46" s="11">
        <v>300</v>
      </c>
      <c r="J46" s="11">
        <v>100</v>
      </c>
      <c r="K46" s="11">
        <v>100</v>
      </c>
      <c r="L46" s="11">
        <v>100</v>
      </c>
      <c r="M46" s="11">
        <v>350</v>
      </c>
      <c r="N46" s="11">
        <v>10</v>
      </c>
      <c r="O46" s="11">
        <v>100</v>
      </c>
      <c r="P46" s="11">
        <v>100</v>
      </c>
      <c r="Q46" s="11">
        <v>100</v>
      </c>
      <c r="R46" s="11">
        <v>100</v>
      </c>
      <c r="S46" s="14">
        <v>1</v>
      </c>
      <c r="T46" s="24"/>
    </row>
    <row r="47" spans="1:20" s="17" customFormat="1" x14ac:dyDescent="0.4">
      <c r="A47" s="8"/>
      <c r="B47" s="14">
        <v>2</v>
      </c>
      <c r="C47" s="11">
        <v>26</v>
      </c>
      <c r="D47" s="11" t="s">
        <v>675</v>
      </c>
      <c r="E47" s="11">
        <v>450</v>
      </c>
      <c r="F47" s="11" t="s">
        <v>763</v>
      </c>
      <c r="G47" s="11">
        <v>354293</v>
      </c>
      <c r="H47" s="11">
        <v>4</v>
      </c>
      <c r="I47" s="11">
        <v>300</v>
      </c>
      <c r="J47" s="11">
        <v>-100</v>
      </c>
      <c r="K47" s="11">
        <v>350</v>
      </c>
      <c r="L47" s="11">
        <v>100</v>
      </c>
      <c r="M47" s="11">
        <v>-100</v>
      </c>
      <c r="N47" s="11">
        <v>100</v>
      </c>
      <c r="O47" s="11">
        <v>100</v>
      </c>
      <c r="P47" s="11">
        <v>100</v>
      </c>
      <c r="Q47" s="11">
        <v>100</v>
      </c>
      <c r="R47" s="11">
        <v>100</v>
      </c>
      <c r="S47" s="14">
        <v>1</v>
      </c>
      <c r="T47" s="24"/>
    </row>
    <row r="48" spans="1:20" s="17" customFormat="1" x14ac:dyDescent="0.4">
      <c r="A48" s="8"/>
      <c r="B48" s="14">
        <v>2</v>
      </c>
      <c r="C48" s="11">
        <v>27</v>
      </c>
      <c r="D48" s="11" t="s">
        <v>674</v>
      </c>
      <c r="E48" s="11">
        <v>450</v>
      </c>
      <c r="F48" s="11" t="s">
        <v>763</v>
      </c>
      <c r="G48" s="11">
        <v>354293</v>
      </c>
      <c r="H48" s="11">
        <v>4</v>
      </c>
      <c r="I48" s="11">
        <v>300</v>
      </c>
      <c r="J48" s="11">
        <v>100</v>
      </c>
      <c r="K48" s="11">
        <v>-100</v>
      </c>
      <c r="L48" s="11">
        <v>350</v>
      </c>
      <c r="M48" s="11">
        <v>100</v>
      </c>
      <c r="N48" s="11">
        <v>-100</v>
      </c>
      <c r="O48" s="11">
        <v>100</v>
      </c>
      <c r="P48" s="11">
        <v>100</v>
      </c>
      <c r="Q48" s="11">
        <v>100</v>
      </c>
      <c r="R48" s="11">
        <v>100</v>
      </c>
      <c r="S48" s="14">
        <v>1</v>
      </c>
      <c r="T48" s="24"/>
    </row>
    <row r="49" spans="1:20" s="17" customFormat="1" x14ac:dyDescent="0.4">
      <c r="A49" s="8"/>
      <c r="B49" s="14">
        <v>2</v>
      </c>
      <c r="C49" s="11">
        <v>28</v>
      </c>
      <c r="D49" s="11" t="s">
        <v>673</v>
      </c>
      <c r="E49" s="11">
        <v>450</v>
      </c>
      <c r="F49" s="11" t="s">
        <v>763</v>
      </c>
      <c r="G49" s="11">
        <v>354293</v>
      </c>
      <c r="H49" s="11">
        <v>4</v>
      </c>
      <c r="I49" s="11">
        <v>300</v>
      </c>
      <c r="J49" s="11">
        <v>350</v>
      </c>
      <c r="K49" s="11">
        <v>-100</v>
      </c>
      <c r="L49" s="11">
        <v>-100</v>
      </c>
      <c r="M49" s="11">
        <v>100</v>
      </c>
      <c r="N49" s="11">
        <v>100</v>
      </c>
      <c r="O49" s="11">
        <v>100</v>
      </c>
      <c r="P49" s="11">
        <v>100</v>
      </c>
      <c r="Q49" s="11">
        <v>100</v>
      </c>
      <c r="R49" s="11">
        <v>100</v>
      </c>
      <c r="S49" s="14">
        <v>1</v>
      </c>
      <c r="T49" s="24"/>
    </row>
    <row r="50" spans="1:20" s="17" customFormat="1" x14ac:dyDescent="0.4">
      <c r="A50" s="8"/>
      <c r="B50" s="14">
        <v>2</v>
      </c>
      <c r="C50" s="11">
        <v>29</v>
      </c>
      <c r="D50" s="11" t="s">
        <v>672</v>
      </c>
      <c r="E50" s="11">
        <v>450</v>
      </c>
      <c r="F50" s="11" t="s">
        <v>763</v>
      </c>
      <c r="G50" s="11">
        <v>354293</v>
      </c>
      <c r="H50" s="11">
        <v>4</v>
      </c>
      <c r="I50" s="11">
        <v>300</v>
      </c>
      <c r="J50" s="11">
        <v>-100</v>
      </c>
      <c r="K50" s="11">
        <v>100</v>
      </c>
      <c r="L50" s="11">
        <v>100</v>
      </c>
      <c r="M50" s="11">
        <v>-100</v>
      </c>
      <c r="N50" s="11">
        <v>350</v>
      </c>
      <c r="O50" s="11">
        <v>100</v>
      </c>
      <c r="P50" s="11">
        <v>100</v>
      </c>
      <c r="Q50" s="11">
        <v>100</v>
      </c>
      <c r="R50" s="11">
        <v>100</v>
      </c>
      <c r="S50" s="14">
        <v>1</v>
      </c>
      <c r="T50" s="24"/>
    </row>
    <row r="51" spans="1:20" s="17" customFormat="1" x14ac:dyDescent="0.4">
      <c r="A51" s="8"/>
      <c r="B51" s="14">
        <v>2</v>
      </c>
      <c r="C51" s="11">
        <v>30</v>
      </c>
      <c r="D51" s="11" t="s">
        <v>671</v>
      </c>
      <c r="E51" s="11">
        <v>450</v>
      </c>
      <c r="F51" s="11" t="s">
        <v>763</v>
      </c>
      <c r="G51" s="11">
        <v>354293</v>
      </c>
      <c r="H51" s="11">
        <v>4</v>
      </c>
      <c r="I51" s="11">
        <v>300</v>
      </c>
      <c r="J51" s="11">
        <v>100</v>
      </c>
      <c r="K51" s="11">
        <v>100</v>
      </c>
      <c r="L51" s="11">
        <v>-100</v>
      </c>
      <c r="M51" s="11">
        <v>350</v>
      </c>
      <c r="N51" s="11">
        <v>-100</v>
      </c>
      <c r="O51" s="11">
        <v>100</v>
      </c>
      <c r="P51" s="11">
        <v>100</v>
      </c>
      <c r="Q51" s="11">
        <v>100</v>
      </c>
      <c r="R51" s="11">
        <v>100</v>
      </c>
      <c r="S51" s="14">
        <v>1</v>
      </c>
      <c r="T51" s="24"/>
    </row>
    <row r="52" spans="1:20" s="17" customFormat="1" x14ac:dyDescent="0.4">
      <c r="A52" s="8"/>
      <c r="B52" s="14">
        <v>2</v>
      </c>
      <c r="C52" s="11">
        <v>31</v>
      </c>
      <c r="D52" s="11" t="s">
        <v>885</v>
      </c>
      <c r="E52" s="11">
        <v>580</v>
      </c>
      <c r="F52" s="11" t="s">
        <v>892</v>
      </c>
      <c r="G52" s="11">
        <v>3500000</v>
      </c>
      <c r="H52" s="11">
        <v>4</v>
      </c>
      <c r="I52" s="11">
        <v>300</v>
      </c>
      <c r="J52" s="11">
        <v>400</v>
      </c>
      <c r="K52" s="11">
        <v>400</v>
      </c>
      <c r="L52" s="11">
        <v>400</v>
      </c>
      <c r="M52" s="11">
        <v>400</v>
      </c>
      <c r="N52" s="11">
        <v>400</v>
      </c>
      <c r="O52" s="11">
        <v>100</v>
      </c>
      <c r="P52" s="11">
        <v>100</v>
      </c>
      <c r="Q52" s="11">
        <v>100</v>
      </c>
      <c r="R52" s="11">
        <v>100</v>
      </c>
      <c r="S52" s="14">
        <v>1</v>
      </c>
      <c r="T52" s="24"/>
    </row>
    <row r="53" spans="1:20" s="17" customFormat="1" x14ac:dyDescent="0.4">
      <c r="A53" s="8"/>
      <c r="B53" s="14">
        <v>2</v>
      </c>
      <c r="C53" s="11">
        <v>32</v>
      </c>
      <c r="D53" s="11" t="s">
        <v>884</v>
      </c>
      <c r="E53" s="11">
        <v>610</v>
      </c>
      <c r="F53" s="11" t="s">
        <v>423</v>
      </c>
      <c r="G53" s="11">
        <v>5000000</v>
      </c>
      <c r="H53" s="11">
        <v>4</v>
      </c>
      <c r="I53" s="11">
        <v>300</v>
      </c>
      <c r="J53" s="11">
        <v>400</v>
      </c>
      <c r="K53" s="11">
        <v>400</v>
      </c>
      <c r="L53" s="11">
        <v>400</v>
      </c>
      <c r="M53" s="11">
        <v>400</v>
      </c>
      <c r="N53" s="11">
        <v>400</v>
      </c>
      <c r="O53" s="11">
        <v>100</v>
      </c>
      <c r="P53" s="11">
        <v>100</v>
      </c>
      <c r="Q53" s="11">
        <v>100</v>
      </c>
      <c r="R53" s="11">
        <v>100</v>
      </c>
      <c r="S53" s="14">
        <v>1</v>
      </c>
      <c r="T53" s="24"/>
    </row>
    <row r="54" spans="1:20" s="17" customFormat="1" x14ac:dyDescent="0.4">
      <c r="A54" s="8"/>
      <c r="B54" s="14">
        <v>2</v>
      </c>
      <c r="C54" s="11">
        <v>33</v>
      </c>
      <c r="D54" s="11" t="s">
        <v>888</v>
      </c>
      <c r="E54" s="11">
        <v>580</v>
      </c>
      <c r="F54" s="11" t="s">
        <v>352</v>
      </c>
      <c r="G54" s="11">
        <v>3000000</v>
      </c>
      <c r="H54" s="11">
        <v>4</v>
      </c>
      <c r="I54" s="11">
        <v>300</v>
      </c>
      <c r="J54" s="11">
        <v>400</v>
      </c>
      <c r="K54" s="11">
        <v>400</v>
      </c>
      <c r="L54" s="11">
        <v>400</v>
      </c>
      <c r="M54" s="11">
        <v>400</v>
      </c>
      <c r="N54" s="11">
        <v>400</v>
      </c>
      <c r="O54" s="11">
        <v>100</v>
      </c>
      <c r="P54" s="11">
        <v>100</v>
      </c>
      <c r="Q54" s="11">
        <v>100</v>
      </c>
      <c r="R54" s="11">
        <v>100</v>
      </c>
      <c r="S54" s="14">
        <v>2</v>
      </c>
      <c r="T54" s="24"/>
    </row>
    <row r="55" spans="1:20" s="17" customFormat="1" x14ac:dyDescent="0.4">
      <c r="A55" s="8"/>
      <c r="B55" s="14">
        <v>2</v>
      </c>
      <c r="C55" s="11">
        <v>34</v>
      </c>
      <c r="D55" s="11" t="s">
        <v>889</v>
      </c>
      <c r="E55" s="11">
        <v>610</v>
      </c>
      <c r="F55" s="11" t="s">
        <v>270</v>
      </c>
      <c r="G55" s="11">
        <v>3400000</v>
      </c>
      <c r="H55" s="11">
        <v>4</v>
      </c>
      <c r="I55" s="11">
        <v>300</v>
      </c>
      <c r="J55" s="11">
        <v>400</v>
      </c>
      <c r="K55" s="11">
        <v>400</v>
      </c>
      <c r="L55" s="11">
        <v>400</v>
      </c>
      <c r="M55" s="11">
        <v>400</v>
      </c>
      <c r="N55" s="11">
        <v>400</v>
      </c>
      <c r="O55" s="11">
        <v>100</v>
      </c>
      <c r="P55" s="11">
        <v>100</v>
      </c>
      <c r="Q55" s="11">
        <v>100</v>
      </c>
      <c r="R55" s="11">
        <v>100</v>
      </c>
      <c r="S55" s="14">
        <v>2</v>
      </c>
      <c r="T55" s="24"/>
    </row>
    <row r="56" spans="1:20" s="17" customFormat="1" x14ac:dyDescent="0.4">
      <c r="A56" s="8"/>
      <c r="B56" s="14">
        <v>2</v>
      </c>
      <c r="C56" s="11">
        <v>35</v>
      </c>
      <c r="D56" s="11" t="s">
        <v>887</v>
      </c>
      <c r="E56" s="11">
        <v>580</v>
      </c>
      <c r="F56" s="11" t="s">
        <v>890</v>
      </c>
      <c r="G56" s="11">
        <v>933300</v>
      </c>
      <c r="H56" s="11">
        <v>4</v>
      </c>
      <c r="I56" s="11">
        <v>300</v>
      </c>
      <c r="J56" s="11">
        <v>400</v>
      </c>
      <c r="K56" s="11">
        <v>400</v>
      </c>
      <c r="L56" s="11">
        <v>400</v>
      </c>
      <c r="M56" s="11">
        <v>400</v>
      </c>
      <c r="N56" s="11">
        <v>400</v>
      </c>
      <c r="O56" s="11">
        <v>100</v>
      </c>
      <c r="P56" s="11">
        <v>100</v>
      </c>
      <c r="Q56" s="11">
        <v>100</v>
      </c>
      <c r="R56" s="11">
        <v>100</v>
      </c>
      <c r="S56" s="14">
        <v>1</v>
      </c>
      <c r="T56" s="24"/>
    </row>
    <row r="57" spans="1:20" s="17" customFormat="1" x14ac:dyDescent="0.4">
      <c r="A57" s="8"/>
      <c r="B57" s="14">
        <v>2</v>
      </c>
      <c r="C57" s="11">
        <v>36</v>
      </c>
      <c r="D57" s="11" t="s">
        <v>886</v>
      </c>
      <c r="E57" s="11">
        <v>610</v>
      </c>
      <c r="F57" s="11" t="s">
        <v>891</v>
      </c>
      <c r="G57" s="11">
        <v>1166600</v>
      </c>
      <c r="H57" s="11">
        <v>4</v>
      </c>
      <c r="I57" s="11">
        <v>300</v>
      </c>
      <c r="J57" s="11">
        <v>400</v>
      </c>
      <c r="K57" s="11">
        <v>400</v>
      </c>
      <c r="L57" s="11">
        <v>400</v>
      </c>
      <c r="M57" s="11">
        <v>400</v>
      </c>
      <c r="N57" s="11">
        <v>400</v>
      </c>
      <c r="O57" s="11">
        <v>100</v>
      </c>
      <c r="P57" s="11">
        <v>100</v>
      </c>
      <c r="Q57" s="11">
        <v>100</v>
      </c>
      <c r="R57" s="11">
        <v>100</v>
      </c>
      <c r="S57" s="14">
        <v>1</v>
      </c>
      <c r="T57" s="24"/>
    </row>
    <row r="58" spans="1:20" s="17" customFormat="1" x14ac:dyDescent="0.4">
      <c r="A58" s="8"/>
      <c r="B58" s="14">
        <v>3</v>
      </c>
      <c r="C58" s="11">
        <v>1</v>
      </c>
      <c r="D58" s="11" t="s">
        <v>477</v>
      </c>
      <c r="E58" s="11">
        <v>340</v>
      </c>
      <c r="F58" s="11" t="s">
        <v>243</v>
      </c>
      <c r="G58" s="11">
        <v>45500</v>
      </c>
      <c r="H58" s="11">
        <v>2</v>
      </c>
      <c r="I58" s="11">
        <v>150</v>
      </c>
      <c r="J58" s="11">
        <v>200</v>
      </c>
      <c r="K58" s="11">
        <v>200</v>
      </c>
      <c r="L58" s="11">
        <v>200</v>
      </c>
      <c r="M58" s="11">
        <v>200</v>
      </c>
      <c r="N58" s="11">
        <v>200</v>
      </c>
      <c r="O58" s="11">
        <v>100</v>
      </c>
      <c r="P58" s="11">
        <v>100</v>
      </c>
      <c r="Q58" s="11">
        <v>100</v>
      </c>
      <c r="R58" s="11">
        <v>50</v>
      </c>
      <c r="S58" s="14">
        <v>1</v>
      </c>
      <c r="T58" s="24">
        <v>1</v>
      </c>
    </row>
    <row r="59" spans="1:20" s="17" customFormat="1" x14ac:dyDescent="0.4">
      <c r="A59" s="8"/>
      <c r="B59" s="14">
        <v>3</v>
      </c>
      <c r="C59" s="11">
        <v>2</v>
      </c>
      <c r="D59" s="11" t="s">
        <v>478</v>
      </c>
      <c r="E59" s="11">
        <v>340</v>
      </c>
      <c r="F59" s="11" t="s">
        <v>244</v>
      </c>
      <c r="G59" s="11">
        <v>42000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4">
        <v>1</v>
      </c>
      <c r="T59" s="24">
        <v>2</v>
      </c>
    </row>
    <row r="60" spans="1:20" s="17" customFormat="1" x14ac:dyDescent="0.4">
      <c r="A60" s="8"/>
      <c r="B60" s="14">
        <v>3</v>
      </c>
      <c r="C60" s="11">
        <v>3</v>
      </c>
      <c r="D60" s="11" t="s">
        <v>479</v>
      </c>
      <c r="E60" s="11">
        <v>340</v>
      </c>
      <c r="F60" s="11" t="s">
        <v>245</v>
      </c>
      <c r="G60" s="11">
        <v>16000</v>
      </c>
      <c r="H60" s="11">
        <v>5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100</v>
      </c>
      <c r="P60" s="11">
        <v>100</v>
      </c>
      <c r="Q60" s="11">
        <v>100</v>
      </c>
      <c r="R60" s="11">
        <v>100</v>
      </c>
      <c r="S60" s="14">
        <v>1</v>
      </c>
      <c r="T60" s="24">
        <v>2</v>
      </c>
    </row>
    <row r="61" spans="1:20" s="17" customFormat="1" x14ac:dyDescent="0.4">
      <c r="A61" s="8"/>
      <c r="B61" s="14">
        <v>3</v>
      </c>
      <c r="C61" s="11">
        <v>4</v>
      </c>
      <c r="D61" s="11" t="s">
        <v>480</v>
      </c>
      <c r="E61" s="11">
        <v>340</v>
      </c>
      <c r="F61" s="11" t="s">
        <v>246</v>
      </c>
      <c r="G61" s="11">
        <v>19200</v>
      </c>
      <c r="H61" s="11">
        <v>5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100</v>
      </c>
      <c r="Q61" s="11">
        <v>250</v>
      </c>
      <c r="R61" s="11">
        <v>100</v>
      </c>
      <c r="S61" s="14">
        <v>1</v>
      </c>
      <c r="T61" s="24">
        <v>2</v>
      </c>
    </row>
    <row r="62" spans="1:20" s="17" customFormat="1" x14ac:dyDescent="0.4">
      <c r="A62" s="8"/>
      <c r="B62" s="14">
        <v>3</v>
      </c>
      <c r="C62" s="11">
        <v>5</v>
      </c>
      <c r="D62" s="11" t="s">
        <v>481</v>
      </c>
      <c r="E62" s="11">
        <v>340</v>
      </c>
      <c r="F62" s="11" t="s">
        <v>247</v>
      </c>
      <c r="G62" s="11">
        <v>70000</v>
      </c>
      <c r="H62" s="11">
        <v>2</v>
      </c>
      <c r="I62" s="11">
        <v>150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150</v>
      </c>
      <c r="P62" s="11">
        <v>25</v>
      </c>
      <c r="Q62" s="11">
        <v>100</v>
      </c>
      <c r="R62" s="11">
        <v>100</v>
      </c>
      <c r="S62" s="14">
        <v>1</v>
      </c>
      <c r="T62" s="24">
        <v>3</v>
      </c>
    </row>
    <row r="63" spans="1:20" s="17" customFormat="1" x14ac:dyDescent="0.4">
      <c r="A63" s="8"/>
      <c r="B63" s="14">
        <v>3</v>
      </c>
      <c r="C63" s="11">
        <v>6</v>
      </c>
      <c r="D63" s="11" t="s">
        <v>482</v>
      </c>
      <c r="E63" s="11">
        <v>340</v>
      </c>
      <c r="F63" s="11" t="s">
        <v>248</v>
      </c>
      <c r="G63" s="11">
        <v>66000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150</v>
      </c>
      <c r="Q63" s="11">
        <v>25</v>
      </c>
      <c r="R63" s="11">
        <v>100</v>
      </c>
      <c r="S63" s="14">
        <v>1</v>
      </c>
      <c r="T63" s="24">
        <v>4</v>
      </c>
    </row>
    <row r="64" spans="1:20" s="17" customFormat="1" x14ac:dyDescent="0.4">
      <c r="A64" s="8"/>
      <c r="B64" s="14">
        <v>3</v>
      </c>
      <c r="C64" s="11">
        <v>7</v>
      </c>
      <c r="D64" s="11" t="s">
        <v>483</v>
      </c>
      <c r="E64" s="11">
        <v>340</v>
      </c>
      <c r="F64" s="11" t="s">
        <v>244</v>
      </c>
      <c r="G64" s="11">
        <v>60000</v>
      </c>
      <c r="H64" s="11">
        <v>5</v>
      </c>
      <c r="I64" s="11">
        <v>300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4">
        <v>1</v>
      </c>
      <c r="T64" s="24">
        <v>5</v>
      </c>
    </row>
    <row r="65" spans="1:20" s="17" customFormat="1" x14ac:dyDescent="0.4">
      <c r="A65" s="8"/>
      <c r="B65" s="14">
        <v>3</v>
      </c>
      <c r="C65" s="11">
        <v>8</v>
      </c>
      <c r="D65" s="11" t="s">
        <v>484</v>
      </c>
      <c r="E65" s="11">
        <v>340</v>
      </c>
      <c r="F65" s="11" t="s">
        <v>249</v>
      </c>
      <c r="G65" s="11">
        <v>600000</v>
      </c>
      <c r="H65" s="11">
        <v>8</v>
      </c>
      <c r="I65" s="11">
        <v>999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4">
        <v>1</v>
      </c>
      <c r="T65" s="24">
        <v>5</v>
      </c>
    </row>
    <row r="66" spans="1:20" s="17" customFormat="1" x14ac:dyDescent="0.4">
      <c r="A66" s="8"/>
      <c r="B66" s="14">
        <v>3</v>
      </c>
      <c r="C66" s="11">
        <v>9</v>
      </c>
      <c r="D66" s="11" t="s">
        <v>485</v>
      </c>
      <c r="E66" s="11">
        <v>340</v>
      </c>
      <c r="F66" s="11" t="s">
        <v>250</v>
      </c>
      <c r="G66" s="11">
        <v>30000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25</v>
      </c>
      <c r="P66" s="11">
        <v>150</v>
      </c>
      <c r="Q66" s="11">
        <v>25</v>
      </c>
      <c r="R66" s="11">
        <v>100</v>
      </c>
      <c r="S66" s="14">
        <v>1</v>
      </c>
      <c r="T66" s="24">
        <v>6</v>
      </c>
    </row>
    <row r="67" spans="1:20" s="17" customFormat="1" x14ac:dyDescent="0.4">
      <c r="A67" s="8"/>
      <c r="B67" s="14">
        <v>3</v>
      </c>
      <c r="C67" s="11">
        <v>10</v>
      </c>
      <c r="D67" s="11" t="s">
        <v>486</v>
      </c>
      <c r="E67" s="11">
        <v>340</v>
      </c>
      <c r="F67" s="11" t="s">
        <v>242</v>
      </c>
      <c r="G67" s="11">
        <v>100000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4">
        <v>1</v>
      </c>
      <c r="T67" s="24">
        <v>7</v>
      </c>
    </row>
    <row r="68" spans="1:20" s="17" customFormat="1" x14ac:dyDescent="0.4">
      <c r="A68" s="8"/>
      <c r="B68" s="14">
        <v>3</v>
      </c>
      <c r="C68" s="11">
        <v>11</v>
      </c>
      <c r="D68" s="11" t="s">
        <v>487</v>
      </c>
      <c r="E68" s="11">
        <v>340</v>
      </c>
      <c r="F68" s="11" t="s">
        <v>251</v>
      </c>
      <c r="G68" s="11">
        <v>155000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150</v>
      </c>
      <c r="P68" s="11">
        <v>50</v>
      </c>
      <c r="Q68" s="11">
        <v>100</v>
      </c>
      <c r="R68" s="11">
        <v>100</v>
      </c>
      <c r="S68" s="14">
        <v>1</v>
      </c>
      <c r="T68" s="24">
        <v>8</v>
      </c>
    </row>
    <row r="69" spans="1:20" s="17" customFormat="1" x14ac:dyDescent="0.4">
      <c r="A69" s="8"/>
      <c r="B69" s="14">
        <v>3</v>
      </c>
      <c r="C69" s="11">
        <v>12</v>
      </c>
      <c r="D69" s="11" t="s">
        <v>488</v>
      </c>
      <c r="E69" s="11">
        <v>340</v>
      </c>
      <c r="F69" s="11" t="s">
        <v>243</v>
      </c>
      <c r="G69" s="11">
        <v>1350000</v>
      </c>
      <c r="H69" s="11">
        <v>6</v>
      </c>
      <c r="I69" s="11">
        <v>999</v>
      </c>
      <c r="J69" s="11">
        <v>200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4">
        <v>1</v>
      </c>
      <c r="T69" s="24">
        <v>9</v>
      </c>
    </row>
    <row r="70" spans="1:20" s="17" customFormat="1" x14ac:dyDescent="0.4">
      <c r="A70" s="8"/>
      <c r="B70" s="14">
        <v>3</v>
      </c>
      <c r="C70" s="11">
        <v>13</v>
      </c>
      <c r="D70" s="11" t="s">
        <v>489</v>
      </c>
      <c r="E70" s="11">
        <v>350</v>
      </c>
      <c r="F70" s="11" t="s">
        <v>252</v>
      </c>
      <c r="G70" s="11">
        <v>65000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200</v>
      </c>
      <c r="N70" s="11">
        <v>100</v>
      </c>
      <c r="O70" s="11">
        <v>150</v>
      </c>
      <c r="P70" s="11">
        <v>100</v>
      </c>
      <c r="Q70" s="11">
        <v>100</v>
      </c>
      <c r="R70" s="11">
        <v>100</v>
      </c>
      <c r="S70" s="14">
        <v>1</v>
      </c>
      <c r="T70" s="24">
        <v>10</v>
      </c>
    </row>
    <row r="71" spans="1:20" s="17" customFormat="1" x14ac:dyDescent="0.4">
      <c r="A71" s="8"/>
      <c r="B71" s="14">
        <v>3</v>
      </c>
      <c r="C71" s="11">
        <v>14</v>
      </c>
      <c r="D71" s="11" t="s">
        <v>490</v>
      </c>
      <c r="E71" s="11">
        <v>350</v>
      </c>
      <c r="F71" s="11" t="s">
        <v>253</v>
      </c>
      <c r="G71" s="11">
        <v>100000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150</v>
      </c>
      <c r="R71" s="11">
        <v>100</v>
      </c>
      <c r="S71" s="14">
        <v>1</v>
      </c>
      <c r="T71" s="24">
        <v>11</v>
      </c>
    </row>
    <row r="72" spans="1:20" s="17" customFormat="1" x14ac:dyDescent="0.4">
      <c r="A72" s="8"/>
      <c r="B72" s="14">
        <v>3</v>
      </c>
      <c r="C72" s="11">
        <v>15</v>
      </c>
      <c r="D72" s="11" t="s">
        <v>491</v>
      </c>
      <c r="E72" s="11">
        <v>350</v>
      </c>
      <c r="F72" s="11" t="s">
        <v>254</v>
      </c>
      <c r="G72" s="11">
        <v>150000</v>
      </c>
      <c r="H72" s="11">
        <v>2</v>
      </c>
      <c r="I72" s="11">
        <v>150</v>
      </c>
      <c r="J72" s="11">
        <v>100</v>
      </c>
      <c r="K72" s="11">
        <v>100</v>
      </c>
      <c r="L72" s="11">
        <v>250</v>
      </c>
      <c r="M72" s="11">
        <v>100</v>
      </c>
      <c r="N72" s="11">
        <v>100</v>
      </c>
      <c r="O72" s="11">
        <v>100</v>
      </c>
      <c r="P72" s="11">
        <v>250</v>
      </c>
      <c r="Q72" s="11">
        <v>50</v>
      </c>
      <c r="R72" s="11">
        <v>100</v>
      </c>
      <c r="S72" s="14">
        <v>1</v>
      </c>
      <c r="T72" s="24">
        <v>12</v>
      </c>
    </row>
    <row r="73" spans="1:20" s="17" customFormat="1" x14ac:dyDescent="0.4">
      <c r="A73" s="8"/>
      <c r="B73" s="14">
        <v>3</v>
      </c>
      <c r="C73" s="11">
        <v>16</v>
      </c>
      <c r="D73" s="11" t="s">
        <v>492</v>
      </c>
      <c r="E73" s="11">
        <v>350</v>
      </c>
      <c r="F73" s="11" t="s">
        <v>255</v>
      </c>
      <c r="G73" s="11">
        <v>300000</v>
      </c>
      <c r="H73" s="11">
        <v>6</v>
      </c>
      <c r="I73" s="11">
        <v>400</v>
      </c>
      <c r="J73" s="11">
        <v>100</v>
      </c>
      <c r="K73" s="11">
        <v>100</v>
      </c>
      <c r="L73" s="11">
        <v>100</v>
      </c>
      <c r="M73" s="11">
        <v>100</v>
      </c>
      <c r="N73" s="11">
        <v>250</v>
      </c>
      <c r="O73" s="11">
        <v>100</v>
      </c>
      <c r="P73" s="11">
        <v>100</v>
      </c>
      <c r="Q73" s="11">
        <v>100</v>
      </c>
      <c r="R73" s="11">
        <v>100</v>
      </c>
      <c r="S73" s="14">
        <v>1</v>
      </c>
      <c r="T73" s="24">
        <v>13</v>
      </c>
    </row>
    <row r="74" spans="1:20" s="17" customFormat="1" x14ac:dyDescent="0.4">
      <c r="A74" s="8"/>
      <c r="B74" s="14">
        <v>3</v>
      </c>
      <c r="C74" s="11">
        <v>17</v>
      </c>
      <c r="D74" s="11" t="s">
        <v>493</v>
      </c>
      <c r="E74" s="11">
        <v>350</v>
      </c>
      <c r="F74" s="11" t="s">
        <v>256</v>
      </c>
      <c r="G74" s="11">
        <v>95000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25</v>
      </c>
      <c r="N74" s="11">
        <v>150</v>
      </c>
      <c r="O74" s="11">
        <v>50</v>
      </c>
      <c r="P74" s="11">
        <v>100</v>
      </c>
      <c r="Q74" s="11">
        <v>150</v>
      </c>
      <c r="R74" s="11">
        <v>100</v>
      </c>
      <c r="S74" s="14">
        <v>1</v>
      </c>
      <c r="T74" s="24">
        <v>14</v>
      </c>
    </row>
    <row r="75" spans="1:20" s="17" customFormat="1" x14ac:dyDescent="0.4">
      <c r="A75" s="8"/>
      <c r="B75" s="14">
        <v>3</v>
      </c>
      <c r="C75" s="11">
        <v>18</v>
      </c>
      <c r="D75" s="11" t="s">
        <v>494</v>
      </c>
      <c r="E75" s="11">
        <v>350</v>
      </c>
      <c r="F75" s="11" t="s">
        <v>247</v>
      </c>
      <c r="G75" s="11">
        <v>298000</v>
      </c>
      <c r="H75" s="11">
        <v>2</v>
      </c>
      <c r="I75" s="11">
        <v>150</v>
      </c>
      <c r="J75" s="11">
        <v>100</v>
      </c>
      <c r="K75" s="11">
        <v>200</v>
      </c>
      <c r="L75" s="11">
        <v>100</v>
      </c>
      <c r="M75" s="11">
        <v>100</v>
      </c>
      <c r="N75" s="11">
        <v>100</v>
      </c>
      <c r="O75" s="11">
        <v>150</v>
      </c>
      <c r="P75" s="11">
        <v>100</v>
      </c>
      <c r="Q75" s="11">
        <v>100</v>
      </c>
      <c r="R75" s="11">
        <v>100</v>
      </c>
      <c r="S75" s="14">
        <v>1</v>
      </c>
      <c r="T75" s="24">
        <v>15</v>
      </c>
    </row>
    <row r="76" spans="1:20" s="17" customFormat="1" x14ac:dyDescent="0.4">
      <c r="A76" s="8"/>
      <c r="B76" s="14">
        <v>3</v>
      </c>
      <c r="C76" s="11">
        <v>19</v>
      </c>
      <c r="D76" s="11" t="s">
        <v>495</v>
      </c>
      <c r="E76" s="11">
        <v>350</v>
      </c>
      <c r="F76" s="11" t="s">
        <v>257</v>
      </c>
      <c r="G76" s="11">
        <v>1220000</v>
      </c>
      <c r="H76" s="11">
        <v>6</v>
      </c>
      <c r="I76" s="11">
        <v>400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4">
        <v>1</v>
      </c>
      <c r="T76" s="24">
        <v>16</v>
      </c>
    </row>
    <row r="77" spans="1:20" s="17" customFormat="1" x14ac:dyDescent="0.4">
      <c r="A77" s="8"/>
      <c r="B77" s="14">
        <v>3</v>
      </c>
      <c r="C77" s="11">
        <v>20</v>
      </c>
      <c r="D77" s="11" t="s">
        <v>496</v>
      </c>
      <c r="E77" s="11">
        <v>350</v>
      </c>
      <c r="F77" s="11" t="s">
        <v>258</v>
      </c>
      <c r="G77" s="11">
        <v>255000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200</v>
      </c>
      <c r="O77" s="11">
        <v>100</v>
      </c>
      <c r="P77" s="11">
        <v>100</v>
      </c>
      <c r="Q77" s="11">
        <v>100</v>
      </c>
      <c r="R77" s="11">
        <v>50</v>
      </c>
      <c r="S77" s="14">
        <v>1</v>
      </c>
      <c r="T77" s="24">
        <v>17</v>
      </c>
    </row>
    <row r="78" spans="1:20" s="17" customFormat="1" x14ac:dyDescent="0.4">
      <c r="A78" s="8"/>
      <c r="B78" s="14">
        <v>3</v>
      </c>
      <c r="C78" s="11">
        <v>21</v>
      </c>
      <c r="D78" s="11" t="s">
        <v>497</v>
      </c>
      <c r="E78" s="11">
        <v>350</v>
      </c>
      <c r="F78" s="11" t="s">
        <v>259</v>
      </c>
      <c r="G78" s="11">
        <v>450000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25</v>
      </c>
      <c r="P78" s="11">
        <v>25</v>
      </c>
      <c r="Q78" s="11">
        <v>250</v>
      </c>
      <c r="R78" s="11">
        <v>100</v>
      </c>
      <c r="S78" s="14">
        <v>1</v>
      </c>
      <c r="T78" s="24">
        <v>18</v>
      </c>
    </row>
    <row r="79" spans="1:20" s="17" customFormat="1" x14ac:dyDescent="0.4">
      <c r="A79" s="8"/>
      <c r="B79" s="14">
        <v>3</v>
      </c>
      <c r="C79" s="11">
        <v>22</v>
      </c>
      <c r="D79" s="11" t="s">
        <v>498</v>
      </c>
      <c r="E79" s="11">
        <v>350</v>
      </c>
      <c r="F79" s="11" t="s">
        <v>260</v>
      </c>
      <c r="G79" s="11">
        <v>94000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250</v>
      </c>
      <c r="N79" s="11">
        <v>100</v>
      </c>
      <c r="O79" s="11">
        <v>50</v>
      </c>
      <c r="P79" s="11">
        <v>100</v>
      </c>
      <c r="Q79" s="11">
        <v>250</v>
      </c>
      <c r="R79" s="11">
        <v>100</v>
      </c>
      <c r="S79" s="14">
        <v>1</v>
      </c>
      <c r="T79" s="24">
        <v>19</v>
      </c>
    </row>
    <row r="80" spans="1:20" s="17" customFormat="1" x14ac:dyDescent="0.4">
      <c r="A80" s="8"/>
      <c r="B80" s="14">
        <v>3</v>
      </c>
      <c r="C80" s="11">
        <v>23</v>
      </c>
      <c r="D80" s="11" t="s">
        <v>499</v>
      </c>
      <c r="E80" s="11">
        <v>360</v>
      </c>
      <c r="F80" s="11" t="s">
        <v>285</v>
      </c>
      <c r="G80" s="11">
        <v>200000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100</v>
      </c>
      <c r="S80" s="14">
        <v>1</v>
      </c>
      <c r="T80" s="24">
        <v>20</v>
      </c>
    </row>
    <row r="81" spans="1:20" s="17" customFormat="1" x14ac:dyDescent="0.4">
      <c r="A81" s="8"/>
      <c r="B81" s="14">
        <v>3</v>
      </c>
      <c r="C81" s="11">
        <v>24</v>
      </c>
      <c r="D81" s="11" t="s">
        <v>500</v>
      </c>
      <c r="E81" s="11">
        <v>360</v>
      </c>
      <c r="F81" s="11" t="s">
        <v>286</v>
      </c>
      <c r="G81" s="11">
        <v>255000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150</v>
      </c>
      <c r="R81" s="11">
        <v>100</v>
      </c>
      <c r="S81" s="14">
        <v>1</v>
      </c>
      <c r="T81" s="24">
        <v>20</v>
      </c>
    </row>
    <row r="82" spans="1:20" s="17" customFormat="1" x14ac:dyDescent="0.4">
      <c r="A82" s="8"/>
      <c r="B82" s="14">
        <v>3</v>
      </c>
      <c r="C82" s="11">
        <v>25</v>
      </c>
      <c r="D82" s="11" t="s">
        <v>501</v>
      </c>
      <c r="E82" s="11">
        <v>360</v>
      </c>
      <c r="F82" s="11" t="s">
        <v>287</v>
      </c>
      <c r="G82" s="11">
        <v>2600000</v>
      </c>
      <c r="H82" s="11">
        <v>6</v>
      </c>
      <c r="I82" s="11">
        <v>600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25</v>
      </c>
      <c r="R82" s="11">
        <v>100</v>
      </c>
      <c r="S82" s="14">
        <v>1</v>
      </c>
      <c r="T82" s="24">
        <v>21</v>
      </c>
    </row>
    <row r="83" spans="1:20" s="17" customFormat="1" x14ac:dyDescent="0.4">
      <c r="A83" s="8"/>
      <c r="B83" s="14">
        <v>3</v>
      </c>
      <c r="C83" s="11">
        <v>26</v>
      </c>
      <c r="D83" s="11" t="s">
        <v>502</v>
      </c>
      <c r="E83" s="11">
        <v>360</v>
      </c>
      <c r="F83" s="11" t="s">
        <v>288</v>
      </c>
      <c r="G83" s="11">
        <v>1040000</v>
      </c>
      <c r="H83" s="11">
        <v>6</v>
      </c>
      <c r="I83" s="11">
        <v>500</v>
      </c>
      <c r="J83" s="11">
        <v>250</v>
      </c>
      <c r="K83" s="11">
        <v>100</v>
      </c>
      <c r="L83" s="11">
        <v>100</v>
      </c>
      <c r="M83" s="11">
        <v>100</v>
      </c>
      <c r="N83" s="11">
        <v>100</v>
      </c>
      <c r="O83" s="11">
        <v>250</v>
      </c>
      <c r="P83" s="11">
        <v>50</v>
      </c>
      <c r="Q83" s="11">
        <v>100</v>
      </c>
      <c r="R83" s="11">
        <v>100</v>
      </c>
      <c r="S83" s="14">
        <v>1</v>
      </c>
      <c r="T83" s="24">
        <v>22</v>
      </c>
    </row>
    <row r="84" spans="1:20" s="17" customFormat="1" x14ac:dyDescent="0.4">
      <c r="A84" s="8"/>
      <c r="B84" s="14">
        <v>3</v>
      </c>
      <c r="C84" s="11">
        <v>27</v>
      </c>
      <c r="D84" s="11" t="s">
        <v>503</v>
      </c>
      <c r="E84" s="11">
        <v>360</v>
      </c>
      <c r="F84" s="11" t="s">
        <v>269</v>
      </c>
      <c r="G84" s="11">
        <v>120000</v>
      </c>
      <c r="H84" s="11">
        <v>2</v>
      </c>
      <c r="I84" s="11">
        <v>150</v>
      </c>
      <c r="J84" s="11">
        <v>100</v>
      </c>
      <c r="K84" s="11">
        <v>100</v>
      </c>
      <c r="L84" s="11">
        <v>250</v>
      </c>
      <c r="M84" s="11">
        <v>100</v>
      </c>
      <c r="N84" s="11">
        <v>100</v>
      </c>
      <c r="O84" s="11">
        <v>250</v>
      </c>
      <c r="P84" s="11">
        <v>100</v>
      </c>
      <c r="Q84" s="11">
        <v>25</v>
      </c>
      <c r="R84" s="11">
        <v>100</v>
      </c>
      <c r="S84" s="14">
        <v>1</v>
      </c>
      <c r="T84" s="24">
        <v>23</v>
      </c>
    </row>
    <row r="85" spans="1:20" s="17" customFormat="1" x14ac:dyDescent="0.4">
      <c r="A85" s="8"/>
      <c r="B85" s="14">
        <v>3</v>
      </c>
      <c r="C85" s="11">
        <v>28</v>
      </c>
      <c r="D85" s="11" t="s">
        <v>504</v>
      </c>
      <c r="E85" s="11">
        <v>360</v>
      </c>
      <c r="F85" s="11" t="s">
        <v>261</v>
      </c>
      <c r="G85" s="11">
        <v>7600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150</v>
      </c>
      <c r="Q85" s="11">
        <v>100</v>
      </c>
      <c r="R85" s="11">
        <v>100</v>
      </c>
      <c r="S85" s="14">
        <v>1</v>
      </c>
      <c r="T85" s="24">
        <v>24</v>
      </c>
    </row>
    <row r="86" spans="1:20" s="17" customFormat="1" x14ac:dyDescent="0.4">
      <c r="A86" s="8"/>
      <c r="B86" s="14">
        <v>3</v>
      </c>
      <c r="C86" s="11">
        <v>29</v>
      </c>
      <c r="D86" s="11" t="s">
        <v>505</v>
      </c>
      <c r="E86" s="11">
        <v>360</v>
      </c>
      <c r="F86" s="11" t="s">
        <v>297</v>
      </c>
      <c r="G86" s="11">
        <v>820000</v>
      </c>
      <c r="H86" s="11">
        <v>2</v>
      </c>
      <c r="I86" s="11">
        <v>150</v>
      </c>
      <c r="J86" s="11">
        <v>100</v>
      </c>
      <c r="K86" s="11">
        <v>250</v>
      </c>
      <c r="L86" s="11">
        <v>100</v>
      </c>
      <c r="M86" s="11">
        <v>100</v>
      </c>
      <c r="N86" s="11">
        <v>100</v>
      </c>
      <c r="O86" s="11">
        <v>250</v>
      </c>
      <c r="P86" s="11">
        <v>100</v>
      </c>
      <c r="Q86" s="11">
        <v>25</v>
      </c>
      <c r="R86" s="11">
        <v>100</v>
      </c>
      <c r="S86" s="14">
        <v>1</v>
      </c>
      <c r="T86" s="24">
        <v>25</v>
      </c>
    </row>
    <row r="87" spans="1:20" s="17" customFormat="1" x14ac:dyDescent="0.4">
      <c r="A87" s="8"/>
      <c r="B87" s="14">
        <v>3</v>
      </c>
      <c r="C87" s="11">
        <v>30</v>
      </c>
      <c r="D87" s="11" t="s">
        <v>506</v>
      </c>
      <c r="E87" s="11">
        <v>360</v>
      </c>
      <c r="F87" s="11" t="s">
        <v>297</v>
      </c>
      <c r="G87" s="11">
        <v>320000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25</v>
      </c>
      <c r="P87" s="11">
        <v>100</v>
      </c>
      <c r="Q87" s="11">
        <v>150</v>
      </c>
      <c r="R87" s="11">
        <v>100</v>
      </c>
      <c r="S87" s="14">
        <v>1</v>
      </c>
      <c r="T87" s="24">
        <v>26</v>
      </c>
    </row>
    <row r="88" spans="1:20" s="17" customFormat="1" x14ac:dyDescent="0.4">
      <c r="A88" s="8"/>
      <c r="B88" s="14">
        <v>3</v>
      </c>
      <c r="C88" s="11">
        <v>31</v>
      </c>
      <c r="D88" s="11" t="s">
        <v>507</v>
      </c>
      <c r="E88" s="11">
        <v>360</v>
      </c>
      <c r="F88" s="11" t="s">
        <v>252</v>
      </c>
      <c r="G88" s="11">
        <v>3500000</v>
      </c>
      <c r="H88" s="11">
        <v>6</v>
      </c>
      <c r="I88" s="11">
        <v>999</v>
      </c>
      <c r="J88" s="11">
        <v>250</v>
      </c>
      <c r="K88" s="11">
        <v>100</v>
      </c>
      <c r="L88" s="11">
        <v>100</v>
      </c>
      <c r="M88" s="11">
        <v>100</v>
      </c>
      <c r="N88" s="11">
        <v>100</v>
      </c>
      <c r="O88" s="11">
        <v>250</v>
      </c>
      <c r="P88" s="11">
        <v>25</v>
      </c>
      <c r="Q88" s="11">
        <v>100</v>
      </c>
      <c r="R88" s="11">
        <v>100</v>
      </c>
      <c r="S88" s="14">
        <v>1</v>
      </c>
      <c r="T88" s="24">
        <v>27</v>
      </c>
    </row>
    <row r="89" spans="1:20" s="17" customFormat="1" x14ac:dyDescent="0.4">
      <c r="A89" s="8"/>
      <c r="B89" s="14">
        <v>3</v>
      </c>
      <c r="C89" s="11">
        <v>32</v>
      </c>
      <c r="D89" s="11" t="s">
        <v>508</v>
      </c>
      <c r="E89" s="11">
        <v>360</v>
      </c>
      <c r="F89" s="11" t="s">
        <v>240</v>
      </c>
      <c r="G89" s="11">
        <v>615000</v>
      </c>
      <c r="H89" s="11">
        <v>6</v>
      </c>
      <c r="I89" s="11">
        <v>700</v>
      </c>
      <c r="J89" s="11">
        <v>200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50</v>
      </c>
      <c r="R89" s="11">
        <v>100</v>
      </c>
      <c r="S89" s="14">
        <v>1</v>
      </c>
      <c r="T89" s="24">
        <v>28</v>
      </c>
    </row>
    <row r="90" spans="1:20" s="17" customFormat="1" x14ac:dyDescent="0.4">
      <c r="A90" s="8"/>
      <c r="B90" s="14">
        <v>3</v>
      </c>
      <c r="C90" s="11">
        <v>33</v>
      </c>
      <c r="D90" s="11" t="s">
        <v>509</v>
      </c>
      <c r="E90" s="11">
        <v>370</v>
      </c>
      <c r="F90" s="11" t="s">
        <v>305</v>
      </c>
      <c r="G90" s="11">
        <v>690000</v>
      </c>
      <c r="H90" s="11">
        <v>3</v>
      </c>
      <c r="I90" s="11">
        <v>200</v>
      </c>
      <c r="J90" s="11">
        <v>100</v>
      </c>
      <c r="K90" s="11">
        <v>100</v>
      </c>
      <c r="L90" s="11">
        <v>100</v>
      </c>
      <c r="M90" s="11">
        <v>250</v>
      </c>
      <c r="N90" s="11">
        <v>100</v>
      </c>
      <c r="O90" s="11">
        <v>100</v>
      </c>
      <c r="P90" s="11">
        <v>100</v>
      </c>
      <c r="Q90" s="11">
        <v>250</v>
      </c>
      <c r="R90" s="11">
        <v>100</v>
      </c>
      <c r="S90" s="14">
        <v>1</v>
      </c>
      <c r="T90" s="24">
        <v>29</v>
      </c>
    </row>
    <row r="91" spans="1:20" s="17" customFormat="1" x14ac:dyDescent="0.4">
      <c r="A91" s="8"/>
      <c r="B91" s="14">
        <v>3</v>
      </c>
      <c r="C91" s="11">
        <v>34</v>
      </c>
      <c r="D91" s="11" t="s">
        <v>510</v>
      </c>
      <c r="E91" s="11">
        <v>370</v>
      </c>
      <c r="F91" s="11" t="s">
        <v>306</v>
      </c>
      <c r="G91" s="11">
        <v>540000</v>
      </c>
      <c r="H91" s="11">
        <v>2</v>
      </c>
      <c r="I91" s="11">
        <v>150</v>
      </c>
      <c r="J91" s="11">
        <v>250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25</v>
      </c>
      <c r="R91" s="11">
        <v>100</v>
      </c>
      <c r="S91" s="14">
        <v>1</v>
      </c>
      <c r="T91" s="24">
        <v>30</v>
      </c>
    </row>
    <row r="92" spans="1:20" s="17" customFormat="1" x14ac:dyDescent="0.4">
      <c r="A92" s="8"/>
      <c r="B92" s="14">
        <v>3</v>
      </c>
      <c r="C92" s="11">
        <v>35</v>
      </c>
      <c r="D92" s="11" t="s">
        <v>511</v>
      </c>
      <c r="E92" s="11">
        <v>370</v>
      </c>
      <c r="F92" s="11" t="s">
        <v>307</v>
      </c>
      <c r="G92" s="11">
        <v>250000</v>
      </c>
      <c r="H92" s="11">
        <v>2</v>
      </c>
      <c r="I92" s="11">
        <v>150</v>
      </c>
      <c r="J92" s="11">
        <v>150</v>
      </c>
      <c r="K92" s="11">
        <v>150</v>
      </c>
      <c r="L92" s="11">
        <v>150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100</v>
      </c>
      <c r="S92" s="14">
        <v>1</v>
      </c>
      <c r="T92" s="24">
        <v>31</v>
      </c>
    </row>
    <row r="93" spans="1:20" s="17" customFormat="1" x14ac:dyDescent="0.4">
      <c r="A93" s="8"/>
      <c r="B93" s="14">
        <v>3</v>
      </c>
      <c r="C93" s="11">
        <v>36</v>
      </c>
      <c r="D93" s="11" t="s">
        <v>512</v>
      </c>
      <c r="E93" s="11">
        <v>370</v>
      </c>
      <c r="F93" s="11" t="s">
        <v>255</v>
      </c>
      <c r="G93" s="11">
        <v>2700000</v>
      </c>
      <c r="H93" s="11">
        <v>6</v>
      </c>
      <c r="I93" s="11">
        <v>500</v>
      </c>
      <c r="J93" s="11">
        <v>100</v>
      </c>
      <c r="K93" s="11">
        <v>100</v>
      </c>
      <c r="L93" s="11">
        <v>250</v>
      </c>
      <c r="M93" s="11">
        <v>100</v>
      </c>
      <c r="N93" s="11">
        <v>100</v>
      </c>
      <c r="O93" s="11">
        <v>250</v>
      </c>
      <c r="P93" s="11">
        <v>25</v>
      </c>
      <c r="Q93" s="11">
        <v>100</v>
      </c>
      <c r="R93" s="11">
        <v>100</v>
      </c>
      <c r="S93" s="14">
        <v>1</v>
      </c>
      <c r="T93" s="24">
        <v>32</v>
      </c>
    </row>
    <row r="94" spans="1:20" s="17" customFormat="1" x14ac:dyDescent="0.4">
      <c r="A94" s="8"/>
      <c r="B94" s="14">
        <v>3</v>
      </c>
      <c r="C94" s="11">
        <v>37</v>
      </c>
      <c r="D94" s="11" t="s">
        <v>513</v>
      </c>
      <c r="E94" s="11">
        <v>370</v>
      </c>
      <c r="F94" s="11" t="s">
        <v>308</v>
      </c>
      <c r="G94" s="11">
        <v>1150000</v>
      </c>
      <c r="H94" s="11">
        <v>6</v>
      </c>
      <c r="I94" s="11">
        <v>600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25</v>
      </c>
      <c r="P94" s="11">
        <v>100</v>
      </c>
      <c r="Q94" s="11">
        <v>150</v>
      </c>
      <c r="R94" s="11">
        <v>100</v>
      </c>
      <c r="S94" s="14">
        <v>1</v>
      </c>
      <c r="T94" s="24">
        <v>33</v>
      </c>
    </row>
    <row r="95" spans="1:20" s="17" customFormat="1" x14ac:dyDescent="0.4">
      <c r="A95" s="8"/>
      <c r="B95" s="14">
        <v>3</v>
      </c>
      <c r="C95" s="11">
        <v>38</v>
      </c>
      <c r="D95" s="11" t="s">
        <v>514</v>
      </c>
      <c r="E95" s="11">
        <v>370</v>
      </c>
      <c r="F95" s="11" t="s">
        <v>283</v>
      </c>
      <c r="G95" s="11">
        <v>1000000</v>
      </c>
      <c r="H95" s="11">
        <v>5</v>
      </c>
      <c r="I95" s="11">
        <v>650</v>
      </c>
      <c r="J95" s="11">
        <v>100</v>
      </c>
      <c r="K95" s="11">
        <v>200</v>
      </c>
      <c r="L95" s="11">
        <v>100</v>
      </c>
      <c r="M95" s="11">
        <v>100</v>
      </c>
      <c r="N95" s="11">
        <v>100</v>
      </c>
      <c r="O95" s="11">
        <v>150</v>
      </c>
      <c r="P95" s="11">
        <v>100</v>
      </c>
      <c r="Q95" s="11">
        <v>100</v>
      </c>
      <c r="R95" s="11">
        <v>100</v>
      </c>
      <c r="S95" s="14">
        <v>1</v>
      </c>
      <c r="T95" s="24">
        <v>34</v>
      </c>
    </row>
    <row r="96" spans="1:20" s="17" customFormat="1" x14ac:dyDescent="0.4">
      <c r="A96" s="8"/>
      <c r="B96" s="14">
        <v>3</v>
      </c>
      <c r="C96" s="11">
        <v>39</v>
      </c>
      <c r="D96" s="11" t="s">
        <v>515</v>
      </c>
      <c r="E96" s="11">
        <v>370</v>
      </c>
      <c r="F96" s="11" t="s">
        <v>331</v>
      </c>
      <c r="G96" s="11">
        <v>115000</v>
      </c>
      <c r="H96" s="11">
        <v>2</v>
      </c>
      <c r="I96" s="11">
        <v>150</v>
      </c>
      <c r="J96" s="11">
        <v>100</v>
      </c>
      <c r="K96" s="11">
        <v>100</v>
      </c>
      <c r="L96" s="11">
        <v>100</v>
      </c>
      <c r="M96" s="11">
        <v>100</v>
      </c>
      <c r="N96" s="11">
        <v>250</v>
      </c>
      <c r="O96" s="11">
        <v>100</v>
      </c>
      <c r="P96" s="11">
        <v>250</v>
      </c>
      <c r="Q96" s="11">
        <v>25</v>
      </c>
      <c r="R96" s="11">
        <v>100</v>
      </c>
      <c r="S96" s="14">
        <v>1</v>
      </c>
      <c r="T96" s="24">
        <v>35</v>
      </c>
    </row>
    <row r="97" spans="1:20" s="17" customFormat="1" x14ac:dyDescent="0.4">
      <c r="A97" s="8"/>
      <c r="B97" s="14">
        <v>3</v>
      </c>
      <c r="C97" s="11">
        <v>40</v>
      </c>
      <c r="D97" s="11" t="s">
        <v>516</v>
      </c>
      <c r="E97" s="11">
        <v>370</v>
      </c>
      <c r="F97" s="11" t="s">
        <v>332</v>
      </c>
      <c r="G97" s="11">
        <v>3125000</v>
      </c>
      <c r="H97" s="11">
        <v>5</v>
      </c>
      <c r="I97" s="11">
        <v>700</v>
      </c>
      <c r="J97" s="11">
        <v>100</v>
      </c>
      <c r="K97" s="11">
        <v>100</v>
      </c>
      <c r="L97" s="11">
        <v>100</v>
      </c>
      <c r="M97" s="11">
        <v>250</v>
      </c>
      <c r="N97" s="11">
        <v>100</v>
      </c>
      <c r="O97" s="11">
        <v>250</v>
      </c>
      <c r="P97" s="11">
        <v>50</v>
      </c>
      <c r="Q97" s="11">
        <v>100</v>
      </c>
      <c r="R97" s="11">
        <v>100</v>
      </c>
      <c r="S97" s="14">
        <v>1</v>
      </c>
      <c r="T97" s="24">
        <v>36</v>
      </c>
    </row>
    <row r="98" spans="1:20" s="17" customFormat="1" x14ac:dyDescent="0.4">
      <c r="A98" s="8"/>
      <c r="B98" s="14">
        <v>3</v>
      </c>
      <c r="C98" s="11">
        <v>41</v>
      </c>
      <c r="D98" s="11" t="s">
        <v>515</v>
      </c>
      <c r="E98" s="11">
        <v>370</v>
      </c>
      <c r="F98" s="11" t="s">
        <v>333</v>
      </c>
      <c r="G98" s="11">
        <v>135000</v>
      </c>
      <c r="H98" s="11">
        <v>2</v>
      </c>
      <c r="I98" s="11">
        <v>150</v>
      </c>
      <c r="J98" s="11">
        <v>100</v>
      </c>
      <c r="K98" s="11">
        <v>100</v>
      </c>
      <c r="L98" s="11">
        <v>100</v>
      </c>
      <c r="M98" s="11">
        <v>100</v>
      </c>
      <c r="N98" s="11">
        <v>250</v>
      </c>
      <c r="O98" s="11">
        <v>100</v>
      </c>
      <c r="P98" s="11">
        <v>250</v>
      </c>
      <c r="Q98" s="11">
        <v>25</v>
      </c>
      <c r="R98" s="11">
        <v>100</v>
      </c>
      <c r="S98" s="14">
        <v>1</v>
      </c>
      <c r="T98" s="24">
        <v>37</v>
      </c>
    </row>
    <row r="99" spans="1:20" s="17" customFormat="1" x14ac:dyDescent="0.4">
      <c r="A99" s="8"/>
      <c r="B99" s="14">
        <v>3</v>
      </c>
      <c r="C99" s="11">
        <v>42</v>
      </c>
      <c r="D99" s="11" t="s">
        <v>517</v>
      </c>
      <c r="E99" s="11">
        <v>370</v>
      </c>
      <c r="F99" s="11" t="s">
        <v>334</v>
      </c>
      <c r="G99" s="11">
        <v>222500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100</v>
      </c>
      <c r="N99" s="11">
        <v>250</v>
      </c>
      <c r="O99" s="11">
        <v>100</v>
      </c>
      <c r="P99" s="11">
        <v>250</v>
      </c>
      <c r="Q99" s="11">
        <v>25</v>
      </c>
      <c r="R99" s="11">
        <v>100</v>
      </c>
      <c r="S99" s="14">
        <v>1</v>
      </c>
      <c r="T99" s="24">
        <v>37</v>
      </c>
    </row>
    <row r="100" spans="1:20" s="17" customFormat="1" x14ac:dyDescent="0.4">
      <c r="A100" s="8"/>
      <c r="B100" s="14">
        <v>3</v>
      </c>
      <c r="C100" s="11">
        <v>43</v>
      </c>
      <c r="D100" s="11" t="s">
        <v>518</v>
      </c>
      <c r="E100" s="11">
        <v>380</v>
      </c>
      <c r="F100" s="11" t="s">
        <v>261</v>
      </c>
      <c r="G100" s="11">
        <v>50000</v>
      </c>
      <c r="H100" s="11">
        <v>2</v>
      </c>
      <c r="I100" s="11">
        <v>150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250</v>
      </c>
      <c r="Q100" s="11">
        <v>100</v>
      </c>
      <c r="R100" s="11">
        <v>100</v>
      </c>
      <c r="S100" s="14">
        <v>1</v>
      </c>
      <c r="T100" s="24">
        <v>38</v>
      </c>
    </row>
    <row r="101" spans="1:20" s="17" customFormat="1" x14ac:dyDescent="0.4">
      <c r="A101" s="8"/>
      <c r="B101" s="14">
        <v>3</v>
      </c>
      <c r="C101" s="11">
        <v>44</v>
      </c>
      <c r="D101" s="11" t="s">
        <v>480</v>
      </c>
      <c r="E101" s="11">
        <v>380</v>
      </c>
      <c r="F101" s="11" t="s">
        <v>347</v>
      </c>
      <c r="G101" s="11">
        <v>25000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250</v>
      </c>
      <c r="R101" s="11">
        <v>100</v>
      </c>
      <c r="S101" s="14">
        <v>1</v>
      </c>
      <c r="T101" s="24">
        <v>38</v>
      </c>
    </row>
    <row r="102" spans="1:20" s="17" customFormat="1" x14ac:dyDescent="0.4">
      <c r="A102" s="8"/>
      <c r="B102" s="14">
        <v>3</v>
      </c>
      <c r="C102" s="11">
        <v>45</v>
      </c>
      <c r="D102" s="11" t="s">
        <v>519</v>
      </c>
      <c r="E102" s="11">
        <v>380</v>
      </c>
      <c r="F102" s="11" t="s">
        <v>269</v>
      </c>
      <c r="G102" s="11">
        <v>250000</v>
      </c>
      <c r="H102" s="11">
        <v>2</v>
      </c>
      <c r="I102" s="11">
        <v>150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25</v>
      </c>
      <c r="P102" s="11">
        <v>25</v>
      </c>
      <c r="Q102" s="11">
        <v>250</v>
      </c>
      <c r="R102" s="11">
        <v>100</v>
      </c>
      <c r="S102" s="14">
        <v>1</v>
      </c>
      <c r="T102" s="24">
        <v>39</v>
      </c>
    </row>
    <row r="103" spans="1:20" s="17" customFormat="1" x14ac:dyDescent="0.4">
      <c r="A103" s="8"/>
      <c r="B103" s="14">
        <v>3</v>
      </c>
      <c r="C103" s="11">
        <v>46</v>
      </c>
      <c r="D103" s="11" t="s">
        <v>520</v>
      </c>
      <c r="E103" s="11">
        <v>380</v>
      </c>
      <c r="F103" s="11" t="s">
        <v>242</v>
      </c>
      <c r="G103" s="11">
        <v>530000</v>
      </c>
      <c r="H103" s="11">
        <v>2</v>
      </c>
      <c r="I103" s="11">
        <v>150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50</v>
      </c>
      <c r="P103" s="11">
        <v>100</v>
      </c>
      <c r="Q103" s="11">
        <v>250</v>
      </c>
      <c r="R103" s="11">
        <v>100</v>
      </c>
      <c r="S103" s="14">
        <v>1</v>
      </c>
      <c r="T103" s="24">
        <v>40</v>
      </c>
    </row>
    <row r="104" spans="1:20" s="17" customFormat="1" x14ac:dyDescent="0.4">
      <c r="A104" s="8"/>
      <c r="B104" s="14">
        <v>3</v>
      </c>
      <c r="C104" s="11">
        <v>47</v>
      </c>
      <c r="D104" s="11" t="s">
        <v>521</v>
      </c>
      <c r="E104" s="11">
        <v>380</v>
      </c>
      <c r="F104" s="11" t="s">
        <v>345</v>
      </c>
      <c r="G104" s="11">
        <v>100000</v>
      </c>
      <c r="H104" s="11">
        <v>2</v>
      </c>
      <c r="I104" s="11">
        <v>150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250</v>
      </c>
      <c r="Q104" s="11">
        <v>100</v>
      </c>
      <c r="R104" s="11">
        <v>100</v>
      </c>
      <c r="S104" s="14">
        <v>1</v>
      </c>
      <c r="T104" s="24">
        <v>41</v>
      </c>
    </row>
    <row r="105" spans="1:20" s="17" customFormat="1" x14ac:dyDescent="0.4">
      <c r="A105" s="8"/>
      <c r="B105" s="14">
        <v>3</v>
      </c>
      <c r="C105" s="11">
        <v>48</v>
      </c>
      <c r="D105" s="11" t="s">
        <v>522</v>
      </c>
      <c r="E105" s="11">
        <v>380</v>
      </c>
      <c r="F105" s="11" t="s">
        <v>346</v>
      </c>
      <c r="G105" s="11">
        <v>1000000</v>
      </c>
      <c r="H105" s="11">
        <v>5</v>
      </c>
      <c r="I105" s="11">
        <v>200</v>
      </c>
      <c r="J105" s="11">
        <v>100</v>
      </c>
      <c r="K105" s="11">
        <v>250</v>
      </c>
      <c r="L105" s="11">
        <v>100</v>
      </c>
      <c r="M105" s="11">
        <v>100</v>
      </c>
      <c r="N105" s="11">
        <v>100</v>
      </c>
      <c r="O105" s="11">
        <v>100</v>
      </c>
      <c r="P105" s="11">
        <v>250</v>
      </c>
      <c r="Q105" s="11">
        <v>50</v>
      </c>
      <c r="R105" s="11">
        <v>100</v>
      </c>
      <c r="S105" s="14">
        <v>1</v>
      </c>
      <c r="T105" s="24">
        <v>42</v>
      </c>
    </row>
    <row r="106" spans="1:20" s="17" customFormat="1" x14ac:dyDescent="0.4">
      <c r="A106" s="8"/>
      <c r="B106" s="14">
        <v>3</v>
      </c>
      <c r="C106" s="11">
        <v>49</v>
      </c>
      <c r="D106" s="11" t="s">
        <v>523</v>
      </c>
      <c r="E106" s="11">
        <v>380</v>
      </c>
      <c r="F106" s="11" t="s">
        <v>405</v>
      </c>
      <c r="G106" s="11">
        <v>150000</v>
      </c>
      <c r="H106" s="11">
        <v>2</v>
      </c>
      <c r="I106" s="11">
        <v>150</v>
      </c>
      <c r="J106" s="11">
        <v>250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250</v>
      </c>
      <c r="Q106" s="11">
        <v>50</v>
      </c>
      <c r="R106" s="11">
        <v>100</v>
      </c>
      <c r="S106" s="14">
        <v>1</v>
      </c>
      <c r="T106" s="24">
        <v>43</v>
      </c>
    </row>
    <row r="107" spans="1:20" s="17" customFormat="1" x14ac:dyDescent="0.4">
      <c r="A107" s="8"/>
      <c r="B107" s="14">
        <v>3</v>
      </c>
      <c r="C107" s="11">
        <v>50</v>
      </c>
      <c r="D107" s="11" t="s">
        <v>524</v>
      </c>
      <c r="E107" s="11">
        <v>380</v>
      </c>
      <c r="F107" s="11" t="s">
        <v>297</v>
      </c>
      <c r="G107" s="11">
        <v>1030000</v>
      </c>
      <c r="H107" s="11">
        <v>6</v>
      </c>
      <c r="I107" s="11">
        <v>650</v>
      </c>
      <c r="J107" s="11">
        <v>100</v>
      </c>
      <c r="K107" s="11">
        <v>100</v>
      </c>
      <c r="L107" s="11">
        <v>100</v>
      </c>
      <c r="M107" s="11">
        <v>100</v>
      </c>
      <c r="N107" s="11">
        <v>100</v>
      </c>
      <c r="O107" s="11">
        <v>250</v>
      </c>
      <c r="P107" s="11">
        <v>100</v>
      </c>
      <c r="Q107" s="11">
        <v>100</v>
      </c>
      <c r="R107" s="11">
        <v>100</v>
      </c>
      <c r="S107" s="14">
        <v>1</v>
      </c>
      <c r="T107" s="24">
        <v>44</v>
      </c>
    </row>
    <row r="108" spans="1:20" s="17" customFormat="1" x14ac:dyDescent="0.4">
      <c r="A108" s="8"/>
      <c r="B108" s="14">
        <v>3</v>
      </c>
      <c r="C108" s="11">
        <v>51</v>
      </c>
      <c r="D108" s="11" t="s">
        <v>525</v>
      </c>
      <c r="E108" s="11">
        <v>380</v>
      </c>
      <c r="F108" s="11" t="s">
        <v>239</v>
      </c>
      <c r="G108" s="11">
        <v>200000</v>
      </c>
      <c r="H108" s="11">
        <v>5</v>
      </c>
      <c r="I108" s="11">
        <v>300</v>
      </c>
      <c r="J108" s="11">
        <v>100</v>
      </c>
      <c r="K108" s="11">
        <v>25</v>
      </c>
      <c r="L108" s="11">
        <v>150</v>
      </c>
      <c r="M108" s="11">
        <v>100</v>
      </c>
      <c r="N108" s="11">
        <v>100</v>
      </c>
      <c r="O108" s="11">
        <v>100</v>
      </c>
      <c r="P108" s="11">
        <v>150</v>
      </c>
      <c r="Q108" s="11">
        <v>50</v>
      </c>
      <c r="R108" s="11">
        <v>100</v>
      </c>
      <c r="S108" s="14">
        <v>1</v>
      </c>
      <c r="T108" s="24">
        <v>45</v>
      </c>
    </row>
    <row r="109" spans="1:20" s="17" customFormat="1" x14ac:dyDescent="0.4">
      <c r="A109" s="8"/>
      <c r="B109" s="14">
        <v>3</v>
      </c>
      <c r="C109" s="11">
        <v>52</v>
      </c>
      <c r="D109" s="11" t="s">
        <v>526</v>
      </c>
      <c r="E109" s="11">
        <v>380</v>
      </c>
      <c r="F109" s="11" t="s">
        <v>317</v>
      </c>
      <c r="G109" s="11">
        <v>1800000</v>
      </c>
      <c r="H109" s="11">
        <v>3</v>
      </c>
      <c r="I109" s="11">
        <v>999</v>
      </c>
      <c r="J109" s="11">
        <v>100</v>
      </c>
      <c r="K109" s="11">
        <v>100</v>
      </c>
      <c r="L109" s="11">
        <v>100</v>
      </c>
      <c r="M109" s="11">
        <v>100</v>
      </c>
      <c r="N109" s="11">
        <v>100</v>
      </c>
      <c r="O109" s="11">
        <v>250</v>
      </c>
      <c r="P109" s="11">
        <v>100</v>
      </c>
      <c r="Q109" s="11">
        <v>100</v>
      </c>
      <c r="R109" s="11">
        <v>100</v>
      </c>
      <c r="S109" s="14">
        <v>3</v>
      </c>
      <c r="T109" s="24">
        <v>46</v>
      </c>
    </row>
    <row r="110" spans="1:20" s="17" customFormat="1" x14ac:dyDescent="0.4">
      <c r="A110" s="8"/>
      <c r="B110" s="14">
        <v>3</v>
      </c>
      <c r="C110" s="11">
        <v>53</v>
      </c>
      <c r="D110" s="11" t="s">
        <v>527</v>
      </c>
      <c r="E110" s="11">
        <v>390</v>
      </c>
      <c r="F110" s="11" t="s">
        <v>293</v>
      </c>
      <c r="G110" s="11">
        <v>270000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150</v>
      </c>
      <c r="Q110" s="11">
        <v>50</v>
      </c>
      <c r="R110" s="11">
        <v>100</v>
      </c>
      <c r="S110" s="14">
        <v>1</v>
      </c>
      <c r="T110" s="24">
        <v>47</v>
      </c>
    </row>
    <row r="111" spans="1:20" s="17" customFormat="1" x14ac:dyDescent="0.4">
      <c r="A111" s="8"/>
      <c r="B111" s="14">
        <v>3</v>
      </c>
      <c r="C111" s="11">
        <v>54</v>
      </c>
      <c r="D111" s="11" t="s">
        <v>528</v>
      </c>
      <c r="E111" s="11">
        <v>390</v>
      </c>
      <c r="F111" s="11" t="s">
        <v>420</v>
      </c>
      <c r="G111" s="11">
        <v>1120000</v>
      </c>
      <c r="H111" s="11">
        <v>2</v>
      </c>
      <c r="I111" s="11">
        <v>150</v>
      </c>
      <c r="J111" s="11">
        <v>100</v>
      </c>
      <c r="K111" s="11">
        <v>100</v>
      </c>
      <c r="L111" s="11">
        <v>100</v>
      </c>
      <c r="M111" s="11">
        <v>100</v>
      </c>
      <c r="N111" s="11">
        <v>250</v>
      </c>
      <c r="O111" s="11">
        <v>250</v>
      </c>
      <c r="P111" s="11">
        <v>100</v>
      </c>
      <c r="Q111" s="11">
        <v>100</v>
      </c>
      <c r="R111" s="11">
        <v>100</v>
      </c>
      <c r="S111" s="14">
        <v>1</v>
      </c>
      <c r="T111" s="24">
        <v>48</v>
      </c>
    </row>
    <row r="112" spans="1:20" s="17" customFormat="1" x14ac:dyDescent="0.4">
      <c r="A112" s="8"/>
      <c r="B112" s="14">
        <v>3</v>
      </c>
      <c r="C112" s="11">
        <v>55</v>
      </c>
      <c r="D112" s="11" t="s">
        <v>485</v>
      </c>
      <c r="E112" s="11">
        <v>390</v>
      </c>
      <c r="F112" s="11" t="s">
        <v>421</v>
      </c>
      <c r="G112" s="11">
        <v>270000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25</v>
      </c>
      <c r="P112" s="11">
        <v>150</v>
      </c>
      <c r="Q112" s="11">
        <v>25</v>
      </c>
      <c r="R112" s="11">
        <v>100</v>
      </c>
      <c r="S112" s="14">
        <v>2</v>
      </c>
      <c r="T112" s="24">
        <v>49</v>
      </c>
    </row>
    <row r="113" spans="1:20" s="17" customFormat="1" x14ac:dyDescent="0.4">
      <c r="A113" s="8"/>
      <c r="B113" s="14">
        <v>3</v>
      </c>
      <c r="C113" s="11">
        <v>56</v>
      </c>
      <c r="D113" s="11" t="s">
        <v>529</v>
      </c>
      <c r="E113" s="11">
        <v>390</v>
      </c>
      <c r="F113" s="11" t="s">
        <v>422</v>
      </c>
      <c r="G113" s="11">
        <v>370000</v>
      </c>
      <c r="H113" s="11">
        <v>2</v>
      </c>
      <c r="I113" s="11">
        <v>150</v>
      </c>
      <c r="J113" s="11">
        <v>100</v>
      </c>
      <c r="K113" s="11">
        <v>100</v>
      </c>
      <c r="L113" s="11">
        <v>100</v>
      </c>
      <c r="M113" s="11">
        <v>100</v>
      </c>
      <c r="N113" s="11">
        <v>200</v>
      </c>
      <c r="O113" s="11">
        <v>100</v>
      </c>
      <c r="P113" s="11">
        <v>100</v>
      </c>
      <c r="Q113" s="11">
        <v>100</v>
      </c>
      <c r="R113" s="11">
        <v>100</v>
      </c>
      <c r="S113" s="14">
        <v>2</v>
      </c>
      <c r="T113" s="24">
        <v>49</v>
      </c>
    </row>
    <row r="114" spans="1:20" s="17" customFormat="1" x14ac:dyDescent="0.4">
      <c r="A114" s="8"/>
      <c r="B114" s="14">
        <v>3</v>
      </c>
      <c r="C114" s="11">
        <v>57</v>
      </c>
      <c r="D114" s="11" t="s">
        <v>530</v>
      </c>
      <c r="E114" s="11">
        <v>390</v>
      </c>
      <c r="F114" s="11" t="s">
        <v>283</v>
      </c>
      <c r="G114" s="11">
        <v>950000</v>
      </c>
      <c r="H114" s="11">
        <v>5</v>
      </c>
      <c r="I114" s="11">
        <v>300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25</v>
      </c>
      <c r="P114" s="11">
        <v>25</v>
      </c>
      <c r="Q114" s="11">
        <v>250</v>
      </c>
      <c r="R114" s="11">
        <v>100</v>
      </c>
      <c r="S114" s="14">
        <v>1</v>
      </c>
      <c r="T114" s="24">
        <v>50</v>
      </c>
    </row>
    <row r="115" spans="1:20" s="17" customFormat="1" x14ac:dyDescent="0.4">
      <c r="A115" s="8"/>
      <c r="B115" s="14">
        <v>3</v>
      </c>
      <c r="C115" s="11">
        <v>58</v>
      </c>
      <c r="D115" s="11" t="s">
        <v>531</v>
      </c>
      <c r="E115" s="11">
        <v>390</v>
      </c>
      <c r="F115" s="11" t="s">
        <v>258</v>
      </c>
      <c r="G115" s="11">
        <v>1090000</v>
      </c>
      <c r="H115" s="11">
        <v>2</v>
      </c>
      <c r="I115" s="11">
        <v>150</v>
      </c>
      <c r="J115" s="11">
        <v>100</v>
      </c>
      <c r="K115" s="11">
        <v>250</v>
      </c>
      <c r="L115" s="11">
        <v>100</v>
      </c>
      <c r="M115" s="11">
        <v>100</v>
      </c>
      <c r="N115" s="11">
        <v>100</v>
      </c>
      <c r="O115" s="11">
        <v>100</v>
      </c>
      <c r="P115" s="11">
        <v>150</v>
      </c>
      <c r="Q115" s="11">
        <v>150</v>
      </c>
      <c r="R115" s="11">
        <v>100</v>
      </c>
      <c r="S115" s="14">
        <v>1</v>
      </c>
      <c r="T115" s="24">
        <v>51</v>
      </c>
    </row>
    <row r="116" spans="1:20" s="17" customFormat="1" x14ac:dyDescent="0.4">
      <c r="A116" s="8"/>
      <c r="B116" s="14">
        <v>3</v>
      </c>
      <c r="C116" s="11">
        <v>59</v>
      </c>
      <c r="D116" s="11" t="s">
        <v>532</v>
      </c>
      <c r="E116" s="11">
        <v>390</v>
      </c>
      <c r="F116" s="11" t="s">
        <v>429</v>
      </c>
      <c r="G116" s="11">
        <v>836000</v>
      </c>
      <c r="H116" s="11">
        <v>2</v>
      </c>
      <c r="I116" s="11">
        <v>150</v>
      </c>
      <c r="J116" s="11">
        <v>100</v>
      </c>
      <c r="K116" s="11">
        <v>100</v>
      </c>
      <c r="L116" s="11">
        <v>100</v>
      </c>
      <c r="M116" s="11">
        <v>250</v>
      </c>
      <c r="N116" s="11">
        <v>100</v>
      </c>
      <c r="O116" s="11">
        <v>250</v>
      </c>
      <c r="P116" s="11">
        <v>50</v>
      </c>
      <c r="Q116" s="11">
        <v>100</v>
      </c>
      <c r="R116" s="11">
        <v>100</v>
      </c>
      <c r="S116" s="14">
        <v>1</v>
      </c>
      <c r="T116" s="24">
        <v>52</v>
      </c>
    </row>
    <row r="117" spans="1:20" s="17" customFormat="1" x14ac:dyDescent="0.4">
      <c r="A117" s="8"/>
      <c r="B117" s="14">
        <v>3</v>
      </c>
      <c r="C117" s="11">
        <v>60</v>
      </c>
      <c r="D117" s="11" t="s">
        <v>533</v>
      </c>
      <c r="E117" s="11">
        <v>390</v>
      </c>
      <c r="F117" s="11" t="s">
        <v>430</v>
      </c>
      <c r="G117" s="11">
        <v>140000</v>
      </c>
      <c r="H117" s="11">
        <v>2</v>
      </c>
      <c r="I117" s="11">
        <v>150</v>
      </c>
      <c r="J117" s="11">
        <v>100</v>
      </c>
      <c r="K117" s="11">
        <v>100</v>
      </c>
      <c r="L117" s="11">
        <v>200</v>
      </c>
      <c r="M117" s="11">
        <v>100</v>
      </c>
      <c r="N117" s="11">
        <v>100</v>
      </c>
      <c r="O117" s="11">
        <v>150</v>
      </c>
      <c r="P117" s="11">
        <v>25</v>
      </c>
      <c r="Q117" s="11">
        <v>100</v>
      </c>
      <c r="R117" s="11">
        <v>100</v>
      </c>
      <c r="S117" s="14">
        <v>1</v>
      </c>
      <c r="T117" s="24">
        <v>53</v>
      </c>
    </row>
    <row r="118" spans="1:20" s="17" customFormat="1" x14ac:dyDescent="0.4">
      <c r="A118" s="8"/>
      <c r="B118" s="14">
        <v>3</v>
      </c>
      <c r="C118" s="11">
        <v>61</v>
      </c>
      <c r="D118" s="11" t="s">
        <v>534</v>
      </c>
      <c r="E118" s="11">
        <v>390</v>
      </c>
      <c r="F118" s="11" t="s">
        <v>431</v>
      </c>
      <c r="G118" s="11">
        <v>888800</v>
      </c>
      <c r="H118" s="11">
        <v>5</v>
      </c>
      <c r="I118" s="11">
        <v>600</v>
      </c>
      <c r="J118" s="11">
        <v>250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100</v>
      </c>
      <c r="S118" s="14">
        <v>1</v>
      </c>
      <c r="T118" s="24">
        <v>54</v>
      </c>
    </row>
    <row r="119" spans="1:20" s="17" customFormat="1" x14ac:dyDescent="0.4">
      <c r="A119" s="8"/>
      <c r="B119" s="14">
        <v>3</v>
      </c>
      <c r="C119" s="11">
        <v>62</v>
      </c>
      <c r="D119" s="11" t="s">
        <v>535</v>
      </c>
      <c r="E119" s="11">
        <v>390</v>
      </c>
      <c r="F119" s="11" t="s">
        <v>432</v>
      </c>
      <c r="G119" s="11">
        <v>1152100</v>
      </c>
      <c r="H119" s="11">
        <v>5</v>
      </c>
      <c r="I119" s="11">
        <v>600</v>
      </c>
      <c r="J119" s="11">
        <v>250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250</v>
      </c>
      <c r="R119" s="11">
        <v>100</v>
      </c>
      <c r="S119" s="14">
        <v>2</v>
      </c>
      <c r="T119" s="24">
        <v>55</v>
      </c>
    </row>
    <row r="120" spans="1:20" s="17" customFormat="1" x14ac:dyDescent="0.4">
      <c r="A120" s="8"/>
      <c r="B120" s="14">
        <v>3</v>
      </c>
      <c r="C120" s="11">
        <v>63</v>
      </c>
      <c r="D120" s="11" t="s">
        <v>534</v>
      </c>
      <c r="E120" s="11">
        <v>390</v>
      </c>
      <c r="F120" s="11" t="s">
        <v>437</v>
      </c>
      <c r="G120" s="11">
        <v>694400</v>
      </c>
      <c r="H120" s="11">
        <v>5</v>
      </c>
      <c r="I120" s="11">
        <v>600</v>
      </c>
      <c r="J120" s="11">
        <v>250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100</v>
      </c>
      <c r="S120" s="14">
        <v>2</v>
      </c>
      <c r="T120" s="24">
        <v>55</v>
      </c>
    </row>
    <row r="121" spans="1:20" s="17" customFormat="1" x14ac:dyDescent="0.4">
      <c r="A121" s="8"/>
      <c r="B121" s="14">
        <v>3</v>
      </c>
      <c r="C121" s="11">
        <v>64</v>
      </c>
      <c r="D121" s="11" t="s">
        <v>536</v>
      </c>
      <c r="E121" s="11">
        <v>390</v>
      </c>
      <c r="F121" s="11" t="s">
        <v>433</v>
      </c>
      <c r="G121" s="11">
        <v>166600</v>
      </c>
      <c r="H121" s="11">
        <v>2</v>
      </c>
      <c r="I121" s="11">
        <v>150</v>
      </c>
      <c r="J121" s="11">
        <v>100</v>
      </c>
      <c r="K121" s="11">
        <v>100</v>
      </c>
      <c r="L121" s="11">
        <v>100</v>
      </c>
      <c r="M121" s="11">
        <v>100</v>
      </c>
      <c r="N121" s="11">
        <v>200</v>
      </c>
      <c r="O121" s="11">
        <v>50</v>
      </c>
      <c r="P121" s="11">
        <v>100</v>
      </c>
      <c r="Q121" s="11">
        <v>150</v>
      </c>
      <c r="R121" s="11">
        <v>100</v>
      </c>
      <c r="S121" s="14">
        <v>1</v>
      </c>
      <c r="T121" s="24">
        <v>56</v>
      </c>
    </row>
    <row r="122" spans="1:20" s="17" customFormat="1" x14ac:dyDescent="0.4">
      <c r="A122" s="8"/>
      <c r="B122" s="14">
        <v>3</v>
      </c>
      <c r="C122" s="11">
        <v>65</v>
      </c>
      <c r="D122" s="11" t="s">
        <v>542</v>
      </c>
      <c r="E122" s="11">
        <v>390</v>
      </c>
      <c r="F122" s="11" t="s">
        <v>543</v>
      </c>
      <c r="G122" s="11">
        <v>400000</v>
      </c>
      <c r="H122" s="11">
        <v>5</v>
      </c>
      <c r="I122" s="11">
        <v>450</v>
      </c>
      <c r="J122" s="11">
        <v>100</v>
      </c>
      <c r="K122" s="11">
        <v>100</v>
      </c>
      <c r="L122" s="11">
        <v>100</v>
      </c>
      <c r="M122" s="11">
        <v>100</v>
      </c>
      <c r="N122" s="11">
        <v>100</v>
      </c>
      <c r="O122" s="11">
        <v>100</v>
      </c>
      <c r="P122" s="11">
        <v>150</v>
      </c>
      <c r="Q122" s="11">
        <v>100</v>
      </c>
      <c r="R122" s="11">
        <v>100</v>
      </c>
      <c r="S122" s="14">
        <v>3</v>
      </c>
      <c r="T122" s="24">
        <v>57</v>
      </c>
    </row>
    <row r="123" spans="1:20" s="17" customFormat="1" x14ac:dyDescent="0.4">
      <c r="A123" s="8"/>
      <c r="B123" s="14">
        <v>3</v>
      </c>
      <c r="C123" s="11">
        <v>66</v>
      </c>
      <c r="D123" s="11" t="s">
        <v>541</v>
      </c>
      <c r="E123" s="11">
        <v>390</v>
      </c>
      <c r="F123" s="11" t="s">
        <v>305</v>
      </c>
      <c r="G123" s="11">
        <v>1250000</v>
      </c>
      <c r="H123" s="11">
        <v>2</v>
      </c>
      <c r="I123" s="11">
        <v>600</v>
      </c>
      <c r="J123" s="11">
        <v>100</v>
      </c>
      <c r="K123" s="11">
        <v>100</v>
      </c>
      <c r="L123" s="11">
        <v>100</v>
      </c>
      <c r="M123" s="11">
        <v>200</v>
      </c>
      <c r="N123" s="11">
        <v>100</v>
      </c>
      <c r="O123" s="11">
        <v>100</v>
      </c>
      <c r="P123" s="11">
        <v>150</v>
      </c>
      <c r="Q123" s="11">
        <v>100</v>
      </c>
      <c r="R123" s="11">
        <v>100</v>
      </c>
      <c r="S123" s="14">
        <v>3</v>
      </c>
      <c r="T123" s="24">
        <v>57</v>
      </c>
    </row>
    <row r="124" spans="1:20" s="17" customFormat="1" x14ac:dyDescent="0.4">
      <c r="A124" s="8"/>
      <c r="B124" s="14">
        <v>3</v>
      </c>
      <c r="C124" s="11">
        <v>67</v>
      </c>
      <c r="D124" s="11" t="s">
        <v>540</v>
      </c>
      <c r="E124" s="11">
        <v>390</v>
      </c>
      <c r="F124" s="11" t="s">
        <v>544</v>
      </c>
      <c r="G124" s="11">
        <v>280000</v>
      </c>
      <c r="H124" s="11">
        <v>2</v>
      </c>
      <c r="I124" s="11">
        <v>150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250</v>
      </c>
      <c r="Q124" s="11">
        <v>100</v>
      </c>
      <c r="R124" s="11">
        <v>100</v>
      </c>
      <c r="S124" s="14">
        <v>1</v>
      </c>
      <c r="T124" s="24">
        <v>58</v>
      </c>
    </row>
    <row r="125" spans="1:20" s="17" customFormat="1" x14ac:dyDescent="0.4">
      <c r="A125" s="8"/>
      <c r="B125" s="14">
        <v>3</v>
      </c>
      <c r="C125" s="11">
        <v>68</v>
      </c>
      <c r="D125" s="11" t="s">
        <v>539</v>
      </c>
      <c r="E125" s="11">
        <v>390</v>
      </c>
      <c r="F125" s="11" t="s">
        <v>422</v>
      </c>
      <c r="G125" s="11">
        <v>1000000</v>
      </c>
      <c r="H125" s="11">
        <v>5</v>
      </c>
      <c r="I125" s="11">
        <v>700</v>
      </c>
      <c r="J125" s="11">
        <v>100</v>
      </c>
      <c r="K125" s="11">
        <v>250</v>
      </c>
      <c r="L125" s="11">
        <v>100</v>
      </c>
      <c r="M125" s="11">
        <v>100</v>
      </c>
      <c r="N125" s="11">
        <v>100</v>
      </c>
      <c r="O125" s="11">
        <v>50</v>
      </c>
      <c r="P125" s="11">
        <v>100</v>
      </c>
      <c r="Q125" s="11">
        <v>250</v>
      </c>
      <c r="R125" s="11">
        <v>100</v>
      </c>
      <c r="S125" s="14">
        <v>1</v>
      </c>
      <c r="T125" s="24">
        <v>59</v>
      </c>
    </row>
    <row r="126" spans="1:20" s="17" customFormat="1" x14ac:dyDescent="0.4">
      <c r="A126" s="8"/>
      <c r="B126" s="14">
        <v>3</v>
      </c>
      <c r="C126" s="11">
        <v>69</v>
      </c>
      <c r="D126" s="11" t="s">
        <v>538</v>
      </c>
      <c r="E126" s="11">
        <v>390</v>
      </c>
      <c r="F126" s="11" t="s">
        <v>544</v>
      </c>
      <c r="G126" s="11">
        <v>920000</v>
      </c>
      <c r="H126" s="11">
        <v>2</v>
      </c>
      <c r="I126" s="11">
        <v>150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250</v>
      </c>
      <c r="P126" s="11">
        <v>100</v>
      </c>
      <c r="Q126" s="11">
        <v>100</v>
      </c>
      <c r="R126" s="11">
        <v>100</v>
      </c>
      <c r="S126" s="14">
        <v>1</v>
      </c>
      <c r="T126" s="24">
        <v>60</v>
      </c>
    </row>
    <row r="127" spans="1:20" s="17" customFormat="1" x14ac:dyDescent="0.4">
      <c r="A127" s="8"/>
      <c r="B127" s="14">
        <v>3</v>
      </c>
      <c r="C127" s="11">
        <v>70</v>
      </c>
      <c r="D127" s="11" t="s">
        <v>537</v>
      </c>
      <c r="E127" s="11">
        <v>390</v>
      </c>
      <c r="F127" s="11" t="s">
        <v>253</v>
      </c>
      <c r="G127" s="11">
        <v>920000</v>
      </c>
      <c r="H127" s="11">
        <v>5</v>
      </c>
      <c r="I127" s="11">
        <v>750</v>
      </c>
      <c r="J127" s="11">
        <v>100</v>
      </c>
      <c r="K127" s="11">
        <v>100</v>
      </c>
      <c r="L127" s="11">
        <v>100</v>
      </c>
      <c r="M127" s="11">
        <v>100</v>
      </c>
      <c r="N127" s="11">
        <v>150</v>
      </c>
      <c r="O127" s="11">
        <v>150</v>
      </c>
      <c r="P127" s="11">
        <v>100</v>
      </c>
      <c r="Q127" s="11">
        <v>100</v>
      </c>
      <c r="R127" s="11">
        <v>100</v>
      </c>
      <c r="S127" s="14">
        <v>1</v>
      </c>
      <c r="T127" s="24">
        <v>61</v>
      </c>
    </row>
    <row r="128" spans="1:20" s="17" customFormat="1" x14ac:dyDescent="0.4">
      <c r="A128" s="8"/>
      <c r="B128" s="14">
        <v>3</v>
      </c>
      <c r="C128" s="11">
        <v>71</v>
      </c>
      <c r="D128" s="11" t="s">
        <v>664</v>
      </c>
      <c r="E128" s="11">
        <v>410</v>
      </c>
      <c r="F128" s="11" t="s">
        <v>284</v>
      </c>
      <c r="G128" s="11">
        <v>560000</v>
      </c>
      <c r="H128" s="11">
        <v>3</v>
      </c>
      <c r="I128" s="11">
        <v>600</v>
      </c>
      <c r="J128" s="11">
        <v>100</v>
      </c>
      <c r="K128" s="11">
        <v>100</v>
      </c>
      <c r="L128" s="11">
        <v>100</v>
      </c>
      <c r="M128" s="11">
        <v>250</v>
      </c>
      <c r="N128" s="11">
        <v>100</v>
      </c>
      <c r="O128" s="11">
        <v>100</v>
      </c>
      <c r="P128" s="11">
        <v>100</v>
      </c>
      <c r="Q128" s="11">
        <v>250</v>
      </c>
      <c r="R128" s="11">
        <v>100</v>
      </c>
      <c r="S128" s="14">
        <v>2</v>
      </c>
      <c r="T128" s="24">
        <v>62</v>
      </c>
    </row>
    <row r="129" spans="1:20" s="17" customFormat="1" x14ac:dyDescent="0.4">
      <c r="A129" s="8"/>
      <c r="B129" s="14">
        <v>3</v>
      </c>
      <c r="C129" s="11">
        <v>72</v>
      </c>
      <c r="D129" s="11" t="s">
        <v>663</v>
      </c>
      <c r="E129" s="11">
        <v>410</v>
      </c>
      <c r="F129" s="11" t="s">
        <v>298</v>
      </c>
      <c r="G129" s="11">
        <v>120000</v>
      </c>
      <c r="H129" s="11">
        <v>2</v>
      </c>
      <c r="I129" s="11">
        <v>150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250</v>
      </c>
      <c r="Q129" s="11">
        <v>100</v>
      </c>
      <c r="R129" s="11">
        <v>100</v>
      </c>
      <c r="S129" s="14">
        <v>1</v>
      </c>
      <c r="T129" s="24">
        <v>63</v>
      </c>
    </row>
    <row r="130" spans="1:20" s="17" customFormat="1" x14ac:dyDescent="0.4">
      <c r="A130" s="8"/>
      <c r="B130" s="14">
        <v>3</v>
      </c>
      <c r="C130" s="11">
        <v>73</v>
      </c>
      <c r="D130" s="11" t="s">
        <v>662</v>
      </c>
      <c r="E130" s="11">
        <v>410</v>
      </c>
      <c r="F130" s="11" t="s">
        <v>665</v>
      </c>
      <c r="G130" s="11">
        <v>1500000</v>
      </c>
      <c r="H130" s="11">
        <v>4</v>
      </c>
      <c r="I130" s="11">
        <v>600</v>
      </c>
      <c r="J130" s="11">
        <v>250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250</v>
      </c>
      <c r="Q130" s="11">
        <v>50</v>
      </c>
      <c r="R130" s="11">
        <v>100</v>
      </c>
      <c r="S130" s="14">
        <v>1</v>
      </c>
      <c r="T130" s="24">
        <v>64</v>
      </c>
    </row>
    <row r="131" spans="1:20" s="17" customFormat="1" x14ac:dyDescent="0.4">
      <c r="A131" s="8"/>
      <c r="B131" s="14">
        <v>3</v>
      </c>
      <c r="C131" s="11">
        <v>74</v>
      </c>
      <c r="D131" s="11" t="s">
        <v>495</v>
      </c>
      <c r="E131" s="11">
        <v>410</v>
      </c>
      <c r="F131" s="11" t="s">
        <v>252</v>
      </c>
      <c r="G131" s="11">
        <v>110000</v>
      </c>
      <c r="H131" s="11">
        <v>2</v>
      </c>
      <c r="I131" s="11">
        <v>200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250</v>
      </c>
      <c r="R131" s="11">
        <v>100</v>
      </c>
      <c r="S131" s="14">
        <v>2</v>
      </c>
      <c r="T131" s="24">
        <v>65</v>
      </c>
    </row>
    <row r="132" spans="1:20" s="17" customFormat="1" x14ac:dyDescent="0.4">
      <c r="A132" s="8"/>
      <c r="B132" s="14">
        <v>3</v>
      </c>
      <c r="C132" s="11">
        <v>75</v>
      </c>
      <c r="D132" s="11" t="s">
        <v>661</v>
      </c>
      <c r="E132" s="11">
        <v>410</v>
      </c>
      <c r="F132" s="11" t="s">
        <v>278</v>
      </c>
      <c r="G132" s="11">
        <v>210000</v>
      </c>
      <c r="H132" s="11">
        <v>2</v>
      </c>
      <c r="I132" s="11">
        <v>200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250</v>
      </c>
      <c r="P132" s="11">
        <v>100</v>
      </c>
      <c r="Q132" s="11">
        <v>100</v>
      </c>
      <c r="R132" s="11">
        <v>100</v>
      </c>
      <c r="S132" s="14">
        <v>2</v>
      </c>
      <c r="T132" s="24">
        <v>65</v>
      </c>
    </row>
    <row r="133" spans="1:20" s="17" customFormat="1" x14ac:dyDescent="0.4">
      <c r="A133" s="8"/>
      <c r="B133" s="14">
        <v>3</v>
      </c>
      <c r="C133" s="11">
        <v>76</v>
      </c>
      <c r="D133" s="11" t="s">
        <v>660</v>
      </c>
      <c r="E133" s="11">
        <v>410</v>
      </c>
      <c r="F133" s="11" t="s">
        <v>269</v>
      </c>
      <c r="G133" s="11">
        <v>440000</v>
      </c>
      <c r="H133" s="11">
        <v>2</v>
      </c>
      <c r="I133" s="11">
        <v>150</v>
      </c>
      <c r="J133" s="11">
        <v>100</v>
      </c>
      <c r="K133" s="11">
        <v>100</v>
      </c>
      <c r="L133" s="11">
        <v>250</v>
      </c>
      <c r="M133" s="11">
        <v>100</v>
      </c>
      <c r="N133" s="11">
        <v>100</v>
      </c>
      <c r="O133" s="11">
        <v>150</v>
      </c>
      <c r="P133" s="11">
        <v>50</v>
      </c>
      <c r="Q133" s="11">
        <v>100</v>
      </c>
      <c r="R133" s="11">
        <v>100</v>
      </c>
      <c r="S133" s="14">
        <v>1</v>
      </c>
      <c r="T133" s="24">
        <v>66</v>
      </c>
    </row>
    <row r="134" spans="1:20" s="17" customFormat="1" x14ac:dyDescent="0.4">
      <c r="A134" s="8"/>
      <c r="B134" s="14">
        <v>4</v>
      </c>
      <c r="C134" s="11">
        <v>1</v>
      </c>
      <c r="D134" s="11" t="s">
        <v>477</v>
      </c>
      <c r="E134" s="11">
        <v>380</v>
      </c>
      <c r="F134" s="11" t="s">
        <v>261</v>
      </c>
      <c r="G134" s="11">
        <v>455000</v>
      </c>
      <c r="H134" s="11">
        <v>2</v>
      </c>
      <c r="I134" s="11">
        <v>150</v>
      </c>
      <c r="J134" s="11">
        <v>200</v>
      </c>
      <c r="K134" s="11">
        <v>200</v>
      </c>
      <c r="L134" s="11">
        <v>200</v>
      </c>
      <c r="M134" s="11">
        <v>200</v>
      </c>
      <c r="N134" s="11">
        <v>200</v>
      </c>
      <c r="O134" s="11">
        <v>100</v>
      </c>
      <c r="P134" s="11">
        <v>100</v>
      </c>
      <c r="Q134" s="11">
        <v>100</v>
      </c>
      <c r="R134" s="11">
        <v>50</v>
      </c>
      <c r="S134" s="14">
        <v>1</v>
      </c>
      <c r="T134" s="24">
        <v>1</v>
      </c>
    </row>
    <row r="135" spans="1:20" s="17" customFormat="1" x14ac:dyDescent="0.4">
      <c r="A135" s="8"/>
      <c r="B135" s="14">
        <v>4</v>
      </c>
      <c r="C135" s="11">
        <v>2</v>
      </c>
      <c r="D135" s="11" t="s">
        <v>478</v>
      </c>
      <c r="E135" s="11">
        <v>380</v>
      </c>
      <c r="F135" s="11" t="s">
        <v>262</v>
      </c>
      <c r="G135" s="11">
        <v>210000</v>
      </c>
      <c r="H135" s="11">
        <v>2</v>
      </c>
      <c r="I135" s="11">
        <v>150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25</v>
      </c>
      <c r="P135" s="11">
        <v>100</v>
      </c>
      <c r="Q135" s="11">
        <v>150</v>
      </c>
      <c r="R135" s="11">
        <v>100</v>
      </c>
      <c r="S135" s="14">
        <v>1</v>
      </c>
      <c r="T135" s="24">
        <v>2</v>
      </c>
    </row>
    <row r="136" spans="1:20" s="17" customFormat="1" x14ac:dyDescent="0.4">
      <c r="A136" s="8"/>
      <c r="B136" s="14">
        <v>4</v>
      </c>
      <c r="C136" s="11">
        <v>3</v>
      </c>
      <c r="D136" s="11" t="s">
        <v>479</v>
      </c>
      <c r="E136" s="11">
        <v>380</v>
      </c>
      <c r="F136" s="11" t="s">
        <v>263</v>
      </c>
      <c r="G136" s="11">
        <v>80000</v>
      </c>
      <c r="H136" s="11">
        <v>5</v>
      </c>
      <c r="I136" s="11">
        <v>150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4">
        <v>1</v>
      </c>
      <c r="T136" s="24">
        <v>2</v>
      </c>
    </row>
    <row r="137" spans="1:20" s="17" customFormat="1" x14ac:dyDescent="0.4">
      <c r="A137" s="8"/>
      <c r="B137" s="14">
        <v>4</v>
      </c>
      <c r="C137" s="11">
        <v>4</v>
      </c>
      <c r="D137" s="11" t="s">
        <v>480</v>
      </c>
      <c r="E137" s="11">
        <v>380</v>
      </c>
      <c r="F137" s="11" t="s">
        <v>264</v>
      </c>
      <c r="G137" s="11">
        <v>96000</v>
      </c>
      <c r="H137" s="11">
        <v>5</v>
      </c>
      <c r="I137" s="11">
        <v>150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250</v>
      </c>
      <c r="R137" s="11">
        <v>100</v>
      </c>
      <c r="S137" s="14">
        <v>1</v>
      </c>
      <c r="T137" s="24">
        <v>2</v>
      </c>
    </row>
    <row r="138" spans="1:20" s="17" customFormat="1" x14ac:dyDescent="0.4">
      <c r="A138" s="8"/>
      <c r="B138" s="14">
        <v>4</v>
      </c>
      <c r="C138" s="11">
        <v>5</v>
      </c>
      <c r="D138" s="11" t="s">
        <v>481</v>
      </c>
      <c r="E138" s="11">
        <v>380</v>
      </c>
      <c r="F138" s="11" t="s">
        <v>262</v>
      </c>
      <c r="G138" s="11">
        <v>280000</v>
      </c>
      <c r="H138" s="11">
        <v>2</v>
      </c>
      <c r="I138" s="11">
        <v>150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150</v>
      </c>
      <c r="P138" s="11">
        <v>25</v>
      </c>
      <c r="Q138" s="11">
        <v>100</v>
      </c>
      <c r="R138" s="11">
        <v>100</v>
      </c>
      <c r="S138" s="14">
        <v>1</v>
      </c>
      <c r="T138" s="24">
        <v>3</v>
      </c>
    </row>
    <row r="139" spans="1:20" s="17" customFormat="1" x14ac:dyDescent="0.4">
      <c r="A139" s="8"/>
      <c r="B139" s="14">
        <v>4</v>
      </c>
      <c r="C139" s="11">
        <v>6</v>
      </c>
      <c r="D139" s="11" t="s">
        <v>482</v>
      </c>
      <c r="E139" s="11">
        <v>380</v>
      </c>
      <c r="F139" s="11" t="s">
        <v>265</v>
      </c>
      <c r="G139" s="11">
        <v>330000</v>
      </c>
      <c r="H139" s="11">
        <v>2</v>
      </c>
      <c r="I139" s="11">
        <v>150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25</v>
      </c>
      <c r="P139" s="11">
        <v>150</v>
      </c>
      <c r="Q139" s="11">
        <v>25</v>
      </c>
      <c r="R139" s="11">
        <v>100</v>
      </c>
      <c r="S139" s="14">
        <v>1</v>
      </c>
      <c r="T139" s="24">
        <v>4</v>
      </c>
    </row>
    <row r="140" spans="1:20" s="17" customFormat="1" x14ac:dyDescent="0.4">
      <c r="A140" s="8"/>
      <c r="B140" s="14">
        <v>4</v>
      </c>
      <c r="C140" s="11">
        <v>7</v>
      </c>
      <c r="D140" s="11" t="s">
        <v>483</v>
      </c>
      <c r="E140" s="11">
        <v>380</v>
      </c>
      <c r="F140" s="11" t="s">
        <v>251</v>
      </c>
      <c r="G140" s="11">
        <v>300000</v>
      </c>
      <c r="H140" s="11">
        <v>5</v>
      </c>
      <c r="I140" s="11">
        <v>300</v>
      </c>
      <c r="J140" s="11">
        <v>100</v>
      </c>
      <c r="K140" s="11">
        <v>100</v>
      </c>
      <c r="L140" s="11">
        <v>100</v>
      </c>
      <c r="M140" s="11">
        <v>100</v>
      </c>
      <c r="N140" s="11">
        <v>100</v>
      </c>
      <c r="O140" s="11">
        <v>100</v>
      </c>
      <c r="P140" s="11">
        <v>100</v>
      </c>
      <c r="Q140" s="11">
        <v>100</v>
      </c>
      <c r="R140" s="11">
        <v>100</v>
      </c>
      <c r="S140" s="14">
        <v>1</v>
      </c>
      <c r="T140" s="24">
        <v>5</v>
      </c>
    </row>
    <row r="141" spans="1:20" s="17" customFormat="1" x14ac:dyDescent="0.4">
      <c r="A141" s="8"/>
      <c r="B141" s="14">
        <v>4</v>
      </c>
      <c r="C141" s="11">
        <v>8</v>
      </c>
      <c r="D141" s="11" t="s">
        <v>484</v>
      </c>
      <c r="E141" s="11">
        <v>380</v>
      </c>
      <c r="F141" s="11" t="s">
        <v>266</v>
      </c>
      <c r="G141" s="11">
        <v>3000000</v>
      </c>
      <c r="H141" s="11">
        <v>8</v>
      </c>
      <c r="I141" s="11">
        <v>999</v>
      </c>
      <c r="J141" s="11">
        <v>100</v>
      </c>
      <c r="K141" s="11">
        <v>100</v>
      </c>
      <c r="L141" s="11">
        <v>100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4">
        <v>1</v>
      </c>
      <c r="T141" s="24">
        <v>5</v>
      </c>
    </row>
    <row r="142" spans="1:20" s="17" customFormat="1" x14ac:dyDescent="0.4">
      <c r="A142" s="8"/>
      <c r="B142" s="14">
        <v>4</v>
      </c>
      <c r="C142" s="11">
        <v>9</v>
      </c>
      <c r="D142" s="11" t="s">
        <v>485</v>
      </c>
      <c r="E142" s="11">
        <v>380</v>
      </c>
      <c r="F142" s="11" t="s">
        <v>267</v>
      </c>
      <c r="G142" s="11">
        <v>180000</v>
      </c>
      <c r="H142" s="11">
        <v>2</v>
      </c>
      <c r="I142" s="11">
        <v>150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25</v>
      </c>
      <c r="P142" s="11">
        <v>150</v>
      </c>
      <c r="Q142" s="11">
        <v>25</v>
      </c>
      <c r="R142" s="11">
        <v>100</v>
      </c>
      <c r="S142" s="14">
        <v>1</v>
      </c>
      <c r="T142" s="24">
        <v>6</v>
      </c>
    </row>
    <row r="143" spans="1:20" s="17" customFormat="1" x14ac:dyDescent="0.4">
      <c r="A143" s="8"/>
      <c r="B143" s="14">
        <v>4</v>
      </c>
      <c r="C143" s="11">
        <v>10</v>
      </c>
      <c r="D143" s="11" t="s">
        <v>486</v>
      </c>
      <c r="E143" s="11">
        <v>380</v>
      </c>
      <c r="F143" s="11" t="s">
        <v>268</v>
      </c>
      <c r="G143" s="11">
        <v>650000</v>
      </c>
      <c r="H143" s="11">
        <v>2</v>
      </c>
      <c r="I143" s="11">
        <v>150</v>
      </c>
      <c r="J143" s="11">
        <v>100</v>
      </c>
      <c r="K143" s="11">
        <v>100</v>
      </c>
      <c r="L143" s="11">
        <v>100</v>
      </c>
      <c r="M143" s="11">
        <v>100</v>
      </c>
      <c r="N143" s="11">
        <v>100</v>
      </c>
      <c r="O143" s="11">
        <v>25</v>
      </c>
      <c r="P143" s="11">
        <v>150</v>
      </c>
      <c r="Q143" s="11">
        <v>25</v>
      </c>
      <c r="R143" s="11">
        <v>100</v>
      </c>
      <c r="S143" s="14">
        <v>1</v>
      </c>
      <c r="T143" s="24">
        <v>7</v>
      </c>
    </row>
    <row r="144" spans="1:20" s="17" customFormat="1" x14ac:dyDescent="0.4">
      <c r="A144" s="8"/>
      <c r="B144" s="14">
        <v>4</v>
      </c>
      <c r="C144" s="11">
        <v>11</v>
      </c>
      <c r="D144" s="11" t="s">
        <v>487</v>
      </c>
      <c r="E144" s="11">
        <v>380</v>
      </c>
      <c r="F144" s="11" t="s">
        <v>269</v>
      </c>
      <c r="G144" s="11">
        <v>1550000</v>
      </c>
      <c r="H144" s="11">
        <v>5</v>
      </c>
      <c r="I144" s="11">
        <v>300</v>
      </c>
      <c r="J144" s="11">
        <v>100</v>
      </c>
      <c r="K144" s="11">
        <v>100</v>
      </c>
      <c r="L144" s="11">
        <v>100</v>
      </c>
      <c r="M144" s="11">
        <v>100</v>
      </c>
      <c r="N144" s="11">
        <v>100</v>
      </c>
      <c r="O144" s="11">
        <v>150</v>
      </c>
      <c r="P144" s="11">
        <v>50</v>
      </c>
      <c r="Q144" s="11">
        <v>100</v>
      </c>
      <c r="R144" s="11">
        <v>100</v>
      </c>
      <c r="S144" s="14">
        <v>1</v>
      </c>
      <c r="T144" s="24">
        <v>8</v>
      </c>
    </row>
    <row r="145" spans="1:20" s="17" customFormat="1" x14ac:dyDescent="0.4">
      <c r="A145" s="8"/>
      <c r="B145" s="14">
        <v>4</v>
      </c>
      <c r="C145" s="11">
        <v>12</v>
      </c>
      <c r="D145" s="11" t="s">
        <v>488</v>
      </c>
      <c r="E145" s="11">
        <v>380</v>
      </c>
      <c r="F145" s="11" t="s">
        <v>242</v>
      </c>
      <c r="G145" s="11">
        <v>13500000</v>
      </c>
      <c r="H145" s="11">
        <v>6</v>
      </c>
      <c r="I145" s="11">
        <v>999</v>
      </c>
      <c r="J145" s="11">
        <v>200</v>
      </c>
      <c r="K145" s="11">
        <v>100</v>
      </c>
      <c r="L145" s="11">
        <v>100</v>
      </c>
      <c r="M145" s="11">
        <v>100</v>
      </c>
      <c r="N145" s="11">
        <v>100</v>
      </c>
      <c r="O145" s="11">
        <v>100</v>
      </c>
      <c r="P145" s="11">
        <v>100</v>
      </c>
      <c r="Q145" s="11">
        <v>100</v>
      </c>
      <c r="R145" s="11">
        <v>100</v>
      </c>
      <c r="S145" s="14">
        <v>1</v>
      </c>
      <c r="T145" s="24">
        <v>9</v>
      </c>
    </row>
    <row r="146" spans="1:20" s="17" customFormat="1" x14ac:dyDescent="0.4">
      <c r="A146" s="8"/>
      <c r="B146" s="14">
        <v>4</v>
      </c>
      <c r="C146" s="11">
        <v>13</v>
      </c>
      <c r="D146" s="11" t="s">
        <v>489</v>
      </c>
      <c r="E146" s="11">
        <v>390</v>
      </c>
      <c r="F146" s="11" t="s">
        <v>239</v>
      </c>
      <c r="G146" s="11">
        <v>650000</v>
      </c>
      <c r="H146" s="11">
        <v>2</v>
      </c>
      <c r="I146" s="11">
        <v>150</v>
      </c>
      <c r="J146" s="11">
        <v>100</v>
      </c>
      <c r="K146" s="11">
        <v>100</v>
      </c>
      <c r="L146" s="11">
        <v>100</v>
      </c>
      <c r="M146" s="11">
        <v>200</v>
      </c>
      <c r="N146" s="11">
        <v>100</v>
      </c>
      <c r="O146" s="11">
        <v>150</v>
      </c>
      <c r="P146" s="11">
        <v>100</v>
      </c>
      <c r="Q146" s="11">
        <v>100</v>
      </c>
      <c r="R146" s="11">
        <v>100</v>
      </c>
      <c r="S146" s="14">
        <v>1</v>
      </c>
      <c r="T146" s="24">
        <v>10</v>
      </c>
    </row>
    <row r="147" spans="1:20" s="17" customFormat="1" x14ac:dyDescent="0.4">
      <c r="A147" s="8"/>
      <c r="B147" s="14">
        <v>4</v>
      </c>
      <c r="C147" s="11">
        <v>14</v>
      </c>
      <c r="D147" s="11" t="s">
        <v>490</v>
      </c>
      <c r="E147" s="11">
        <v>390</v>
      </c>
      <c r="F147" s="11" t="s">
        <v>270</v>
      </c>
      <c r="G147" s="11">
        <v>1000000</v>
      </c>
      <c r="H147" s="11">
        <v>6</v>
      </c>
      <c r="I147" s="11">
        <v>400</v>
      </c>
      <c r="J147" s="11">
        <v>100</v>
      </c>
      <c r="K147" s="11">
        <v>100</v>
      </c>
      <c r="L147" s="11">
        <v>100</v>
      </c>
      <c r="M147" s="11">
        <v>100</v>
      </c>
      <c r="N147" s="11">
        <v>100</v>
      </c>
      <c r="O147" s="11">
        <v>25</v>
      </c>
      <c r="P147" s="11">
        <v>25</v>
      </c>
      <c r="Q147" s="11">
        <v>150</v>
      </c>
      <c r="R147" s="11">
        <v>100</v>
      </c>
      <c r="S147" s="14">
        <v>1</v>
      </c>
      <c r="T147" s="24">
        <v>11</v>
      </c>
    </row>
    <row r="148" spans="1:20" s="17" customFormat="1" x14ac:dyDescent="0.4">
      <c r="A148" s="8"/>
      <c r="B148" s="14">
        <v>4</v>
      </c>
      <c r="C148" s="11">
        <v>15</v>
      </c>
      <c r="D148" s="11" t="s">
        <v>491</v>
      </c>
      <c r="E148" s="11">
        <v>390</v>
      </c>
      <c r="F148" s="11" t="s">
        <v>271</v>
      </c>
      <c r="G148" s="11">
        <v>2000000</v>
      </c>
      <c r="H148" s="11">
        <v>2</v>
      </c>
      <c r="I148" s="11">
        <v>150</v>
      </c>
      <c r="J148" s="11">
        <v>100</v>
      </c>
      <c r="K148" s="11">
        <v>100</v>
      </c>
      <c r="L148" s="11">
        <v>250</v>
      </c>
      <c r="M148" s="11">
        <v>100</v>
      </c>
      <c r="N148" s="11">
        <v>100</v>
      </c>
      <c r="O148" s="11">
        <v>100</v>
      </c>
      <c r="P148" s="11">
        <v>250</v>
      </c>
      <c r="Q148" s="11">
        <v>50</v>
      </c>
      <c r="R148" s="11">
        <v>100</v>
      </c>
      <c r="S148" s="14">
        <v>1</v>
      </c>
      <c r="T148" s="24">
        <v>12</v>
      </c>
    </row>
    <row r="149" spans="1:20" s="17" customFormat="1" x14ac:dyDescent="0.4">
      <c r="A149" s="8"/>
      <c r="B149" s="14">
        <v>4</v>
      </c>
      <c r="C149" s="11">
        <v>16</v>
      </c>
      <c r="D149" s="11" t="s">
        <v>492</v>
      </c>
      <c r="E149" s="11">
        <v>390</v>
      </c>
      <c r="F149" s="11" t="s">
        <v>267</v>
      </c>
      <c r="G149" s="11">
        <v>3000000</v>
      </c>
      <c r="H149" s="11">
        <v>6</v>
      </c>
      <c r="I149" s="11">
        <v>400</v>
      </c>
      <c r="J149" s="11">
        <v>100</v>
      </c>
      <c r="K149" s="11">
        <v>100</v>
      </c>
      <c r="L149" s="11">
        <v>100</v>
      </c>
      <c r="M149" s="11">
        <v>100</v>
      </c>
      <c r="N149" s="11">
        <v>250</v>
      </c>
      <c r="O149" s="11">
        <v>100</v>
      </c>
      <c r="P149" s="11">
        <v>100</v>
      </c>
      <c r="Q149" s="11">
        <v>100</v>
      </c>
      <c r="R149" s="11">
        <v>100</v>
      </c>
      <c r="S149" s="14">
        <v>1</v>
      </c>
      <c r="T149" s="24">
        <v>13</v>
      </c>
    </row>
    <row r="150" spans="1:20" s="17" customFormat="1" x14ac:dyDescent="0.4">
      <c r="A150" s="8"/>
      <c r="B150" s="14">
        <v>4</v>
      </c>
      <c r="C150" s="11">
        <v>17</v>
      </c>
      <c r="D150" s="11" t="s">
        <v>493</v>
      </c>
      <c r="E150" s="11">
        <v>390</v>
      </c>
      <c r="F150" s="11" t="s">
        <v>272</v>
      </c>
      <c r="G150" s="11">
        <v>950000</v>
      </c>
      <c r="H150" s="11">
        <v>5</v>
      </c>
      <c r="I150" s="11">
        <v>300</v>
      </c>
      <c r="J150" s="11">
        <v>100</v>
      </c>
      <c r="K150" s="11">
        <v>100</v>
      </c>
      <c r="L150" s="11">
        <v>100</v>
      </c>
      <c r="M150" s="11">
        <v>25</v>
      </c>
      <c r="N150" s="11">
        <v>150</v>
      </c>
      <c r="O150" s="11">
        <v>50</v>
      </c>
      <c r="P150" s="11">
        <v>100</v>
      </c>
      <c r="Q150" s="11">
        <v>150</v>
      </c>
      <c r="R150" s="11">
        <v>100</v>
      </c>
      <c r="S150" s="14">
        <v>1</v>
      </c>
      <c r="T150" s="24">
        <v>14</v>
      </c>
    </row>
    <row r="151" spans="1:20" s="17" customFormat="1" x14ac:dyDescent="0.4">
      <c r="A151" s="8"/>
      <c r="B151" s="14">
        <v>4</v>
      </c>
      <c r="C151" s="11">
        <v>18</v>
      </c>
      <c r="D151" s="11" t="s">
        <v>494</v>
      </c>
      <c r="E151" s="11">
        <v>390</v>
      </c>
      <c r="F151" s="11" t="s">
        <v>273</v>
      </c>
      <c r="G151" s="11">
        <v>1490000</v>
      </c>
      <c r="H151" s="11">
        <v>2</v>
      </c>
      <c r="I151" s="11">
        <v>150</v>
      </c>
      <c r="J151" s="11">
        <v>100</v>
      </c>
      <c r="K151" s="11">
        <v>200</v>
      </c>
      <c r="L151" s="11">
        <v>100</v>
      </c>
      <c r="M151" s="11">
        <v>100</v>
      </c>
      <c r="N151" s="11">
        <v>100</v>
      </c>
      <c r="O151" s="11">
        <v>150</v>
      </c>
      <c r="P151" s="11">
        <v>100</v>
      </c>
      <c r="Q151" s="11">
        <v>100</v>
      </c>
      <c r="R151" s="11">
        <v>100</v>
      </c>
      <c r="S151" s="14">
        <v>1</v>
      </c>
      <c r="T151" s="24">
        <v>15</v>
      </c>
    </row>
    <row r="152" spans="1:20" s="17" customFormat="1" x14ac:dyDescent="0.4">
      <c r="A152" s="8"/>
      <c r="B152" s="14">
        <v>4</v>
      </c>
      <c r="C152" s="11">
        <v>19</v>
      </c>
      <c r="D152" s="11" t="s">
        <v>495</v>
      </c>
      <c r="E152" s="11">
        <v>390</v>
      </c>
      <c r="F152" s="11" t="s">
        <v>274</v>
      </c>
      <c r="G152" s="11">
        <v>12200000</v>
      </c>
      <c r="H152" s="11">
        <v>6</v>
      </c>
      <c r="I152" s="11">
        <v>400</v>
      </c>
      <c r="J152" s="11">
        <v>100</v>
      </c>
      <c r="K152" s="11">
        <v>100</v>
      </c>
      <c r="L152" s="11">
        <v>100</v>
      </c>
      <c r="M152" s="11">
        <v>100</v>
      </c>
      <c r="N152" s="11">
        <v>100</v>
      </c>
      <c r="O152" s="11">
        <v>25</v>
      </c>
      <c r="P152" s="11">
        <v>25</v>
      </c>
      <c r="Q152" s="11">
        <v>250</v>
      </c>
      <c r="R152" s="11">
        <v>100</v>
      </c>
      <c r="S152" s="14">
        <v>1</v>
      </c>
      <c r="T152" s="24">
        <v>16</v>
      </c>
    </row>
    <row r="153" spans="1:20" s="17" customFormat="1" x14ac:dyDescent="0.4">
      <c r="A153" s="8"/>
      <c r="B153" s="14">
        <v>4</v>
      </c>
      <c r="C153" s="11">
        <v>20</v>
      </c>
      <c r="D153" s="11" t="s">
        <v>496</v>
      </c>
      <c r="E153" s="11">
        <v>390</v>
      </c>
      <c r="F153" s="11" t="s">
        <v>275</v>
      </c>
      <c r="G153" s="11">
        <v>2550000</v>
      </c>
      <c r="H153" s="11">
        <v>2</v>
      </c>
      <c r="I153" s="11">
        <v>150</v>
      </c>
      <c r="J153" s="11">
        <v>100</v>
      </c>
      <c r="K153" s="11">
        <v>100</v>
      </c>
      <c r="L153" s="11">
        <v>100</v>
      </c>
      <c r="M153" s="11">
        <v>100</v>
      </c>
      <c r="N153" s="11">
        <v>200</v>
      </c>
      <c r="O153" s="11">
        <v>100</v>
      </c>
      <c r="P153" s="11">
        <v>100</v>
      </c>
      <c r="Q153" s="11">
        <v>100</v>
      </c>
      <c r="R153" s="11">
        <v>50</v>
      </c>
      <c r="S153" s="14">
        <v>1</v>
      </c>
      <c r="T153" s="24">
        <v>17</v>
      </c>
    </row>
    <row r="154" spans="1:20" s="17" customFormat="1" x14ac:dyDescent="0.4">
      <c r="A154" s="8"/>
      <c r="B154" s="14">
        <v>4</v>
      </c>
      <c r="C154" s="11">
        <v>21</v>
      </c>
      <c r="D154" s="11" t="s">
        <v>497</v>
      </c>
      <c r="E154" s="11">
        <v>390</v>
      </c>
      <c r="F154" s="11" t="s">
        <v>276</v>
      </c>
      <c r="G154" s="11">
        <v>3150000</v>
      </c>
      <c r="H154" s="11">
        <v>2</v>
      </c>
      <c r="I154" s="11">
        <v>150</v>
      </c>
      <c r="J154" s="11">
        <v>100</v>
      </c>
      <c r="K154" s="11">
        <v>100</v>
      </c>
      <c r="L154" s="11">
        <v>100</v>
      </c>
      <c r="M154" s="11">
        <v>100</v>
      </c>
      <c r="N154" s="11">
        <v>100</v>
      </c>
      <c r="O154" s="11">
        <v>25</v>
      </c>
      <c r="P154" s="11">
        <v>25</v>
      </c>
      <c r="Q154" s="11">
        <v>250</v>
      </c>
      <c r="R154" s="11">
        <v>100</v>
      </c>
      <c r="S154" s="14">
        <v>1</v>
      </c>
      <c r="T154" s="24">
        <v>18</v>
      </c>
    </row>
    <row r="155" spans="1:20" s="17" customFormat="1" x14ac:dyDescent="0.4">
      <c r="A155" s="8"/>
      <c r="B155" s="14">
        <v>4</v>
      </c>
      <c r="C155" s="11">
        <v>22</v>
      </c>
      <c r="D155" s="11" t="s">
        <v>498</v>
      </c>
      <c r="E155" s="11">
        <v>390</v>
      </c>
      <c r="F155" s="11" t="s">
        <v>277</v>
      </c>
      <c r="G155" s="11">
        <v>470000</v>
      </c>
      <c r="H155" s="11">
        <v>2</v>
      </c>
      <c r="I155" s="11">
        <v>150</v>
      </c>
      <c r="J155" s="11">
        <v>100</v>
      </c>
      <c r="K155" s="11">
        <v>100</v>
      </c>
      <c r="L155" s="11">
        <v>100</v>
      </c>
      <c r="M155" s="11">
        <v>250</v>
      </c>
      <c r="N155" s="11">
        <v>100</v>
      </c>
      <c r="O155" s="11">
        <v>50</v>
      </c>
      <c r="P155" s="11">
        <v>100</v>
      </c>
      <c r="Q155" s="11">
        <v>250</v>
      </c>
      <c r="R155" s="11">
        <v>100</v>
      </c>
      <c r="S155" s="14">
        <v>1</v>
      </c>
      <c r="T155" s="24">
        <v>19</v>
      </c>
    </row>
    <row r="156" spans="1:20" s="17" customFormat="1" x14ac:dyDescent="0.4">
      <c r="A156" s="8"/>
      <c r="B156" s="14">
        <v>4</v>
      </c>
      <c r="C156" s="11">
        <v>23</v>
      </c>
      <c r="D156" s="11" t="s">
        <v>499</v>
      </c>
      <c r="E156" s="11">
        <v>400</v>
      </c>
      <c r="F156" s="11" t="s">
        <v>284</v>
      </c>
      <c r="G156" s="11">
        <v>1600000</v>
      </c>
      <c r="H156" s="11">
        <v>2</v>
      </c>
      <c r="I156" s="11">
        <v>150</v>
      </c>
      <c r="J156" s="11">
        <v>100</v>
      </c>
      <c r="K156" s="11">
        <v>100</v>
      </c>
      <c r="L156" s="11">
        <v>100</v>
      </c>
      <c r="M156" s="11">
        <v>100</v>
      </c>
      <c r="N156" s="11">
        <v>100</v>
      </c>
      <c r="O156" s="11">
        <v>100</v>
      </c>
      <c r="P156" s="11">
        <v>100</v>
      </c>
      <c r="Q156" s="11">
        <v>100</v>
      </c>
      <c r="R156" s="11">
        <v>100</v>
      </c>
      <c r="S156" s="14">
        <v>1</v>
      </c>
      <c r="T156" s="24">
        <v>20</v>
      </c>
    </row>
    <row r="157" spans="1:20" s="17" customFormat="1" x14ac:dyDescent="0.4">
      <c r="A157" s="8"/>
      <c r="B157" s="14">
        <v>4</v>
      </c>
      <c r="C157" s="11">
        <v>24</v>
      </c>
      <c r="D157" s="11" t="s">
        <v>500</v>
      </c>
      <c r="E157" s="11">
        <v>400</v>
      </c>
      <c r="F157" s="11" t="s">
        <v>262</v>
      </c>
      <c r="G157" s="11">
        <v>2040000</v>
      </c>
      <c r="H157" s="11">
        <v>2</v>
      </c>
      <c r="I157" s="11">
        <v>150</v>
      </c>
      <c r="J157" s="11">
        <v>100</v>
      </c>
      <c r="K157" s="11">
        <v>100</v>
      </c>
      <c r="L157" s="11">
        <v>100</v>
      </c>
      <c r="M157" s="11">
        <v>100</v>
      </c>
      <c r="N157" s="11">
        <v>100</v>
      </c>
      <c r="O157" s="11">
        <v>100</v>
      </c>
      <c r="P157" s="11">
        <v>100</v>
      </c>
      <c r="Q157" s="11">
        <v>150</v>
      </c>
      <c r="R157" s="11">
        <v>100</v>
      </c>
      <c r="S157" s="14">
        <v>1</v>
      </c>
      <c r="T157" s="24">
        <v>20</v>
      </c>
    </row>
    <row r="158" spans="1:20" s="17" customFormat="1" x14ac:dyDescent="0.4">
      <c r="A158" s="8"/>
      <c r="B158" s="14">
        <v>4</v>
      </c>
      <c r="C158" s="11">
        <v>25</v>
      </c>
      <c r="D158" s="11" t="s">
        <v>501</v>
      </c>
      <c r="E158" s="11">
        <v>400</v>
      </c>
      <c r="F158" s="11" t="s">
        <v>289</v>
      </c>
      <c r="G158" s="11">
        <v>56500000</v>
      </c>
      <c r="H158" s="11">
        <v>6</v>
      </c>
      <c r="I158" s="11">
        <v>600</v>
      </c>
      <c r="J158" s="11">
        <v>100</v>
      </c>
      <c r="K158" s="11">
        <v>100</v>
      </c>
      <c r="L158" s="11">
        <v>250</v>
      </c>
      <c r="M158" s="11">
        <v>100</v>
      </c>
      <c r="N158" s="11">
        <v>100</v>
      </c>
      <c r="O158" s="11">
        <v>100</v>
      </c>
      <c r="P158" s="11">
        <v>250</v>
      </c>
      <c r="Q158" s="11">
        <v>25</v>
      </c>
      <c r="R158" s="11">
        <v>100</v>
      </c>
      <c r="S158" s="14">
        <v>1</v>
      </c>
      <c r="T158" s="24">
        <v>21</v>
      </c>
    </row>
    <row r="159" spans="1:20" s="17" customFormat="1" x14ac:dyDescent="0.4">
      <c r="A159" s="8"/>
      <c r="B159" s="14">
        <v>4</v>
      </c>
      <c r="C159" s="11">
        <v>26</v>
      </c>
      <c r="D159" s="11" t="s">
        <v>502</v>
      </c>
      <c r="E159" s="11">
        <v>400</v>
      </c>
      <c r="F159" s="11" t="s">
        <v>258</v>
      </c>
      <c r="G159" s="11">
        <v>10400000</v>
      </c>
      <c r="H159" s="11">
        <v>6</v>
      </c>
      <c r="I159" s="11">
        <v>500</v>
      </c>
      <c r="J159" s="11">
        <v>250</v>
      </c>
      <c r="K159" s="11">
        <v>100</v>
      </c>
      <c r="L159" s="11">
        <v>100</v>
      </c>
      <c r="M159" s="11">
        <v>100</v>
      </c>
      <c r="N159" s="11">
        <v>100</v>
      </c>
      <c r="O159" s="11">
        <v>250</v>
      </c>
      <c r="P159" s="11">
        <v>50</v>
      </c>
      <c r="Q159" s="11">
        <v>100</v>
      </c>
      <c r="R159" s="11">
        <v>100</v>
      </c>
      <c r="S159" s="14">
        <v>1</v>
      </c>
      <c r="T159" s="24">
        <v>22</v>
      </c>
    </row>
    <row r="160" spans="1:20" s="17" customFormat="1" x14ac:dyDescent="0.4">
      <c r="A160" s="8"/>
      <c r="B160" s="14">
        <v>4</v>
      </c>
      <c r="C160" s="11">
        <v>27</v>
      </c>
      <c r="D160" s="11" t="s">
        <v>503</v>
      </c>
      <c r="E160" s="11">
        <v>400</v>
      </c>
      <c r="F160" s="11" t="s">
        <v>290</v>
      </c>
      <c r="G160" s="11">
        <v>2800000</v>
      </c>
      <c r="H160" s="11">
        <v>2</v>
      </c>
      <c r="I160" s="11">
        <v>150</v>
      </c>
      <c r="J160" s="11">
        <v>100</v>
      </c>
      <c r="K160" s="11">
        <v>100</v>
      </c>
      <c r="L160" s="11">
        <v>250</v>
      </c>
      <c r="M160" s="11">
        <v>100</v>
      </c>
      <c r="N160" s="11">
        <v>100</v>
      </c>
      <c r="O160" s="11">
        <v>250</v>
      </c>
      <c r="P160" s="11">
        <v>100</v>
      </c>
      <c r="Q160" s="11">
        <v>25</v>
      </c>
      <c r="R160" s="11">
        <v>100</v>
      </c>
      <c r="S160" s="14">
        <v>1</v>
      </c>
      <c r="T160" s="24">
        <v>23</v>
      </c>
    </row>
    <row r="161" spans="1:20" s="17" customFormat="1" x14ac:dyDescent="0.4">
      <c r="A161" s="8"/>
      <c r="B161" s="14">
        <v>4</v>
      </c>
      <c r="C161" s="11">
        <v>28</v>
      </c>
      <c r="D161" s="11" t="s">
        <v>504</v>
      </c>
      <c r="E161" s="11">
        <v>400</v>
      </c>
      <c r="F161" s="11" t="s">
        <v>241</v>
      </c>
      <c r="G161" s="11">
        <v>38000</v>
      </c>
      <c r="H161" s="11">
        <v>2</v>
      </c>
      <c r="I161" s="11">
        <v>150</v>
      </c>
      <c r="J161" s="11">
        <v>100</v>
      </c>
      <c r="K161" s="11">
        <v>100</v>
      </c>
      <c r="L161" s="11">
        <v>100</v>
      </c>
      <c r="M161" s="11">
        <v>100</v>
      </c>
      <c r="N161" s="11">
        <v>100</v>
      </c>
      <c r="O161" s="11">
        <v>100</v>
      </c>
      <c r="P161" s="11">
        <v>150</v>
      </c>
      <c r="Q161" s="11">
        <v>100</v>
      </c>
      <c r="R161" s="11">
        <v>100</v>
      </c>
      <c r="S161" s="14">
        <v>1</v>
      </c>
      <c r="T161" s="24">
        <v>24</v>
      </c>
    </row>
    <row r="162" spans="1:20" s="17" customFormat="1" x14ac:dyDescent="0.4">
      <c r="A162" s="8"/>
      <c r="B162" s="14">
        <v>4</v>
      </c>
      <c r="C162" s="11">
        <v>29</v>
      </c>
      <c r="D162" s="11" t="s">
        <v>505</v>
      </c>
      <c r="E162" s="11">
        <v>400</v>
      </c>
      <c r="F162" s="11" t="s">
        <v>298</v>
      </c>
      <c r="G162" s="11">
        <v>12500000</v>
      </c>
      <c r="H162" s="11">
        <v>2</v>
      </c>
      <c r="I162" s="11">
        <v>150</v>
      </c>
      <c r="J162" s="11">
        <v>100</v>
      </c>
      <c r="K162" s="11">
        <v>250</v>
      </c>
      <c r="L162" s="11">
        <v>100</v>
      </c>
      <c r="M162" s="11">
        <v>100</v>
      </c>
      <c r="N162" s="11">
        <v>100</v>
      </c>
      <c r="O162" s="11">
        <v>250</v>
      </c>
      <c r="P162" s="11">
        <v>100</v>
      </c>
      <c r="Q162" s="11">
        <v>25</v>
      </c>
      <c r="R162" s="11">
        <v>100</v>
      </c>
      <c r="S162" s="14">
        <v>1</v>
      </c>
      <c r="T162" s="24">
        <v>25</v>
      </c>
    </row>
    <row r="163" spans="1:20" s="17" customFormat="1" x14ac:dyDescent="0.4">
      <c r="A163" s="8"/>
      <c r="B163" s="14">
        <v>4</v>
      </c>
      <c r="C163" s="11">
        <v>30</v>
      </c>
      <c r="D163" s="11" t="s">
        <v>506</v>
      </c>
      <c r="E163" s="11">
        <v>400</v>
      </c>
      <c r="F163" s="11" t="s">
        <v>269</v>
      </c>
      <c r="G163" s="11">
        <v>1600000</v>
      </c>
      <c r="H163" s="11">
        <v>2</v>
      </c>
      <c r="I163" s="11">
        <v>150</v>
      </c>
      <c r="J163" s="11">
        <v>100</v>
      </c>
      <c r="K163" s="11">
        <v>100</v>
      </c>
      <c r="L163" s="11">
        <v>100</v>
      </c>
      <c r="M163" s="11">
        <v>100</v>
      </c>
      <c r="N163" s="11">
        <v>100</v>
      </c>
      <c r="O163" s="11">
        <v>25</v>
      </c>
      <c r="P163" s="11">
        <v>100</v>
      </c>
      <c r="Q163" s="11">
        <v>150</v>
      </c>
      <c r="R163" s="11">
        <v>100</v>
      </c>
      <c r="S163" s="14">
        <v>1</v>
      </c>
      <c r="T163" s="24">
        <v>26</v>
      </c>
    </row>
    <row r="164" spans="1:20" s="17" customFormat="1" x14ac:dyDescent="0.4">
      <c r="A164" s="8"/>
      <c r="B164" s="14">
        <v>4</v>
      </c>
      <c r="C164" s="11">
        <v>31</v>
      </c>
      <c r="D164" s="11" t="s">
        <v>507</v>
      </c>
      <c r="E164" s="11">
        <v>400</v>
      </c>
      <c r="F164" s="11" t="s">
        <v>298</v>
      </c>
      <c r="G164" s="11">
        <v>70000000</v>
      </c>
      <c r="H164" s="11">
        <v>6</v>
      </c>
      <c r="I164" s="11">
        <v>999</v>
      </c>
      <c r="J164" s="11">
        <v>250</v>
      </c>
      <c r="K164" s="11">
        <v>100</v>
      </c>
      <c r="L164" s="11">
        <v>100</v>
      </c>
      <c r="M164" s="11">
        <v>100</v>
      </c>
      <c r="N164" s="11">
        <v>100</v>
      </c>
      <c r="O164" s="11">
        <v>250</v>
      </c>
      <c r="P164" s="11">
        <v>25</v>
      </c>
      <c r="Q164" s="11">
        <v>100</v>
      </c>
      <c r="R164" s="11">
        <v>100</v>
      </c>
      <c r="S164" s="14">
        <v>1</v>
      </c>
      <c r="T164" s="24">
        <v>27</v>
      </c>
    </row>
    <row r="165" spans="1:20" s="17" customFormat="1" x14ac:dyDescent="0.4">
      <c r="A165" s="8"/>
      <c r="B165" s="14">
        <v>4</v>
      </c>
      <c r="C165" s="11">
        <v>32</v>
      </c>
      <c r="D165" s="11" t="s">
        <v>508</v>
      </c>
      <c r="E165" s="11">
        <v>400</v>
      </c>
      <c r="F165" s="11" t="s">
        <v>299</v>
      </c>
      <c r="G165" s="11">
        <v>4600000</v>
      </c>
      <c r="H165" s="11">
        <v>6</v>
      </c>
      <c r="I165" s="11">
        <v>700</v>
      </c>
      <c r="J165" s="11">
        <v>200</v>
      </c>
      <c r="K165" s="11">
        <v>100</v>
      </c>
      <c r="L165" s="11">
        <v>100</v>
      </c>
      <c r="M165" s="11">
        <v>100</v>
      </c>
      <c r="N165" s="11">
        <v>100</v>
      </c>
      <c r="O165" s="11">
        <v>100</v>
      </c>
      <c r="P165" s="11">
        <v>150</v>
      </c>
      <c r="Q165" s="11">
        <v>50</v>
      </c>
      <c r="R165" s="11">
        <v>100</v>
      </c>
      <c r="S165" s="14">
        <v>1</v>
      </c>
      <c r="T165" s="24">
        <v>28</v>
      </c>
    </row>
    <row r="166" spans="1:20" s="17" customFormat="1" x14ac:dyDescent="0.4">
      <c r="A166" s="8"/>
      <c r="B166" s="14">
        <v>4</v>
      </c>
      <c r="C166" s="11">
        <v>33</v>
      </c>
      <c r="D166" s="11" t="s">
        <v>509</v>
      </c>
      <c r="E166" s="11">
        <v>410</v>
      </c>
      <c r="F166" s="11" t="s">
        <v>298</v>
      </c>
      <c r="G166" s="11">
        <v>6900000</v>
      </c>
      <c r="H166" s="11">
        <v>3</v>
      </c>
      <c r="I166" s="11">
        <v>200</v>
      </c>
      <c r="J166" s="11">
        <v>100</v>
      </c>
      <c r="K166" s="11">
        <v>100</v>
      </c>
      <c r="L166" s="11">
        <v>100</v>
      </c>
      <c r="M166" s="11">
        <v>250</v>
      </c>
      <c r="N166" s="11">
        <v>100</v>
      </c>
      <c r="O166" s="11">
        <v>100</v>
      </c>
      <c r="P166" s="11">
        <v>100</v>
      </c>
      <c r="Q166" s="11">
        <v>250</v>
      </c>
      <c r="R166" s="11">
        <v>100</v>
      </c>
      <c r="S166" s="14">
        <v>1</v>
      </c>
      <c r="T166" s="24">
        <v>29</v>
      </c>
    </row>
    <row r="167" spans="1:20" s="17" customFormat="1" x14ac:dyDescent="0.4">
      <c r="A167" s="8"/>
      <c r="B167" s="14">
        <v>4</v>
      </c>
      <c r="C167" s="11">
        <v>34</v>
      </c>
      <c r="D167" s="11" t="s">
        <v>510</v>
      </c>
      <c r="E167" s="11">
        <v>410</v>
      </c>
      <c r="F167" s="11" t="s">
        <v>309</v>
      </c>
      <c r="G167" s="11">
        <v>5300000</v>
      </c>
      <c r="H167" s="11">
        <v>2</v>
      </c>
      <c r="I167" s="11">
        <v>150</v>
      </c>
      <c r="J167" s="11">
        <v>250</v>
      </c>
      <c r="K167" s="11">
        <v>100</v>
      </c>
      <c r="L167" s="11">
        <v>100</v>
      </c>
      <c r="M167" s="11">
        <v>100</v>
      </c>
      <c r="N167" s="11">
        <v>100</v>
      </c>
      <c r="O167" s="11">
        <v>100</v>
      </c>
      <c r="P167" s="11">
        <v>100</v>
      </c>
      <c r="Q167" s="11">
        <v>25</v>
      </c>
      <c r="R167" s="11">
        <v>100</v>
      </c>
      <c r="S167" s="14">
        <v>1</v>
      </c>
      <c r="T167" s="24">
        <v>30</v>
      </c>
    </row>
    <row r="168" spans="1:20" s="17" customFormat="1" x14ac:dyDescent="0.4">
      <c r="A168" s="8"/>
      <c r="B168" s="14">
        <v>4</v>
      </c>
      <c r="C168" s="11">
        <v>35</v>
      </c>
      <c r="D168" s="11" t="s">
        <v>511</v>
      </c>
      <c r="E168" s="11">
        <v>410</v>
      </c>
      <c r="F168" s="11" t="s">
        <v>310</v>
      </c>
      <c r="G168" s="11">
        <v>2000000</v>
      </c>
      <c r="H168" s="11">
        <v>2</v>
      </c>
      <c r="I168" s="11">
        <v>150</v>
      </c>
      <c r="J168" s="11">
        <v>150</v>
      </c>
      <c r="K168" s="11">
        <v>150</v>
      </c>
      <c r="L168" s="11">
        <v>150</v>
      </c>
      <c r="M168" s="11">
        <v>100</v>
      </c>
      <c r="N168" s="11">
        <v>100</v>
      </c>
      <c r="O168" s="11">
        <v>100</v>
      </c>
      <c r="P168" s="11">
        <v>100</v>
      </c>
      <c r="Q168" s="11">
        <v>100</v>
      </c>
      <c r="R168" s="11">
        <v>100</v>
      </c>
      <c r="S168" s="14">
        <v>1</v>
      </c>
      <c r="T168" s="24">
        <v>31</v>
      </c>
    </row>
    <row r="169" spans="1:20" s="17" customFormat="1" x14ac:dyDescent="0.4">
      <c r="A169" s="8"/>
      <c r="B169" s="14">
        <v>4</v>
      </c>
      <c r="C169" s="11">
        <v>36</v>
      </c>
      <c r="D169" s="11" t="s">
        <v>512</v>
      </c>
      <c r="E169" s="11">
        <v>410</v>
      </c>
      <c r="F169" s="11" t="s">
        <v>270</v>
      </c>
      <c r="G169" s="11">
        <v>53500000</v>
      </c>
      <c r="H169" s="11">
        <v>6</v>
      </c>
      <c r="I169" s="11">
        <v>500</v>
      </c>
      <c r="J169" s="11">
        <v>100</v>
      </c>
      <c r="K169" s="11">
        <v>100</v>
      </c>
      <c r="L169" s="11">
        <v>250</v>
      </c>
      <c r="M169" s="11">
        <v>100</v>
      </c>
      <c r="N169" s="11">
        <v>100</v>
      </c>
      <c r="O169" s="11">
        <v>250</v>
      </c>
      <c r="P169" s="11">
        <v>25</v>
      </c>
      <c r="Q169" s="11">
        <v>100</v>
      </c>
      <c r="R169" s="11">
        <v>100</v>
      </c>
      <c r="S169" s="14">
        <v>1</v>
      </c>
      <c r="T169" s="24">
        <v>32</v>
      </c>
    </row>
    <row r="170" spans="1:20" s="17" customFormat="1" x14ac:dyDescent="0.4">
      <c r="A170" s="8"/>
      <c r="B170" s="14">
        <v>4</v>
      </c>
      <c r="C170" s="11">
        <v>37</v>
      </c>
      <c r="D170" s="11" t="s">
        <v>513</v>
      </c>
      <c r="E170" s="11">
        <v>410</v>
      </c>
      <c r="F170" s="11" t="s">
        <v>284</v>
      </c>
      <c r="G170" s="11">
        <v>11000000</v>
      </c>
      <c r="H170" s="11">
        <v>6</v>
      </c>
      <c r="I170" s="11">
        <v>600</v>
      </c>
      <c r="J170" s="11">
        <v>100</v>
      </c>
      <c r="K170" s="11">
        <v>100</v>
      </c>
      <c r="L170" s="11">
        <v>100</v>
      </c>
      <c r="M170" s="11">
        <v>100</v>
      </c>
      <c r="N170" s="11">
        <v>100</v>
      </c>
      <c r="O170" s="11">
        <v>25</v>
      </c>
      <c r="P170" s="11">
        <v>100</v>
      </c>
      <c r="Q170" s="11">
        <v>150</v>
      </c>
      <c r="R170" s="11">
        <v>100</v>
      </c>
      <c r="S170" s="14">
        <v>1</v>
      </c>
      <c r="T170" s="24">
        <v>33</v>
      </c>
    </row>
    <row r="171" spans="1:20" s="17" customFormat="1" x14ac:dyDescent="0.4">
      <c r="A171" s="8"/>
      <c r="B171" s="14">
        <v>4</v>
      </c>
      <c r="C171" s="11">
        <v>38</v>
      </c>
      <c r="D171" s="11" t="s">
        <v>514</v>
      </c>
      <c r="E171" s="11">
        <v>410</v>
      </c>
      <c r="F171" s="11" t="s">
        <v>276</v>
      </c>
      <c r="G171" s="11">
        <v>17000000</v>
      </c>
      <c r="H171" s="11">
        <v>5</v>
      </c>
      <c r="I171" s="11">
        <v>650</v>
      </c>
      <c r="J171" s="11">
        <v>100</v>
      </c>
      <c r="K171" s="11">
        <v>200</v>
      </c>
      <c r="L171" s="11">
        <v>100</v>
      </c>
      <c r="M171" s="11">
        <v>100</v>
      </c>
      <c r="N171" s="11">
        <v>100</v>
      </c>
      <c r="O171" s="11">
        <v>150</v>
      </c>
      <c r="P171" s="11">
        <v>100</v>
      </c>
      <c r="Q171" s="11">
        <v>100</v>
      </c>
      <c r="R171" s="11">
        <v>100</v>
      </c>
      <c r="S171" s="14">
        <v>1</v>
      </c>
      <c r="T171" s="24">
        <v>34</v>
      </c>
    </row>
    <row r="172" spans="1:20" s="17" customFormat="1" x14ac:dyDescent="0.4">
      <c r="A172" s="8"/>
      <c r="B172" s="14">
        <v>4</v>
      </c>
      <c r="C172" s="11">
        <v>39</v>
      </c>
      <c r="D172" s="11" t="s">
        <v>515</v>
      </c>
      <c r="E172" s="11">
        <v>410</v>
      </c>
      <c r="F172" s="11" t="s">
        <v>335</v>
      </c>
      <c r="G172" s="11">
        <v>1050000</v>
      </c>
      <c r="H172" s="11">
        <v>2</v>
      </c>
      <c r="I172" s="11">
        <v>150</v>
      </c>
      <c r="J172" s="11">
        <v>100</v>
      </c>
      <c r="K172" s="11">
        <v>100</v>
      </c>
      <c r="L172" s="11">
        <v>100</v>
      </c>
      <c r="M172" s="11">
        <v>100</v>
      </c>
      <c r="N172" s="11">
        <v>250</v>
      </c>
      <c r="O172" s="11">
        <v>100</v>
      </c>
      <c r="P172" s="11">
        <v>250</v>
      </c>
      <c r="Q172" s="11">
        <v>25</v>
      </c>
      <c r="R172" s="11">
        <v>100</v>
      </c>
      <c r="S172" s="14">
        <v>1</v>
      </c>
      <c r="T172" s="24">
        <v>35</v>
      </c>
    </row>
    <row r="173" spans="1:20" s="17" customFormat="1" x14ac:dyDescent="0.4">
      <c r="A173" s="8"/>
      <c r="B173" s="14">
        <v>4</v>
      </c>
      <c r="C173" s="11">
        <v>40</v>
      </c>
      <c r="D173" s="11" t="s">
        <v>516</v>
      </c>
      <c r="E173" s="11">
        <v>410</v>
      </c>
      <c r="F173" s="11" t="s">
        <v>336</v>
      </c>
      <c r="G173" s="11">
        <v>62500000</v>
      </c>
      <c r="H173" s="11">
        <v>5</v>
      </c>
      <c r="I173" s="11">
        <v>700</v>
      </c>
      <c r="J173" s="11">
        <v>100</v>
      </c>
      <c r="K173" s="11">
        <v>100</v>
      </c>
      <c r="L173" s="11">
        <v>100</v>
      </c>
      <c r="M173" s="11">
        <v>250</v>
      </c>
      <c r="N173" s="11">
        <v>100</v>
      </c>
      <c r="O173" s="11">
        <v>250</v>
      </c>
      <c r="P173" s="11">
        <v>50</v>
      </c>
      <c r="Q173" s="11">
        <v>100</v>
      </c>
      <c r="R173" s="11">
        <v>100</v>
      </c>
      <c r="S173" s="14">
        <v>1</v>
      </c>
      <c r="T173" s="24">
        <v>36</v>
      </c>
    </row>
    <row r="174" spans="1:20" s="17" customFormat="1" x14ac:dyDescent="0.4">
      <c r="A174" s="8"/>
      <c r="B174" s="14">
        <v>4</v>
      </c>
      <c r="C174" s="11">
        <v>41</v>
      </c>
      <c r="D174" s="11" t="s">
        <v>515</v>
      </c>
      <c r="E174" s="11">
        <v>410</v>
      </c>
      <c r="F174" s="11" t="s">
        <v>337</v>
      </c>
      <c r="G174" s="11">
        <v>1380000</v>
      </c>
      <c r="H174" s="11">
        <v>2</v>
      </c>
      <c r="I174" s="11">
        <v>150</v>
      </c>
      <c r="J174" s="11">
        <v>100</v>
      </c>
      <c r="K174" s="11">
        <v>100</v>
      </c>
      <c r="L174" s="11">
        <v>100</v>
      </c>
      <c r="M174" s="11">
        <v>100</v>
      </c>
      <c r="N174" s="11">
        <v>250</v>
      </c>
      <c r="O174" s="11">
        <v>100</v>
      </c>
      <c r="P174" s="11">
        <v>250</v>
      </c>
      <c r="Q174" s="11">
        <v>25</v>
      </c>
      <c r="R174" s="11">
        <v>100</v>
      </c>
      <c r="S174" s="14">
        <v>1</v>
      </c>
      <c r="T174" s="24">
        <v>37</v>
      </c>
    </row>
    <row r="175" spans="1:20" s="17" customFormat="1" x14ac:dyDescent="0.4">
      <c r="A175" s="8"/>
      <c r="B175" s="14">
        <v>4</v>
      </c>
      <c r="C175" s="11">
        <v>42</v>
      </c>
      <c r="D175" s="11" t="s">
        <v>517</v>
      </c>
      <c r="E175" s="11">
        <v>410</v>
      </c>
      <c r="F175" s="11" t="s">
        <v>338</v>
      </c>
      <c r="G175" s="11">
        <v>3200000</v>
      </c>
      <c r="H175" s="11">
        <v>2</v>
      </c>
      <c r="I175" s="11">
        <v>150</v>
      </c>
      <c r="J175" s="11">
        <v>100</v>
      </c>
      <c r="K175" s="11">
        <v>100</v>
      </c>
      <c r="L175" s="11">
        <v>100</v>
      </c>
      <c r="M175" s="11">
        <v>100</v>
      </c>
      <c r="N175" s="11">
        <v>250</v>
      </c>
      <c r="O175" s="11">
        <v>100</v>
      </c>
      <c r="P175" s="11">
        <v>250</v>
      </c>
      <c r="Q175" s="11">
        <v>25</v>
      </c>
      <c r="R175" s="11">
        <v>100</v>
      </c>
      <c r="S175" s="14">
        <v>1</v>
      </c>
      <c r="T175" s="24">
        <v>37</v>
      </c>
    </row>
    <row r="176" spans="1:20" s="17" customFormat="1" x14ac:dyDescent="0.4">
      <c r="A176" s="8"/>
      <c r="B176" s="14">
        <v>4</v>
      </c>
      <c r="C176" s="11">
        <v>43</v>
      </c>
      <c r="D176" s="11" t="s">
        <v>518</v>
      </c>
      <c r="E176" s="11">
        <v>420</v>
      </c>
      <c r="F176" s="11" t="s">
        <v>344</v>
      </c>
      <c r="G176" s="11">
        <v>500000</v>
      </c>
      <c r="H176" s="11">
        <v>2</v>
      </c>
      <c r="I176" s="11">
        <v>150</v>
      </c>
      <c r="J176" s="11">
        <v>100</v>
      </c>
      <c r="K176" s="11">
        <v>100</v>
      </c>
      <c r="L176" s="11">
        <v>100</v>
      </c>
      <c r="M176" s="11">
        <v>100</v>
      </c>
      <c r="N176" s="11">
        <v>100</v>
      </c>
      <c r="O176" s="11">
        <v>100</v>
      </c>
      <c r="P176" s="11">
        <v>250</v>
      </c>
      <c r="Q176" s="11">
        <v>100</v>
      </c>
      <c r="R176" s="11">
        <v>100</v>
      </c>
      <c r="S176" s="14">
        <v>1</v>
      </c>
      <c r="T176" s="24">
        <v>38</v>
      </c>
    </row>
    <row r="177" spans="1:20" s="17" customFormat="1" x14ac:dyDescent="0.4">
      <c r="A177" s="8"/>
      <c r="B177" s="14">
        <v>4</v>
      </c>
      <c r="C177" s="11">
        <v>44</v>
      </c>
      <c r="D177" s="11" t="s">
        <v>480</v>
      </c>
      <c r="E177" s="11">
        <v>420</v>
      </c>
      <c r="F177" s="11" t="s">
        <v>348</v>
      </c>
      <c r="G177" s="11">
        <v>500000</v>
      </c>
      <c r="H177" s="11">
        <v>2</v>
      </c>
      <c r="I177" s="11">
        <v>150</v>
      </c>
      <c r="J177" s="11">
        <v>100</v>
      </c>
      <c r="K177" s="11">
        <v>100</v>
      </c>
      <c r="L177" s="11">
        <v>100</v>
      </c>
      <c r="M177" s="11">
        <v>100</v>
      </c>
      <c r="N177" s="11">
        <v>100</v>
      </c>
      <c r="O177" s="11">
        <v>100</v>
      </c>
      <c r="P177" s="11">
        <v>100</v>
      </c>
      <c r="Q177" s="11">
        <v>250</v>
      </c>
      <c r="R177" s="11">
        <v>100</v>
      </c>
      <c r="S177" s="14">
        <v>1</v>
      </c>
      <c r="T177" s="24">
        <v>38</v>
      </c>
    </row>
    <row r="178" spans="1:20" s="17" customFormat="1" x14ac:dyDescent="0.4">
      <c r="A178" s="8"/>
      <c r="B178" s="14">
        <v>4</v>
      </c>
      <c r="C178" s="11">
        <v>45</v>
      </c>
      <c r="D178" s="11" t="s">
        <v>519</v>
      </c>
      <c r="E178" s="11">
        <v>420</v>
      </c>
      <c r="F178" s="11" t="s">
        <v>349</v>
      </c>
      <c r="G178" s="11">
        <v>2500000</v>
      </c>
      <c r="H178" s="11">
        <v>2</v>
      </c>
      <c r="I178" s="11">
        <v>150</v>
      </c>
      <c r="J178" s="11">
        <v>100</v>
      </c>
      <c r="K178" s="11">
        <v>100</v>
      </c>
      <c r="L178" s="11">
        <v>100</v>
      </c>
      <c r="M178" s="11">
        <v>100</v>
      </c>
      <c r="N178" s="11">
        <v>100</v>
      </c>
      <c r="O178" s="11">
        <v>25</v>
      </c>
      <c r="P178" s="11">
        <v>25</v>
      </c>
      <c r="Q178" s="11">
        <v>250</v>
      </c>
      <c r="R178" s="11">
        <v>100</v>
      </c>
      <c r="S178" s="14">
        <v>1</v>
      </c>
      <c r="T178" s="24">
        <v>39</v>
      </c>
    </row>
    <row r="179" spans="1:20" s="17" customFormat="1" x14ac:dyDescent="0.4">
      <c r="A179" s="8"/>
      <c r="B179" s="14">
        <v>4</v>
      </c>
      <c r="C179" s="11">
        <v>46</v>
      </c>
      <c r="D179" s="11" t="s">
        <v>520</v>
      </c>
      <c r="E179" s="11">
        <v>420</v>
      </c>
      <c r="F179" s="11" t="s">
        <v>350</v>
      </c>
      <c r="G179" s="11">
        <v>15000000</v>
      </c>
      <c r="H179" s="11">
        <v>2</v>
      </c>
      <c r="I179" s="11">
        <v>150</v>
      </c>
      <c r="J179" s="11">
        <v>100</v>
      </c>
      <c r="K179" s="11">
        <v>100</v>
      </c>
      <c r="L179" s="11">
        <v>250</v>
      </c>
      <c r="M179" s="11">
        <v>100</v>
      </c>
      <c r="N179" s="11">
        <v>100</v>
      </c>
      <c r="O179" s="11">
        <v>50</v>
      </c>
      <c r="P179" s="11">
        <v>100</v>
      </c>
      <c r="Q179" s="11">
        <v>250</v>
      </c>
      <c r="R179" s="11">
        <v>100</v>
      </c>
      <c r="S179" s="14">
        <v>1</v>
      </c>
      <c r="T179" s="24">
        <v>40</v>
      </c>
    </row>
    <row r="180" spans="1:20" s="17" customFormat="1" x14ac:dyDescent="0.4">
      <c r="A180" s="8"/>
      <c r="B180" s="14">
        <v>4</v>
      </c>
      <c r="C180" s="11">
        <v>47</v>
      </c>
      <c r="D180" s="11" t="s">
        <v>521</v>
      </c>
      <c r="E180" s="11">
        <v>420</v>
      </c>
      <c r="F180" s="11" t="s">
        <v>351</v>
      </c>
      <c r="G180" s="11">
        <v>1300000</v>
      </c>
      <c r="H180" s="11">
        <v>2</v>
      </c>
      <c r="I180" s="11">
        <v>150</v>
      </c>
      <c r="J180" s="11">
        <v>100</v>
      </c>
      <c r="K180" s="11">
        <v>100</v>
      </c>
      <c r="L180" s="11">
        <v>100</v>
      </c>
      <c r="M180" s="11">
        <v>100</v>
      </c>
      <c r="N180" s="11">
        <v>100</v>
      </c>
      <c r="O180" s="11">
        <v>100</v>
      </c>
      <c r="P180" s="11">
        <v>250</v>
      </c>
      <c r="Q180" s="11">
        <v>100</v>
      </c>
      <c r="R180" s="11">
        <v>100</v>
      </c>
      <c r="S180" s="14">
        <v>1</v>
      </c>
      <c r="T180" s="24">
        <v>41</v>
      </c>
    </row>
    <row r="181" spans="1:20" s="17" customFormat="1" x14ac:dyDescent="0.4">
      <c r="A181" s="8"/>
      <c r="B181" s="14">
        <v>4</v>
      </c>
      <c r="C181" s="11">
        <v>48</v>
      </c>
      <c r="D181" s="11" t="s">
        <v>522</v>
      </c>
      <c r="E181" s="11">
        <v>420</v>
      </c>
      <c r="F181" s="11" t="s">
        <v>351</v>
      </c>
      <c r="G181" s="11">
        <v>38000000</v>
      </c>
      <c r="H181" s="11">
        <v>5</v>
      </c>
      <c r="I181" s="11">
        <v>200</v>
      </c>
      <c r="J181" s="11">
        <v>100</v>
      </c>
      <c r="K181" s="11">
        <v>250</v>
      </c>
      <c r="L181" s="11">
        <v>100</v>
      </c>
      <c r="M181" s="11">
        <v>100</v>
      </c>
      <c r="N181" s="11">
        <v>100</v>
      </c>
      <c r="O181" s="11">
        <v>100</v>
      </c>
      <c r="P181" s="11">
        <v>250</v>
      </c>
      <c r="Q181" s="11">
        <v>50</v>
      </c>
      <c r="R181" s="11">
        <v>100</v>
      </c>
      <c r="S181" s="14">
        <v>1</v>
      </c>
      <c r="T181" s="24">
        <v>42</v>
      </c>
    </row>
    <row r="182" spans="1:20" s="17" customFormat="1" x14ac:dyDescent="0.4">
      <c r="A182" s="8"/>
      <c r="B182" s="14">
        <v>4</v>
      </c>
      <c r="C182" s="11">
        <v>49</v>
      </c>
      <c r="D182" s="11" t="s">
        <v>523</v>
      </c>
      <c r="E182" s="11">
        <v>420</v>
      </c>
      <c r="F182" s="11" t="s">
        <v>406</v>
      </c>
      <c r="G182" s="11">
        <v>1500000</v>
      </c>
      <c r="H182" s="11">
        <v>2</v>
      </c>
      <c r="I182" s="11">
        <v>150</v>
      </c>
      <c r="J182" s="11">
        <v>250</v>
      </c>
      <c r="K182" s="11">
        <v>100</v>
      </c>
      <c r="L182" s="11">
        <v>100</v>
      </c>
      <c r="M182" s="11">
        <v>100</v>
      </c>
      <c r="N182" s="11">
        <v>100</v>
      </c>
      <c r="O182" s="11">
        <v>100</v>
      </c>
      <c r="P182" s="11">
        <v>250</v>
      </c>
      <c r="Q182" s="11">
        <v>50</v>
      </c>
      <c r="R182" s="11">
        <v>100</v>
      </c>
      <c r="S182" s="14">
        <v>1</v>
      </c>
      <c r="T182" s="24">
        <v>43</v>
      </c>
    </row>
    <row r="183" spans="1:20" s="17" customFormat="1" x14ac:dyDescent="0.4">
      <c r="A183" s="8"/>
      <c r="B183" s="14">
        <v>4</v>
      </c>
      <c r="C183" s="11">
        <v>50</v>
      </c>
      <c r="D183" s="11" t="s">
        <v>524</v>
      </c>
      <c r="E183" s="11">
        <v>420</v>
      </c>
      <c r="F183" s="11" t="s">
        <v>407</v>
      </c>
      <c r="G183" s="11">
        <v>18500000</v>
      </c>
      <c r="H183" s="11">
        <v>6</v>
      </c>
      <c r="I183" s="11">
        <v>650</v>
      </c>
      <c r="J183" s="11">
        <v>100</v>
      </c>
      <c r="K183" s="11">
        <v>100</v>
      </c>
      <c r="L183" s="11">
        <v>100</v>
      </c>
      <c r="M183" s="11">
        <v>100</v>
      </c>
      <c r="N183" s="11">
        <v>100</v>
      </c>
      <c r="O183" s="11">
        <v>250</v>
      </c>
      <c r="P183" s="11">
        <v>100</v>
      </c>
      <c r="Q183" s="11">
        <v>100</v>
      </c>
      <c r="R183" s="11">
        <v>100</v>
      </c>
      <c r="S183" s="14">
        <v>1</v>
      </c>
      <c r="T183" s="24">
        <v>44</v>
      </c>
    </row>
    <row r="184" spans="1:20" s="17" customFormat="1" x14ac:dyDescent="0.4">
      <c r="A184" s="8"/>
      <c r="B184" s="14">
        <v>4</v>
      </c>
      <c r="C184" s="11">
        <v>51</v>
      </c>
      <c r="D184" s="11" t="s">
        <v>525</v>
      </c>
      <c r="E184" s="11">
        <v>420</v>
      </c>
      <c r="F184" s="11" t="s">
        <v>408</v>
      </c>
      <c r="G184" s="11">
        <v>2000000</v>
      </c>
      <c r="H184" s="11">
        <v>5</v>
      </c>
      <c r="I184" s="11">
        <v>350</v>
      </c>
      <c r="J184" s="11">
        <v>100</v>
      </c>
      <c r="K184" s="11">
        <v>25</v>
      </c>
      <c r="L184" s="11">
        <v>150</v>
      </c>
      <c r="M184" s="11">
        <v>100</v>
      </c>
      <c r="N184" s="11">
        <v>100</v>
      </c>
      <c r="O184" s="11">
        <v>100</v>
      </c>
      <c r="P184" s="11">
        <v>150</v>
      </c>
      <c r="Q184" s="11">
        <v>50</v>
      </c>
      <c r="R184" s="11">
        <v>100</v>
      </c>
      <c r="S184" s="14">
        <v>1</v>
      </c>
      <c r="T184" s="24">
        <v>45</v>
      </c>
    </row>
    <row r="185" spans="1:20" s="17" customFormat="1" x14ac:dyDescent="0.4">
      <c r="A185" s="8"/>
      <c r="B185" s="14">
        <v>4</v>
      </c>
      <c r="C185" s="11">
        <v>52</v>
      </c>
      <c r="D185" s="11" t="s">
        <v>526</v>
      </c>
      <c r="E185" s="11">
        <v>420</v>
      </c>
      <c r="F185" s="11" t="s">
        <v>409</v>
      </c>
      <c r="G185" s="11">
        <v>28000000</v>
      </c>
      <c r="H185" s="11">
        <v>3</v>
      </c>
      <c r="I185" s="11">
        <v>999</v>
      </c>
      <c r="J185" s="11">
        <v>100</v>
      </c>
      <c r="K185" s="11">
        <v>100</v>
      </c>
      <c r="L185" s="11">
        <v>100</v>
      </c>
      <c r="M185" s="11">
        <v>100</v>
      </c>
      <c r="N185" s="11">
        <v>100</v>
      </c>
      <c r="O185" s="11">
        <v>250</v>
      </c>
      <c r="P185" s="11">
        <v>100</v>
      </c>
      <c r="Q185" s="11">
        <v>100</v>
      </c>
      <c r="R185" s="11">
        <v>100</v>
      </c>
      <c r="S185" s="14">
        <v>3</v>
      </c>
      <c r="T185" s="24">
        <v>46</v>
      </c>
    </row>
    <row r="186" spans="1:20" s="17" customFormat="1" x14ac:dyDescent="0.4">
      <c r="A186" s="8"/>
      <c r="B186" s="14">
        <v>4</v>
      </c>
      <c r="C186" s="11">
        <v>53</v>
      </c>
      <c r="D186" s="11" t="s">
        <v>527</v>
      </c>
      <c r="E186" s="11">
        <v>430</v>
      </c>
      <c r="F186" s="11" t="s">
        <v>344</v>
      </c>
      <c r="G186" s="11">
        <v>2700000</v>
      </c>
      <c r="H186" s="11">
        <v>2</v>
      </c>
      <c r="I186" s="11">
        <v>150</v>
      </c>
      <c r="J186" s="11">
        <v>100</v>
      </c>
      <c r="K186" s="11">
        <v>100</v>
      </c>
      <c r="L186" s="11">
        <v>100</v>
      </c>
      <c r="M186" s="11">
        <v>200</v>
      </c>
      <c r="N186" s="11">
        <v>100</v>
      </c>
      <c r="O186" s="11">
        <v>100</v>
      </c>
      <c r="P186" s="11">
        <v>150</v>
      </c>
      <c r="Q186" s="11">
        <v>50</v>
      </c>
      <c r="R186" s="11">
        <v>100</v>
      </c>
      <c r="S186" s="14">
        <v>1</v>
      </c>
      <c r="T186" s="24">
        <v>47</v>
      </c>
    </row>
    <row r="187" spans="1:20" s="17" customFormat="1" x14ac:dyDescent="0.4">
      <c r="A187" s="8"/>
      <c r="B187" s="14">
        <v>4</v>
      </c>
      <c r="C187" s="11">
        <v>54</v>
      </c>
      <c r="D187" s="11" t="s">
        <v>528</v>
      </c>
      <c r="E187" s="11">
        <v>430</v>
      </c>
      <c r="F187" s="11" t="s">
        <v>423</v>
      </c>
      <c r="G187" s="11">
        <v>14000000</v>
      </c>
      <c r="H187" s="11">
        <v>2</v>
      </c>
      <c r="I187" s="11">
        <v>150</v>
      </c>
      <c r="J187" s="11">
        <v>100</v>
      </c>
      <c r="K187" s="11">
        <v>100</v>
      </c>
      <c r="L187" s="11">
        <v>100</v>
      </c>
      <c r="M187" s="11">
        <v>100</v>
      </c>
      <c r="N187" s="11">
        <v>250</v>
      </c>
      <c r="O187" s="11">
        <v>250</v>
      </c>
      <c r="P187" s="11">
        <v>100</v>
      </c>
      <c r="Q187" s="11">
        <v>100</v>
      </c>
      <c r="R187" s="11">
        <v>100</v>
      </c>
      <c r="S187" s="14">
        <v>1</v>
      </c>
      <c r="T187" s="24">
        <v>48</v>
      </c>
    </row>
    <row r="188" spans="1:20" s="17" customFormat="1" x14ac:dyDescent="0.4">
      <c r="A188" s="8"/>
      <c r="B188" s="14">
        <v>4</v>
      </c>
      <c r="C188" s="11">
        <v>55</v>
      </c>
      <c r="D188" s="11" t="s">
        <v>485</v>
      </c>
      <c r="E188" s="11">
        <v>430</v>
      </c>
      <c r="F188" s="11" t="s">
        <v>424</v>
      </c>
      <c r="G188" s="11">
        <v>2700000</v>
      </c>
      <c r="H188" s="11">
        <v>2</v>
      </c>
      <c r="I188" s="11">
        <v>150</v>
      </c>
      <c r="J188" s="11">
        <v>100</v>
      </c>
      <c r="K188" s="11">
        <v>100</v>
      </c>
      <c r="L188" s="11">
        <v>100</v>
      </c>
      <c r="M188" s="11">
        <v>100</v>
      </c>
      <c r="N188" s="11">
        <v>100</v>
      </c>
      <c r="O188" s="11">
        <v>25</v>
      </c>
      <c r="P188" s="11">
        <v>150</v>
      </c>
      <c r="Q188" s="11">
        <v>25</v>
      </c>
      <c r="R188" s="11">
        <v>100</v>
      </c>
      <c r="S188" s="14">
        <v>2</v>
      </c>
      <c r="T188" s="24">
        <v>49</v>
      </c>
    </row>
    <row r="189" spans="1:20" s="17" customFormat="1" x14ac:dyDescent="0.4">
      <c r="A189" s="8"/>
      <c r="B189" s="14">
        <v>4</v>
      </c>
      <c r="C189" s="11">
        <v>56</v>
      </c>
      <c r="D189" s="11" t="s">
        <v>529</v>
      </c>
      <c r="E189" s="11">
        <v>430</v>
      </c>
      <c r="F189" s="11" t="s">
        <v>352</v>
      </c>
      <c r="G189" s="11">
        <v>3700000</v>
      </c>
      <c r="H189" s="11">
        <v>2</v>
      </c>
      <c r="I189" s="11">
        <v>150</v>
      </c>
      <c r="J189" s="11">
        <v>100</v>
      </c>
      <c r="K189" s="11">
        <v>100</v>
      </c>
      <c r="L189" s="11">
        <v>100</v>
      </c>
      <c r="M189" s="11">
        <v>100</v>
      </c>
      <c r="N189" s="11">
        <v>200</v>
      </c>
      <c r="O189" s="11">
        <v>100</v>
      </c>
      <c r="P189" s="11">
        <v>100</v>
      </c>
      <c r="Q189" s="11">
        <v>100</v>
      </c>
      <c r="R189" s="11">
        <v>100</v>
      </c>
      <c r="S189" s="14">
        <v>2</v>
      </c>
      <c r="T189" s="24">
        <v>49</v>
      </c>
    </row>
    <row r="190" spans="1:20" s="17" customFormat="1" x14ac:dyDescent="0.4">
      <c r="A190" s="8"/>
      <c r="B190" s="14">
        <v>4</v>
      </c>
      <c r="C190" s="11">
        <v>57</v>
      </c>
      <c r="D190" s="11" t="s">
        <v>530</v>
      </c>
      <c r="E190" s="11">
        <v>430</v>
      </c>
      <c r="F190" s="11" t="s">
        <v>265</v>
      </c>
      <c r="G190" s="11">
        <v>9500000</v>
      </c>
      <c r="H190" s="11">
        <v>5</v>
      </c>
      <c r="I190" s="11">
        <v>300</v>
      </c>
      <c r="J190" s="11">
        <v>100</v>
      </c>
      <c r="K190" s="11">
        <v>100</v>
      </c>
      <c r="L190" s="11">
        <v>100</v>
      </c>
      <c r="M190" s="11">
        <v>100</v>
      </c>
      <c r="N190" s="11">
        <v>100</v>
      </c>
      <c r="O190" s="11">
        <v>25</v>
      </c>
      <c r="P190" s="11">
        <v>25</v>
      </c>
      <c r="Q190" s="11">
        <v>250</v>
      </c>
      <c r="R190" s="11">
        <v>100</v>
      </c>
      <c r="S190" s="14">
        <v>1</v>
      </c>
      <c r="T190" s="24">
        <v>50</v>
      </c>
    </row>
    <row r="191" spans="1:20" s="17" customFormat="1" x14ac:dyDescent="0.4">
      <c r="A191" s="8"/>
      <c r="B191" s="14">
        <v>4</v>
      </c>
      <c r="C191" s="11">
        <v>58</v>
      </c>
      <c r="D191" s="11" t="s">
        <v>531</v>
      </c>
      <c r="E191" s="11">
        <v>430</v>
      </c>
      <c r="F191" s="11" t="s">
        <v>275</v>
      </c>
      <c r="G191" s="11">
        <v>10900000</v>
      </c>
      <c r="H191" s="11">
        <v>2</v>
      </c>
      <c r="I191" s="11">
        <v>150</v>
      </c>
      <c r="J191" s="11">
        <v>100</v>
      </c>
      <c r="K191" s="11">
        <v>250</v>
      </c>
      <c r="L191" s="11">
        <v>100</v>
      </c>
      <c r="M191" s="11">
        <v>100</v>
      </c>
      <c r="N191" s="11">
        <v>100</v>
      </c>
      <c r="O191" s="11">
        <v>100</v>
      </c>
      <c r="P191" s="11">
        <v>150</v>
      </c>
      <c r="Q191" s="11">
        <v>150</v>
      </c>
      <c r="R191" s="11">
        <v>100</v>
      </c>
      <c r="S191" s="14">
        <v>1</v>
      </c>
      <c r="T191" s="24">
        <v>51</v>
      </c>
    </row>
    <row r="192" spans="1:20" s="17" customFormat="1" x14ac:dyDescent="0.4">
      <c r="A192" s="8"/>
      <c r="B192" s="14">
        <v>4</v>
      </c>
      <c r="C192" s="11">
        <v>59</v>
      </c>
      <c r="D192" s="11" t="s">
        <v>532</v>
      </c>
      <c r="E192" s="11">
        <v>430</v>
      </c>
      <c r="F192" s="11" t="s">
        <v>434</v>
      </c>
      <c r="G192" s="11">
        <v>8360000</v>
      </c>
      <c r="H192" s="11">
        <v>2</v>
      </c>
      <c r="I192" s="11">
        <v>150</v>
      </c>
      <c r="J192" s="11">
        <v>100</v>
      </c>
      <c r="K192" s="11">
        <v>100</v>
      </c>
      <c r="L192" s="11">
        <v>100</v>
      </c>
      <c r="M192" s="11">
        <v>250</v>
      </c>
      <c r="N192" s="11">
        <v>100</v>
      </c>
      <c r="O192" s="11">
        <v>250</v>
      </c>
      <c r="P192" s="11">
        <v>50</v>
      </c>
      <c r="Q192" s="11">
        <v>100</v>
      </c>
      <c r="R192" s="11">
        <v>100</v>
      </c>
      <c r="S192" s="14">
        <v>1</v>
      </c>
      <c r="T192" s="24">
        <v>52</v>
      </c>
    </row>
    <row r="193" spans="1:20" s="17" customFormat="1" x14ac:dyDescent="0.4">
      <c r="A193" s="8"/>
      <c r="B193" s="14">
        <v>4</v>
      </c>
      <c r="C193" s="11">
        <v>60</v>
      </c>
      <c r="D193" s="11" t="s">
        <v>533</v>
      </c>
      <c r="E193" s="11">
        <v>430</v>
      </c>
      <c r="F193" s="11" t="s">
        <v>435</v>
      </c>
      <c r="G193" s="11">
        <v>1400000</v>
      </c>
      <c r="H193" s="11">
        <v>2</v>
      </c>
      <c r="I193" s="11">
        <v>150</v>
      </c>
      <c r="J193" s="11">
        <v>100</v>
      </c>
      <c r="K193" s="11">
        <v>100</v>
      </c>
      <c r="L193" s="11">
        <v>200</v>
      </c>
      <c r="M193" s="11">
        <v>100</v>
      </c>
      <c r="N193" s="11">
        <v>100</v>
      </c>
      <c r="O193" s="11">
        <v>150</v>
      </c>
      <c r="P193" s="11">
        <v>25</v>
      </c>
      <c r="Q193" s="11">
        <v>100</v>
      </c>
      <c r="R193" s="11">
        <v>100</v>
      </c>
      <c r="S193" s="14">
        <v>1</v>
      </c>
      <c r="T193" s="24">
        <v>53</v>
      </c>
    </row>
    <row r="194" spans="1:20" s="17" customFormat="1" x14ac:dyDescent="0.4">
      <c r="A194" s="8"/>
      <c r="B194" s="14">
        <v>4</v>
      </c>
      <c r="C194" s="11">
        <v>61</v>
      </c>
      <c r="D194" s="11" t="s">
        <v>534</v>
      </c>
      <c r="E194" s="11">
        <v>430</v>
      </c>
      <c r="F194" s="11" t="s">
        <v>436</v>
      </c>
      <c r="G194" s="11">
        <v>16000000</v>
      </c>
      <c r="H194" s="11">
        <v>5</v>
      </c>
      <c r="I194" s="11">
        <v>600</v>
      </c>
      <c r="J194" s="11">
        <v>250</v>
      </c>
      <c r="K194" s="11">
        <v>100</v>
      </c>
      <c r="L194" s="11">
        <v>100</v>
      </c>
      <c r="M194" s="11">
        <v>100</v>
      </c>
      <c r="N194" s="11">
        <v>100</v>
      </c>
      <c r="O194" s="11">
        <v>100</v>
      </c>
      <c r="P194" s="11">
        <v>100</v>
      </c>
      <c r="Q194" s="11">
        <v>100</v>
      </c>
      <c r="R194" s="11">
        <v>100</v>
      </c>
      <c r="S194" s="14">
        <v>1</v>
      </c>
      <c r="T194" s="24">
        <v>54</v>
      </c>
    </row>
    <row r="195" spans="1:20" s="17" customFormat="1" x14ac:dyDescent="0.4">
      <c r="A195" s="8"/>
      <c r="B195" s="14">
        <v>4</v>
      </c>
      <c r="C195" s="11">
        <v>62</v>
      </c>
      <c r="D195" s="11" t="s">
        <v>535</v>
      </c>
      <c r="E195" s="11">
        <v>430</v>
      </c>
      <c r="F195" s="11" t="s">
        <v>407</v>
      </c>
      <c r="G195" s="11">
        <v>26500000</v>
      </c>
      <c r="H195" s="11">
        <v>5</v>
      </c>
      <c r="I195" s="11">
        <v>600</v>
      </c>
      <c r="J195" s="11">
        <v>250</v>
      </c>
      <c r="K195" s="11">
        <v>100</v>
      </c>
      <c r="L195" s="11">
        <v>100</v>
      </c>
      <c r="M195" s="11">
        <v>100</v>
      </c>
      <c r="N195" s="11">
        <v>100</v>
      </c>
      <c r="O195" s="11">
        <v>100</v>
      </c>
      <c r="P195" s="11">
        <v>100</v>
      </c>
      <c r="Q195" s="11">
        <v>250</v>
      </c>
      <c r="R195" s="11">
        <v>100</v>
      </c>
      <c r="S195" s="14">
        <v>2</v>
      </c>
      <c r="T195" s="24">
        <v>55</v>
      </c>
    </row>
    <row r="196" spans="1:20" s="17" customFormat="1" x14ac:dyDescent="0.4">
      <c r="A196" s="8"/>
      <c r="B196" s="14">
        <v>4</v>
      </c>
      <c r="C196" s="11">
        <v>63</v>
      </c>
      <c r="D196" s="11" t="s">
        <v>534</v>
      </c>
      <c r="E196" s="11">
        <v>430</v>
      </c>
      <c r="F196" s="11" t="s">
        <v>276</v>
      </c>
      <c r="G196" s="11">
        <v>12500000</v>
      </c>
      <c r="H196" s="11">
        <v>5</v>
      </c>
      <c r="I196" s="11">
        <v>600</v>
      </c>
      <c r="J196" s="11">
        <v>250</v>
      </c>
      <c r="K196" s="11">
        <v>100</v>
      </c>
      <c r="L196" s="11">
        <v>100</v>
      </c>
      <c r="M196" s="11">
        <v>100</v>
      </c>
      <c r="N196" s="11">
        <v>100</v>
      </c>
      <c r="O196" s="11">
        <v>100</v>
      </c>
      <c r="P196" s="11">
        <v>100</v>
      </c>
      <c r="Q196" s="11">
        <v>100</v>
      </c>
      <c r="R196" s="11">
        <v>100</v>
      </c>
      <c r="S196" s="14">
        <v>2</v>
      </c>
      <c r="T196" s="24">
        <v>55</v>
      </c>
    </row>
    <row r="197" spans="1:20" s="17" customFormat="1" x14ac:dyDescent="0.4">
      <c r="A197" s="8"/>
      <c r="B197" s="14">
        <v>4</v>
      </c>
      <c r="C197" s="11">
        <v>64</v>
      </c>
      <c r="D197" s="11" t="s">
        <v>536</v>
      </c>
      <c r="E197" s="11">
        <v>430</v>
      </c>
      <c r="F197" s="11" t="s">
        <v>438</v>
      </c>
      <c r="G197" s="11">
        <v>900000</v>
      </c>
      <c r="H197" s="11">
        <v>2</v>
      </c>
      <c r="I197" s="11">
        <v>150</v>
      </c>
      <c r="J197" s="11">
        <v>100</v>
      </c>
      <c r="K197" s="11">
        <v>100</v>
      </c>
      <c r="L197" s="11">
        <v>100</v>
      </c>
      <c r="M197" s="11">
        <v>100</v>
      </c>
      <c r="N197" s="11">
        <v>200</v>
      </c>
      <c r="O197" s="11">
        <v>50</v>
      </c>
      <c r="P197" s="11">
        <v>100</v>
      </c>
      <c r="Q197" s="11">
        <v>150</v>
      </c>
      <c r="R197" s="11">
        <v>100</v>
      </c>
      <c r="S197" s="14">
        <v>1</v>
      </c>
      <c r="T197" s="24">
        <v>56</v>
      </c>
    </row>
    <row r="198" spans="1:20" s="17" customFormat="1" x14ac:dyDescent="0.4">
      <c r="A198" s="8"/>
      <c r="B198" s="14">
        <v>4</v>
      </c>
      <c r="C198" s="11">
        <v>65</v>
      </c>
      <c r="D198" s="11" t="s">
        <v>542</v>
      </c>
      <c r="E198" s="11">
        <v>430</v>
      </c>
      <c r="F198" s="11" t="s">
        <v>545</v>
      </c>
      <c r="G198" s="11">
        <v>6000000</v>
      </c>
      <c r="H198" s="11">
        <v>5</v>
      </c>
      <c r="I198" s="11">
        <v>450</v>
      </c>
      <c r="J198" s="11">
        <v>100</v>
      </c>
      <c r="K198" s="11">
        <v>100</v>
      </c>
      <c r="L198" s="11">
        <v>100</v>
      </c>
      <c r="M198" s="11">
        <v>100</v>
      </c>
      <c r="N198" s="11">
        <v>100</v>
      </c>
      <c r="O198" s="11">
        <v>100</v>
      </c>
      <c r="P198" s="11">
        <v>150</v>
      </c>
      <c r="Q198" s="11">
        <v>100</v>
      </c>
      <c r="R198" s="11">
        <v>100</v>
      </c>
      <c r="S198" s="14">
        <v>3</v>
      </c>
      <c r="T198" s="24">
        <v>57</v>
      </c>
    </row>
    <row r="199" spans="1:20" s="17" customFormat="1" x14ac:dyDescent="0.4">
      <c r="A199" s="8"/>
      <c r="B199" s="14">
        <v>4</v>
      </c>
      <c r="C199" s="11">
        <v>66</v>
      </c>
      <c r="D199" s="11" t="s">
        <v>541</v>
      </c>
      <c r="E199" s="11">
        <v>430</v>
      </c>
      <c r="F199" s="11" t="s">
        <v>298</v>
      </c>
      <c r="G199" s="11">
        <v>17500000</v>
      </c>
      <c r="H199" s="11">
        <v>2</v>
      </c>
      <c r="I199" s="11">
        <v>600</v>
      </c>
      <c r="J199" s="11">
        <v>100</v>
      </c>
      <c r="K199" s="11">
        <v>100</v>
      </c>
      <c r="L199" s="11">
        <v>100</v>
      </c>
      <c r="M199" s="11">
        <v>200</v>
      </c>
      <c r="N199" s="11">
        <v>100</v>
      </c>
      <c r="O199" s="11">
        <v>100</v>
      </c>
      <c r="P199" s="11">
        <v>150</v>
      </c>
      <c r="Q199" s="11">
        <v>100</v>
      </c>
      <c r="R199" s="11">
        <v>100</v>
      </c>
      <c r="S199" s="14">
        <v>3</v>
      </c>
      <c r="T199" s="24">
        <v>57</v>
      </c>
    </row>
    <row r="200" spans="1:20" s="17" customFormat="1" x14ac:dyDescent="0.4">
      <c r="A200" s="8"/>
      <c r="B200" s="14">
        <v>4</v>
      </c>
      <c r="C200" s="11">
        <v>67</v>
      </c>
      <c r="D200" s="11" t="s">
        <v>540</v>
      </c>
      <c r="E200" s="11">
        <v>430</v>
      </c>
      <c r="F200" s="11" t="s">
        <v>436</v>
      </c>
      <c r="G200" s="11">
        <v>2800000</v>
      </c>
      <c r="H200" s="11">
        <v>2</v>
      </c>
      <c r="I200" s="11">
        <v>150</v>
      </c>
      <c r="J200" s="11">
        <v>100</v>
      </c>
      <c r="K200" s="11">
        <v>100</v>
      </c>
      <c r="L200" s="11">
        <v>100</v>
      </c>
      <c r="M200" s="11">
        <v>100</v>
      </c>
      <c r="N200" s="11">
        <v>100</v>
      </c>
      <c r="O200" s="11">
        <v>100</v>
      </c>
      <c r="P200" s="11">
        <v>250</v>
      </c>
      <c r="Q200" s="11">
        <v>100</v>
      </c>
      <c r="R200" s="11">
        <v>100</v>
      </c>
      <c r="S200" s="14">
        <v>1</v>
      </c>
      <c r="T200" s="24">
        <v>58</v>
      </c>
    </row>
    <row r="201" spans="1:20" s="17" customFormat="1" x14ac:dyDescent="0.4">
      <c r="A201" s="8"/>
      <c r="B201" s="14">
        <v>4</v>
      </c>
      <c r="C201" s="11">
        <v>68</v>
      </c>
      <c r="D201" s="11" t="s">
        <v>539</v>
      </c>
      <c r="E201" s="11">
        <v>430</v>
      </c>
      <c r="F201" s="11" t="s">
        <v>350</v>
      </c>
      <c r="G201" s="11">
        <v>52000000</v>
      </c>
      <c r="H201" s="11">
        <v>5</v>
      </c>
      <c r="I201" s="11">
        <v>700</v>
      </c>
      <c r="J201" s="11">
        <v>100</v>
      </c>
      <c r="K201" s="11">
        <v>250</v>
      </c>
      <c r="L201" s="11">
        <v>100</v>
      </c>
      <c r="M201" s="11">
        <v>100</v>
      </c>
      <c r="N201" s="11">
        <v>100</v>
      </c>
      <c r="O201" s="11">
        <v>50</v>
      </c>
      <c r="P201" s="11">
        <v>100</v>
      </c>
      <c r="Q201" s="11">
        <v>250</v>
      </c>
      <c r="R201" s="11">
        <v>100</v>
      </c>
      <c r="S201" s="14">
        <v>1</v>
      </c>
      <c r="T201" s="24">
        <v>59</v>
      </c>
    </row>
    <row r="202" spans="1:20" s="17" customFormat="1" x14ac:dyDescent="0.4">
      <c r="A202" s="8"/>
      <c r="B202" s="14">
        <v>4</v>
      </c>
      <c r="C202" s="11">
        <v>69</v>
      </c>
      <c r="D202" s="11" t="s">
        <v>538</v>
      </c>
      <c r="E202" s="11">
        <v>430</v>
      </c>
      <c r="F202" s="11" t="s">
        <v>436</v>
      </c>
      <c r="G202" s="11">
        <v>11900000</v>
      </c>
      <c r="H202" s="11">
        <v>2</v>
      </c>
      <c r="I202" s="11">
        <v>150</v>
      </c>
      <c r="J202" s="11">
        <v>100</v>
      </c>
      <c r="K202" s="11">
        <v>100</v>
      </c>
      <c r="L202" s="11">
        <v>100</v>
      </c>
      <c r="M202" s="11">
        <v>100</v>
      </c>
      <c r="N202" s="11">
        <v>100</v>
      </c>
      <c r="O202" s="11">
        <v>250</v>
      </c>
      <c r="P202" s="11">
        <v>100</v>
      </c>
      <c r="Q202" s="11">
        <v>100</v>
      </c>
      <c r="R202" s="11">
        <v>100</v>
      </c>
      <c r="S202" s="14">
        <v>1</v>
      </c>
      <c r="T202" s="24">
        <v>60</v>
      </c>
    </row>
    <row r="203" spans="1:20" s="17" customFormat="1" x14ac:dyDescent="0.4">
      <c r="A203" s="8"/>
      <c r="B203" s="14">
        <v>4</v>
      </c>
      <c r="C203" s="11">
        <v>70</v>
      </c>
      <c r="D203" s="11" t="s">
        <v>537</v>
      </c>
      <c r="E203" s="11">
        <v>430</v>
      </c>
      <c r="F203" s="11" t="s">
        <v>270</v>
      </c>
      <c r="G203" s="11">
        <v>15000000</v>
      </c>
      <c r="H203" s="11">
        <v>5</v>
      </c>
      <c r="I203" s="11">
        <v>750</v>
      </c>
      <c r="J203" s="11">
        <v>100</v>
      </c>
      <c r="K203" s="11">
        <v>100</v>
      </c>
      <c r="L203" s="11">
        <v>100</v>
      </c>
      <c r="M203" s="11">
        <v>100</v>
      </c>
      <c r="N203" s="11">
        <v>150</v>
      </c>
      <c r="O203" s="11">
        <v>150</v>
      </c>
      <c r="P203" s="11">
        <v>100</v>
      </c>
      <c r="Q203" s="11">
        <v>100</v>
      </c>
      <c r="R203" s="11">
        <v>100</v>
      </c>
      <c r="S203" s="14">
        <v>1</v>
      </c>
      <c r="T203" s="24">
        <v>61</v>
      </c>
    </row>
    <row r="204" spans="1:20" s="17" customFormat="1" x14ac:dyDescent="0.4">
      <c r="A204" s="8"/>
      <c r="B204" s="14">
        <v>4</v>
      </c>
      <c r="C204" s="11">
        <v>71</v>
      </c>
      <c r="D204" s="11" t="s">
        <v>664</v>
      </c>
      <c r="E204" s="11">
        <v>453</v>
      </c>
      <c r="F204" s="11" t="s">
        <v>443</v>
      </c>
      <c r="G204" s="11">
        <v>56000000</v>
      </c>
      <c r="H204" s="11">
        <v>3</v>
      </c>
      <c r="I204" s="11">
        <v>600</v>
      </c>
      <c r="J204" s="11">
        <v>100</v>
      </c>
      <c r="K204" s="11">
        <v>100</v>
      </c>
      <c r="L204" s="11">
        <v>100</v>
      </c>
      <c r="M204" s="11">
        <v>250</v>
      </c>
      <c r="N204" s="11">
        <v>100</v>
      </c>
      <c r="O204" s="11">
        <v>100</v>
      </c>
      <c r="P204" s="11">
        <v>100</v>
      </c>
      <c r="Q204" s="11">
        <v>250</v>
      </c>
      <c r="R204" s="11">
        <v>100</v>
      </c>
      <c r="S204" s="14">
        <v>2</v>
      </c>
      <c r="T204" s="24">
        <v>62</v>
      </c>
    </row>
    <row r="205" spans="1:20" s="17" customFormat="1" x14ac:dyDescent="0.4">
      <c r="A205" s="8"/>
      <c r="B205" s="14">
        <v>4</v>
      </c>
      <c r="C205" s="11">
        <v>72</v>
      </c>
      <c r="D205" s="11" t="s">
        <v>663</v>
      </c>
      <c r="E205" s="11">
        <v>453</v>
      </c>
      <c r="F205" s="11" t="s">
        <v>666</v>
      </c>
      <c r="G205" s="11">
        <v>1200000</v>
      </c>
      <c r="H205" s="11">
        <v>2</v>
      </c>
      <c r="I205" s="11">
        <v>150</v>
      </c>
      <c r="J205" s="11">
        <v>100</v>
      </c>
      <c r="K205" s="11">
        <v>100</v>
      </c>
      <c r="L205" s="11">
        <v>100</v>
      </c>
      <c r="M205" s="11">
        <v>100</v>
      </c>
      <c r="N205" s="11">
        <v>100</v>
      </c>
      <c r="O205" s="11">
        <v>100</v>
      </c>
      <c r="P205" s="11">
        <v>250</v>
      </c>
      <c r="Q205" s="11">
        <v>100</v>
      </c>
      <c r="R205" s="11">
        <v>100</v>
      </c>
      <c r="S205" s="14">
        <v>1</v>
      </c>
      <c r="T205" s="24">
        <v>63</v>
      </c>
    </row>
    <row r="206" spans="1:20" s="17" customFormat="1" x14ac:dyDescent="0.4">
      <c r="A206" s="8"/>
      <c r="B206" s="14">
        <v>4</v>
      </c>
      <c r="C206" s="11">
        <v>73</v>
      </c>
      <c r="D206" s="11" t="s">
        <v>662</v>
      </c>
      <c r="E206" s="11">
        <v>453</v>
      </c>
      <c r="F206" s="11" t="s">
        <v>667</v>
      </c>
      <c r="G206" s="11">
        <v>95000000</v>
      </c>
      <c r="H206" s="11">
        <v>4</v>
      </c>
      <c r="I206" s="11">
        <v>600</v>
      </c>
      <c r="J206" s="11">
        <v>250</v>
      </c>
      <c r="K206" s="11">
        <v>100</v>
      </c>
      <c r="L206" s="11">
        <v>100</v>
      </c>
      <c r="M206" s="11">
        <v>100</v>
      </c>
      <c r="N206" s="11">
        <v>100</v>
      </c>
      <c r="O206" s="11">
        <v>100</v>
      </c>
      <c r="P206" s="11">
        <v>250</v>
      </c>
      <c r="Q206" s="11">
        <v>50</v>
      </c>
      <c r="R206" s="11">
        <v>100</v>
      </c>
      <c r="S206" s="14">
        <v>1</v>
      </c>
      <c r="T206" s="24">
        <v>64</v>
      </c>
    </row>
    <row r="207" spans="1:20" s="17" customFormat="1" x14ac:dyDescent="0.4">
      <c r="A207" s="8"/>
      <c r="B207" s="14">
        <v>4</v>
      </c>
      <c r="C207" s="11">
        <v>74</v>
      </c>
      <c r="D207" s="11" t="s">
        <v>495</v>
      </c>
      <c r="E207" s="11">
        <v>453</v>
      </c>
      <c r="F207" s="11" t="s">
        <v>239</v>
      </c>
      <c r="G207" s="11">
        <v>1100000</v>
      </c>
      <c r="H207" s="11">
        <v>2</v>
      </c>
      <c r="I207" s="11">
        <v>200</v>
      </c>
      <c r="J207" s="11">
        <v>100</v>
      </c>
      <c r="K207" s="11">
        <v>100</v>
      </c>
      <c r="L207" s="11">
        <v>100</v>
      </c>
      <c r="M207" s="11">
        <v>100</v>
      </c>
      <c r="N207" s="11">
        <v>100</v>
      </c>
      <c r="O207" s="11">
        <v>100</v>
      </c>
      <c r="P207" s="11">
        <v>100</v>
      </c>
      <c r="Q207" s="11">
        <v>250</v>
      </c>
      <c r="R207" s="11">
        <v>100</v>
      </c>
      <c r="S207" s="14">
        <v>2</v>
      </c>
      <c r="T207" s="24">
        <v>65</v>
      </c>
    </row>
    <row r="208" spans="1:20" s="17" customFormat="1" x14ac:dyDescent="0.4">
      <c r="A208" s="8"/>
      <c r="B208" s="14">
        <v>4</v>
      </c>
      <c r="C208" s="11">
        <v>75</v>
      </c>
      <c r="D208" s="11" t="s">
        <v>661</v>
      </c>
      <c r="E208" s="11">
        <v>453</v>
      </c>
      <c r="F208" s="11" t="s">
        <v>262</v>
      </c>
      <c r="G208" s="11">
        <v>2100000</v>
      </c>
      <c r="H208" s="11">
        <v>2</v>
      </c>
      <c r="I208" s="11">
        <v>200</v>
      </c>
      <c r="J208" s="11">
        <v>100</v>
      </c>
      <c r="K208" s="11">
        <v>100</v>
      </c>
      <c r="L208" s="11">
        <v>100</v>
      </c>
      <c r="M208" s="11">
        <v>100</v>
      </c>
      <c r="N208" s="11">
        <v>100</v>
      </c>
      <c r="O208" s="11">
        <v>250</v>
      </c>
      <c r="P208" s="11">
        <v>100</v>
      </c>
      <c r="Q208" s="11">
        <v>100</v>
      </c>
      <c r="R208" s="11">
        <v>100</v>
      </c>
      <c r="S208" s="14">
        <v>2</v>
      </c>
      <c r="T208" s="24">
        <v>65</v>
      </c>
    </row>
    <row r="209" spans="1:20" s="17" customFormat="1" x14ac:dyDescent="0.4">
      <c r="A209" s="8"/>
      <c r="B209" s="14">
        <v>4</v>
      </c>
      <c r="C209" s="11">
        <v>76</v>
      </c>
      <c r="D209" s="11" t="s">
        <v>660</v>
      </c>
      <c r="E209" s="11">
        <v>453</v>
      </c>
      <c r="F209" s="11" t="s">
        <v>668</v>
      </c>
      <c r="G209" s="11">
        <v>4400000</v>
      </c>
      <c r="H209" s="11">
        <v>2</v>
      </c>
      <c r="I209" s="11">
        <v>150</v>
      </c>
      <c r="J209" s="11">
        <v>100</v>
      </c>
      <c r="K209" s="11">
        <v>100</v>
      </c>
      <c r="L209" s="11">
        <v>250</v>
      </c>
      <c r="M209" s="11">
        <v>100</v>
      </c>
      <c r="N209" s="11">
        <v>100</v>
      </c>
      <c r="O209" s="11">
        <v>150</v>
      </c>
      <c r="P209" s="11">
        <v>50</v>
      </c>
      <c r="Q209" s="11">
        <v>100</v>
      </c>
      <c r="R209" s="11">
        <v>100</v>
      </c>
      <c r="S209" s="14">
        <v>1</v>
      </c>
      <c r="T209" s="24">
        <v>66</v>
      </c>
    </row>
    <row r="210" spans="1:20" s="17" customFormat="1" x14ac:dyDescent="0.4">
      <c r="A210" s="8"/>
      <c r="B210" s="14">
        <v>5</v>
      </c>
      <c r="C210" s="11">
        <v>1</v>
      </c>
      <c r="D210" s="11" t="s">
        <v>764</v>
      </c>
      <c r="E210" s="11">
        <v>280</v>
      </c>
      <c r="F210" s="11" t="s">
        <v>244</v>
      </c>
      <c r="G210" s="11">
        <v>42000</v>
      </c>
      <c r="H210" s="11">
        <v>5</v>
      </c>
      <c r="I210" s="11">
        <v>300</v>
      </c>
      <c r="J210" s="11">
        <v>100</v>
      </c>
      <c r="K210" s="11">
        <v>100</v>
      </c>
      <c r="L210" s="11">
        <v>100</v>
      </c>
      <c r="M210" s="11">
        <v>100</v>
      </c>
      <c r="N210" s="11">
        <v>100</v>
      </c>
      <c r="O210" s="11">
        <v>100</v>
      </c>
      <c r="P210" s="11">
        <v>100</v>
      </c>
      <c r="Q210" s="11">
        <v>100</v>
      </c>
      <c r="R210" s="11">
        <v>75</v>
      </c>
      <c r="S210" s="14">
        <v>1</v>
      </c>
      <c r="T210" s="24">
        <v>10</v>
      </c>
    </row>
    <row r="211" spans="1:20" s="17" customFormat="1" x14ac:dyDescent="0.4">
      <c r="A211" s="8"/>
      <c r="B211" s="14">
        <v>5</v>
      </c>
      <c r="C211" s="11">
        <v>2</v>
      </c>
      <c r="D211" s="11" t="s">
        <v>643</v>
      </c>
      <c r="E211" s="11">
        <v>300</v>
      </c>
      <c r="F211" s="11" t="s">
        <v>278</v>
      </c>
      <c r="G211" s="11">
        <v>26000</v>
      </c>
      <c r="H211" s="11">
        <v>2</v>
      </c>
      <c r="I211" s="11">
        <v>150</v>
      </c>
      <c r="J211" s="11">
        <v>100</v>
      </c>
      <c r="K211" s="11">
        <v>100</v>
      </c>
      <c r="L211" s="11">
        <v>100</v>
      </c>
      <c r="M211" s="11">
        <v>100</v>
      </c>
      <c r="N211" s="11">
        <v>100</v>
      </c>
      <c r="O211" s="11">
        <v>100</v>
      </c>
      <c r="P211" s="11">
        <v>100</v>
      </c>
      <c r="Q211" s="11">
        <v>100</v>
      </c>
      <c r="R211" s="11">
        <v>75</v>
      </c>
      <c r="S211" s="14">
        <v>1</v>
      </c>
      <c r="T211" s="24">
        <v>20</v>
      </c>
    </row>
    <row r="212" spans="1:20" s="17" customFormat="1" x14ac:dyDescent="0.4">
      <c r="A212" s="8"/>
      <c r="B212" s="14">
        <v>5</v>
      </c>
      <c r="C212" s="11">
        <v>3</v>
      </c>
      <c r="D212" s="11" t="s">
        <v>209</v>
      </c>
      <c r="E212" s="11">
        <v>310</v>
      </c>
      <c r="F212" s="11" t="s">
        <v>279</v>
      </c>
      <c r="G212" s="11">
        <v>47000</v>
      </c>
      <c r="H212" s="11">
        <v>2</v>
      </c>
      <c r="I212" s="11">
        <v>150</v>
      </c>
      <c r="J212" s="11">
        <v>200</v>
      </c>
      <c r="K212" s="11">
        <v>100</v>
      </c>
      <c r="L212" s="11">
        <v>100</v>
      </c>
      <c r="M212" s="11">
        <v>100</v>
      </c>
      <c r="N212" s="11">
        <v>100</v>
      </c>
      <c r="O212" s="11">
        <v>100</v>
      </c>
      <c r="P212" s="11">
        <v>100</v>
      </c>
      <c r="Q212" s="11">
        <v>100</v>
      </c>
      <c r="R212" s="11">
        <v>75</v>
      </c>
      <c r="S212" s="14">
        <v>1</v>
      </c>
      <c r="T212" s="24">
        <v>25</v>
      </c>
    </row>
    <row r="213" spans="1:20" s="17" customFormat="1" x14ac:dyDescent="0.4">
      <c r="A213" s="8"/>
      <c r="B213" s="14">
        <v>5</v>
      </c>
      <c r="C213" s="11">
        <v>4</v>
      </c>
      <c r="D213" s="11" t="s">
        <v>644</v>
      </c>
      <c r="E213" s="11">
        <v>265</v>
      </c>
      <c r="F213" s="11" t="s">
        <v>414</v>
      </c>
      <c r="G213" s="11">
        <v>53000</v>
      </c>
      <c r="H213" s="11">
        <v>2</v>
      </c>
      <c r="I213" s="11">
        <v>150</v>
      </c>
      <c r="J213" s="11">
        <v>100</v>
      </c>
      <c r="K213" s="11">
        <v>100</v>
      </c>
      <c r="L213" s="11">
        <v>100</v>
      </c>
      <c r="M213" s="11">
        <v>100</v>
      </c>
      <c r="N213" s="11">
        <v>100</v>
      </c>
      <c r="O213" s="11">
        <v>25</v>
      </c>
      <c r="P213" s="11">
        <v>100</v>
      </c>
      <c r="Q213" s="11">
        <v>150</v>
      </c>
      <c r="R213" s="11">
        <v>100</v>
      </c>
      <c r="S213" s="14">
        <v>1</v>
      </c>
      <c r="T213" s="24">
        <v>28</v>
      </c>
    </row>
    <row r="214" spans="1:20" s="17" customFormat="1" x14ac:dyDescent="0.4">
      <c r="A214" s="8"/>
      <c r="B214" s="14">
        <v>5</v>
      </c>
      <c r="C214" s="11">
        <v>5</v>
      </c>
      <c r="D214" s="11" t="s">
        <v>210</v>
      </c>
      <c r="E214" s="11">
        <v>320</v>
      </c>
      <c r="F214" s="11" t="s">
        <v>250</v>
      </c>
      <c r="G214" s="11">
        <v>56000</v>
      </c>
      <c r="H214" s="11">
        <v>2</v>
      </c>
      <c r="I214" s="11">
        <v>150</v>
      </c>
      <c r="J214" s="11">
        <v>100</v>
      </c>
      <c r="K214" s="11">
        <v>100</v>
      </c>
      <c r="L214" s="11">
        <v>100</v>
      </c>
      <c r="M214" s="11">
        <v>100</v>
      </c>
      <c r="N214" s="11">
        <v>100</v>
      </c>
      <c r="O214" s="11">
        <v>100</v>
      </c>
      <c r="P214" s="11">
        <v>100</v>
      </c>
      <c r="Q214" s="11">
        <v>100</v>
      </c>
      <c r="R214" s="11">
        <v>50</v>
      </c>
      <c r="S214" s="14">
        <v>1</v>
      </c>
      <c r="T214" s="24">
        <v>30</v>
      </c>
    </row>
    <row r="215" spans="1:20" s="17" customFormat="1" x14ac:dyDescent="0.4">
      <c r="A215" s="8"/>
      <c r="B215" s="14">
        <v>5</v>
      </c>
      <c r="C215" s="11">
        <v>6</v>
      </c>
      <c r="D215" s="11" t="s">
        <v>645</v>
      </c>
      <c r="E215" s="11">
        <v>265</v>
      </c>
      <c r="F215" s="11" t="s">
        <v>414</v>
      </c>
      <c r="G215" s="11">
        <v>53000</v>
      </c>
      <c r="H215" s="11">
        <v>2</v>
      </c>
      <c r="I215" s="11">
        <v>150</v>
      </c>
      <c r="J215" s="11">
        <v>100</v>
      </c>
      <c r="K215" s="11">
        <v>100</v>
      </c>
      <c r="L215" s="11">
        <v>100</v>
      </c>
      <c r="M215" s="11">
        <v>100</v>
      </c>
      <c r="N215" s="11">
        <v>100</v>
      </c>
      <c r="O215" s="11">
        <v>25</v>
      </c>
      <c r="P215" s="11">
        <v>100</v>
      </c>
      <c r="Q215" s="11">
        <v>150</v>
      </c>
      <c r="R215" s="11">
        <v>100</v>
      </c>
      <c r="S215" s="14">
        <v>2</v>
      </c>
      <c r="T215" s="24">
        <v>33</v>
      </c>
    </row>
    <row r="216" spans="1:20" s="17" customFormat="1" x14ac:dyDescent="0.4">
      <c r="A216" s="8"/>
      <c r="B216" s="14">
        <v>5</v>
      </c>
      <c r="C216" s="11">
        <v>7</v>
      </c>
      <c r="D216" s="11" t="s">
        <v>211</v>
      </c>
      <c r="E216" s="11">
        <v>330</v>
      </c>
      <c r="F216" s="11" t="s">
        <v>279</v>
      </c>
      <c r="G216" s="11">
        <v>47000</v>
      </c>
      <c r="H216" s="11">
        <v>2</v>
      </c>
      <c r="I216" s="11">
        <v>150</v>
      </c>
      <c r="J216" s="11">
        <v>100</v>
      </c>
      <c r="K216" s="11">
        <v>100</v>
      </c>
      <c r="L216" s="11">
        <v>200</v>
      </c>
      <c r="M216" s="11">
        <v>100</v>
      </c>
      <c r="N216" s="11">
        <v>100</v>
      </c>
      <c r="O216" s="11">
        <v>100</v>
      </c>
      <c r="P216" s="11">
        <v>100</v>
      </c>
      <c r="Q216" s="11">
        <v>100</v>
      </c>
      <c r="R216" s="11">
        <v>50</v>
      </c>
      <c r="S216" s="14">
        <v>1</v>
      </c>
      <c r="T216" s="24">
        <v>35</v>
      </c>
    </row>
    <row r="217" spans="1:20" s="17" customFormat="1" x14ac:dyDescent="0.4">
      <c r="A217" s="8"/>
      <c r="B217" s="14">
        <v>5</v>
      </c>
      <c r="C217" s="11">
        <v>8</v>
      </c>
      <c r="D217" s="11" t="s">
        <v>413</v>
      </c>
      <c r="E217" s="11">
        <v>265</v>
      </c>
      <c r="F217" s="11" t="s">
        <v>257</v>
      </c>
      <c r="G217" s="11">
        <v>76000</v>
      </c>
      <c r="H217" s="11">
        <v>2</v>
      </c>
      <c r="I217" s="11">
        <v>150</v>
      </c>
      <c r="J217" s="11">
        <v>100</v>
      </c>
      <c r="K217" s="11">
        <v>100</v>
      </c>
      <c r="L217" s="11">
        <v>100</v>
      </c>
      <c r="M217" s="11">
        <v>100</v>
      </c>
      <c r="N217" s="11">
        <v>100</v>
      </c>
      <c r="O217" s="11">
        <v>25</v>
      </c>
      <c r="P217" s="11">
        <v>100</v>
      </c>
      <c r="Q217" s="11">
        <v>150</v>
      </c>
      <c r="R217" s="11">
        <v>100</v>
      </c>
      <c r="S217" s="14">
        <v>1</v>
      </c>
      <c r="T217" s="24">
        <v>38</v>
      </c>
    </row>
    <row r="218" spans="1:20" s="17" customFormat="1" x14ac:dyDescent="0.4">
      <c r="A218" s="8"/>
      <c r="B218" s="14">
        <v>5</v>
      </c>
      <c r="C218" s="11">
        <v>9</v>
      </c>
      <c r="D218" s="11" t="s">
        <v>212</v>
      </c>
      <c r="E218" s="11">
        <v>340</v>
      </c>
      <c r="F218" s="11" t="s">
        <v>279</v>
      </c>
      <c r="G218" s="11">
        <v>47000</v>
      </c>
      <c r="H218" s="11">
        <v>2</v>
      </c>
      <c r="I218" s="11">
        <v>150</v>
      </c>
      <c r="J218" s="11">
        <v>100</v>
      </c>
      <c r="K218" s="11">
        <v>100</v>
      </c>
      <c r="L218" s="11">
        <v>100</v>
      </c>
      <c r="M218" s="11">
        <v>200</v>
      </c>
      <c r="N218" s="11">
        <v>100</v>
      </c>
      <c r="O218" s="11">
        <v>100</v>
      </c>
      <c r="P218" s="11">
        <v>100</v>
      </c>
      <c r="Q218" s="11">
        <v>100</v>
      </c>
      <c r="R218" s="11">
        <v>50</v>
      </c>
      <c r="S218" s="14">
        <v>1</v>
      </c>
      <c r="T218" s="24">
        <v>40</v>
      </c>
    </row>
    <row r="219" spans="1:20" s="17" customFormat="1" x14ac:dyDescent="0.4">
      <c r="A219" s="8"/>
      <c r="B219" s="14">
        <v>5</v>
      </c>
      <c r="C219" s="11">
        <v>10</v>
      </c>
      <c r="D219" s="11" t="s">
        <v>213</v>
      </c>
      <c r="E219" s="11">
        <v>345</v>
      </c>
      <c r="F219" s="11" t="s">
        <v>279</v>
      </c>
      <c r="G219" s="11">
        <v>47000</v>
      </c>
      <c r="H219" s="11">
        <v>2</v>
      </c>
      <c r="I219" s="11">
        <v>150</v>
      </c>
      <c r="J219" s="11">
        <v>100</v>
      </c>
      <c r="K219" s="11">
        <v>200</v>
      </c>
      <c r="L219" s="11">
        <v>100</v>
      </c>
      <c r="M219" s="11">
        <v>100</v>
      </c>
      <c r="N219" s="11">
        <v>100</v>
      </c>
      <c r="O219" s="11">
        <v>100</v>
      </c>
      <c r="P219" s="11">
        <v>100</v>
      </c>
      <c r="Q219" s="11">
        <v>100</v>
      </c>
      <c r="R219" s="11">
        <v>50</v>
      </c>
      <c r="S219" s="14">
        <v>1</v>
      </c>
      <c r="T219" s="24">
        <v>43</v>
      </c>
    </row>
    <row r="220" spans="1:20" s="17" customFormat="1" x14ac:dyDescent="0.4">
      <c r="A220" s="8"/>
      <c r="B220" s="14">
        <v>5</v>
      </c>
      <c r="C220" s="11">
        <v>11</v>
      </c>
      <c r="D220" s="11" t="s">
        <v>214</v>
      </c>
      <c r="E220" s="11">
        <v>350</v>
      </c>
      <c r="F220" s="11" t="s">
        <v>252</v>
      </c>
      <c r="G220" s="11">
        <v>68000</v>
      </c>
      <c r="H220" s="11">
        <v>2</v>
      </c>
      <c r="I220" s="11">
        <v>150</v>
      </c>
      <c r="J220" s="11">
        <v>100</v>
      </c>
      <c r="K220" s="11">
        <v>100</v>
      </c>
      <c r="L220" s="11">
        <v>100</v>
      </c>
      <c r="M220" s="11">
        <v>100</v>
      </c>
      <c r="N220" s="11">
        <v>200</v>
      </c>
      <c r="O220" s="11">
        <v>100</v>
      </c>
      <c r="P220" s="11">
        <v>100</v>
      </c>
      <c r="Q220" s="11">
        <v>100</v>
      </c>
      <c r="R220" s="11">
        <v>50</v>
      </c>
      <c r="S220" s="14">
        <v>1</v>
      </c>
      <c r="T220" s="24">
        <v>45</v>
      </c>
    </row>
    <row r="221" spans="1:20" s="17" customFormat="1" x14ac:dyDescent="0.4">
      <c r="A221" s="8"/>
      <c r="B221" s="14">
        <v>5</v>
      </c>
      <c r="C221" s="11">
        <v>12</v>
      </c>
      <c r="D221" s="11" t="s">
        <v>646</v>
      </c>
      <c r="E221" s="11">
        <v>300</v>
      </c>
      <c r="F221" s="11" t="s">
        <v>278</v>
      </c>
      <c r="G221" s="11">
        <v>26000</v>
      </c>
      <c r="H221" s="11">
        <v>2</v>
      </c>
      <c r="I221" s="11">
        <v>150</v>
      </c>
      <c r="J221" s="11">
        <v>100</v>
      </c>
      <c r="K221" s="11">
        <v>100</v>
      </c>
      <c r="L221" s="11">
        <v>100</v>
      </c>
      <c r="M221" s="11">
        <v>100</v>
      </c>
      <c r="N221" s="11">
        <v>100</v>
      </c>
      <c r="O221" s="11">
        <v>100</v>
      </c>
      <c r="P221" s="11">
        <v>100</v>
      </c>
      <c r="Q221" s="11">
        <v>100</v>
      </c>
      <c r="R221" s="11">
        <v>75</v>
      </c>
      <c r="S221" s="14">
        <v>2</v>
      </c>
      <c r="T221" s="24">
        <v>48</v>
      </c>
    </row>
    <row r="222" spans="1:20" s="17" customFormat="1" x14ac:dyDescent="0.4">
      <c r="A222" s="8"/>
      <c r="B222" s="14">
        <v>5</v>
      </c>
      <c r="C222" s="11">
        <v>13</v>
      </c>
      <c r="D222" s="11" t="s">
        <v>765</v>
      </c>
      <c r="E222" s="11">
        <v>360</v>
      </c>
      <c r="F222" s="11" t="s">
        <v>237</v>
      </c>
      <c r="G222" s="11">
        <v>300000</v>
      </c>
      <c r="H222" s="11">
        <v>5</v>
      </c>
      <c r="I222" s="11">
        <v>300</v>
      </c>
      <c r="J222" s="11">
        <v>100</v>
      </c>
      <c r="K222" s="11">
        <v>100</v>
      </c>
      <c r="L222" s="11">
        <v>100</v>
      </c>
      <c r="M222" s="11">
        <v>100</v>
      </c>
      <c r="N222" s="11">
        <v>100</v>
      </c>
      <c r="O222" s="11">
        <v>100</v>
      </c>
      <c r="P222" s="11">
        <v>100</v>
      </c>
      <c r="Q222" s="11">
        <v>100</v>
      </c>
      <c r="R222" s="11">
        <v>25</v>
      </c>
      <c r="S222" s="14">
        <v>1</v>
      </c>
      <c r="T222" s="24">
        <v>50</v>
      </c>
    </row>
    <row r="223" spans="1:20" s="17" customFormat="1" x14ac:dyDescent="0.4">
      <c r="A223" s="8"/>
      <c r="B223" s="14">
        <v>5</v>
      </c>
      <c r="C223" s="11">
        <v>14</v>
      </c>
      <c r="D223" s="11" t="s">
        <v>215</v>
      </c>
      <c r="E223" s="11">
        <v>360</v>
      </c>
      <c r="F223" s="11" t="s">
        <v>238</v>
      </c>
      <c r="G223" s="11">
        <v>1200000</v>
      </c>
      <c r="H223" s="11">
        <v>8</v>
      </c>
      <c r="I223" s="11">
        <v>700</v>
      </c>
      <c r="J223" s="11">
        <v>100</v>
      </c>
      <c r="K223" s="11">
        <v>100</v>
      </c>
      <c r="L223" s="11">
        <v>100</v>
      </c>
      <c r="M223" s="11">
        <v>100</v>
      </c>
      <c r="N223" s="11">
        <v>100</v>
      </c>
      <c r="O223" s="11">
        <v>100</v>
      </c>
      <c r="P223" s="11">
        <v>100</v>
      </c>
      <c r="Q223" s="11">
        <v>100</v>
      </c>
      <c r="R223" s="11">
        <v>25</v>
      </c>
      <c r="S223" s="14">
        <v>1</v>
      </c>
      <c r="T223" s="24">
        <v>50</v>
      </c>
    </row>
    <row r="224" spans="1:20" s="17" customFormat="1" x14ac:dyDescent="0.4">
      <c r="A224" s="8"/>
      <c r="B224" s="14">
        <v>6</v>
      </c>
      <c r="C224" s="11">
        <v>1</v>
      </c>
      <c r="D224" s="11" t="s">
        <v>897</v>
      </c>
      <c r="E224" s="11">
        <v>65</v>
      </c>
      <c r="F224" s="11" t="s">
        <v>902</v>
      </c>
      <c r="G224" s="11">
        <v>365000</v>
      </c>
      <c r="H224" s="11">
        <v>7</v>
      </c>
      <c r="I224" s="11">
        <v>500</v>
      </c>
      <c r="J224" s="11">
        <v>100</v>
      </c>
      <c r="K224" s="11">
        <v>250</v>
      </c>
      <c r="L224" s="11">
        <v>250</v>
      </c>
      <c r="M224" s="11">
        <v>100</v>
      </c>
      <c r="N224" s="11">
        <v>100</v>
      </c>
      <c r="O224" s="11">
        <v>100</v>
      </c>
      <c r="P224" s="11">
        <v>100</v>
      </c>
      <c r="Q224" s="11">
        <v>100</v>
      </c>
      <c r="R224" s="11">
        <v>100</v>
      </c>
      <c r="S224" s="14">
        <v>1</v>
      </c>
      <c r="T224" s="24">
        <v>91</v>
      </c>
    </row>
    <row r="225" spans="1:20" s="17" customFormat="1" x14ac:dyDescent="0.4">
      <c r="A225" s="8"/>
      <c r="B225" s="14">
        <v>6</v>
      </c>
      <c r="C225" s="11">
        <v>2</v>
      </c>
      <c r="D225" s="11" t="s">
        <v>914</v>
      </c>
      <c r="E225" s="11">
        <v>65</v>
      </c>
      <c r="F225" s="11" t="s">
        <v>243</v>
      </c>
      <c r="G225" s="11">
        <v>58000</v>
      </c>
      <c r="H225" s="11">
        <v>5</v>
      </c>
      <c r="I225" s="11">
        <v>500</v>
      </c>
      <c r="J225" s="11">
        <v>100</v>
      </c>
      <c r="K225" s="11">
        <v>250</v>
      </c>
      <c r="L225" s="11">
        <v>250</v>
      </c>
      <c r="M225" s="11">
        <v>100</v>
      </c>
      <c r="N225" s="11">
        <v>100</v>
      </c>
      <c r="O225" s="11">
        <v>100</v>
      </c>
      <c r="P225" s="11">
        <v>100</v>
      </c>
      <c r="Q225" s="11">
        <v>100</v>
      </c>
      <c r="R225" s="11">
        <v>100</v>
      </c>
      <c r="S225" s="14">
        <v>2</v>
      </c>
      <c r="T225" s="24">
        <v>92</v>
      </c>
    </row>
    <row r="226" spans="1:20" s="17" customFormat="1" x14ac:dyDescent="0.4">
      <c r="A226" s="8"/>
      <c r="B226" s="14">
        <v>6</v>
      </c>
      <c r="C226" s="11">
        <v>3</v>
      </c>
      <c r="D226" s="11" t="s">
        <v>913</v>
      </c>
      <c r="E226" s="11">
        <v>340</v>
      </c>
      <c r="F226" s="11" t="s">
        <v>915</v>
      </c>
      <c r="G226" s="11">
        <v>175000</v>
      </c>
      <c r="H226" s="11">
        <v>4</v>
      </c>
      <c r="I226" s="11">
        <v>300</v>
      </c>
      <c r="J226" s="11">
        <v>250</v>
      </c>
      <c r="K226" s="11">
        <v>100</v>
      </c>
      <c r="L226" s="11">
        <v>100</v>
      </c>
      <c r="M226" s="11">
        <v>100</v>
      </c>
      <c r="N226" s="11">
        <v>100</v>
      </c>
      <c r="O226" s="11">
        <v>100</v>
      </c>
      <c r="P226" s="11">
        <v>100</v>
      </c>
      <c r="Q226" s="11">
        <v>100</v>
      </c>
      <c r="R226" s="11">
        <v>100</v>
      </c>
      <c r="S226" s="14">
        <v>1</v>
      </c>
      <c r="T226" s="24">
        <v>93</v>
      </c>
    </row>
    <row r="227" spans="1:20" s="17" customFormat="1" x14ac:dyDescent="0.4">
      <c r="A227" s="8"/>
      <c r="B227" s="14">
        <v>6</v>
      </c>
      <c r="C227" s="11">
        <v>4</v>
      </c>
      <c r="D227" s="11" t="s">
        <v>922</v>
      </c>
      <c r="E227" s="11">
        <v>340</v>
      </c>
      <c r="F227" s="11" t="s">
        <v>923</v>
      </c>
      <c r="G227" s="11">
        <v>55500</v>
      </c>
      <c r="H227" s="11">
        <v>5</v>
      </c>
      <c r="I227" s="11">
        <v>300</v>
      </c>
      <c r="J227" s="11">
        <v>100</v>
      </c>
      <c r="K227" s="11">
        <v>100</v>
      </c>
      <c r="L227" s="11">
        <v>100</v>
      </c>
      <c r="M227" s="11">
        <v>250</v>
      </c>
      <c r="N227" s="11">
        <v>250</v>
      </c>
      <c r="O227" s="11">
        <v>100</v>
      </c>
      <c r="P227" s="11">
        <v>100</v>
      </c>
      <c r="Q227" s="11">
        <v>100</v>
      </c>
      <c r="R227" s="11">
        <v>100</v>
      </c>
      <c r="S227" s="14">
        <v>2</v>
      </c>
      <c r="T227" s="24">
        <v>94</v>
      </c>
    </row>
    <row r="228" spans="1:20" s="17" customFormat="1" x14ac:dyDescent="0.4">
      <c r="A228" s="8"/>
      <c r="B228" s="14">
        <v>6</v>
      </c>
      <c r="C228" s="11">
        <v>5</v>
      </c>
      <c r="D228" s="11" t="s">
        <v>928</v>
      </c>
      <c r="E228" s="11">
        <v>65</v>
      </c>
      <c r="F228" s="11" t="s">
        <v>929</v>
      </c>
      <c r="G228" s="11">
        <v>30000</v>
      </c>
      <c r="H228" s="11">
        <v>5</v>
      </c>
      <c r="I228" s="11">
        <v>300</v>
      </c>
      <c r="J228" s="11">
        <v>100</v>
      </c>
      <c r="K228" s="11">
        <v>250</v>
      </c>
      <c r="L228" s="11">
        <v>250</v>
      </c>
      <c r="M228" s="11">
        <v>100</v>
      </c>
      <c r="N228" s="11">
        <v>250</v>
      </c>
      <c r="O228" s="11">
        <v>100</v>
      </c>
      <c r="P228" s="11">
        <v>100</v>
      </c>
      <c r="Q228" s="11">
        <v>100</v>
      </c>
      <c r="R228" s="11">
        <v>100</v>
      </c>
      <c r="S228" s="14">
        <v>1</v>
      </c>
      <c r="T228" s="24">
        <v>95</v>
      </c>
    </row>
    <row r="229" spans="1:20" s="17" customFormat="1" x14ac:dyDescent="0.4">
      <c r="A229" s="8"/>
      <c r="B229" s="14">
        <v>6</v>
      </c>
      <c r="C229" s="11">
        <v>6</v>
      </c>
      <c r="D229" s="11" t="s">
        <v>949</v>
      </c>
      <c r="E229" s="11">
        <v>65</v>
      </c>
      <c r="F229" s="11" t="s">
        <v>950</v>
      </c>
      <c r="G229" s="11">
        <v>30000</v>
      </c>
      <c r="H229" s="11">
        <v>7</v>
      </c>
      <c r="I229" s="11">
        <v>700</v>
      </c>
      <c r="J229" s="11">
        <v>250</v>
      </c>
      <c r="K229" s="11">
        <v>100</v>
      </c>
      <c r="L229" s="11">
        <v>100</v>
      </c>
      <c r="M229" s="11">
        <v>250</v>
      </c>
      <c r="N229" s="11">
        <v>250</v>
      </c>
      <c r="O229" s="11">
        <v>100</v>
      </c>
      <c r="P229" s="11">
        <v>100</v>
      </c>
      <c r="Q229" s="11">
        <v>100</v>
      </c>
      <c r="R229" s="11">
        <v>100</v>
      </c>
      <c r="S229" s="14">
        <v>1</v>
      </c>
      <c r="T229" s="24">
        <v>96</v>
      </c>
    </row>
    <row r="230" spans="1:20" s="17" customFormat="1" x14ac:dyDescent="0.4">
      <c r="A230" s="8"/>
      <c r="B230" s="14">
        <v>6</v>
      </c>
      <c r="C230" s="11">
        <v>7</v>
      </c>
      <c r="D230" s="11" t="s">
        <v>956</v>
      </c>
      <c r="E230" s="11">
        <v>65</v>
      </c>
      <c r="F230" s="11" t="s">
        <v>957</v>
      </c>
      <c r="G230" s="11">
        <v>200000000</v>
      </c>
      <c r="H230" s="11">
        <v>7</v>
      </c>
      <c r="I230" s="11">
        <v>999</v>
      </c>
      <c r="J230" s="11">
        <v>250</v>
      </c>
      <c r="K230" s="11">
        <v>100</v>
      </c>
      <c r="L230" s="11">
        <v>100</v>
      </c>
      <c r="M230" s="11">
        <v>250</v>
      </c>
      <c r="N230" s="11">
        <v>250</v>
      </c>
      <c r="O230" s="11">
        <v>100</v>
      </c>
      <c r="P230" s="11">
        <v>100</v>
      </c>
      <c r="Q230" s="11">
        <v>100</v>
      </c>
      <c r="R230" s="11">
        <v>100</v>
      </c>
      <c r="S230" s="14">
        <v>1</v>
      </c>
      <c r="T230" s="24">
        <v>97</v>
      </c>
    </row>
    <row r="231" spans="1:20" s="17" customFormat="1" x14ac:dyDescent="0.4">
      <c r="A231" s="8"/>
      <c r="B231" s="14">
        <v>6</v>
      </c>
      <c r="C231" s="11">
        <v>8</v>
      </c>
      <c r="D231" s="11" t="s">
        <v>966</v>
      </c>
      <c r="E231" s="11">
        <v>160</v>
      </c>
      <c r="F231" s="11" t="s">
        <v>967</v>
      </c>
      <c r="G231" s="11">
        <v>10000</v>
      </c>
      <c r="H231" s="11">
        <v>5</v>
      </c>
      <c r="I231" s="11">
        <v>300</v>
      </c>
      <c r="J231" s="11">
        <v>250</v>
      </c>
      <c r="K231" s="11">
        <v>100</v>
      </c>
      <c r="L231" s="11">
        <v>100</v>
      </c>
      <c r="M231" s="11">
        <v>100</v>
      </c>
      <c r="N231" s="11">
        <v>250</v>
      </c>
      <c r="O231" s="11">
        <v>100</v>
      </c>
      <c r="P231" s="11">
        <v>100</v>
      </c>
      <c r="Q231" s="11">
        <v>100</v>
      </c>
      <c r="R231" s="11">
        <v>100</v>
      </c>
      <c r="S231" s="14">
        <v>1</v>
      </c>
      <c r="T231" s="24">
        <v>98</v>
      </c>
    </row>
    <row r="232" spans="1:20" s="17" customFormat="1" x14ac:dyDescent="0.4">
      <c r="A232" s="8"/>
      <c r="B232" s="14">
        <v>6</v>
      </c>
      <c r="C232" s="11">
        <v>9</v>
      </c>
      <c r="D232" s="11" t="s">
        <v>972</v>
      </c>
      <c r="E232" s="11">
        <v>65</v>
      </c>
      <c r="F232" s="11" t="s">
        <v>985</v>
      </c>
      <c r="G232" s="11">
        <v>2500000000</v>
      </c>
      <c r="H232" s="11">
        <v>50</v>
      </c>
      <c r="I232" s="11">
        <v>9999</v>
      </c>
      <c r="J232" s="11">
        <v>250</v>
      </c>
      <c r="K232" s="11">
        <v>250</v>
      </c>
      <c r="L232" s="11">
        <v>250</v>
      </c>
      <c r="M232" s="11">
        <v>250</v>
      </c>
      <c r="N232" s="11">
        <v>250</v>
      </c>
      <c r="O232" s="11">
        <v>100</v>
      </c>
      <c r="P232" s="11">
        <v>100</v>
      </c>
      <c r="Q232" s="11">
        <v>100</v>
      </c>
      <c r="R232" s="11">
        <v>100</v>
      </c>
      <c r="S232" s="14">
        <v>1</v>
      </c>
      <c r="T232" s="24">
        <v>99</v>
      </c>
    </row>
    <row r="233" spans="1:20" s="17" customFormat="1" x14ac:dyDescent="0.4">
      <c r="A233" s="8"/>
      <c r="B233" s="14">
        <v>6</v>
      </c>
      <c r="C233" s="11">
        <v>10</v>
      </c>
      <c r="D233" s="11" t="s">
        <v>984</v>
      </c>
      <c r="E233" s="11">
        <v>290</v>
      </c>
      <c r="F233" s="11" t="s">
        <v>287</v>
      </c>
      <c r="G233" s="11">
        <v>265000</v>
      </c>
      <c r="H233" s="11">
        <v>8</v>
      </c>
      <c r="I233" s="11">
        <v>999</v>
      </c>
      <c r="J233" s="11">
        <v>250</v>
      </c>
      <c r="K233" s="11">
        <v>250</v>
      </c>
      <c r="L233" s="11">
        <v>250</v>
      </c>
      <c r="M233" s="11">
        <v>250</v>
      </c>
      <c r="N233" s="11">
        <v>250</v>
      </c>
      <c r="O233" s="11">
        <v>100</v>
      </c>
      <c r="P233" s="11">
        <v>100</v>
      </c>
      <c r="Q233" s="11">
        <v>100</v>
      </c>
      <c r="R233" s="11">
        <v>100</v>
      </c>
      <c r="S233" s="14">
        <v>1</v>
      </c>
      <c r="T233" s="24">
        <v>100</v>
      </c>
    </row>
    <row r="234" spans="1:20" s="17" customFormat="1" x14ac:dyDescent="0.4">
      <c r="A234" s="8"/>
      <c r="B234" s="14">
        <v>6</v>
      </c>
      <c r="C234" s="11">
        <v>11</v>
      </c>
      <c r="D234" s="11" t="s">
        <v>1209</v>
      </c>
      <c r="E234" s="11">
        <v>65</v>
      </c>
      <c r="F234" s="11" t="s">
        <v>1210</v>
      </c>
      <c r="G234" s="11">
        <v>65600</v>
      </c>
      <c r="H234" s="11">
        <v>5</v>
      </c>
      <c r="I234" s="11">
        <v>300</v>
      </c>
      <c r="J234" s="11">
        <v>250</v>
      </c>
      <c r="K234" s="11">
        <v>250</v>
      </c>
      <c r="L234" s="11">
        <v>250</v>
      </c>
      <c r="M234" s="11">
        <v>250</v>
      </c>
      <c r="N234" s="11">
        <v>250</v>
      </c>
      <c r="O234" s="11">
        <v>100</v>
      </c>
      <c r="P234" s="11">
        <v>100</v>
      </c>
      <c r="Q234" s="11">
        <v>100</v>
      </c>
      <c r="R234" s="11">
        <v>100</v>
      </c>
      <c r="S234" s="14">
        <v>2</v>
      </c>
      <c r="T234" s="24">
        <v>101</v>
      </c>
    </row>
    <row r="235" spans="1:20" s="17" customFormat="1" x14ac:dyDescent="0.4">
      <c r="A235" s="8"/>
      <c r="B235" s="14">
        <v>6</v>
      </c>
      <c r="C235" s="11">
        <v>12</v>
      </c>
      <c r="D235" s="11" t="s">
        <v>63</v>
      </c>
      <c r="E235" s="11">
        <v>65</v>
      </c>
      <c r="F235" s="11" t="s">
        <v>985</v>
      </c>
      <c r="G235" s="11">
        <v>240000000</v>
      </c>
      <c r="H235" s="11">
        <v>4</v>
      </c>
      <c r="I235" s="11">
        <v>999</v>
      </c>
      <c r="J235" s="11">
        <v>250</v>
      </c>
      <c r="K235" s="11">
        <v>250</v>
      </c>
      <c r="L235" s="11">
        <v>250</v>
      </c>
      <c r="M235" s="11">
        <v>250</v>
      </c>
      <c r="N235" s="11">
        <v>250</v>
      </c>
      <c r="O235" s="11">
        <v>100</v>
      </c>
      <c r="P235" s="11">
        <v>100</v>
      </c>
      <c r="Q235" s="11">
        <v>100</v>
      </c>
      <c r="R235" s="11">
        <v>100</v>
      </c>
      <c r="S235" s="14">
        <v>1</v>
      </c>
      <c r="T235" s="24">
        <v>102</v>
      </c>
    </row>
    <row r="236" spans="1:20" s="17" customFormat="1" x14ac:dyDescent="0.4">
      <c r="A236" s="8"/>
      <c r="B236" s="14">
        <v>6</v>
      </c>
      <c r="C236" s="11">
        <v>13</v>
      </c>
      <c r="D236" s="11" t="s">
        <v>1225</v>
      </c>
      <c r="E236" s="11">
        <v>160</v>
      </c>
      <c r="F236" s="11" t="s">
        <v>967</v>
      </c>
      <c r="G236" s="11">
        <v>10000</v>
      </c>
      <c r="H236" s="11">
        <v>5</v>
      </c>
      <c r="I236" s="11">
        <v>300</v>
      </c>
      <c r="J236" s="11">
        <v>250</v>
      </c>
      <c r="K236" s="11">
        <v>250</v>
      </c>
      <c r="L236" s="11">
        <v>250</v>
      </c>
      <c r="M236" s="11">
        <v>250</v>
      </c>
      <c r="N236" s="11">
        <v>250</v>
      </c>
      <c r="O236" s="11">
        <v>100</v>
      </c>
      <c r="P236" s="11">
        <v>100</v>
      </c>
      <c r="Q236" s="11">
        <v>100</v>
      </c>
      <c r="R236" s="11">
        <v>100</v>
      </c>
      <c r="S236" s="14">
        <v>1</v>
      </c>
      <c r="T236" s="24">
        <v>103</v>
      </c>
    </row>
    <row r="237" spans="1:20" s="17" customFormat="1" x14ac:dyDescent="0.4">
      <c r="A237" s="8"/>
      <c r="B237" s="14">
        <v>6</v>
      </c>
      <c r="C237" s="11">
        <v>14</v>
      </c>
      <c r="D237" s="11" t="s">
        <v>1235</v>
      </c>
      <c r="E237" s="11">
        <v>160</v>
      </c>
      <c r="F237" s="11" t="s">
        <v>967</v>
      </c>
      <c r="G237" s="11">
        <v>10000</v>
      </c>
      <c r="H237" s="11">
        <v>6</v>
      </c>
      <c r="I237" s="11">
        <v>700</v>
      </c>
      <c r="J237" s="11">
        <v>250</v>
      </c>
      <c r="K237" s="11">
        <v>250</v>
      </c>
      <c r="L237" s="11">
        <v>250</v>
      </c>
      <c r="M237" s="11">
        <v>250</v>
      </c>
      <c r="N237" s="11">
        <v>250</v>
      </c>
      <c r="O237" s="11">
        <v>100</v>
      </c>
      <c r="P237" s="11">
        <v>100</v>
      </c>
      <c r="Q237" s="11">
        <v>100</v>
      </c>
      <c r="R237" s="11">
        <v>100</v>
      </c>
      <c r="S237" s="14">
        <v>1</v>
      </c>
      <c r="T237" s="24">
        <v>104</v>
      </c>
    </row>
    <row r="238" spans="1:20" s="17" customFormat="1" x14ac:dyDescent="0.4">
      <c r="A238" s="8"/>
      <c r="B238" s="14">
        <v>7</v>
      </c>
      <c r="C238" s="11">
        <v>1</v>
      </c>
      <c r="D238" s="11" t="s">
        <v>766</v>
      </c>
      <c r="E238" s="11">
        <v>400</v>
      </c>
      <c r="F238" s="11" t="s">
        <v>280</v>
      </c>
      <c r="G238" s="11">
        <v>235000</v>
      </c>
      <c r="H238" s="11">
        <v>5</v>
      </c>
      <c r="I238" s="11">
        <v>300</v>
      </c>
      <c r="J238" s="11">
        <v>100</v>
      </c>
      <c r="K238" s="11">
        <v>100</v>
      </c>
      <c r="L238" s="11">
        <v>100</v>
      </c>
      <c r="M238" s="11">
        <v>100</v>
      </c>
      <c r="N238" s="11">
        <v>100</v>
      </c>
      <c r="O238" s="11">
        <v>100</v>
      </c>
      <c r="P238" s="11">
        <v>100</v>
      </c>
      <c r="Q238" s="11">
        <v>100</v>
      </c>
      <c r="R238" s="11">
        <v>10</v>
      </c>
      <c r="S238" s="14">
        <v>1</v>
      </c>
      <c r="T238" s="24"/>
    </row>
    <row r="239" spans="1:20" s="17" customFormat="1" x14ac:dyDescent="0.4">
      <c r="A239" s="8"/>
      <c r="B239" s="14">
        <v>7</v>
      </c>
      <c r="C239" s="11">
        <v>2</v>
      </c>
      <c r="D239" s="11" t="s">
        <v>217</v>
      </c>
      <c r="E239" s="11">
        <v>380</v>
      </c>
      <c r="F239" s="11" t="s">
        <v>281</v>
      </c>
      <c r="G239" s="11">
        <v>175000</v>
      </c>
      <c r="H239" s="11">
        <v>5</v>
      </c>
      <c r="I239" s="11">
        <v>300</v>
      </c>
      <c r="J239" s="11">
        <v>100</v>
      </c>
      <c r="K239" s="11">
        <v>100</v>
      </c>
      <c r="L239" s="11">
        <v>100</v>
      </c>
      <c r="M239" s="11">
        <v>100</v>
      </c>
      <c r="N239" s="11">
        <v>100</v>
      </c>
      <c r="O239" s="11">
        <v>100</v>
      </c>
      <c r="P239" s="11">
        <v>100</v>
      </c>
      <c r="Q239" s="11">
        <v>100</v>
      </c>
      <c r="R239" s="11">
        <v>10</v>
      </c>
      <c r="S239" s="14">
        <v>1</v>
      </c>
      <c r="T239" s="24"/>
    </row>
    <row r="240" spans="1:20" s="17" customFormat="1" x14ac:dyDescent="0.4">
      <c r="A240" s="8"/>
      <c r="B240" s="14">
        <v>7</v>
      </c>
      <c r="C240" s="11">
        <v>3</v>
      </c>
      <c r="D240" s="11" t="s">
        <v>218</v>
      </c>
      <c r="E240" s="11">
        <v>360</v>
      </c>
      <c r="F240" s="11" t="s">
        <v>282</v>
      </c>
      <c r="G240" s="11">
        <v>124000</v>
      </c>
      <c r="H240" s="11">
        <v>5</v>
      </c>
      <c r="I240" s="11">
        <v>300</v>
      </c>
      <c r="J240" s="11">
        <v>100</v>
      </c>
      <c r="K240" s="11">
        <v>100</v>
      </c>
      <c r="L240" s="11">
        <v>100</v>
      </c>
      <c r="M240" s="11">
        <v>100</v>
      </c>
      <c r="N240" s="11">
        <v>100</v>
      </c>
      <c r="O240" s="11">
        <v>100</v>
      </c>
      <c r="P240" s="11">
        <v>100</v>
      </c>
      <c r="Q240" s="11">
        <v>100</v>
      </c>
      <c r="R240" s="11">
        <v>10</v>
      </c>
      <c r="S240" s="14">
        <v>1</v>
      </c>
      <c r="T240" s="24"/>
    </row>
    <row r="241" spans="1:20" s="17" customFormat="1" x14ac:dyDescent="0.4">
      <c r="A241" s="8"/>
      <c r="B241" s="14">
        <v>7</v>
      </c>
      <c r="C241" s="11">
        <v>4</v>
      </c>
      <c r="D241" s="11" t="s">
        <v>219</v>
      </c>
      <c r="E241" s="11">
        <v>340</v>
      </c>
      <c r="F241" s="11" t="s">
        <v>283</v>
      </c>
      <c r="G241" s="11">
        <v>82500</v>
      </c>
      <c r="H241" s="11">
        <v>5</v>
      </c>
      <c r="I241" s="11">
        <v>300</v>
      </c>
      <c r="J241" s="11">
        <v>100</v>
      </c>
      <c r="K241" s="11">
        <v>100</v>
      </c>
      <c r="L241" s="11">
        <v>100</v>
      </c>
      <c r="M241" s="11">
        <v>100</v>
      </c>
      <c r="N241" s="11">
        <v>100</v>
      </c>
      <c r="O241" s="11">
        <v>100</v>
      </c>
      <c r="P241" s="11">
        <v>100</v>
      </c>
      <c r="Q241" s="11">
        <v>100</v>
      </c>
      <c r="R241" s="11">
        <v>10</v>
      </c>
      <c r="S241" s="14">
        <v>1</v>
      </c>
      <c r="T241" s="24"/>
    </row>
    <row r="242" spans="1:20" s="17" customFormat="1" x14ac:dyDescent="0.4">
      <c r="A242" s="8"/>
      <c r="B242" s="14">
        <v>8</v>
      </c>
      <c r="C242" s="11">
        <v>1</v>
      </c>
      <c r="D242" s="11" t="s">
        <v>1226</v>
      </c>
      <c r="E242" s="11">
        <v>550</v>
      </c>
      <c r="F242" s="11" t="s">
        <v>1231</v>
      </c>
      <c r="G242" s="11">
        <v>600000</v>
      </c>
      <c r="H242" s="11">
        <v>5</v>
      </c>
      <c r="I242" s="11">
        <v>999</v>
      </c>
      <c r="J242" s="11">
        <v>400</v>
      </c>
      <c r="K242" s="11">
        <v>400</v>
      </c>
      <c r="L242" s="11">
        <v>400</v>
      </c>
      <c r="M242" s="11">
        <v>400</v>
      </c>
      <c r="N242" s="11">
        <v>400</v>
      </c>
      <c r="O242" s="11">
        <v>100</v>
      </c>
      <c r="P242" s="11">
        <v>100</v>
      </c>
      <c r="Q242" s="11">
        <v>100</v>
      </c>
      <c r="R242" s="11">
        <v>100</v>
      </c>
      <c r="S242" s="14">
        <v>2</v>
      </c>
      <c r="T242" s="24"/>
    </row>
    <row r="243" spans="1:20" s="17" customFormat="1" x14ac:dyDescent="0.4">
      <c r="A243" s="8"/>
      <c r="B243" s="14">
        <v>8</v>
      </c>
      <c r="C243" s="11">
        <v>2</v>
      </c>
      <c r="D243" s="11" t="s">
        <v>1227</v>
      </c>
      <c r="E243" s="11">
        <v>759</v>
      </c>
      <c r="F243" s="11" t="s">
        <v>1236</v>
      </c>
      <c r="G243" s="11">
        <v>2500000</v>
      </c>
      <c r="H243" s="11">
        <v>5</v>
      </c>
      <c r="I243" s="11">
        <v>999</v>
      </c>
      <c r="J243" s="11">
        <v>400</v>
      </c>
      <c r="K243" s="11">
        <v>400</v>
      </c>
      <c r="L243" s="11">
        <v>400</v>
      </c>
      <c r="M243" s="11">
        <v>400</v>
      </c>
      <c r="N243" s="11">
        <v>400</v>
      </c>
      <c r="O243" s="11">
        <v>100</v>
      </c>
      <c r="P243" s="11">
        <v>100</v>
      </c>
      <c r="Q243" s="11">
        <v>100</v>
      </c>
      <c r="R243" s="11">
        <v>100</v>
      </c>
      <c r="S243" s="14">
        <v>2</v>
      </c>
      <c r="T243" s="24"/>
    </row>
    <row r="244" spans="1:20" s="17" customFormat="1" x14ac:dyDescent="0.4">
      <c r="A244" s="8"/>
      <c r="B244" s="14">
        <v>8</v>
      </c>
      <c r="C244" s="11">
        <v>3</v>
      </c>
      <c r="D244" s="11" t="s">
        <v>1228</v>
      </c>
      <c r="E244" s="11">
        <v>890</v>
      </c>
      <c r="F244" s="11" t="s">
        <v>1237</v>
      </c>
      <c r="G244" s="11">
        <v>5000000</v>
      </c>
      <c r="H244" s="11">
        <v>5</v>
      </c>
      <c r="I244" s="11">
        <v>999</v>
      </c>
      <c r="J244" s="11">
        <v>400</v>
      </c>
      <c r="K244" s="11">
        <v>400</v>
      </c>
      <c r="L244" s="11">
        <v>400</v>
      </c>
      <c r="M244" s="11">
        <v>400</v>
      </c>
      <c r="N244" s="11">
        <v>400</v>
      </c>
      <c r="O244" s="11">
        <v>100</v>
      </c>
      <c r="P244" s="11">
        <v>100</v>
      </c>
      <c r="Q244" s="11">
        <v>100</v>
      </c>
      <c r="R244" s="11">
        <v>100</v>
      </c>
      <c r="S244" s="14">
        <v>2</v>
      </c>
      <c r="T244" s="24"/>
    </row>
    <row r="245" spans="1:20" s="17" customFormat="1" x14ac:dyDescent="0.4">
      <c r="A245" s="8"/>
      <c r="B245" s="14">
        <v>8</v>
      </c>
      <c r="C245" s="11">
        <v>4</v>
      </c>
      <c r="D245" s="11" t="s">
        <v>1229</v>
      </c>
      <c r="E245" s="11">
        <v>1022</v>
      </c>
      <c r="F245" s="11" t="s">
        <v>1238</v>
      </c>
      <c r="G245" s="11">
        <v>6104348</v>
      </c>
      <c r="H245" s="11">
        <v>5</v>
      </c>
      <c r="I245" s="11">
        <v>999</v>
      </c>
      <c r="J245" s="11">
        <v>400</v>
      </c>
      <c r="K245" s="11">
        <v>400</v>
      </c>
      <c r="L245" s="11">
        <v>400</v>
      </c>
      <c r="M245" s="11">
        <v>400</v>
      </c>
      <c r="N245" s="11">
        <v>400</v>
      </c>
      <c r="O245" s="11">
        <v>100</v>
      </c>
      <c r="P245" s="11">
        <v>100</v>
      </c>
      <c r="Q245" s="11">
        <v>100</v>
      </c>
      <c r="R245" s="11">
        <v>100</v>
      </c>
      <c r="S245" s="14">
        <v>2</v>
      </c>
      <c r="T245" s="24"/>
    </row>
    <row r="246" spans="1:20" s="17" customFormat="1" x14ac:dyDescent="0.4">
      <c r="A246" s="8"/>
      <c r="B246" s="14">
        <v>8</v>
      </c>
      <c r="C246" s="11">
        <v>5</v>
      </c>
      <c r="D246" s="11" t="s">
        <v>1230</v>
      </c>
      <c r="E246" s="11">
        <v>1154</v>
      </c>
      <c r="F246" s="11" t="s">
        <v>1239</v>
      </c>
      <c r="G246" s="11">
        <v>7794565</v>
      </c>
      <c r="H246" s="11">
        <v>5</v>
      </c>
      <c r="I246" s="11">
        <v>999</v>
      </c>
      <c r="J246" s="11">
        <v>400</v>
      </c>
      <c r="K246" s="11">
        <v>400</v>
      </c>
      <c r="L246" s="11">
        <v>400</v>
      </c>
      <c r="M246" s="11">
        <v>400</v>
      </c>
      <c r="N246" s="11">
        <v>400</v>
      </c>
      <c r="O246" s="11">
        <v>100</v>
      </c>
      <c r="P246" s="11">
        <v>100</v>
      </c>
      <c r="Q246" s="11">
        <v>100</v>
      </c>
      <c r="R246" s="11">
        <v>100</v>
      </c>
      <c r="S246" s="14">
        <v>2</v>
      </c>
      <c r="T246" s="24"/>
    </row>
    <row r="247" spans="1:20" s="17" customFormat="1" x14ac:dyDescent="0.4">
      <c r="A247" s="8"/>
      <c r="B247" s="14">
        <v>9</v>
      </c>
      <c r="C247" s="11">
        <v>1</v>
      </c>
      <c r="D247" s="11" t="s">
        <v>767</v>
      </c>
      <c r="E247" s="11">
        <v>290</v>
      </c>
      <c r="F247" s="11" t="s">
        <v>293</v>
      </c>
      <c r="G247" s="11">
        <v>4500000</v>
      </c>
      <c r="H247" s="11">
        <v>5</v>
      </c>
      <c r="I247" s="11">
        <v>400</v>
      </c>
      <c r="J247" s="11">
        <v>100</v>
      </c>
      <c r="K247" s="11">
        <v>100</v>
      </c>
      <c r="L247" s="11">
        <v>100</v>
      </c>
      <c r="M247" s="11">
        <v>100</v>
      </c>
      <c r="N247" s="11">
        <v>100</v>
      </c>
      <c r="O247" s="11">
        <v>150</v>
      </c>
      <c r="P247" s="11">
        <v>50</v>
      </c>
      <c r="Q247" s="11">
        <v>100</v>
      </c>
      <c r="R247" s="11">
        <v>100</v>
      </c>
      <c r="S247" s="14">
        <v>1</v>
      </c>
      <c r="T247" s="24"/>
    </row>
    <row r="248" spans="1:20" s="17" customFormat="1" x14ac:dyDescent="0.4">
      <c r="A248" s="8"/>
      <c r="B248" s="14">
        <v>9</v>
      </c>
      <c r="C248" s="11">
        <v>2</v>
      </c>
      <c r="D248" s="11" t="s">
        <v>768</v>
      </c>
      <c r="E248" s="11">
        <v>360</v>
      </c>
      <c r="F248" s="11" t="s">
        <v>294</v>
      </c>
      <c r="G248" s="11">
        <v>12000000</v>
      </c>
      <c r="H248" s="11">
        <v>5</v>
      </c>
      <c r="I248" s="11">
        <v>300</v>
      </c>
      <c r="J248" s="11">
        <v>250</v>
      </c>
      <c r="K248" s="11">
        <v>250</v>
      </c>
      <c r="L248" s="11">
        <v>250</v>
      </c>
      <c r="M248" s="11">
        <v>250</v>
      </c>
      <c r="N248" s="11">
        <v>250</v>
      </c>
      <c r="O248" s="11">
        <v>100</v>
      </c>
      <c r="P248" s="11">
        <v>100</v>
      </c>
      <c r="Q248" s="11">
        <v>100</v>
      </c>
      <c r="R248" s="11">
        <v>100</v>
      </c>
      <c r="S248" s="14">
        <v>1</v>
      </c>
      <c r="T248" s="24"/>
    </row>
    <row r="249" spans="1:20" s="17" customFormat="1" x14ac:dyDescent="0.4">
      <c r="A249" s="8"/>
      <c r="B249" s="14">
        <v>9</v>
      </c>
      <c r="C249" s="11">
        <v>3</v>
      </c>
      <c r="D249" s="11" t="s">
        <v>769</v>
      </c>
      <c r="E249" s="11">
        <v>400</v>
      </c>
      <c r="F249" s="11" t="s">
        <v>321</v>
      </c>
      <c r="G249" s="11">
        <v>42000000</v>
      </c>
      <c r="H249" s="11">
        <v>5</v>
      </c>
      <c r="I249" s="11">
        <v>700</v>
      </c>
      <c r="J249" s="11">
        <v>100</v>
      </c>
      <c r="K249" s="11">
        <v>400</v>
      </c>
      <c r="L249" s="11">
        <v>100</v>
      </c>
      <c r="M249" s="11">
        <v>100</v>
      </c>
      <c r="N249" s="11">
        <v>400</v>
      </c>
      <c r="O249" s="11">
        <v>100</v>
      </c>
      <c r="P249" s="11">
        <v>100</v>
      </c>
      <c r="Q249" s="11">
        <v>100</v>
      </c>
      <c r="R249" s="11">
        <v>100</v>
      </c>
      <c r="S249" s="14">
        <v>1</v>
      </c>
      <c r="T249" s="24"/>
    </row>
    <row r="250" spans="1:20" s="17" customFormat="1" x14ac:dyDescent="0.4">
      <c r="A250" s="8"/>
      <c r="B250" s="14">
        <v>9</v>
      </c>
      <c r="C250" s="11">
        <v>4</v>
      </c>
      <c r="D250" s="11" t="s">
        <v>410</v>
      </c>
      <c r="E250" s="11">
        <v>400</v>
      </c>
      <c r="F250" s="11" t="s">
        <v>412</v>
      </c>
      <c r="G250" s="11">
        <v>15000000</v>
      </c>
      <c r="H250" s="11">
        <v>5</v>
      </c>
      <c r="I250" s="11">
        <v>600</v>
      </c>
      <c r="J250" s="11">
        <v>400</v>
      </c>
      <c r="K250" s="11">
        <v>100</v>
      </c>
      <c r="L250" s="11">
        <v>100</v>
      </c>
      <c r="M250" s="11">
        <v>400</v>
      </c>
      <c r="N250" s="11">
        <v>100</v>
      </c>
      <c r="O250" s="11">
        <v>100</v>
      </c>
      <c r="P250" s="11">
        <v>100</v>
      </c>
      <c r="Q250" s="11">
        <v>100</v>
      </c>
      <c r="R250" s="11">
        <v>100</v>
      </c>
      <c r="S250" s="14">
        <v>2</v>
      </c>
      <c r="T250" s="24"/>
    </row>
    <row r="251" spans="1:20" s="17" customFormat="1" x14ac:dyDescent="0.4">
      <c r="A251" s="8"/>
      <c r="B251" s="14">
        <v>9</v>
      </c>
      <c r="C251" s="11">
        <v>5</v>
      </c>
      <c r="D251" s="11" t="s">
        <v>411</v>
      </c>
      <c r="E251" s="11">
        <v>400</v>
      </c>
      <c r="F251" s="11" t="s">
        <v>412</v>
      </c>
      <c r="G251" s="11">
        <v>15000000</v>
      </c>
      <c r="H251" s="11">
        <v>5</v>
      </c>
      <c r="I251" s="11">
        <v>600</v>
      </c>
      <c r="J251" s="11">
        <v>400</v>
      </c>
      <c r="K251" s="11">
        <v>100</v>
      </c>
      <c r="L251" s="11">
        <v>100</v>
      </c>
      <c r="M251" s="11">
        <v>400</v>
      </c>
      <c r="N251" s="11">
        <v>100</v>
      </c>
      <c r="O251" s="11">
        <v>100</v>
      </c>
      <c r="P251" s="11">
        <v>100</v>
      </c>
      <c r="Q251" s="11">
        <v>100</v>
      </c>
      <c r="R251" s="11">
        <v>100</v>
      </c>
      <c r="S251" s="14">
        <v>2</v>
      </c>
      <c r="T251" s="24"/>
    </row>
    <row r="252" spans="1:20" s="17" customFormat="1" x14ac:dyDescent="0.4">
      <c r="A252" s="8"/>
      <c r="B252" s="14">
        <v>10</v>
      </c>
      <c r="C252" s="11">
        <v>1</v>
      </c>
      <c r="D252" s="11" t="s">
        <v>760</v>
      </c>
      <c r="E252" s="11">
        <v>361</v>
      </c>
      <c r="F252" s="11" t="s">
        <v>237</v>
      </c>
      <c r="G252" s="11">
        <v>35100</v>
      </c>
      <c r="H252" s="11">
        <v>5</v>
      </c>
      <c r="I252" s="11">
        <v>300</v>
      </c>
      <c r="J252" s="11">
        <v>100</v>
      </c>
      <c r="K252" s="11">
        <v>100</v>
      </c>
      <c r="L252" s="11">
        <v>100</v>
      </c>
      <c r="M252" s="11">
        <v>100</v>
      </c>
      <c r="N252" s="11">
        <v>100</v>
      </c>
      <c r="O252" s="11">
        <v>100</v>
      </c>
      <c r="P252" s="11">
        <v>100</v>
      </c>
      <c r="Q252" s="11">
        <v>100</v>
      </c>
      <c r="R252" s="11">
        <v>100</v>
      </c>
      <c r="S252" s="14">
        <v>1</v>
      </c>
      <c r="T252" s="24"/>
    </row>
    <row r="253" spans="1:20" s="17" customFormat="1" x14ac:dyDescent="0.4">
      <c r="A253" s="8"/>
      <c r="B253" s="14">
        <v>10</v>
      </c>
      <c r="C253" s="11">
        <v>2</v>
      </c>
      <c r="D253" s="11" t="s">
        <v>656</v>
      </c>
      <c r="E253" s="11">
        <v>403</v>
      </c>
      <c r="F253" s="11" t="s">
        <v>657</v>
      </c>
      <c r="G253" s="11">
        <v>70200</v>
      </c>
      <c r="H253" s="11">
        <v>5</v>
      </c>
      <c r="I253" s="11">
        <v>300</v>
      </c>
      <c r="J253" s="11">
        <v>100</v>
      </c>
      <c r="K253" s="11">
        <v>100</v>
      </c>
      <c r="L253" s="11">
        <v>100</v>
      </c>
      <c r="M253" s="11">
        <v>100</v>
      </c>
      <c r="N253" s="11">
        <v>100</v>
      </c>
      <c r="O253" s="11">
        <v>100</v>
      </c>
      <c r="P253" s="11">
        <v>100</v>
      </c>
      <c r="Q253" s="11">
        <v>100</v>
      </c>
      <c r="R253" s="11">
        <v>100</v>
      </c>
      <c r="S253" s="14">
        <v>1</v>
      </c>
      <c r="T253" s="24"/>
    </row>
    <row r="254" spans="1:20" s="17" customFormat="1" x14ac:dyDescent="0.4">
      <c r="A254" s="8"/>
      <c r="B254" s="14">
        <v>10</v>
      </c>
      <c r="C254" s="11">
        <v>3</v>
      </c>
      <c r="D254" s="11" t="s">
        <v>761</v>
      </c>
      <c r="E254" s="11">
        <v>352</v>
      </c>
      <c r="F254" s="11" t="s">
        <v>414</v>
      </c>
      <c r="G254" s="11">
        <v>39000</v>
      </c>
      <c r="H254" s="11">
        <v>2</v>
      </c>
      <c r="I254" s="11">
        <v>150</v>
      </c>
      <c r="J254" s="11">
        <v>100</v>
      </c>
      <c r="K254" s="11">
        <v>100</v>
      </c>
      <c r="L254" s="11">
        <v>100</v>
      </c>
      <c r="M254" s="11">
        <v>100</v>
      </c>
      <c r="N254" s="11">
        <v>100</v>
      </c>
      <c r="O254" s="11">
        <v>250</v>
      </c>
      <c r="P254" s="11">
        <v>100</v>
      </c>
      <c r="Q254" s="11">
        <v>100</v>
      </c>
      <c r="R254" s="11">
        <v>100</v>
      </c>
      <c r="S254" s="14">
        <v>2</v>
      </c>
      <c r="T254" s="24"/>
    </row>
    <row r="255" spans="1:20" s="17" customFormat="1" x14ac:dyDescent="0.4">
      <c r="A255" s="8"/>
      <c r="B255" s="14">
        <v>10</v>
      </c>
      <c r="C255" s="11">
        <v>4</v>
      </c>
      <c r="D255" s="11" t="s">
        <v>669</v>
      </c>
      <c r="E255" s="11">
        <v>352</v>
      </c>
      <c r="F255" s="11" t="s">
        <v>543</v>
      </c>
      <c r="G255" s="11">
        <v>18000</v>
      </c>
      <c r="H255" s="11">
        <v>2</v>
      </c>
      <c r="I255" s="11">
        <v>150</v>
      </c>
      <c r="J255" s="11">
        <v>100</v>
      </c>
      <c r="K255" s="11">
        <v>100</v>
      </c>
      <c r="L255" s="11">
        <v>100</v>
      </c>
      <c r="M255" s="11">
        <v>100</v>
      </c>
      <c r="N255" s="11">
        <v>100</v>
      </c>
      <c r="O255" s="11">
        <v>100</v>
      </c>
      <c r="P255" s="11">
        <v>250</v>
      </c>
      <c r="Q255" s="11">
        <v>100</v>
      </c>
      <c r="R255" s="11">
        <v>100</v>
      </c>
      <c r="S255" s="14">
        <v>2</v>
      </c>
      <c r="T255" s="24"/>
    </row>
    <row r="256" spans="1:20" s="17" customFormat="1" x14ac:dyDescent="0.4">
      <c r="A256" s="8"/>
      <c r="B256" s="14">
        <v>10</v>
      </c>
      <c r="C256" s="11">
        <v>5</v>
      </c>
      <c r="D256" s="11" t="s">
        <v>670</v>
      </c>
      <c r="E256" s="11">
        <v>352</v>
      </c>
      <c r="F256" s="11" t="s">
        <v>285</v>
      </c>
      <c r="G256" s="11">
        <v>50000</v>
      </c>
      <c r="H256" s="11">
        <v>2</v>
      </c>
      <c r="I256" s="11">
        <v>150</v>
      </c>
      <c r="J256" s="11">
        <v>100</v>
      </c>
      <c r="K256" s="11">
        <v>100</v>
      </c>
      <c r="L256" s="11">
        <v>100</v>
      </c>
      <c r="M256" s="11">
        <v>100</v>
      </c>
      <c r="N256" s="11">
        <v>100</v>
      </c>
      <c r="O256" s="11">
        <v>100</v>
      </c>
      <c r="P256" s="11">
        <v>100</v>
      </c>
      <c r="Q256" s="11">
        <v>250</v>
      </c>
      <c r="R256" s="11">
        <v>100</v>
      </c>
      <c r="S256" s="14">
        <v>2</v>
      </c>
      <c r="T256" s="24"/>
    </row>
    <row r="257" spans="1:20" s="17" customFormat="1" x14ac:dyDescent="0.4">
      <c r="A257" s="8"/>
      <c r="B257" s="14">
        <v>10</v>
      </c>
      <c r="C257" s="11">
        <v>6</v>
      </c>
      <c r="D257" s="11" t="s">
        <v>658</v>
      </c>
      <c r="E257" s="11">
        <v>355</v>
      </c>
      <c r="F257" s="11" t="s">
        <v>659</v>
      </c>
      <c r="G257" s="11">
        <v>55000</v>
      </c>
      <c r="H257" s="11">
        <v>2</v>
      </c>
      <c r="I257" s="11">
        <v>150</v>
      </c>
      <c r="J257" s="11">
        <v>100</v>
      </c>
      <c r="K257" s="11">
        <v>100</v>
      </c>
      <c r="L257" s="11">
        <v>100</v>
      </c>
      <c r="M257" s="11">
        <v>100</v>
      </c>
      <c r="N257" s="11">
        <v>100</v>
      </c>
      <c r="O257" s="11">
        <v>100</v>
      </c>
      <c r="P257" s="11">
        <v>100</v>
      </c>
      <c r="Q257" s="11">
        <v>100</v>
      </c>
      <c r="R257" s="11">
        <v>100</v>
      </c>
      <c r="S257" s="14">
        <v>1</v>
      </c>
      <c r="T257" s="24"/>
    </row>
    <row r="258" spans="1:20" s="17" customFormat="1" x14ac:dyDescent="0.4">
      <c r="A258" s="8"/>
      <c r="B258" s="14">
        <v>10</v>
      </c>
      <c r="C258" s="11">
        <v>7</v>
      </c>
      <c r="D258" s="11" t="s">
        <v>731</v>
      </c>
      <c r="E258" s="11">
        <v>368</v>
      </c>
      <c r="F258" s="11" t="s">
        <v>422</v>
      </c>
      <c r="G258" s="11">
        <v>107000</v>
      </c>
      <c r="H258" s="11">
        <v>6</v>
      </c>
      <c r="I258" s="11">
        <v>300</v>
      </c>
      <c r="J258" s="11">
        <v>100</v>
      </c>
      <c r="K258" s="11">
        <v>100</v>
      </c>
      <c r="L258" s="11">
        <v>100</v>
      </c>
      <c r="M258" s="11">
        <v>100</v>
      </c>
      <c r="N258" s="11">
        <v>100</v>
      </c>
      <c r="O258" s="11">
        <v>100</v>
      </c>
      <c r="P258" s="11">
        <v>100</v>
      </c>
      <c r="Q258" s="11">
        <v>100</v>
      </c>
      <c r="R258" s="11">
        <v>100</v>
      </c>
      <c r="S258" s="14">
        <v>1</v>
      </c>
      <c r="T258" s="24"/>
    </row>
    <row r="259" spans="1:20" s="17" customFormat="1" x14ac:dyDescent="0.4">
      <c r="A259" s="8"/>
      <c r="B259" s="14">
        <v>10</v>
      </c>
      <c r="C259" s="11">
        <v>8</v>
      </c>
      <c r="D259" s="11" t="s">
        <v>680</v>
      </c>
      <c r="E259" s="11">
        <v>399</v>
      </c>
      <c r="F259" s="11" t="s">
        <v>681</v>
      </c>
      <c r="G259" s="11">
        <v>128400</v>
      </c>
      <c r="H259" s="11">
        <v>6</v>
      </c>
      <c r="I259" s="11">
        <v>300</v>
      </c>
      <c r="J259" s="11">
        <v>100</v>
      </c>
      <c r="K259" s="11">
        <v>100</v>
      </c>
      <c r="L259" s="11">
        <v>100</v>
      </c>
      <c r="M259" s="11">
        <v>100</v>
      </c>
      <c r="N259" s="11">
        <v>100</v>
      </c>
      <c r="O259" s="11">
        <v>100</v>
      </c>
      <c r="P259" s="11">
        <v>100</v>
      </c>
      <c r="Q259" s="11">
        <v>100</v>
      </c>
      <c r="R259" s="11">
        <v>100</v>
      </c>
      <c r="S259" s="14">
        <v>1</v>
      </c>
      <c r="T259" s="24"/>
    </row>
    <row r="260" spans="1:20" s="17" customFormat="1" x14ac:dyDescent="0.4">
      <c r="A260" s="8"/>
      <c r="B260" s="14">
        <v>11</v>
      </c>
      <c r="C260" s="11">
        <v>1</v>
      </c>
      <c r="D260" s="11" t="s">
        <v>447</v>
      </c>
      <c r="E260" s="11">
        <v>649</v>
      </c>
      <c r="F260" s="11" t="s">
        <v>425</v>
      </c>
      <c r="G260" s="11">
        <v>7254000</v>
      </c>
      <c r="H260" s="11">
        <v>10</v>
      </c>
      <c r="I260" s="11">
        <v>999</v>
      </c>
      <c r="J260" s="11">
        <v>100</v>
      </c>
      <c r="K260" s="11">
        <v>100</v>
      </c>
      <c r="L260" s="11">
        <v>100</v>
      </c>
      <c r="M260" s="11">
        <v>100</v>
      </c>
      <c r="N260" s="11">
        <v>100</v>
      </c>
      <c r="O260" s="11">
        <v>50</v>
      </c>
      <c r="P260" s="11">
        <v>100</v>
      </c>
      <c r="Q260" s="11">
        <v>150</v>
      </c>
      <c r="R260" s="11">
        <v>100</v>
      </c>
      <c r="S260" s="14">
        <v>1</v>
      </c>
      <c r="T260" s="24"/>
    </row>
    <row r="261" spans="1:20" s="17" customFormat="1" x14ac:dyDescent="0.4">
      <c r="A261" s="8"/>
      <c r="B261" s="14">
        <v>11</v>
      </c>
      <c r="C261" s="11">
        <v>2</v>
      </c>
      <c r="D261" s="11" t="s">
        <v>647</v>
      </c>
      <c r="E261" s="11">
        <v>673</v>
      </c>
      <c r="F261" s="11" t="s">
        <v>426</v>
      </c>
      <c r="G261" s="11">
        <v>2808000</v>
      </c>
      <c r="H261" s="11">
        <v>10</v>
      </c>
      <c r="I261" s="11">
        <v>999</v>
      </c>
      <c r="J261" s="11">
        <v>150</v>
      </c>
      <c r="K261" s="11">
        <v>150</v>
      </c>
      <c r="L261" s="11">
        <v>150</v>
      </c>
      <c r="M261" s="11">
        <v>100</v>
      </c>
      <c r="N261" s="11">
        <v>100</v>
      </c>
      <c r="O261" s="11">
        <v>100</v>
      </c>
      <c r="P261" s="11">
        <v>100</v>
      </c>
      <c r="Q261" s="11">
        <v>100</v>
      </c>
      <c r="R261" s="11">
        <v>100</v>
      </c>
      <c r="S261" s="14">
        <v>1</v>
      </c>
      <c r="T261" s="24"/>
    </row>
    <row r="262" spans="1:20" s="17" customFormat="1" x14ac:dyDescent="0.4">
      <c r="A262" s="8"/>
      <c r="B262" s="14">
        <v>11</v>
      </c>
      <c r="C262" s="11">
        <v>3</v>
      </c>
      <c r="D262" s="11" t="s">
        <v>442</v>
      </c>
      <c r="E262" s="11">
        <v>560</v>
      </c>
      <c r="F262" s="11" t="s">
        <v>267</v>
      </c>
      <c r="G262" s="11">
        <v>2240000</v>
      </c>
      <c r="H262" s="11">
        <v>10</v>
      </c>
      <c r="I262" s="11">
        <v>999</v>
      </c>
      <c r="J262" s="11">
        <v>100</v>
      </c>
      <c r="K262" s="11">
        <v>100</v>
      </c>
      <c r="L262" s="11">
        <v>100</v>
      </c>
      <c r="M262" s="11">
        <v>100</v>
      </c>
      <c r="N262" s="11">
        <v>150</v>
      </c>
      <c r="O262" s="11">
        <v>100</v>
      </c>
      <c r="P262" s="11">
        <v>100</v>
      </c>
      <c r="Q262" s="11">
        <v>100</v>
      </c>
      <c r="R262" s="11">
        <v>100</v>
      </c>
      <c r="S262" s="14">
        <v>1</v>
      </c>
      <c r="T262" s="24"/>
    </row>
    <row r="263" spans="1:20" s="17" customFormat="1" x14ac:dyDescent="0.4">
      <c r="A263" s="8"/>
      <c r="B263" s="14">
        <v>11</v>
      </c>
      <c r="C263" s="11">
        <v>4</v>
      </c>
      <c r="D263" s="11" t="s">
        <v>448</v>
      </c>
      <c r="E263" s="11">
        <v>665</v>
      </c>
      <c r="F263" s="11" t="s">
        <v>443</v>
      </c>
      <c r="G263" s="11">
        <v>2380000</v>
      </c>
      <c r="H263" s="11">
        <v>10</v>
      </c>
      <c r="I263" s="11">
        <v>999</v>
      </c>
      <c r="J263" s="11">
        <v>100</v>
      </c>
      <c r="K263" s="11">
        <v>100</v>
      </c>
      <c r="L263" s="11">
        <v>100</v>
      </c>
      <c r="M263" s="11">
        <v>100</v>
      </c>
      <c r="N263" s="11">
        <v>150</v>
      </c>
      <c r="O263" s="11">
        <v>100</v>
      </c>
      <c r="P263" s="11">
        <v>100</v>
      </c>
      <c r="Q263" s="11">
        <v>100</v>
      </c>
      <c r="R263" s="11">
        <v>100</v>
      </c>
      <c r="S263" s="14">
        <v>1</v>
      </c>
      <c r="T263" s="24"/>
    </row>
    <row r="264" spans="1:20" s="17" customFormat="1" x14ac:dyDescent="0.4">
      <c r="A264" s="8"/>
      <c r="B264" s="14">
        <v>11</v>
      </c>
      <c r="C264" s="11">
        <v>5</v>
      </c>
      <c r="D264" s="11" t="s">
        <v>449</v>
      </c>
      <c r="E264" s="11">
        <v>671</v>
      </c>
      <c r="F264" s="11" t="s">
        <v>441</v>
      </c>
      <c r="G264" s="11">
        <v>5940000</v>
      </c>
      <c r="H264" s="11">
        <v>10</v>
      </c>
      <c r="I264" s="11">
        <v>999</v>
      </c>
      <c r="J264" s="11">
        <v>100</v>
      </c>
      <c r="K264" s="11">
        <v>150</v>
      </c>
      <c r="L264" s="11">
        <v>100</v>
      </c>
      <c r="M264" s="11">
        <v>100</v>
      </c>
      <c r="N264" s="11">
        <v>100</v>
      </c>
      <c r="O264" s="11">
        <v>100</v>
      </c>
      <c r="P264" s="11">
        <v>100</v>
      </c>
      <c r="Q264" s="11">
        <v>100</v>
      </c>
      <c r="R264" s="11">
        <v>100</v>
      </c>
      <c r="S264" s="14">
        <v>1</v>
      </c>
      <c r="T264" s="24"/>
    </row>
    <row r="265" spans="1:20" s="17" customFormat="1" x14ac:dyDescent="0.4">
      <c r="A265" s="8"/>
      <c r="B265" s="14">
        <v>11</v>
      </c>
      <c r="C265" s="11">
        <v>6</v>
      </c>
      <c r="D265" s="11" t="s">
        <v>648</v>
      </c>
      <c r="E265" s="11">
        <v>577</v>
      </c>
      <c r="F265" s="11" t="s">
        <v>454</v>
      </c>
      <c r="G265" s="11">
        <v>2268000</v>
      </c>
      <c r="H265" s="11">
        <v>5</v>
      </c>
      <c r="I265" s="11">
        <v>300</v>
      </c>
      <c r="J265" s="11">
        <v>100</v>
      </c>
      <c r="K265" s="11">
        <v>100</v>
      </c>
      <c r="L265" s="11">
        <v>100</v>
      </c>
      <c r="M265" s="11">
        <v>100</v>
      </c>
      <c r="N265" s="11">
        <v>100</v>
      </c>
      <c r="O265" s="11">
        <v>50</v>
      </c>
      <c r="P265" s="11">
        <v>100</v>
      </c>
      <c r="Q265" s="11">
        <v>150</v>
      </c>
      <c r="R265" s="11">
        <v>100</v>
      </c>
      <c r="S265" s="14">
        <v>1</v>
      </c>
      <c r="T265" s="24"/>
    </row>
    <row r="266" spans="1:20" s="17" customFormat="1" x14ac:dyDescent="0.4">
      <c r="A266" s="8"/>
      <c r="B266" s="14">
        <v>11</v>
      </c>
      <c r="C266" s="11">
        <v>7</v>
      </c>
      <c r="D266" s="11" t="s">
        <v>450</v>
      </c>
      <c r="E266" s="11">
        <v>672</v>
      </c>
      <c r="F266" s="11" t="s">
        <v>455</v>
      </c>
      <c r="G266" s="11">
        <v>4536000</v>
      </c>
      <c r="H266" s="11">
        <v>5</v>
      </c>
      <c r="I266" s="11">
        <v>300</v>
      </c>
      <c r="J266" s="11">
        <v>100</v>
      </c>
      <c r="K266" s="11">
        <v>100</v>
      </c>
      <c r="L266" s="11">
        <v>100</v>
      </c>
      <c r="M266" s="11">
        <v>100</v>
      </c>
      <c r="N266" s="11">
        <v>100</v>
      </c>
      <c r="O266" s="11">
        <v>50</v>
      </c>
      <c r="P266" s="11">
        <v>100</v>
      </c>
      <c r="Q266" s="11">
        <v>150</v>
      </c>
      <c r="R266" s="11">
        <v>100</v>
      </c>
      <c r="S266" s="14">
        <v>1</v>
      </c>
      <c r="T266" s="24"/>
    </row>
    <row r="267" spans="1:20" s="17" customFormat="1" x14ac:dyDescent="0.4">
      <c r="A267" s="8"/>
      <c r="B267" s="14">
        <v>11</v>
      </c>
      <c r="C267" s="11">
        <v>8</v>
      </c>
      <c r="D267" s="11" t="s">
        <v>451</v>
      </c>
      <c r="E267" s="11">
        <v>753</v>
      </c>
      <c r="F267" s="11" t="s">
        <v>456</v>
      </c>
      <c r="G267" s="11">
        <v>3984000</v>
      </c>
      <c r="H267" s="11">
        <v>5</v>
      </c>
      <c r="I267" s="11">
        <v>300</v>
      </c>
      <c r="J267" s="11">
        <v>100</v>
      </c>
      <c r="K267" s="11">
        <v>100</v>
      </c>
      <c r="L267" s="11">
        <v>100</v>
      </c>
      <c r="M267" s="11">
        <v>100</v>
      </c>
      <c r="N267" s="11">
        <v>200</v>
      </c>
      <c r="O267" s="11">
        <v>150</v>
      </c>
      <c r="P267" s="11">
        <v>50</v>
      </c>
      <c r="Q267" s="11">
        <v>100</v>
      </c>
      <c r="R267" s="11">
        <v>100</v>
      </c>
      <c r="S267" s="14">
        <v>1</v>
      </c>
      <c r="T267" s="24"/>
    </row>
    <row r="268" spans="1:20" s="17" customFormat="1" x14ac:dyDescent="0.4">
      <c r="A268" s="8"/>
      <c r="B268" s="14">
        <v>11</v>
      </c>
      <c r="C268" s="11">
        <v>9</v>
      </c>
      <c r="D268" s="11" t="s">
        <v>453</v>
      </c>
      <c r="E268" s="11">
        <v>646</v>
      </c>
      <c r="F268" s="11" t="s">
        <v>457</v>
      </c>
      <c r="G268" s="11">
        <v>1055000</v>
      </c>
      <c r="H268" s="11">
        <v>5</v>
      </c>
      <c r="I268" s="11">
        <v>300</v>
      </c>
      <c r="J268" s="11">
        <v>150</v>
      </c>
      <c r="K268" s="11">
        <v>150</v>
      </c>
      <c r="L268" s="11">
        <v>150</v>
      </c>
      <c r="M268" s="11">
        <v>150</v>
      </c>
      <c r="N268" s="11">
        <v>150</v>
      </c>
      <c r="O268" s="11">
        <v>100</v>
      </c>
      <c r="P268" s="11">
        <v>100</v>
      </c>
      <c r="Q268" s="11">
        <v>100</v>
      </c>
      <c r="R268" s="11">
        <v>50</v>
      </c>
      <c r="S268" s="14">
        <v>1</v>
      </c>
      <c r="T268" s="24"/>
    </row>
    <row r="269" spans="1:20" s="17" customFormat="1" x14ac:dyDescent="0.4">
      <c r="A269" s="8"/>
      <c r="B269" s="14">
        <v>11</v>
      </c>
      <c r="C269" s="11">
        <v>10</v>
      </c>
      <c r="D269" s="11" t="s">
        <v>452</v>
      </c>
      <c r="E269" s="11">
        <v>741</v>
      </c>
      <c r="F269" s="11" t="s">
        <v>458</v>
      </c>
      <c r="G269" s="11">
        <v>2110000</v>
      </c>
      <c r="H269" s="11">
        <v>5</v>
      </c>
      <c r="I269" s="11">
        <v>300</v>
      </c>
      <c r="J269" s="11">
        <v>150</v>
      </c>
      <c r="K269" s="11">
        <v>150</v>
      </c>
      <c r="L269" s="11">
        <v>150</v>
      </c>
      <c r="M269" s="11">
        <v>150</v>
      </c>
      <c r="N269" s="11">
        <v>150</v>
      </c>
      <c r="O269" s="11">
        <v>100</v>
      </c>
      <c r="P269" s="11">
        <v>100</v>
      </c>
      <c r="Q269" s="11">
        <v>100</v>
      </c>
      <c r="R269" s="11">
        <v>50</v>
      </c>
      <c r="S269" s="14">
        <v>1</v>
      </c>
      <c r="T269" s="24"/>
    </row>
    <row r="270" spans="1:20" s="17" customFormat="1" x14ac:dyDescent="0.4">
      <c r="A270" s="8"/>
      <c r="B270" s="14">
        <v>11</v>
      </c>
      <c r="C270" s="11">
        <v>11</v>
      </c>
      <c r="D270" s="11" t="s">
        <v>649</v>
      </c>
      <c r="E270" s="11">
        <v>763</v>
      </c>
      <c r="F270" s="11" t="s">
        <v>459</v>
      </c>
      <c r="G270" s="11">
        <v>8400000</v>
      </c>
      <c r="H270" s="11">
        <v>10</v>
      </c>
      <c r="I270" s="11">
        <v>999</v>
      </c>
      <c r="J270" s="11">
        <v>200</v>
      </c>
      <c r="K270" s="11">
        <v>100</v>
      </c>
      <c r="L270" s="11">
        <v>100</v>
      </c>
      <c r="M270" s="11">
        <v>100</v>
      </c>
      <c r="N270" s="11">
        <v>100</v>
      </c>
      <c r="O270" s="11">
        <v>50</v>
      </c>
      <c r="P270" s="11">
        <v>100</v>
      </c>
      <c r="Q270" s="11">
        <v>150</v>
      </c>
      <c r="R270" s="11">
        <v>100</v>
      </c>
      <c r="S270" s="14">
        <v>1</v>
      </c>
      <c r="T270" s="24"/>
    </row>
    <row r="271" spans="1:20" s="17" customFormat="1" x14ac:dyDescent="0.4">
      <c r="A271" s="8"/>
      <c r="B271" s="14">
        <v>11</v>
      </c>
      <c r="C271" s="11">
        <v>12</v>
      </c>
      <c r="D271" s="11" t="s">
        <v>650</v>
      </c>
      <c r="E271" s="11">
        <v>554</v>
      </c>
      <c r="F271" s="11" t="s">
        <v>586</v>
      </c>
      <c r="G271" s="11">
        <v>325000</v>
      </c>
      <c r="H271" s="11">
        <v>10</v>
      </c>
      <c r="I271" s="11">
        <v>999</v>
      </c>
      <c r="J271" s="11">
        <v>100</v>
      </c>
      <c r="K271" s="11">
        <v>250</v>
      </c>
      <c r="L271" s="11">
        <v>100</v>
      </c>
      <c r="M271" s="11">
        <v>100</v>
      </c>
      <c r="N271" s="11">
        <v>100</v>
      </c>
      <c r="O271" s="11">
        <v>100</v>
      </c>
      <c r="P271" s="11">
        <v>100</v>
      </c>
      <c r="Q271" s="11">
        <v>100</v>
      </c>
      <c r="R271" s="11">
        <v>100</v>
      </c>
      <c r="S271" s="14">
        <v>2</v>
      </c>
      <c r="T271" s="24"/>
    </row>
    <row r="272" spans="1:20" s="17" customFormat="1" x14ac:dyDescent="0.4">
      <c r="A272" s="8"/>
      <c r="B272" s="14">
        <v>11</v>
      </c>
      <c r="C272" s="11">
        <v>13</v>
      </c>
      <c r="D272" s="11" t="s">
        <v>583</v>
      </c>
      <c r="E272" s="11">
        <v>646</v>
      </c>
      <c r="F272" s="11" t="s">
        <v>457</v>
      </c>
      <c r="G272" s="11">
        <v>1550000</v>
      </c>
      <c r="H272" s="11">
        <v>10</v>
      </c>
      <c r="I272" s="11">
        <v>999</v>
      </c>
      <c r="J272" s="11">
        <v>100</v>
      </c>
      <c r="K272" s="11">
        <v>250</v>
      </c>
      <c r="L272" s="11">
        <v>100</v>
      </c>
      <c r="M272" s="11">
        <v>100</v>
      </c>
      <c r="N272" s="11">
        <v>100</v>
      </c>
      <c r="O272" s="11">
        <v>100</v>
      </c>
      <c r="P272" s="11">
        <v>100</v>
      </c>
      <c r="Q272" s="11">
        <v>100</v>
      </c>
      <c r="R272" s="11">
        <v>100</v>
      </c>
      <c r="S272" s="14">
        <v>2</v>
      </c>
      <c r="T272" s="24"/>
    </row>
    <row r="273" spans="1:20" s="17" customFormat="1" x14ac:dyDescent="0.4">
      <c r="A273" s="8"/>
      <c r="B273" s="14">
        <v>11</v>
      </c>
      <c r="C273" s="11">
        <v>14</v>
      </c>
      <c r="D273" s="11" t="s">
        <v>584</v>
      </c>
      <c r="E273" s="11">
        <v>668</v>
      </c>
      <c r="F273" s="11" t="s">
        <v>270</v>
      </c>
      <c r="G273" s="11">
        <v>3500000</v>
      </c>
      <c r="H273" s="11">
        <v>10</v>
      </c>
      <c r="I273" s="11">
        <v>999</v>
      </c>
      <c r="J273" s="11">
        <v>100</v>
      </c>
      <c r="K273" s="11">
        <v>100</v>
      </c>
      <c r="L273" s="11">
        <v>150</v>
      </c>
      <c r="M273" s="11">
        <v>100</v>
      </c>
      <c r="N273" s="11">
        <v>100</v>
      </c>
      <c r="O273" s="11">
        <v>100</v>
      </c>
      <c r="P273" s="11">
        <v>100</v>
      </c>
      <c r="Q273" s="11">
        <v>100</v>
      </c>
      <c r="R273" s="11">
        <v>100</v>
      </c>
      <c r="S273" s="14">
        <v>1</v>
      </c>
      <c r="T273" s="24"/>
    </row>
    <row r="274" spans="1:20" s="17" customFormat="1" x14ac:dyDescent="0.4">
      <c r="A274" s="8"/>
      <c r="B274" s="14">
        <v>11</v>
      </c>
      <c r="C274" s="11">
        <v>15</v>
      </c>
      <c r="D274" s="11" t="s">
        <v>585</v>
      </c>
      <c r="E274" s="11">
        <v>741</v>
      </c>
      <c r="F274" s="11" t="s">
        <v>458</v>
      </c>
      <c r="G274" s="11">
        <v>3220000</v>
      </c>
      <c r="H274" s="11">
        <v>10</v>
      </c>
      <c r="I274" s="11">
        <v>999</v>
      </c>
      <c r="J274" s="11">
        <v>100</v>
      </c>
      <c r="K274" s="11">
        <v>250</v>
      </c>
      <c r="L274" s="11">
        <v>100</v>
      </c>
      <c r="M274" s="11">
        <v>100</v>
      </c>
      <c r="N274" s="11">
        <v>100</v>
      </c>
      <c r="O274" s="11">
        <v>100</v>
      </c>
      <c r="P274" s="11">
        <v>100</v>
      </c>
      <c r="Q274" s="11">
        <v>100</v>
      </c>
      <c r="R274" s="11">
        <v>100</v>
      </c>
      <c r="S274" s="14">
        <v>2</v>
      </c>
      <c r="T274" s="24"/>
    </row>
    <row r="275" spans="1:20" s="17" customFormat="1" x14ac:dyDescent="0.4">
      <c r="A275" s="8"/>
      <c r="B275" s="14">
        <v>11</v>
      </c>
      <c r="C275" s="11">
        <v>16</v>
      </c>
      <c r="D275" s="11" t="s">
        <v>582</v>
      </c>
      <c r="E275" s="11">
        <v>763</v>
      </c>
      <c r="F275" s="11" t="s">
        <v>350</v>
      </c>
      <c r="G275" s="11">
        <v>7400000</v>
      </c>
      <c r="H275" s="11">
        <v>10</v>
      </c>
      <c r="I275" s="11">
        <v>999</v>
      </c>
      <c r="J275" s="11">
        <v>100</v>
      </c>
      <c r="K275" s="11">
        <v>100</v>
      </c>
      <c r="L275" s="11">
        <v>150</v>
      </c>
      <c r="M275" s="11">
        <v>100</v>
      </c>
      <c r="N275" s="11">
        <v>100</v>
      </c>
      <c r="O275" s="11">
        <v>100</v>
      </c>
      <c r="P275" s="11">
        <v>100</v>
      </c>
      <c r="Q275" s="11">
        <v>100</v>
      </c>
      <c r="R275" s="11">
        <v>100</v>
      </c>
      <c r="S275" s="14">
        <v>1</v>
      </c>
      <c r="T275" s="24"/>
    </row>
    <row r="276" spans="1:20" s="17" customFormat="1" x14ac:dyDescent="0.4">
      <c r="A276" s="8"/>
      <c r="B276" s="14">
        <v>11</v>
      </c>
      <c r="C276" s="11">
        <v>17</v>
      </c>
      <c r="D276" s="11" t="s">
        <v>779</v>
      </c>
      <c r="E276" s="11">
        <v>763</v>
      </c>
      <c r="F276" s="11" t="s">
        <v>587</v>
      </c>
      <c r="G276" s="11">
        <v>9900000</v>
      </c>
      <c r="H276" s="11">
        <v>10</v>
      </c>
      <c r="I276" s="11">
        <v>999</v>
      </c>
      <c r="J276" s="11">
        <v>25</v>
      </c>
      <c r="K276" s="11">
        <v>100</v>
      </c>
      <c r="L276" s="11">
        <v>150</v>
      </c>
      <c r="M276" s="11">
        <v>100</v>
      </c>
      <c r="N276" s="11">
        <v>100</v>
      </c>
      <c r="O276" s="11">
        <v>100</v>
      </c>
      <c r="P276" s="11">
        <v>100</v>
      </c>
      <c r="Q276" s="11">
        <v>100</v>
      </c>
      <c r="R276" s="11">
        <v>100</v>
      </c>
      <c r="S276" s="14">
        <v>1</v>
      </c>
      <c r="T276" s="24"/>
    </row>
    <row r="277" spans="1:20" s="17" customFormat="1" x14ac:dyDescent="0.4">
      <c r="A277" s="8"/>
      <c r="B277" s="14">
        <v>12</v>
      </c>
      <c r="C277" s="11">
        <v>1</v>
      </c>
      <c r="D277" s="11" t="s">
        <v>780</v>
      </c>
      <c r="E277" s="11">
        <v>550</v>
      </c>
      <c r="F277" s="11" t="s">
        <v>775</v>
      </c>
      <c r="G277" s="11">
        <v>22100000</v>
      </c>
      <c r="H277" s="11">
        <v>5</v>
      </c>
      <c r="I277" s="11">
        <v>300</v>
      </c>
      <c r="J277" s="11">
        <v>400</v>
      </c>
      <c r="K277" s="11">
        <v>100</v>
      </c>
      <c r="L277" s="11">
        <v>100</v>
      </c>
      <c r="M277" s="11">
        <v>100</v>
      </c>
      <c r="N277" s="11">
        <v>100</v>
      </c>
      <c r="O277" s="11">
        <v>100</v>
      </c>
      <c r="P277" s="11">
        <v>100</v>
      </c>
      <c r="Q277" s="11">
        <v>100</v>
      </c>
      <c r="R277" s="11">
        <v>100</v>
      </c>
      <c r="S277" s="14">
        <v>1</v>
      </c>
      <c r="T277" s="24"/>
    </row>
    <row r="278" spans="1:20" s="17" customFormat="1" x14ac:dyDescent="0.4">
      <c r="A278" s="8"/>
      <c r="B278" s="14">
        <v>12</v>
      </c>
      <c r="C278" s="11">
        <v>2</v>
      </c>
      <c r="D278" s="11" t="s">
        <v>781</v>
      </c>
      <c r="E278" s="11">
        <v>550</v>
      </c>
      <c r="F278" s="11" t="s">
        <v>271</v>
      </c>
      <c r="G278" s="11">
        <v>16000000</v>
      </c>
      <c r="H278" s="11">
        <v>4</v>
      </c>
      <c r="I278" s="11">
        <v>300</v>
      </c>
      <c r="J278" s="11">
        <v>400</v>
      </c>
      <c r="K278" s="11">
        <v>100</v>
      </c>
      <c r="L278" s="11">
        <v>100</v>
      </c>
      <c r="M278" s="11">
        <v>100</v>
      </c>
      <c r="N278" s="11">
        <v>100</v>
      </c>
      <c r="O278" s="11">
        <v>100</v>
      </c>
      <c r="P278" s="11">
        <v>100</v>
      </c>
      <c r="Q278" s="11">
        <v>100</v>
      </c>
      <c r="R278" s="11">
        <v>100</v>
      </c>
      <c r="S278" s="14">
        <v>2</v>
      </c>
      <c r="T278" s="24"/>
    </row>
    <row r="279" spans="1:20" s="17" customFormat="1" x14ac:dyDescent="0.4">
      <c r="A279" s="8"/>
      <c r="B279" s="14">
        <v>12</v>
      </c>
      <c r="C279" s="11">
        <v>3</v>
      </c>
      <c r="D279" s="11" t="s">
        <v>782</v>
      </c>
      <c r="E279" s="11">
        <v>550</v>
      </c>
      <c r="F279" s="11" t="s">
        <v>405</v>
      </c>
      <c r="G279" s="11">
        <v>40000000</v>
      </c>
      <c r="H279" s="11">
        <v>5</v>
      </c>
      <c r="I279" s="11">
        <v>500</v>
      </c>
      <c r="J279" s="11">
        <v>400</v>
      </c>
      <c r="K279" s="11">
        <v>100</v>
      </c>
      <c r="L279" s="11">
        <v>100</v>
      </c>
      <c r="M279" s="11">
        <v>100</v>
      </c>
      <c r="N279" s="11">
        <v>100</v>
      </c>
      <c r="O279" s="11">
        <v>100</v>
      </c>
      <c r="P279" s="11">
        <v>100</v>
      </c>
      <c r="Q279" s="11">
        <v>100</v>
      </c>
      <c r="R279" s="11">
        <v>100</v>
      </c>
      <c r="S279" s="14">
        <v>1</v>
      </c>
      <c r="T279" s="24"/>
    </row>
    <row r="280" spans="1:20" s="17" customFormat="1" x14ac:dyDescent="0.4">
      <c r="A280" s="8"/>
      <c r="B280" s="14">
        <v>12</v>
      </c>
      <c r="C280" s="11">
        <v>4</v>
      </c>
      <c r="D280" s="11" t="s">
        <v>783</v>
      </c>
      <c r="E280" s="11">
        <v>650</v>
      </c>
      <c r="F280" s="11" t="s">
        <v>412</v>
      </c>
      <c r="G280" s="11">
        <v>90000000</v>
      </c>
      <c r="H280" s="11">
        <v>8</v>
      </c>
      <c r="I280" s="11">
        <v>999</v>
      </c>
      <c r="J280" s="11">
        <v>400</v>
      </c>
      <c r="K280" s="11">
        <v>100</v>
      </c>
      <c r="L280" s="11">
        <v>100</v>
      </c>
      <c r="M280" s="11">
        <v>100</v>
      </c>
      <c r="N280" s="11">
        <v>100</v>
      </c>
      <c r="O280" s="11">
        <v>100</v>
      </c>
      <c r="P280" s="11">
        <v>100</v>
      </c>
      <c r="Q280" s="11">
        <v>100</v>
      </c>
      <c r="R280" s="11">
        <v>100</v>
      </c>
      <c r="S280" s="14">
        <v>1</v>
      </c>
      <c r="T280" s="24"/>
    </row>
    <row r="281" spans="1:20" s="17" customFormat="1" x14ac:dyDescent="0.4">
      <c r="A281" s="8"/>
      <c r="B281" s="14">
        <v>12</v>
      </c>
      <c r="C281" s="11">
        <v>5</v>
      </c>
      <c r="D281" s="11" t="s">
        <v>784</v>
      </c>
      <c r="E281" s="11">
        <v>450</v>
      </c>
      <c r="F281" s="11" t="s">
        <v>405</v>
      </c>
      <c r="G281" s="11">
        <v>7000000</v>
      </c>
      <c r="H281" s="11">
        <v>5</v>
      </c>
      <c r="I281" s="11">
        <v>300</v>
      </c>
      <c r="J281" s="11">
        <v>400</v>
      </c>
      <c r="K281" s="11">
        <v>100</v>
      </c>
      <c r="L281" s="11">
        <v>100</v>
      </c>
      <c r="M281" s="11">
        <v>100</v>
      </c>
      <c r="N281" s="11">
        <v>100</v>
      </c>
      <c r="O281" s="11">
        <v>100</v>
      </c>
      <c r="P281" s="11">
        <v>100</v>
      </c>
      <c r="Q281" s="11">
        <v>100</v>
      </c>
      <c r="R281" s="11">
        <v>100</v>
      </c>
      <c r="S281" s="14">
        <v>1</v>
      </c>
      <c r="T281" s="24"/>
    </row>
    <row r="282" spans="1:20" s="17" customFormat="1" x14ac:dyDescent="0.4">
      <c r="A282" s="8"/>
      <c r="B282" s="14">
        <v>12</v>
      </c>
      <c r="C282" s="11">
        <v>6</v>
      </c>
      <c r="D282" s="11" t="s">
        <v>785</v>
      </c>
      <c r="E282" s="11">
        <v>450</v>
      </c>
      <c r="F282" s="11" t="s">
        <v>424</v>
      </c>
      <c r="G282" s="11">
        <v>5300000</v>
      </c>
      <c r="H282" s="11">
        <v>4</v>
      </c>
      <c r="I282" s="11">
        <v>300</v>
      </c>
      <c r="J282" s="11">
        <v>400</v>
      </c>
      <c r="K282" s="11">
        <v>100</v>
      </c>
      <c r="L282" s="11">
        <v>100</v>
      </c>
      <c r="M282" s="11">
        <v>100</v>
      </c>
      <c r="N282" s="11">
        <v>100</v>
      </c>
      <c r="O282" s="11">
        <v>100</v>
      </c>
      <c r="P282" s="11">
        <v>100</v>
      </c>
      <c r="Q282" s="11">
        <v>100</v>
      </c>
      <c r="R282" s="11">
        <v>100</v>
      </c>
      <c r="S282" s="14">
        <v>2</v>
      </c>
      <c r="T282" s="24"/>
    </row>
    <row r="283" spans="1:20" s="17" customFormat="1" x14ac:dyDescent="0.4">
      <c r="A283" s="8"/>
      <c r="B283" s="14">
        <v>12</v>
      </c>
      <c r="C283" s="11">
        <v>7</v>
      </c>
      <c r="D283" s="11" t="s">
        <v>786</v>
      </c>
      <c r="E283" s="11">
        <v>450</v>
      </c>
      <c r="F283" s="11" t="s">
        <v>276</v>
      </c>
      <c r="G283" s="11">
        <v>12500000</v>
      </c>
      <c r="H283" s="11">
        <v>5</v>
      </c>
      <c r="I283" s="11">
        <v>500</v>
      </c>
      <c r="J283" s="11">
        <v>400</v>
      </c>
      <c r="K283" s="11">
        <v>100</v>
      </c>
      <c r="L283" s="11">
        <v>100</v>
      </c>
      <c r="M283" s="11">
        <v>100</v>
      </c>
      <c r="N283" s="11">
        <v>100</v>
      </c>
      <c r="O283" s="11">
        <v>100</v>
      </c>
      <c r="P283" s="11">
        <v>100</v>
      </c>
      <c r="Q283" s="11">
        <v>100</v>
      </c>
      <c r="R283" s="11">
        <v>100</v>
      </c>
      <c r="S283" s="14">
        <v>1</v>
      </c>
      <c r="T283" s="24"/>
    </row>
    <row r="284" spans="1:20" s="17" customFormat="1" x14ac:dyDescent="0.4">
      <c r="A284" s="8"/>
      <c r="B284" s="14">
        <v>12</v>
      </c>
      <c r="C284" s="11">
        <v>8</v>
      </c>
      <c r="D284" s="11" t="s">
        <v>787</v>
      </c>
      <c r="E284" s="11">
        <v>550</v>
      </c>
      <c r="F284" s="11" t="s">
        <v>268</v>
      </c>
      <c r="G284" s="11">
        <v>30000000</v>
      </c>
      <c r="H284" s="11">
        <v>8</v>
      </c>
      <c r="I284" s="11">
        <v>999</v>
      </c>
      <c r="J284" s="11">
        <v>400</v>
      </c>
      <c r="K284" s="11">
        <v>100</v>
      </c>
      <c r="L284" s="11">
        <v>100</v>
      </c>
      <c r="M284" s="11">
        <v>100</v>
      </c>
      <c r="N284" s="11">
        <v>100</v>
      </c>
      <c r="O284" s="11">
        <v>100</v>
      </c>
      <c r="P284" s="11">
        <v>100</v>
      </c>
      <c r="Q284" s="11">
        <v>100</v>
      </c>
      <c r="R284" s="11">
        <v>100</v>
      </c>
      <c r="S284" s="14">
        <v>1</v>
      </c>
      <c r="T284" s="24"/>
    </row>
    <row r="285" spans="1:20" s="17" customFormat="1" x14ac:dyDescent="0.4">
      <c r="A285" s="8"/>
      <c r="B285" s="14">
        <v>12</v>
      </c>
      <c r="C285" s="11">
        <v>9</v>
      </c>
      <c r="D285" s="11" t="s">
        <v>788</v>
      </c>
      <c r="E285" s="11">
        <v>350</v>
      </c>
      <c r="F285" s="11" t="s">
        <v>778</v>
      </c>
      <c r="G285" s="11">
        <v>3400000</v>
      </c>
      <c r="H285" s="11">
        <v>5</v>
      </c>
      <c r="I285" s="11">
        <v>300</v>
      </c>
      <c r="J285" s="11">
        <v>400</v>
      </c>
      <c r="K285" s="11">
        <v>100</v>
      </c>
      <c r="L285" s="11">
        <v>100</v>
      </c>
      <c r="M285" s="11">
        <v>100</v>
      </c>
      <c r="N285" s="11">
        <v>100</v>
      </c>
      <c r="O285" s="11">
        <v>100</v>
      </c>
      <c r="P285" s="11">
        <v>100</v>
      </c>
      <c r="Q285" s="11">
        <v>100</v>
      </c>
      <c r="R285" s="11">
        <v>100</v>
      </c>
      <c r="S285" s="14">
        <v>1</v>
      </c>
      <c r="T285" s="24"/>
    </row>
    <row r="286" spans="1:20" s="17" customFormat="1" x14ac:dyDescent="0.4">
      <c r="A286" s="8"/>
      <c r="B286" s="14">
        <v>12</v>
      </c>
      <c r="C286" s="11">
        <v>10</v>
      </c>
      <c r="D286" s="11" t="s">
        <v>789</v>
      </c>
      <c r="E286" s="11">
        <v>350</v>
      </c>
      <c r="F286" s="11" t="s">
        <v>777</v>
      </c>
      <c r="G286" s="11">
        <v>2500000</v>
      </c>
      <c r="H286" s="11">
        <v>4</v>
      </c>
      <c r="I286" s="11">
        <v>300</v>
      </c>
      <c r="J286" s="11">
        <v>400</v>
      </c>
      <c r="K286" s="11">
        <v>100</v>
      </c>
      <c r="L286" s="11">
        <v>100</v>
      </c>
      <c r="M286" s="11">
        <v>100</v>
      </c>
      <c r="N286" s="11">
        <v>100</v>
      </c>
      <c r="O286" s="11">
        <v>100</v>
      </c>
      <c r="P286" s="11">
        <v>100</v>
      </c>
      <c r="Q286" s="11">
        <v>100</v>
      </c>
      <c r="R286" s="11">
        <v>100</v>
      </c>
      <c r="S286" s="14">
        <v>2</v>
      </c>
      <c r="T286" s="24"/>
    </row>
    <row r="287" spans="1:20" s="17" customFormat="1" x14ac:dyDescent="0.4">
      <c r="A287" s="8"/>
      <c r="B287" s="14">
        <v>12</v>
      </c>
      <c r="C287" s="11">
        <v>11</v>
      </c>
      <c r="D287" s="11" t="s">
        <v>790</v>
      </c>
      <c r="E287" s="11">
        <v>350</v>
      </c>
      <c r="F287" s="11" t="s">
        <v>776</v>
      </c>
      <c r="G287" s="11">
        <v>6130000</v>
      </c>
      <c r="H287" s="11">
        <v>5</v>
      </c>
      <c r="I287" s="11">
        <v>500</v>
      </c>
      <c r="J287" s="11">
        <v>400</v>
      </c>
      <c r="K287" s="11">
        <v>100</v>
      </c>
      <c r="L287" s="11">
        <v>100</v>
      </c>
      <c r="M287" s="11">
        <v>100</v>
      </c>
      <c r="N287" s="11">
        <v>100</v>
      </c>
      <c r="O287" s="11">
        <v>100</v>
      </c>
      <c r="P287" s="11">
        <v>100</v>
      </c>
      <c r="Q287" s="11">
        <v>100</v>
      </c>
      <c r="R287" s="11">
        <v>100</v>
      </c>
      <c r="S287" s="14">
        <v>1</v>
      </c>
      <c r="T287" s="24"/>
    </row>
    <row r="288" spans="1:20" s="17" customFormat="1" x14ac:dyDescent="0.4">
      <c r="A288" s="8"/>
      <c r="B288" s="14">
        <v>12</v>
      </c>
      <c r="C288" s="11">
        <v>12</v>
      </c>
      <c r="D288" s="11" t="s">
        <v>791</v>
      </c>
      <c r="E288" s="11">
        <v>450</v>
      </c>
      <c r="F288" s="11" t="s">
        <v>352</v>
      </c>
      <c r="G288" s="11">
        <v>15500000</v>
      </c>
      <c r="H288" s="11">
        <v>8</v>
      </c>
      <c r="I288" s="11">
        <v>999</v>
      </c>
      <c r="J288" s="11">
        <v>400</v>
      </c>
      <c r="K288" s="11">
        <v>100</v>
      </c>
      <c r="L288" s="11">
        <v>100</v>
      </c>
      <c r="M288" s="11">
        <v>100</v>
      </c>
      <c r="N288" s="11">
        <v>100</v>
      </c>
      <c r="O288" s="11">
        <v>100</v>
      </c>
      <c r="P288" s="11">
        <v>100</v>
      </c>
      <c r="Q288" s="11">
        <v>100</v>
      </c>
      <c r="R288" s="11">
        <v>100</v>
      </c>
      <c r="S288" s="14">
        <v>1</v>
      </c>
      <c r="T288" s="24"/>
    </row>
    <row r="289" spans="1:20" s="17" customFormat="1" x14ac:dyDescent="0.4">
      <c r="A289" s="8"/>
      <c r="B289" s="14">
        <v>13</v>
      </c>
      <c r="C289" s="11">
        <v>1</v>
      </c>
      <c r="D289" s="11" t="s">
        <v>470</v>
      </c>
      <c r="E289" s="11">
        <v>420</v>
      </c>
      <c r="F289" s="11" t="s">
        <v>472</v>
      </c>
      <c r="G289" s="11">
        <v>285000</v>
      </c>
      <c r="H289" s="11">
        <v>5</v>
      </c>
      <c r="I289" s="11">
        <v>300</v>
      </c>
      <c r="J289" s="11">
        <v>250</v>
      </c>
      <c r="K289" s="11">
        <v>100</v>
      </c>
      <c r="L289" s="11">
        <v>100</v>
      </c>
      <c r="M289" s="11">
        <v>100</v>
      </c>
      <c r="N289" s="11">
        <v>100</v>
      </c>
      <c r="O289" s="11">
        <v>100</v>
      </c>
      <c r="P289" s="11">
        <v>100</v>
      </c>
      <c r="Q289" s="11">
        <v>100</v>
      </c>
      <c r="R289" s="11">
        <v>100</v>
      </c>
      <c r="S289" s="14">
        <v>1</v>
      </c>
      <c r="T289" s="24"/>
    </row>
    <row r="290" spans="1:20" s="17" customFormat="1" x14ac:dyDescent="0.4">
      <c r="A290" s="8"/>
      <c r="B290" s="14">
        <v>13</v>
      </c>
      <c r="C290" s="11">
        <v>2</v>
      </c>
      <c r="D290" s="11" t="s">
        <v>469</v>
      </c>
      <c r="E290" s="11">
        <v>420</v>
      </c>
      <c r="F290" s="11" t="s">
        <v>471</v>
      </c>
      <c r="G290" s="11">
        <v>150500</v>
      </c>
      <c r="H290" s="11">
        <v>5</v>
      </c>
      <c r="I290" s="11">
        <v>300</v>
      </c>
      <c r="J290" s="11">
        <v>100</v>
      </c>
      <c r="K290" s="11">
        <v>100</v>
      </c>
      <c r="L290" s="11">
        <v>250</v>
      </c>
      <c r="M290" s="11">
        <v>100</v>
      </c>
      <c r="N290" s="11">
        <v>100</v>
      </c>
      <c r="O290" s="11">
        <v>100</v>
      </c>
      <c r="P290" s="11">
        <v>100</v>
      </c>
      <c r="Q290" s="11">
        <v>100</v>
      </c>
      <c r="R290" s="11">
        <v>100</v>
      </c>
      <c r="S290" s="14">
        <v>1</v>
      </c>
      <c r="T290" s="24"/>
    </row>
    <row r="291" spans="1:20" s="17" customFormat="1" x14ac:dyDescent="0.4">
      <c r="A291" s="8"/>
      <c r="B291" s="14">
        <v>13</v>
      </c>
      <c r="C291" s="11">
        <v>3</v>
      </c>
      <c r="D291" s="11" t="s">
        <v>473</v>
      </c>
      <c r="E291" s="11">
        <v>420</v>
      </c>
      <c r="F291" s="11" t="s">
        <v>474</v>
      </c>
      <c r="G291" s="11">
        <v>180700</v>
      </c>
      <c r="H291" s="11">
        <v>5</v>
      </c>
      <c r="I291" s="11">
        <v>300</v>
      </c>
      <c r="J291" s="11">
        <v>100</v>
      </c>
      <c r="K291" s="11">
        <v>250</v>
      </c>
      <c r="L291" s="11">
        <v>100</v>
      </c>
      <c r="M291" s="11">
        <v>100</v>
      </c>
      <c r="N291" s="11">
        <v>100</v>
      </c>
      <c r="O291" s="11">
        <v>100</v>
      </c>
      <c r="P291" s="11">
        <v>150</v>
      </c>
      <c r="Q291" s="11">
        <v>150</v>
      </c>
      <c r="R291" s="11">
        <v>100</v>
      </c>
      <c r="S291" s="14">
        <v>1</v>
      </c>
      <c r="T291" s="24"/>
    </row>
    <row r="292" spans="1:20" s="17" customFormat="1" x14ac:dyDescent="0.4">
      <c r="A292" s="8"/>
      <c r="B292" s="14">
        <v>13</v>
      </c>
      <c r="C292" s="11">
        <v>4</v>
      </c>
      <c r="D292" s="11" t="s">
        <v>564</v>
      </c>
      <c r="E292" s="11">
        <v>420</v>
      </c>
      <c r="F292" s="11" t="s">
        <v>568</v>
      </c>
      <c r="G292" s="11">
        <v>175100</v>
      </c>
      <c r="H292" s="11">
        <v>5</v>
      </c>
      <c r="I292" s="11">
        <v>500</v>
      </c>
      <c r="J292" s="11">
        <v>150</v>
      </c>
      <c r="K292" s="11">
        <v>100</v>
      </c>
      <c r="L292" s="11">
        <v>100</v>
      </c>
      <c r="M292" s="11">
        <v>150</v>
      </c>
      <c r="N292" s="11">
        <v>100</v>
      </c>
      <c r="O292" s="11">
        <v>100</v>
      </c>
      <c r="P292" s="11">
        <v>100</v>
      </c>
      <c r="Q292" s="11">
        <v>100</v>
      </c>
      <c r="R292" s="11">
        <v>100</v>
      </c>
      <c r="S292" s="14">
        <v>1</v>
      </c>
      <c r="T292" s="24"/>
    </row>
    <row r="293" spans="1:20" s="17" customFormat="1" x14ac:dyDescent="0.4">
      <c r="A293" s="8"/>
      <c r="B293" s="14">
        <v>13</v>
      </c>
      <c r="C293" s="11">
        <v>5</v>
      </c>
      <c r="D293" s="11" t="s">
        <v>565</v>
      </c>
      <c r="E293" s="11">
        <v>420</v>
      </c>
      <c r="F293" s="11" t="s">
        <v>569</v>
      </c>
      <c r="G293" s="11">
        <v>267600</v>
      </c>
      <c r="H293" s="11">
        <v>5</v>
      </c>
      <c r="I293" s="11">
        <v>300</v>
      </c>
      <c r="J293" s="11">
        <v>100</v>
      </c>
      <c r="K293" s="11">
        <v>250</v>
      </c>
      <c r="L293" s="11">
        <v>100</v>
      </c>
      <c r="M293" s="11">
        <v>100</v>
      </c>
      <c r="N293" s="11">
        <v>100</v>
      </c>
      <c r="O293" s="11">
        <v>100</v>
      </c>
      <c r="P293" s="11">
        <v>100</v>
      </c>
      <c r="Q293" s="11">
        <v>100</v>
      </c>
      <c r="R293" s="11">
        <v>100</v>
      </c>
      <c r="S293" s="14">
        <v>1</v>
      </c>
      <c r="T293" s="24"/>
    </row>
    <row r="294" spans="1:20" s="17" customFormat="1" x14ac:dyDescent="0.4">
      <c r="A294" s="8"/>
      <c r="B294" s="14">
        <v>13</v>
      </c>
      <c r="C294" s="11">
        <v>6</v>
      </c>
      <c r="D294" s="11" t="s">
        <v>566</v>
      </c>
      <c r="E294" s="11">
        <v>420</v>
      </c>
      <c r="F294" s="11" t="s">
        <v>567</v>
      </c>
      <c r="G294" s="11">
        <v>520000</v>
      </c>
      <c r="H294" s="11">
        <v>6</v>
      </c>
      <c r="I294" s="11">
        <v>500</v>
      </c>
      <c r="J294" s="11">
        <v>100</v>
      </c>
      <c r="K294" s="11">
        <v>250</v>
      </c>
      <c r="L294" s="11">
        <v>100</v>
      </c>
      <c r="M294" s="11">
        <v>100</v>
      </c>
      <c r="N294" s="11">
        <v>100</v>
      </c>
      <c r="O294" s="11">
        <v>100</v>
      </c>
      <c r="P294" s="11">
        <v>100</v>
      </c>
      <c r="Q294" s="11">
        <v>100</v>
      </c>
      <c r="R294" s="11">
        <v>100</v>
      </c>
      <c r="S294" s="14">
        <v>1</v>
      </c>
      <c r="T294" s="24"/>
    </row>
    <row r="295" spans="1:20" s="17" customFormat="1" x14ac:dyDescent="0.4">
      <c r="A295" s="8"/>
      <c r="B295" s="14">
        <v>13</v>
      </c>
      <c r="C295" s="11">
        <v>7</v>
      </c>
      <c r="D295" s="11" t="s">
        <v>581</v>
      </c>
      <c r="E295" s="11">
        <v>420</v>
      </c>
      <c r="F295" s="11" t="s">
        <v>580</v>
      </c>
      <c r="G295" s="11">
        <v>321200</v>
      </c>
      <c r="H295" s="11">
        <v>8</v>
      </c>
      <c r="I295" s="11">
        <v>999</v>
      </c>
      <c r="J295" s="11">
        <v>100</v>
      </c>
      <c r="K295" s="11">
        <v>100</v>
      </c>
      <c r="L295" s="11">
        <v>100</v>
      </c>
      <c r="M295" s="11">
        <v>100</v>
      </c>
      <c r="N295" s="11">
        <v>100</v>
      </c>
      <c r="O295" s="11">
        <v>100</v>
      </c>
      <c r="P295" s="11">
        <v>100</v>
      </c>
      <c r="Q295" s="11">
        <v>100</v>
      </c>
      <c r="R295" s="11">
        <v>100</v>
      </c>
      <c r="S295" s="14">
        <v>1</v>
      </c>
      <c r="T295" s="24"/>
    </row>
    <row r="296" spans="1:20" s="17" customFormat="1" x14ac:dyDescent="0.4">
      <c r="A296" s="8"/>
      <c r="B296" s="14">
        <v>13</v>
      </c>
      <c r="C296" s="11">
        <v>8</v>
      </c>
      <c r="D296" s="11" t="s">
        <v>654</v>
      </c>
      <c r="E296" s="11">
        <v>420</v>
      </c>
      <c r="F296" s="11" t="s">
        <v>254</v>
      </c>
      <c r="G296" s="11">
        <v>410000</v>
      </c>
      <c r="H296" s="11">
        <v>5</v>
      </c>
      <c r="I296" s="11">
        <v>300</v>
      </c>
      <c r="J296" s="11">
        <v>100</v>
      </c>
      <c r="K296" s="11">
        <v>100</v>
      </c>
      <c r="L296" s="11">
        <v>100</v>
      </c>
      <c r="M296" s="11">
        <v>250</v>
      </c>
      <c r="N296" s="11">
        <v>100</v>
      </c>
      <c r="O296" s="11">
        <v>100</v>
      </c>
      <c r="P296" s="11">
        <v>100</v>
      </c>
      <c r="Q296" s="11">
        <v>100</v>
      </c>
      <c r="R296" s="11">
        <v>100</v>
      </c>
      <c r="S296" s="14">
        <v>1</v>
      </c>
      <c r="T296" s="24"/>
    </row>
    <row r="297" spans="1:20" s="17" customFormat="1" x14ac:dyDescent="0.4">
      <c r="A297" s="8"/>
      <c r="B297" s="14">
        <v>13</v>
      </c>
      <c r="C297" s="11">
        <v>9</v>
      </c>
      <c r="D297" s="11" t="s">
        <v>655</v>
      </c>
      <c r="E297" s="11">
        <v>420</v>
      </c>
      <c r="F297" s="11" t="s">
        <v>266</v>
      </c>
      <c r="G297" s="11">
        <v>300000</v>
      </c>
      <c r="H297" s="11">
        <v>5</v>
      </c>
      <c r="I297" s="11">
        <v>300</v>
      </c>
      <c r="J297" s="11">
        <v>250</v>
      </c>
      <c r="K297" s="11">
        <v>100</v>
      </c>
      <c r="L297" s="11">
        <v>100</v>
      </c>
      <c r="M297" s="11">
        <v>100</v>
      </c>
      <c r="N297" s="11">
        <v>100</v>
      </c>
      <c r="O297" s="11">
        <v>100</v>
      </c>
      <c r="P297" s="11">
        <v>100</v>
      </c>
      <c r="Q297" s="11">
        <v>100</v>
      </c>
      <c r="R297" s="11">
        <v>100</v>
      </c>
      <c r="S297" s="14">
        <v>1</v>
      </c>
      <c r="T297" s="24"/>
    </row>
    <row r="298" spans="1:20" s="17" customFormat="1" x14ac:dyDescent="0.4">
      <c r="A298" s="8"/>
      <c r="B298" s="14">
        <v>13</v>
      </c>
      <c r="C298" s="11">
        <v>10</v>
      </c>
      <c r="D298" s="11" t="s">
        <v>676</v>
      </c>
      <c r="E298" s="11">
        <v>420</v>
      </c>
      <c r="F298" s="11" t="s">
        <v>679</v>
      </c>
      <c r="G298" s="11">
        <v>133470</v>
      </c>
      <c r="H298" s="11">
        <v>5</v>
      </c>
      <c r="I298" s="11">
        <v>300</v>
      </c>
      <c r="J298" s="11">
        <v>100</v>
      </c>
      <c r="K298" s="11">
        <v>100</v>
      </c>
      <c r="L298" s="11">
        <v>100</v>
      </c>
      <c r="M298" s="11">
        <v>100</v>
      </c>
      <c r="N298" s="11">
        <v>250</v>
      </c>
      <c r="O298" s="11">
        <v>100</v>
      </c>
      <c r="P298" s="11">
        <v>100</v>
      </c>
      <c r="Q298" s="11">
        <v>100</v>
      </c>
      <c r="R298" s="11">
        <v>100</v>
      </c>
      <c r="S298" s="14">
        <v>1</v>
      </c>
      <c r="T298" s="24"/>
    </row>
    <row r="299" spans="1:20" s="17" customFormat="1" x14ac:dyDescent="0.4">
      <c r="A299" s="8"/>
      <c r="B299" s="14">
        <v>13</v>
      </c>
      <c r="C299" s="11">
        <v>11</v>
      </c>
      <c r="D299" s="11" t="s">
        <v>729</v>
      </c>
      <c r="E299" s="11">
        <v>420</v>
      </c>
      <c r="F299" s="11" t="s">
        <v>264</v>
      </c>
      <c r="G299" s="11">
        <v>630000</v>
      </c>
      <c r="H299" s="11">
        <v>5</v>
      </c>
      <c r="I299" s="11">
        <v>450</v>
      </c>
      <c r="J299" s="11">
        <v>100</v>
      </c>
      <c r="K299" s="11">
        <v>100</v>
      </c>
      <c r="L299" s="11">
        <v>250</v>
      </c>
      <c r="M299" s="11">
        <v>100</v>
      </c>
      <c r="N299" s="11">
        <v>100</v>
      </c>
      <c r="O299" s="11">
        <v>100</v>
      </c>
      <c r="P299" s="11">
        <v>100</v>
      </c>
      <c r="Q299" s="11">
        <v>100</v>
      </c>
      <c r="R299" s="11">
        <v>100</v>
      </c>
      <c r="S299" s="14">
        <v>1</v>
      </c>
      <c r="T299" s="24"/>
    </row>
    <row r="300" spans="1:20" s="17" customFormat="1" x14ac:dyDescent="0.4">
      <c r="A300" s="8"/>
      <c r="B300" s="14">
        <v>13</v>
      </c>
      <c r="C300" s="11">
        <v>12</v>
      </c>
      <c r="D300" s="11" t="s">
        <v>730</v>
      </c>
      <c r="E300" s="11">
        <v>420</v>
      </c>
      <c r="F300" s="11" t="s">
        <v>732</v>
      </c>
      <c r="G300" s="11">
        <v>174300</v>
      </c>
      <c r="H300" s="11">
        <v>4</v>
      </c>
      <c r="I300" s="11">
        <v>400</v>
      </c>
      <c r="J300" s="11">
        <v>50</v>
      </c>
      <c r="K300" s="11">
        <v>100</v>
      </c>
      <c r="L300" s="11">
        <v>250</v>
      </c>
      <c r="M300" s="11">
        <v>250</v>
      </c>
      <c r="N300" s="11">
        <v>100</v>
      </c>
      <c r="O300" s="11">
        <v>100</v>
      </c>
      <c r="P300" s="11">
        <v>100</v>
      </c>
      <c r="Q300" s="11">
        <v>100</v>
      </c>
      <c r="R300" s="11">
        <v>100</v>
      </c>
      <c r="S300" s="14">
        <v>1</v>
      </c>
      <c r="T300" s="24"/>
    </row>
    <row r="301" spans="1:20" s="17" customFormat="1" x14ac:dyDescent="0.4">
      <c r="A301" s="8"/>
      <c r="B301" s="14">
        <v>13</v>
      </c>
      <c r="C301" s="11">
        <v>13</v>
      </c>
      <c r="D301" s="11" t="s">
        <v>736</v>
      </c>
      <c r="E301" s="11">
        <v>420</v>
      </c>
      <c r="F301" s="11" t="s">
        <v>737</v>
      </c>
      <c r="G301" s="11">
        <v>180000</v>
      </c>
      <c r="H301" s="11">
        <v>6</v>
      </c>
      <c r="I301" s="11">
        <v>500</v>
      </c>
      <c r="J301" s="11">
        <v>250</v>
      </c>
      <c r="K301" s="11">
        <v>100</v>
      </c>
      <c r="L301" s="11">
        <v>100</v>
      </c>
      <c r="M301" s="11">
        <v>100</v>
      </c>
      <c r="N301" s="11">
        <v>250</v>
      </c>
      <c r="O301" s="11">
        <v>100</v>
      </c>
      <c r="P301" s="11">
        <v>100</v>
      </c>
      <c r="Q301" s="11">
        <v>100</v>
      </c>
      <c r="R301" s="11">
        <v>100</v>
      </c>
      <c r="S301" s="14">
        <v>1</v>
      </c>
      <c r="T301" s="24"/>
    </row>
    <row r="302" spans="1:20" s="17" customFormat="1" x14ac:dyDescent="0.4">
      <c r="A302" s="8"/>
      <c r="B302" s="14">
        <v>13</v>
      </c>
      <c r="C302" s="11">
        <v>14</v>
      </c>
      <c r="D302" s="11" t="s">
        <v>772</v>
      </c>
      <c r="E302" s="11">
        <v>420</v>
      </c>
      <c r="F302" s="11" t="s">
        <v>251</v>
      </c>
      <c r="G302" s="11">
        <v>750000</v>
      </c>
      <c r="H302" s="11">
        <v>4</v>
      </c>
      <c r="I302" s="11">
        <v>999</v>
      </c>
      <c r="J302" s="11">
        <v>250</v>
      </c>
      <c r="K302" s="11">
        <v>100</v>
      </c>
      <c r="L302" s="11">
        <v>100</v>
      </c>
      <c r="M302" s="11">
        <v>100</v>
      </c>
      <c r="N302" s="11">
        <v>100</v>
      </c>
      <c r="O302" s="11">
        <v>100</v>
      </c>
      <c r="P302" s="11">
        <v>100</v>
      </c>
      <c r="Q302" s="11">
        <v>100</v>
      </c>
      <c r="R302" s="11">
        <v>100</v>
      </c>
      <c r="S302" s="14">
        <v>1</v>
      </c>
      <c r="T302" s="24"/>
    </row>
    <row r="303" spans="1:20" s="17" customFormat="1" x14ac:dyDescent="0.4">
      <c r="A303" s="8"/>
      <c r="B303" s="14">
        <v>13</v>
      </c>
      <c r="C303" s="11">
        <v>15</v>
      </c>
      <c r="D303" s="11" t="s">
        <v>771</v>
      </c>
      <c r="E303" s="11">
        <v>420</v>
      </c>
      <c r="F303" s="11" t="s">
        <v>774</v>
      </c>
      <c r="G303" s="11">
        <v>458500</v>
      </c>
      <c r="H303" s="11">
        <v>5</v>
      </c>
      <c r="I303" s="11">
        <v>500</v>
      </c>
      <c r="J303" s="11">
        <v>100</v>
      </c>
      <c r="K303" s="11">
        <v>250</v>
      </c>
      <c r="L303" s="11">
        <v>250</v>
      </c>
      <c r="M303" s="11">
        <v>100</v>
      </c>
      <c r="N303" s="11">
        <v>100</v>
      </c>
      <c r="O303" s="11">
        <v>100</v>
      </c>
      <c r="P303" s="11">
        <v>100</v>
      </c>
      <c r="Q303" s="11">
        <v>100</v>
      </c>
      <c r="R303" s="11">
        <v>100</v>
      </c>
      <c r="S303" s="14">
        <v>1</v>
      </c>
      <c r="T303" s="24"/>
    </row>
    <row r="304" spans="1:20" s="17" customFormat="1" x14ac:dyDescent="0.4">
      <c r="A304" s="8"/>
      <c r="B304" s="14">
        <v>13</v>
      </c>
      <c r="C304" s="11">
        <v>16</v>
      </c>
      <c r="D304" s="11" t="s">
        <v>792</v>
      </c>
      <c r="E304" s="11">
        <v>420</v>
      </c>
      <c r="F304" s="11" t="s">
        <v>256</v>
      </c>
      <c r="G304" s="11">
        <v>500000</v>
      </c>
      <c r="H304" s="11">
        <v>5</v>
      </c>
      <c r="I304" s="11">
        <v>300</v>
      </c>
      <c r="J304" s="11">
        <v>100</v>
      </c>
      <c r="K304" s="11">
        <v>100</v>
      </c>
      <c r="L304" s="11">
        <v>100</v>
      </c>
      <c r="M304" s="11">
        <v>250</v>
      </c>
      <c r="N304" s="11">
        <v>100</v>
      </c>
      <c r="O304" s="11">
        <v>100</v>
      </c>
      <c r="P304" s="11">
        <v>100</v>
      </c>
      <c r="Q304" s="11">
        <v>100</v>
      </c>
      <c r="R304" s="11">
        <v>100</v>
      </c>
      <c r="S304" s="14">
        <v>1</v>
      </c>
      <c r="T304" s="24"/>
    </row>
    <row r="305" spans="1:20" s="17" customFormat="1" x14ac:dyDescent="0.4">
      <c r="A305" s="8"/>
      <c r="B305" s="14">
        <v>13</v>
      </c>
      <c r="C305" s="11">
        <v>17</v>
      </c>
      <c r="D305" s="11" t="s">
        <v>837</v>
      </c>
      <c r="E305" s="11">
        <v>420</v>
      </c>
      <c r="F305" s="11" t="s">
        <v>793</v>
      </c>
      <c r="G305" s="11">
        <v>571500</v>
      </c>
      <c r="H305" s="11">
        <v>5</v>
      </c>
      <c r="I305" s="11">
        <v>500</v>
      </c>
      <c r="J305" s="11">
        <v>100</v>
      </c>
      <c r="K305" s="11">
        <v>100</v>
      </c>
      <c r="L305" s="11">
        <v>100</v>
      </c>
      <c r="M305" s="11">
        <v>250</v>
      </c>
      <c r="N305" s="11">
        <v>250</v>
      </c>
      <c r="O305" s="11">
        <v>100</v>
      </c>
      <c r="P305" s="11">
        <v>100</v>
      </c>
      <c r="Q305" s="11">
        <v>100</v>
      </c>
      <c r="R305" s="11">
        <v>100</v>
      </c>
      <c r="S305" s="14">
        <v>1</v>
      </c>
      <c r="T305" s="24"/>
    </row>
    <row r="306" spans="1:20" s="17" customFormat="1" x14ac:dyDescent="0.4">
      <c r="A306" s="8"/>
      <c r="B306" s="14">
        <v>13</v>
      </c>
      <c r="C306" s="11">
        <v>18</v>
      </c>
      <c r="D306" s="11" t="s">
        <v>848</v>
      </c>
      <c r="E306" s="11">
        <v>420</v>
      </c>
      <c r="F306" s="11" t="s">
        <v>283</v>
      </c>
      <c r="G306" s="11">
        <v>700000</v>
      </c>
      <c r="H306" s="11">
        <v>5</v>
      </c>
      <c r="I306" s="11">
        <v>999</v>
      </c>
      <c r="J306" s="11">
        <v>100</v>
      </c>
      <c r="K306" s="11">
        <v>100</v>
      </c>
      <c r="L306" s="11">
        <v>250</v>
      </c>
      <c r="M306" s="11">
        <v>100</v>
      </c>
      <c r="N306" s="11">
        <v>250</v>
      </c>
      <c r="O306" s="11">
        <v>100</v>
      </c>
      <c r="P306" s="11">
        <v>100</v>
      </c>
      <c r="Q306" s="11">
        <v>100</v>
      </c>
      <c r="R306" s="11">
        <v>100</v>
      </c>
      <c r="S306" s="14">
        <v>1</v>
      </c>
      <c r="T306" s="24"/>
    </row>
    <row r="307" spans="1:20" s="17" customFormat="1" x14ac:dyDescent="0.4">
      <c r="A307" s="8"/>
      <c r="B307" s="14">
        <v>13</v>
      </c>
      <c r="C307" s="11">
        <v>19</v>
      </c>
      <c r="D307" s="11" t="s">
        <v>874</v>
      </c>
      <c r="E307" s="11">
        <v>420</v>
      </c>
      <c r="F307" s="11" t="s">
        <v>242</v>
      </c>
      <c r="G307" s="11">
        <v>200000</v>
      </c>
      <c r="H307" s="11">
        <v>5</v>
      </c>
      <c r="I307" s="11">
        <v>300</v>
      </c>
      <c r="J307" s="11">
        <v>25</v>
      </c>
      <c r="K307" s="11">
        <v>200</v>
      </c>
      <c r="L307" s="11">
        <v>100</v>
      </c>
      <c r="M307" s="11">
        <v>100</v>
      </c>
      <c r="N307" s="11">
        <v>100</v>
      </c>
      <c r="O307" s="11">
        <v>100</v>
      </c>
      <c r="P307" s="11">
        <v>150</v>
      </c>
      <c r="Q307" s="11">
        <v>50</v>
      </c>
      <c r="R307" s="11">
        <v>100</v>
      </c>
      <c r="S307" s="14">
        <v>1</v>
      </c>
      <c r="T307" s="24"/>
    </row>
    <row r="308" spans="1:20" s="17" customFormat="1" x14ac:dyDescent="0.4">
      <c r="A308" s="8"/>
      <c r="B308" s="14">
        <v>13</v>
      </c>
      <c r="C308" s="11">
        <v>20</v>
      </c>
      <c r="D308" s="11" t="s">
        <v>875</v>
      </c>
      <c r="E308" s="11">
        <v>420</v>
      </c>
      <c r="F308" s="11" t="s">
        <v>876</v>
      </c>
      <c r="G308" s="11">
        <v>385000</v>
      </c>
      <c r="H308" s="11">
        <v>6</v>
      </c>
      <c r="I308" s="11">
        <v>700</v>
      </c>
      <c r="J308" s="11">
        <v>100</v>
      </c>
      <c r="K308" s="11">
        <v>100</v>
      </c>
      <c r="L308" s="11">
        <v>250</v>
      </c>
      <c r="M308" s="11">
        <v>100</v>
      </c>
      <c r="N308" s="11">
        <v>250</v>
      </c>
      <c r="O308" s="11">
        <v>100</v>
      </c>
      <c r="P308" s="11">
        <v>100</v>
      </c>
      <c r="Q308" s="11">
        <v>100</v>
      </c>
      <c r="R308" s="11">
        <v>100</v>
      </c>
      <c r="S308" s="14">
        <v>1</v>
      </c>
      <c r="T308" s="24"/>
    </row>
    <row r="309" spans="1:20" s="17" customFormat="1" x14ac:dyDescent="0.4">
      <c r="A309" s="8"/>
      <c r="B309" s="14">
        <v>13</v>
      </c>
      <c r="C309" s="11">
        <v>21</v>
      </c>
      <c r="D309" s="11" t="s">
        <v>903</v>
      </c>
      <c r="E309" s="11">
        <v>420</v>
      </c>
      <c r="F309" s="11" t="s">
        <v>256</v>
      </c>
      <c r="G309" s="11">
        <v>500000</v>
      </c>
      <c r="H309" s="11">
        <v>7</v>
      </c>
      <c r="I309" s="11">
        <v>500</v>
      </c>
      <c r="J309" s="11">
        <v>100</v>
      </c>
      <c r="K309" s="11">
        <v>250</v>
      </c>
      <c r="L309" s="11">
        <v>250</v>
      </c>
      <c r="M309" s="11">
        <v>100</v>
      </c>
      <c r="N309" s="11">
        <v>100</v>
      </c>
      <c r="O309" s="11">
        <v>100</v>
      </c>
      <c r="P309" s="11">
        <v>100</v>
      </c>
      <c r="Q309" s="11">
        <v>100</v>
      </c>
      <c r="R309" s="11">
        <v>100</v>
      </c>
      <c r="S309" s="14">
        <v>1</v>
      </c>
      <c r="T309" s="24"/>
    </row>
    <row r="310" spans="1:20" s="17" customFormat="1" x14ac:dyDescent="0.4">
      <c r="A310" s="8"/>
      <c r="B310" s="14">
        <v>13</v>
      </c>
      <c r="C310" s="11">
        <v>22</v>
      </c>
      <c r="D310" s="11" t="s">
        <v>906</v>
      </c>
      <c r="E310" s="11">
        <v>420</v>
      </c>
      <c r="F310" s="11" t="s">
        <v>253</v>
      </c>
      <c r="G310" s="11">
        <v>180000</v>
      </c>
      <c r="H310" s="11">
        <v>5</v>
      </c>
      <c r="I310" s="11">
        <v>500</v>
      </c>
      <c r="J310" s="11">
        <v>100</v>
      </c>
      <c r="K310" s="11">
        <v>250</v>
      </c>
      <c r="L310" s="11">
        <v>250</v>
      </c>
      <c r="M310" s="11">
        <v>100</v>
      </c>
      <c r="N310" s="11">
        <v>100</v>
      </c>
      <c r="O310" s="11">
        <v>100</v>
      </c>
      <c r="P310" s="11">
        <v>100</v>
      </c>
      <c r="Q310" s="11">
        <v>100</v>
      </c>
      <c r="R310" s="11">
        <v>100</v>
      </c>
      <c r="S310" s="14">
        <v>2</v>
      </c>
      <c r="T310" s="24"/>
    </row>
    <row r="311" spans="1:20" s="17" customFormat="1" x14ac:dyDescent="0.4">
      <c r="A311" s="8"/>
      <c r="B311" s="14">
        <v>13</v>
      </c>
      <c r="C311" s="11">
        <v>23</v>
      </c>
      <c r="D311" s="11" t="s">
        <v>912</v>
      </c>
      <c r="E311" s="11">
        <v>420</v>
      </c>
      <c r="F311" s="11" t="s">
        <v>269</v>
      </c>
      <c r="G311" s="11">
        <v>120000</v>
      </c>
      <c r="H311" s="11">
        <v>4</v>
      </c>
      <c r="I311" s="11">
        <v>300</v>
      </c>
      <c r="J311" s="11">
        <v>150</v>
      </c>
      <c r="K311" s="11">
        <v>100</v>
      </c>
      <c r="L311" s="11">
        <v>100</v>
      </c>
      <c r="M311" s="11">
        <v>100</v>
      </c>
      <c r="N311" s="11">
        <v>100</v>
      </c>
      <c r="O311" s="11">
        <v>100</v>
      </c>
      <c r="P311" s="11">
        <v>100</v>
      </c>
      <c r="Q311" s="11">
        <v>100</v>
      </c>
      <c r="R311" s="11">
        <v>100</v>
      </c>
      <c r="S311" s="14">
        <v>1</v>
      </c>
      <c r="T311" s="24"/>
    </row>
    <row r="312" spans="1:20" s="17" customFormat="1" x14ac:dyDescent="0.4">
      <c r="A312" s="8"/>
      <c r="B312" s="14">
        <v>13</v>
      </c>
      <c r="C312" s="11">
        <v>24</v>
      </c>
      <c r="D312" s="11" t="s">
        <v>921</v>
      </c>
      <c r="E312" s="11">
        <v>420</v>
      </c>
      <c r="F312" s="11" t="s">
        <v>915</v>
      </c>
      <c r="G312" s="11">
        <v>240000</v>
      </c>
      <c r="H312" s="11">
        <v>5</v>
      </c>
      <c r="I312" s="11">
        <v>300</v>
      </c>
      <c r="J312" s="11">
        <v>100</v>
      </c>
      <c r="K312" s="11">
        <v>100</v>
      </c>
      <c r="L312" s="11">
        <v>100</v>
      </c>
      <c r="M312" s="11">
        <v>150</v>
      </c>
      <c r="N312" s="11">
        <v>150</v>
      </c>
      <c r="O312" s="11">
        <v>100</v>
      </c>
      <c r="P312" s="11">
        <v>100</v>
      </c>
      <c r="Q312" s="11">
        <v>100</v>
      </c>
      <c r="R312" s="11">
        <v>100</v>
      </c>
      <c r="S312" s="14">
        <v>2</v>
      </c>
      <c r="T312" s="24"/>
    </row>
    <row r="313" spans="1:20" s="17" customFormat="1" x14ac:dyDescent="0.4">
      <c r="A313" s="8"/>
      <c r="B313" s="14">
        <v>13</v>
      </c>
      <c r="C313" s="11">
        <v>25</v>
      </c>
      <c r="D313" s="11" t="s">
        <v>926</v>
      </c>
      <c r="E313" s="11">
        <v>420</v>
      </c>
      <c r="F313" s="11" t="s">
        <v>927</v>
      </c>
      <c r="G313" s="11">
        <v>160000</v>
      </c>
      <c r="H313" s="11">
        <v>5</v>
      </c>
      <c r="I313" s="11">
        <v>300</v>
      </c>
      <c r="J313" s="11">
        <v>100</v>
      </c>
      <c r="K313" s="11">
        <v>250</v>
      </c>
      <c r="L313" s="11">
        <v>250</v>
      </c>
      <c r="M313" s="11">
        <v>100</v>
      </c>
      <c r="N313" s="11">
        <v>250</v>
      </c>
      <c r="O313" s="11">
        <v>100</v>
      </c>
      <c r="P313" s="11">
        <v>100</v>
      </c>
      <c r="Q313" s="11">
        <v>100</v>
      </c>
      <c r="R313" s="11">
        <v>100</v>
      </c>
      <c r="S313" s="14">
        <v>1</v>
      </c>
      <c r="T313" s="24"/>
    </row>
    <row r="314" spans="1:20" s="17" customFormat="1" x14ac:dyDescent="0.4">
      <c r="A314" s="8"/>
      <c r="B314" s="14">
        <v>13</v>
      </c>
      <c r="C314" s="11">
        <v>26</v>
      </c>
      <c r="D314" s="11" t="s">
        <v>948</v>
      </c>
      <c r="E314" s="11">
        <v>420</v>
      </c>
      <c r="F314" s="11" t="s">
        <v>951</v>
      </c>
      <c r="G314" s="11">
        <v>385000</v>
      </c>
      <c r="H314" s="11">
        <v>10</v>
      </c>
      <c r="I314" s="11">
        <v>700</v>
      </c>
      <c r="J314" s="11">
        <v>250</v>
      </c>
      <c r="K314" s="11">
        <v>100</v>
      </c>
      <c r="L314" s="11">
        <v>100</v>
      </c>
      <c r="M314" s="11">
        <v>250</v>
      </c>
      <c r="N314" s="11">
        <v>250</v>
      </c>
      <c r="O314" s="11">
        <v>100</v>
      </c>
      <c r="P314" s="11">
        <v>100</v>
      </c>
      <c r="Q314" s="11">
        <v>100</v>
      </c>
      <c r="R314" s="11">
        <v>100</v>
      </c>
      <c r="S314" s="14">
        <v>1</v>
      </c>
      <c r="T314" s="24"/>
    </row>
    <row r="315" spans="1:20" s="17" customFormat="1" x14ac:dyDescent="0.4">
      <c r="A315" s="8"/>
      <c r="B315" s="14">
        <v>13</v>
      </c>
      <c r="C315" s="11">
        <v>27</v>
      </c>
      <c r="D315" s="11" t="s">
        <v>965</v>
      </c>
      <c r="E315" s="11">
        <v>420</v>
      </c>
      <c r="F315" s="11" t="s">
        <v>248</v>
      </c>
      <c r="G315" s="11">
        <v>420000</v>
      </c>
      <c r="H315" s="11">
        <v>5</v>
      </c>
      <c r="I315" s="11">
        <v>300</v>
      </c>
      <c r="J315" s="11">
        <v>250</v>
      </c>
      <c r="K315" s="11">
        <v>100</v>
      </c>
      <c r="L315" s="11">
        <v>100</v>
      </c>
      <c r="M315" s="11">
        <v>100</v>
      </c>
      <c r="N315" s="11">
        <v>250</v>
      </c>
      <c r="O315" s="11">
        <v>100</v>
      </c>
      <c r="P315" s="11">
        <v>100</v>
      </c>
      <c r="Q315" s="11">
        <v>100</v>
      </c>
      <c r="R315" s="11">
        <v>100</v>
      </c>
      <c r="S315" s="14">
        <v>1</v>
      </c>
      <c r="T315" s="24"/>
    </row>
    <row r="316" spans="1:20" s="17" customFormat="1" x14ac:dyDescent="0.4">
      <c r="A316" s="8"/>
      <c r="B316" s="14">
        <v>13</v>
      </c>
      <c r="C316" s="11">
        <v>28</v>
      </c>
      <c r="D316" s="11" t="s">
        <v>971</v>
      </c>
      <c r="E316" s="11">
        <v>420</v>
      </c>
      <c r="F316" s="11" t="s">
        <v>793</v>
      </c>
      <c r="G316" s="11">
        <v>571500</v>
      </c>
      <c r="H316" s="11">
        <v>5</v>
      </c>
      <c r="I316" s="11">
        <v>500</v>
      </c>
      <c r="J316" s="11">
        <v>100</v>
      </c>
      <c r="K316" s="11">
        <v>100</v>
      </c>
      <c r="L316" s="11">
        <v>100</v>
      </c>
      <c r="M316" s="11">
        <v>250</v>
      </c>
      <c r="N316" s="11">
        <v>250</v>
      </c>
      <c r="O316" s="11">
        <v>100</v>
      </c>
      <c r="P316" s="11">
        <v>100</v>
      </c>
      <c r="Q316" s="11">
        <v>100</v>
      </c>
      <c r="R316" s="11">
        <v>100</v>
      </c>
      <c r="S316" s="14">
        <v>1</v>
      </c>
      <c r="T316" s="24"/>
    </row>
    <row r="317" spans="1:20" s="17" customFormat="1" x14ac:dyDescent="0.4">
      <c r="A317" s="8"/>
      <c r="B317" s="14">
        <v>13</v>
      </c>
      <c r="C317" s="11">
        <v>29</v>
      </c>
      <c r="D317" s="11" t="s">
        <v>1219</v>
      </c>
      <c r="E317" s="11">
        <v>420</v>
      </c>
      <c r="F317" s="11" t="s">
        <v>254</v>
      </c>
      <c r="G317" s="11">
        <v>450000</v>
      </c>
      <c r="H317" s="11">
        <v>2</v>
      </c>
      <c r="I317" s="11">
        <v>300</v>
      </c>
      <c r="J317" s="11">
        <v>100</v>
      </c>
      <c r="K317" s="11">
        <v>400</v>
      </c>
      <c r="L317" s="11">
        <v>100</v>
      </c>
      <c r="M317" s="11">
        <v>100</v>
      </c>
      <c r="N317" s="11">
        <v>400</v>
      </c>
      <c r="O317" s="11">
        <v>100</v>
      </c>
      <c r="P317" s="11">
        <v>100</v>
      </c>
      <c r="Q317" s="11">
        <v>100</v>
      </c>
      <c r="R317" s="11">
        <v>100</v>
      </c>
      <c r="S317" s="14">
        <v>2</v>
      </c>
      <c r="T317" s="24"/>
    </row>
    <row r="318" spans="1:20" s="17" customFormat="1" x14ac:dyDescent="0.4">
      <c r="A318" s="8"/>
      <c r="B318" s="14">
        <v>13</v>
      </c>
      <c r="C318" s="11">
        <v>30</v>
      </c>
      <c r="D318" s="11" t="s">
        <v>1217</v>
      </c>
      <c r="E318" s="11">
        <v>420</v>
      </c>
      <c r="F318" s="11" t="s">
        <v>254</v>
      </c>
      <c r="G318" s="11">
        <v>410000</v>
      </c>
      <c r="H318" s="11">
        <v>5</v>
      </c>
      <c r="I318" s="11">
        <v>300</v>
      </c>
      <c r="J318" s="11">
        <v>100</v>
      </c>
      <c r="K318" s="11">
        <v>100</v>
      </c>
      <c r="L318" s="11">
        <v>100</v>
      </c>
      <c r="M318" s="11">
        <v>250</v>
      </c>
      <c r="N318" s="11">
        <v>100</v>
      </c>
      <c r="O318" s="11">
        <v>100</v>
      </c>
      <c r="P318" s="11">
        <v>100</v>
      </c>
      <c r="Q318" s="11">
        <v>100</v>
      </c>
      <c r="R318" s="11">
        <v>100</v>
      </c>
      <c r="S318" s="14">
        <v>1</v>
      </c>
      <c r="T318" s="24"/>
    </row>
    <row r="319" spans="1:20" s="17" customFormat="1" x14ac:dyDescent="0.4">
      <c r="A319" s="8"/>
      <c r="B319" s="14">
        <v>13</v>
      </c>
      <c r="C319" s="11">
        <v>31</v>
      </c>
      <c r="D319" s="11" t="s">
        <v>1218</v>
      </c>
      <c r="E319" s="11">
        <v>420</v>
      </c>
      <c r="F319" s="11" t="s">
        <v>985</v>
      </c>
      <c r="G319" s="11">
        <v>400000</v>
      </c>
      <c r="H319" s="11">
        <v>4</v>
      </c>
      <c r="I319" s="11">
        <v>999</v>
      </c>
      <c r="J319" s="11">
        <v>250</v>
      </c>
      <c r="K319" s="11">
        <v>250</v>
      </c>
      <c r="L319" s="11">
        <v>250</v>
      </c>
      <c r="M319" s="11">
        <v>250</v>
      </c>
      <c r="N319" s="11">
        <v>250</v>
      </c>
      <c r="O319" s="11">
        <v>100</v>
      </c>
      <c r="P319" s="11">
        <v>100</v>
      </c>
      <c r="Q319" s="11">
        <v>100</v>
      </c>
      <c r="R319" s="11">
        <v>100</v>
      </c>
      <c r="S319" s="14">
        <v>1</v>
      </c>
      <c r="T319" s="24"/>
    </row>
    <row r="320" spans="1:20" s="17" customFormat="1" x14ac:dyDescent="0.4">
      <c r="A320" s="8"/>
      <c r="B320" s="14">
        <v>13</v>
      </c>
      <c r="C320" s="11">
        <v>32</v>
      </c>
      <c r="D320" s="11" t="s">
        <v>1234</v>
      </c>
      <c r="E320" s="11">
        <v>420</v>
      </c>
      <c r="F320" s="11" t="s">
        <v>1240</v>
      </c>
      <c r="G320" s="11">
        <v>423500</v>
      </c>
      <c r="H320" s="11">
        <v>6</v>
      </c>
      <c r="I320" s="11">
        <v>700</v>
      </c>
      <c r="J320" s="11">
        <v>250</v>
      </c>
      <c r="K320" s="11">
        <v>250</v>
      </c>
      <c r="L320" s="11">
        <v>250</v>
      </c>
      <c r="M320" s="11">
        <v>250</v>
      </c>
      <c r="N320" s="11">
        <v>250</v>
      </c>
      <c r="O320" s="11">
        <v>100</v>
      </c>
      <c r="P320" s="11">
        <v>100</v>
      </c>
      <c r="Q320" s="11">
        <v>100</v>
      </c>
      <c r="R320" s="11">
        <v>100</v>
      </c>
      <c r="S320" s="14"/>
      <c r="T320" s="24"/>
    </row>
    <row r="321" spans="1:20" s="17" customFormat="1" x14ac:dyDescent="0.4">
      <c r="A321" s="8"/>
      <c r="B321" s="14">
        <v>14</v>
      </c>
      <c r="C321" s="11">
        <v>1</v>
      </c>
      <c r="D321" s="11" t="s">
        <v>849</v>
      </c>
      <c r="E321" s="11">
        <v>750</v>
      </c>
      <c r="F321" s="11" t="s">
        <v>850</v>
      </c>
      <c r="G321" s="11">
        <v>198000</v>
      </c>
      <c r="H321" s="11">
        <v>2</v>
      </c>
      <c r="I321" s="11">
        <v>150</v>
      </c>
      <c r="J321" s="11">
        <v>400</v>
      </c>
      <c r="K321" s="11">
        <v>400</v>
      </c>
      <c r="L321" s="11">
        <v>400</v>
      </c>
      <c r="M321" s="11">
        <v>400</v>
      </c>
      <c r="N321" s="11">
        <v>400</v>
      </c>
      <c r="O321" s="11">
        <v>100</v>
      </c>
      <c r="P321" s="11">
        <v>100</v>
      </c>
      <c r="Q321" s="11">
        <v>100</v>
      </c>
      <c r="R321" s="11">
        <v>100</v>
      </c>
      <c r="S321" s="14">
        <v>3</v>
      </c>
      <c r="T321" s="24"/>
    </row>
    <row r="322" spans="1:20" s="17" customFormat="1" x14ac:dyDescent="0.4">
      <c r="A322" s="8"/>
      <c r="B322" s="14">
        <v>14</v>
      </c>
      <c r="C322" s="11">
        <v>2</v>
      </c>
      <c r="D322" s="11" t="s">
        <v>851</v>
      </c>
      <c r="E322" s="11">
        <v>750</v>
      </c>
      <c r="F322" s="11" t="s">
        <v>852</v>
      </c>
      <c r="G322" s="11">
        <v>216000</v>
      </c>
      <c r="H322" s="11">
        <v>2</v>
      </c>
      <c r="I322" s="11">
        <v>150</v>
      </c>
      <c r="J322" s="11">
        <v>400</v>
      </c>
      <c r="K322" s="11">
        <v>400</v>
      </c>
      <c r="L322" s="11">
        <v>400</v>
      </c>
      <c r="M322" s="11">
        <v>400</v>
      </c>
      <c r="N322" s="11">
        <v>400</v>
      </c>
      <c r="O322" s="11">
        <v>100</v>
      </c>
      <c r="P322" s="11">
        <v>100</v>
      </c>
      <c r="Q322" s="11">
        <v>100</v>
      </c>
      <c r="R322" s="11">
        <v>100</v>
      </c>
      <c r="S322" s="14">
        <v>3</v>
      </c>
      <c r="T322" s="24"/>
    </row>
    <row r="323" spans="1:20" s="17" customFormat="1" x14ac:dyDescent="0.4">
      <c r="A323" s="8"/>
      <c r="B323" s="14">
        <v>14</v>
      </c>
      <c r="C323" s="11">
        <v>3</v>
      </c>
      <c r="D323" s="11" t="s">
        <v>853</v>
      </c>
      <c r="E323" s="11">
        <v>750</v>
      </c>
      <c r="F323" s="11" t="s">
        <v>854</v>
      </c>
      <c r="G323" s="11">
        <v>414000</v>
      </c>
      <c r="H323" s="11">
        <v>2</v>
      </c>
      <c r="I323" s="11">
        <v>150</v>
      </c>
      <c r="J323" s="11">
        <v>400</v>
      </c>
      <c r="K323" s="11">
        <v>400</v>
      </c>
      <c r="L323" s="11">
        <v>400</v>
      </c>
      <c r="M323" s="11">
        <v>400</v>
      </c>
      <c r="N323" s="11">
        <v>400</v>
      </c>
      <c r="O323" s="11">
        <v>100</v>
      </c>
      <c r="P323" s="11">
        <v>100</v>
      </c>
      <c r="Q323" s="11">
        <v>100</v>
      </c>
      <c r="R323" s="11">
        <v>100</v>
      </c>
      <c r="S323" s="14">
        <v>2</v>
      </c>
      <c r="T323" s="24"/>
    </row>
    <row r="324" spans="1:20" s="17" customFormat="1" x14ac:dyDescent="0.4">
      <c r="A324" s="8"/>
      <c r="B324" s="14">
        <v>14</v>
      </c>
      <c r="C324" s="11">
        <v>4</v>
      </c>
      <c r="D324" s="11" t="s">
        <v>855</v>
      </c>
      <c r="E324" s="11">
        <v>750</v>
      </c>
      <c r="F324" s="11" t="s">
        <v>856</v>
      </c>
      <c r="G324" s="11">
        <v>2340000</v>
      </c>
      <c r="H324" s="11">
        <v>5</v>
      </c>
      <c r="I324" s="11">
        <v>300</v>
      </c>
      <c r="J324" s="11">
        <v>400</v>
      </c>
      <c r="K324" s="11">
        <v>400</v>
      </c>
      <c r="L324" s="11">
        <v>400</v>
      </c>
      <c r="M324" s="11">
        <v>400</v>
      </c>
      <c r="N324" s="11">
        <v>400</v>
      </c>
      <c r="O324" s="11">
        <v>100</v>
      </c>
      <c r="P324" s="11">
        <v>100</v>
      </c>
      <c r="Q324" s="11">
        <v>100</v>
      </c>
      <c r="R324" s="11">
        <v>100</v>
      </c>
      <c r="S324" s="14">
        <v>1</v>
      </c>
      <c r="T324" s="24"/>
    </row>
    <row r="325" spans="1:20" s="17" customFormat="1" x14ac:dyDescent="0.4">
      <c r="A325" s="8"/>
      <c r="B325" s="14">
        <v>14</v>
      </c>
      <c r="C325" s="11">
        <v>5</v>
      </c>
      <c r="D325" s="11" t="s">
        <v>857</v>
      </c>
      <c r="E325" s="11">
        <v>750</v>
      </c>
      <c r="F325" s="11" t="s">
        <v>858</v>
      </c>
      <c r="G325" s="11">
        <v>1620000</v>
      </c>
      <c r="H325" s="11">
        <v>5</v>
      </c>
      <c r="I325" s="11">
        <v>300</v>
      </c>
      <c r="J325" s="11">
        <v>400</v>
      </c>
      <c r="K325" s="11">
        <v>400</v>
      </c>
      <c r="L325" s="11">
        <v>400</v>
      </c>
      <c r="M325" s="11">
        <v>400</v>
      </c>
      <c r="N325" s="11">
        <v>400</v>
      </c>
      <c r="O325" s="11">
        <v>100</v>
      </c>
      <c r="P325" s="11">
        <v>100</v>
      </c>
      <c r="Q325" s="11">
        <v>100</v>
      </c>
      <c r="R325" s="11">
        <v>100</v>
      </c>
      <c r="S325" s="14">
        <v>2</v>
      </c>
      <c r="T325" s="24"/>
    </row>
    <row r="326" spans="1:20" s="17" customFormat="1" x14ac:dyDescent="0.4">
      <c r="A326" s="8"/>
      <c r="B326" s="14">
        <v>14</v>
      </c>
      <c r="C326" s="11">
        <v>6</v>
      </c>
      <c r="D326" s="11" t="s">
        <v>859</v>
      </c>
      <c r="E326" s="11">
        <v>750</v>
      </c>
      <c r="F326" s="11" t="s">
        <v>860</v>
      </c>
      <c r="G326" s="11">
        <v>10800000</v>
      </c>
      <c r="H326" s="11">
        <v>5</v>
      </c>
      <c r="I326" s="11">
        <v>400</v>
      </c>
      <c r="J326" s="11">
        <v>400</v>
      </c>
      <c r="K326" s="11">
        <v>400</v>
      </c>
      <c r="L326" s="11">
        <v>400</v>
      </c>
      <c r="M326" s="11">
        <v>400</v>
      </c>
      <c r="N326" s="11">
        <v>400</v>
      </c>
      <c r="O326" s="11">
        <v>100</v>
      </c>
      <c r="P326" s="11">
        <v>100</v>
      </c>
      <c r="Q326" s="11">
        <v>100</v>
      </c>
      <c r="R326" s="11">
        <v>100</v>
      </c>
      <c r="S326" s="14">
        <v>2</v>
      </c>
      <c r="T326" s="24"/>
    </row>
    <row r="327" spans="1:20" s="17" customFormat="1" x14ac:dyDescent="0.4">
      <c r="A327" s="8"/>
      <c r="B327" s="14">
        <v>15</v>
      </c>
      <c r="C327" s="11">
        <v>1</v>
      </c>
      <c r="D327" s="11" t="s">
        <v>900</v>
      </c>
      <c r="E327" s="11">
        <v>700</v>
      </c>
      <c r="F327" s="11" t="s">
        <v>904</v>
      </c>
      <c r="G327" s="11">
        <v>1000000000</v>
      </c>
      <c r="H327" s="11">
        <v>10</v>
      </c>
      <c r="I327" s="11">
        <v>999</v>
      </c>
      <c r="J327" s="11">
        <v>600</v>
      </c>
      <c r="K327" s="11">
        <v>600</v>
      </c>
      <c r="L327" s="11">
        <v>600</v>
      </c>
      <c r="M327" s="11">
        <v>600</v>
      </c>
      <c r="N327" s="11">
        <v>600</v>
      </c>
      <c r="O327" s="11">
        <v>100</v>
      </c>
      <c r="P327" s="11">
        <v>100</v>
      </c>
      <c r="Q327" s="11">
        <v>100</v>
      </c>
      <c r="R327" s="11">
        <v>100</v>
      </c>
      <c r="S327" s="14">
        <v>1</v>
      </c>
      <c r="T327" s="24"/>
    </row>
    <row r="328" spans="1:20" s="17" customFormat="1" x14ac:dyDescent="0.4">
      <c r="A328" s="8"/>
      <c r="B328" s="14">
        <v>15</v>
      </c>
      <c r="C328" s="11">
        <v>2</v>
      </c>
      <c r="D328" s="11" t="s">
        <v>901</v>
      </c>
      <c r="E328" s="11">
        <v>700</v>
      </c>
      <c r="F328" s="11" t="s">
        <v>905</v>
      </c>
      <c r="G328" s="11">
        <v>2000000000</v>
      </c>
      <c r="H328" s="11">
        <v>10</v>
      </c>
      <c r="I328" s="11">
        <v>999</v>
      </c>
      <c r="J328" s="11">
        <v>600</v>
      </c>
      <c r="K328" s="11">
        <v>600</v>
      </c>
      <c r="L328" s="11">
        <v>600</v>
      </c>
      <c r="M328" s="11">
        <v>600</v>
      </c>
      <c r="N328" s="11">
        <v>600</v>
      </c>
      <c r="O328" s="11">
        <v>100</v>
      </c>
      <c r="P328" s="11">
        <v>100</v>
      </c>
      <c r="Q328" s="11">
        <v>100</v>
      </c>
      <c r="R328" s="11">
        <v>100</v>
      </c>
      <c r="S328" s="14">
        <v>1</v>
      </c>
      <c r="T328" s="24"/>
    </row>
    <row r="329" spans="1:20" s="17" customFormat="1" x14ac:dyDescent="0.4">
      <c r="A329" s="8"/>
      <c r="B329" s="14">
        <v>15</v>
      </c>
      <c r="C329" s="11">
        <v>3</v>
      </c>
      <c r="D329" s="11" t="s">
        <v>939</v>
      </c>
      <c r="E329" s="11">
        <v>700</v>
      </c>
      <c r="F329" s="11" t="s">
        <v>904</v>
      </c>
      <c r="G329" s="11">
        <v>1000000000</v>
      </c>
      <c r="H329" s="11">
        <v>10</v>
      </c>
      <c r="I329" s="11">
        <v>999</v>
      </c>
      <c r="J329" s="11">
        <v>600</v>
      </c>
      <c r="K329" s="11">
        <v>600</v>
      </c>
      <c r="L329" s="11">
        <v>600</v>
      </c>
      <c r="M329" s="11">
        <v>600</v>
      </c>
      <c r="N329" s="11">
        <v>600</v>
      </c>
      <c r="O329" s="11">
        <v>100</v>
      </c>
      <c r="P329" s="11">
        <v>100</v>
      </c>
      <c r="Q329" s="11">
        <v>100</v>
      </c>
      <c r="R329" s="11">
        <v>100</v>
      </c>
      <c r="S329" s="14">
        <v>1</v>
      </c>
      <c r="T329" s="24"/>
    </row>
    <row r="330" spans="1:20" s="17" customFormat="1" x14ac:dyDescent="0.4">
      <c r="A330" s="8"/>
      <c r="B330" s="14">
        <v>15</v>
      </c>
      <c r="C330" s="11">
        <v>4</v>
      </c>
      <c r="D330" s="11" t="s">
        <v>938</v>
      </c>
      <c r="E330" s="11">
        <v>700</v>
      </c>
      <c r="F330" s="11" t="s">
        <v>940</v>
      </c>
      <c r="G330" s="11">
        <v>2500000000</v>
      </c>
      <c r="H330" s="11">
        <v>10</v>
      </c>
      <c r="I330" s="11">
        <v>999</v>
      </c>
      <c r="J330" s="11">
        <v>600</v>
      </c>
      <c r="K330" s="11">
        <v>600</v>
      </c>
      <c r="L330" s="11">
        <v>600</v>
      </c>
      <c r="M330" s="11">
        <v>600</v>
      </c>
      <c r="N330" s="11">
        <v>600</v>
      </c>
      <c r="O330" s="11">
        <v>100</v>
      </c>
      <c r="P330" s="11">
        <v>100</v>
      </c>
      <c r="Q330" s="11">
        <v>100</v>
      </c>
      <c r="R330" s="11">
        <v>100</v>
      </c>
      <c r="S330" s="14">
        <v>1</v>
      </c>
      <c r="T330" s="24"/>
    </row>
    <row r="331" spans="1:20" s="17" customFormat="1" x14ac:dyDescent="0.4">
      <c r="A331" s="8"/>
      <c r="B331" s="14">
        <v>15</v>
      </c>
      <c r="C331" s="11">
        <v>5</v>
      </c>
      <c r="D331" s="11" t="s">
        <v>1206</v>
      </c>
      <c r="E331" s="11">
        <v>750</v>
      </c>
      <c r="F331" s="11" t="s">
        <v>1211</v>
      </c>
      <c r="G331" s="11">
        <v>2800000000</v>
      </c>
      <c r="H331" s="11">
        <v>10</v>
      </c>
      <c r="I331" s="11">
        <v>999</v>
      </c>
      <c r="J331" s="11">
        <v>600</v>
      </c>
      <c r="K331" s="11">
        <v>600</v>
      </c>
      <c r="L331" s="11">
        <v>600</v>
      </c>
      <c r="M331" s="11">
        <v>600</v>
      </c>
      <c r="N331" s="11">
        <v>600</v>
      </c>
      <c r="O331" s="11">
        <v>100</v>
      </c>
      <c r="P331" s="11">
        <v>100</v>
      </c>
      <c r="Q331" s="11">
        <v>100</v>
      </c>
      <c r="R331" s="11">
        <v>100</v>
      </c>
      <c r="S331" s="14">
        <v>1</v>
      </c>
      <c r="T331" s="24"/>
    </row>
    <row r="332" spans="1:20" s="17" customFormat="1" x14ac:dyDescent="0.4">
      <c r="A332" s="8"/>
      <c r="B332" s="14">
        <v>15</v>
      </c>
      <c r="C332" s="11">
        <v>6</v>
      </c>
      <c r="D332" s="11" t="s">
        <v>1207</v>
      </c>
      <c r="E332" s="11">
        <v>750</v>
      </c>
      <c r="F332" s="11" t="s">
        <v>1212</v>
      </c>
      <c r="G332" s="11">
        <v>1600000000</v>
      </c>
      <c r="H332" s="11">
        <v>10</v>
      </c>
      <c r="I332" s="11">
        <v>999</v>
      </c>
      <c r="J332" s="11">
        <v>600</v>
      </c>
      <c r="K332" s="11">
        <v>600</v>
      </c>
      <c r="L332" s="11">
        <v>600</v>
      </c>
      <c r="M332" s="11">
        <v>600</v>
      </c>
      <c r="N332" s="11">
        <v>600</v>
      </c>
      <c r="O332" s="11">
        <v>100</v>
      </c>
      <c r="P332" s="11">
        <v>100</v>
      </c>
      <c r="Q332" s="11">
        <v>100</v>
      </c>
      <c r="R332" s="11">
        <v>100</v>
      </c>
      <c r="S332" s="14">
        <v>1</v>
      </c>
      <c r="T332" s="24"/>
    </row>
    <row r="333" spans="1:20" s="17" customFormat="1" x14ac:dyDescent="0.4">
      <c r="A333" s="8"/>
      <c r="B333" s="14">
        <v>15</v>
      </c>
      <c r="C333" s="11">
        <v>7</v>
      </c>
      <c r="D333" s="11" t="s">
        <v>1208</v>
      </c>
      <c r="E333" s="11">
        <v>750</v>
      </c>
      <c r="F333" s="11" t="s">
        <v>1213</v>
      </c>
      <c r="G333" s="11">
        <v>2400000000</v>
      </c>
      <c r="H333" s="11">
        <v>10</v>
      </c>
      <c r="I333" s="11">
        <v>999</v>
      </c>
      <c r="J333" s="11">
        <v>600</v>
      </c>
      <c r="K333" s="11">
        <v>600</v>
      </c>
      <c r="L333" s="11">
        <v>600</v>
      </c>
      <c r="M333" s="11">
        <v>600</v>
      </c>
      <c r="N333" s="11">
        <v>600</v>
      </c>
      <c r="O333" s="11">
        <v>100</v>
      </c>
      <c r="P333" s="11">
        <v>100</v>
      </c>
      <c r="Q333" s="11">
        <v>100</v>
      </c>
      <c r="R333" s="11">
        <v>100</v>
      </c>
      <c r="S333" s="14">
        <v>1</v>
      </c>
      <c r="T333" s="24"/>
    </row>
    <row r="334" spans="1:20" s="17" customFormat="1" x14ac:dyDescent="0.4">
      <c r="A334" s="8"/>
      <c r="B334" s="14">
        <v>16</v>
      </c>
      <c r="C334" s="11">
        <v>1</v>
      </c>
      <c r="D334" s="11" t="s">
        <v>984</v>
      </c>
      <c r="E334" s="11">
        <v>800</v>
      </c>
      <c r="F334" s="11" t="s">
        <v>989</v>
      </c>
      <c r="G334" s="11">
        <v>1040000000</v>
      </c>
      <c r="H334" s="11">
        <v>5</v>
      </c>
      <c r="I334" s="11">
        <v>999</v>
      </c>
      <c r="J334" s="11">
        <v>250</v>
      </c>
      <c r="K334" s="11">
        <v>250</v>
      </c>
      <c r="L334" s="11">
        <v>250</v>
      </c>
      <c r="M334" s="11">
        <v>250</v>
      </c>
      <c r="N334" s="11">
        <v>250</v>
      </c>
      <c r="O334" s="11">
        <v>100</v>
      </c>
      <c r="P334" s="11">
        <v>100</v>
      </c>
      <c r="Q334" s="11">
        <v>100</v>
      </c>
      <c r="R334" s="11">
        <v>100</v>
      </c>
      <c r="S334" s="14">
        <v>1</v>
      </c>
      <c r="T334" s="24">
        <v>900</v>
      </c>
    </row>
    <row r="335" spans="1:20" s="17" customFormat="1" x14ac:dyDescent="0.4">
      <c r="A335" s="8"/>
      <c r="B335" s="14">
        <v>16</v>
      </c>
      <c r="C335" s="11">
        <v>2</v>
      </c>
      <c r="D335" s="11" t="s">
        <v>1209</v>
      </c>
      <c r="E335" s="11">
        <v>800</v>
      </c>
      <c r="F335" s="11" t="s">
        <v>1214</v>
      </c>
      <c r="G335" s="11">
        <v>620000000</v>
      </c>
      <c r="H335" s="11">
        <v>5</v>
      </c>
      <c r="I335" s="11">
        <v>600</v>
      </c>
      <c r="J335" s="11">
        <v>250</v>
      </c>
      <c r="K335" s="11">
        <v>250</v>
      </c>
      <c r="L335" s="11">
        <v>250</v>
      </c>
      <c r="M335" s="11">
        <v>250</v>
      </c>
      <c r="N335" s="11">
        <v>250</v>
      </c>
      <c r="O335" s="11">
        <v>100</v>
      </c>
      <c r="P335" s="11">
        <v>100</v>
      </c>
      <c r="Q335" s="11">
        <v>100</v>
      </c>
      <c r="R335" s="11">
        <v>100</v>
      </c>
      <c r="S335" s="14">
        <v>2</v>
      </c>
      <c r="T335" s="24">
        <v>901</v>
      </c>
    </row>
    <row r="336" spans="1:20" s="17" customFormat="1" x14ac:dyDescent="0.4">
      <c r="A336" s="8"/>
      <c r="B336" s="14">
        <v>16</v>
      </c>
      <c r="C336" s="11">
        <v>3</v>
      </c>
      <c r="D336" s="11" t="s">
        <v>63</v>
      </c>
      <c r="E336" s="11">
        <v>800</v>
      </c>
      <c r="F336" s="11" t="s">
        <v>985</v>
      </c>
      <c r="G336" s="11">
        <v>1100000000</v>
      </c>
      <c r="H336" s="11">
        <v>4</v>
      </c>
      <c r="I336" s="11">
        <v>999</v>
      </c>
      <c r="J336" s="11">
        <v>250</v>
      </c>
      <c r="K336" s="11">
        <v>250</v>
      </c>
      <c r="L336" s="11">
        <v>250</v>
      </c>
      <c r="M336" s="11">
        <v>250</v>
      </c>
      <c r="N336" s="11">
        <v>250</v>
      </c>
      <c r="O336" s="11">
        <v>100</v>
      </c>
      <c r="P336" s="11">
        <v>100</v>
      </c>
      <c r="Q336" s="11">
        <v>100</v>
      </c>
      <c r="R336" s="11">
        <v>100</v>
      </c>
      <c r="S336" s="14">
        <v>1</v>
      </c>
      <c r="T336" s="24">
        <v>902</v>
      </c>
    </row>
    <row r="337" spans="1:20" s="17" customFormat="1" x14ac:dyDescent="0.4">
      <c r="A337" s="8"/>
      <c r="B337" s="14">
        <v>16</v>
      </c>
      <c r="C337" s="11">
        <v>4</v>
      </c>
      <c r="D337" s="11" t="s">
        <v>1225</v>
      </c>
      <c r="E337" s="11">
        <v>800</v>
      </c>
      <c r="F337" s="11" t="s">
        <v>1231</v>
      </c>
      <c r="G337" s="11">
        <v>920000000</v>
      </c>
      <c r="H337" s="11">
        <v>5</v>
      </c>
      <c r="I337" s="11">
        <v>999</v>
      </c>
      <c r="J337" s="11">
        <v>250</v>
      </c>
      <c r="K337" s="11">
        <v>250</v>
      </c>
      <c r="L337" s="11">
        <v>250</v>
      </c>
      <c r="M337" s="11">
        <v>250</v>
      </c>
      <c r="N337" s="11">
        <v>250</v>
      </c>
      <c r="O337" s="11">
        <v>100</v>
      </c>
      <c r="P337" s="11">
        <v>100</v>
      </c>
      <c r="Q337" s="11">
        <v>100</v>
      </c>
      <c r="R337" s="11">
        <v>100</v>
      </c>
      <c r="S337" s="14">
        <v>1</v>
      </c>
      <c r="T337" s="24">
        <v>903</v>
      </c>
    </row>
    <row r="338" spans="1:20" s="17" customFormat="1" x14ac:dyDescent="0.4">
      <c r="A338" s="8"/>
      <c r="B338" s="14">
        <v>16</v>
      </c>
      <c r="C338" s="11">
        <v>5</v>
      </c>
      <c r="D338" s="11" t="s">
        <v>1235</v>
      </c>
      <c r="E338" s="11">
        <v>800</v>
      </c>
      <c r="F338" s="11" t="s">
        <v>1241</v>
      </c>
      <c r="G338" s="11">
        <v>870000000</v>
      </c>
      <c r="H338" s="11">
        <v>4</v>
      </c>
      <c r="I338" s="11">
        <v>700</v>
      </c>
      <c r="J338" s="11">
        <v>250</v>
      </c>
      <c r="K338" s="11">
        <v>250</v>
      </c>
      <c r="L338" s="11">
        <v>250</v>
      </c>
      <c r="M338" s="11">
        <v>250</v>
      </c>
      <c r="N338" s="11">
        <v>250</v>
      </c>
      <c r="O338" s="11">
        <v>100</v>
      </c>
      <c r="P338" s="11">
        <v>100</v>
      </c>
      <c r="Q338" s="11">
        <v>100</v>
      </c>
      <c r="R338" s="11">
        <v>100</v>
      </c>
      <c r="S338" s="14">
        <v>1</v>
      </c>
      <c r="T338" s="24">
        <v>904</v>
      </c>
    </row>
    <row r="339" spans="1:20" s="17" customFormat="1" x14ac:dyDescent="0.4">
      <c r="A339" s="8"/>
      <c r="B339" s="14">
        <v>99</v>
      </c>
      <c r="C339" s="11">
        <v>1</v>
      </c>
      <c r="D339" s="11" t="s">
        <v>301</v>
      </c>
      <c r="E339" s="11">
        <v>360</v>
      </c>
      <c r="F339" s="11" t="s">
        <v>302</v>
      </c>
      <c r="G339" s="11">
        <v>10000000</v>
      </c>
      <c r="H339" s="11">
        <v>8</v>
      </c>
      <c r="I339" s="11">
        <v>999</v>
      </c>
      <c r="J339" s="11">
        <v>100</v>
      </c>
      <c r="K339" s="11">
        <v>100</v>
      </c>
      <c r="L339" s="11">
        <v>100</v>
      </c>
      <c r="M339" s="11">
        <v>100</v>
      </c>
      <c r="N339" s="11">
        <v>100</v>
      </c>
      <c r="O339" s="11">
        <v>100</v>
      </c>
      <c r="P339" s="11">
        <v>100</v>
      </c>
      <c r="Q339" s="11">
        <v>100</v>
      </c>
      <c r="R339" s="11">
        <v>100</v>
      </c>
      <c r="S339" s="14">
        <v>1</v>
      </c>
      <c r="T339" s="24"/>
    </row>
    <row r="340" spans="1:20" s="17" customFormat="1" x14ac:dyDescent="0.4">
      <c r="A340" s="8"/>
      <c r="B340" s="14">
        <v>99</v>
      </c>
      <c r="C340" s="11">
        <v>2</v>
      </c>
      <c r="D340" s="11" t="s">
        <v>301</v>
      </c>
      <c r="E340" s="11">
        <v>360</v>
      </c>
      <c r="F340" s="11" t="s">
        <v>302</v>
      </c>
      <c r="G340" s="11">
        <v>10000000</v>
      </c>
      <c r="H340" s="11">
        <v>8</v>
      </c>
      <c r="I340" s="11">
        <v>999</v>
      </c>
      <c r="J340" s="11">
        <v>100</v>
      </c>
      <c r="K340" s="11">
        <v>100</v>
      </c>
      <c r="L340" s="11">
        <v>100</v>
      </c>
      <c r="M340" s="11">
        <v>100</v>
      </c>
      <c r="N340" s="11">
        <v>100</v>
      </c>
      <c r="O340" s="11">
        <v>100</v>
      </c>
      <c r="P340" s="11">
        <v>100</v>
      </c>
      <c r="Q340" s="11">
        <v>100</v>
      </c>
      <c r="R340" s="11">
        <v>100</v>
      </c>
      <c r="S340" s="14">
        <v>1</v>
      </c>
      <c r="T340" s="24"/>
    </row>
    <row r="341" spans="1:20" s="17" customFormat="1" x14ac:dyDescent="0.4">
      <c r="A341" s="8"/>
      <c r="B341" s="14">
        <v>99</v>
      </c>
      <c r="C341" s="11">
        <v>3</v>
      </c>
      <c r="D341" s="11" t="s">
        <v>301</v>
      </c>
      <c r="E341" s="11">
        <v>360</v>
      </c>
      <c r="F341" s="11" t="s">
        <v>302</v>
      </c>
      <c r="G341" s="11">
        <v>10000000</v>
      </c>
      <c r="H341" s="11">
        <v>8</v>
      </c>
      <c r="I341" s="11">
        <v>999</v>
      </c>
      <c r="J341" s="11">
        <v>100</v>
      </c>
      <c r="K341" s="11">
        <v>100</v>
      </c>
      <c r="L341" s="11">
        <v>100</v>
      </c>
      <c r="M341" s="11">
        <v>100</v>
      </c>
      <c r="N341" s="11">
        <v>100</v>
      </c>
      <c r="O341" s="11">
        <v>100</v>
      </c>
      <c r="P341" s="11">
        <v>100</v>
      </c>
      <c r="Q341" s="11">
        <v>100</v>
      </c>
      <c r="R341" s="11">
        <v>100</v>
      </c>
      <c r="S341" s="14">
        <v>1</v>
      </c>
      <c r="T341" s="24"/>
    </row>
    <row r="342" spans="1:20" s="17" customFormat="1" x14ac:dyDescent="0.4">
      <c r="A342" s="8"/>
      <c r="B342" s="14">
        <v>99</v>
      </c>
      <c r="C342" s="11">
        <v>4</v>
      </c>
      <c r="D342" s="11" t="s">
        <v>301</v>
      </c>
      <c r="E342" s="11">
        <v>360</v>
      </c>
      <c r="F342" s="11" t="s">
        <v>302</v>
      </c>
      <c r="G342" s="11">
        <v>10000000</v>
      </c>
      <c r="H342" s="11">
        <v>8</v>
      </c>
      <c r="I342" s="11">
        <v>999</v>
      </c>
      <c r="J342" s="11">
        <v>100</v>
      </c>
      <c r="K342" s="11">
        <v>100</v>
      </c>
      <c r="L342" s="11">
        <v>100</v>
      </c>
      <c r="M342" s="11">
        <v>100</v>
      </c>
      <c r="N342" s="11">
        <v>100</v>
      </c>
      <c r="O342" s="11">
        <v>100</v>
      </c>
      <c r="P342" s="11">
        <v>100</v>
      </c>
      <c r="Q342" s="11">
        <v>100</v>
      </c>
      <c r="R342" s="11">
        <v>100</v>
      </c>
      <c r="S342" s="14">
        <v>1</v>
      </c>
      <c r="T342" s="24"/>
    </row>
    <row r="343" spans="1:20" s="17" customFormat="1" x14ac:dyDescent="0.4">
      <c r="A343" s="8"/>
      <c r="B343" s="14">
        <v>99</v>
      </c>
      <c r="C343" s="11">
        <v>5</v>
      </c>
      <c r="D343" s="11" t="s">
        <v>301</v>
      </c>
      <c r="E343" s="11">
        <v>360</v>
      </c>
      <c r="F343" s="11" t="s">
        <v>302</v>
      </c>
      <c r="G343" s="11">
        <v>10000000</v>
      </c>
      <c r="H343" s="11">
        <v>8</v>
      </c>
      <c r="I343" s="11">
        <v>999</v>
      </c>
      <c r="J343" s="11">
        <v>100</v>
      </c>
      <c r="K343" s="11">
        <v>100</v>
      </c>
      <c r="L343" s="11">
        <v>100</v>
      </c>
      <c r="M343" s="11">
        <v>100</v>
      </c>
      <c r="N343" s="11">
        <v>100</v>
      </c>
      <c r="O343" s="11">
        <v>100</v>
      </c>
      <c r="P343" s="11">
        <v>100</v>
      </c>
      <c r="Q343" s="11">
        <v>100</v>
      </c>
      <c r="R343" s="11">
        <v>100</v>
      </c>
      <c r="S343" s="14">
        <v>1</v>
      </c>
      <c r="T343" s="24"/>
    </row>
    <row r="344" spans="1:20" s="17" customFormat="1" x14ac:dyDescent="0.4">
      <c r="A344" s="8"/>
      <c r="B344" s="14">
        <v>99</v>
      </c>
      <c r="C344" s="11">
        <v>6</v>
      </c>
      <c r="D344" s="11" t="s">
        <v>301</v>
      </c>
      <c r="E344" s="11">
        <v>360</v>
      </c>
      <c r="F344" s="11" t="s">
        <v>302</v>
      </c>
      <c r="G344" s="11">
        <v>10000000</v>
      </c>
      <c r="H344" s="11">
        <v>8</v>
      </c>
      <c r="I344" s="11">
        <v>999</v>
      </c>
      <c r="J344" s="11">
        <v>100</v>
      </c>
      <c r="K344" s="11">
        <v>100</v>
      </c>
      <c r="L344" s="11">
        <v>100</v>
      </c>
      <c r="M344" s="11">
        <v>100</v>
      </c>
      <c r="N344" s="11">
        <v>100</v>
      </c>
      <c r="O344" s="11">
        <v>100</v>
      </c>
      <c r="P344" s="11">
        <v>100</v>
      </c>
      <c r="Q344" s="11">
        <v>100</v>
      </c>
      <c r="R344" s="11">
        <v>100</v>
      </c>
      <c r="S344" s="14">
        <v>1</v>
      </c>
      <c r="T344" s="24"/>
    </row>
    <row r="345" spans="1:20" s="17" customFormat="1" x14ac:dyDescent="0.4">
      <c r="A345" s="8"/>
      <c r="B345" s="14">
        <v>99</v>
      </c>
      <c r="C345" s="11">
        <v>7</v>
      </c>
      <c r="D345" s="11" t="s">
        <v>301</v>
      </c>
      <c r="E345" s="11">
        <v>360</v>
      </c>
      <c r="F345" s="11" t="s">
        <v>302</v>
      </c>
      <c r="G345" s="11">
        <v>10000000</v>
      </c>
      <c r="H345" s="11">
        <v>8</v>
      </c>
      <c r="I345" s="11">
        <v>999</v>
      </c>
      <c r="J345" s="11">
        <v>100</v>
      </c>
      <c r="K345" s="11">
        <v>100</v>
      </c>
      <c r="L345" s="11">
        <v>100</v>
      </c>
      <c r="M345" s="11">
        <v>100</v>
      </c>
      <c r="N345" s="11">
        <v>100</v>
      </c>
      <c r="O345" s="11">
        <v>100</v>
      </c>
      <c r="P345" s="11">
        <v>100</v>
      </c>
      <c r="Q345" s="11">
        <v>100</v>
      </c>
      <c r="R345" s="11">
        <v>100</v>
      </c>
      <c r="S345" s="14">
        <v>1</v>
      </c>
      <c r="T345" s="24"/>
    </row>
    <row r="346" spans="1:20" s="17" customFormat="1" x14ac:dyDescent="0.4">
      <c r="A346" s="8"/>
      <c r="B346" s="14">
        <v>99</v>
      </c>
      <c r="C346" s="11">
        <v>8</v>
      </c>
      <c r="D346" s="11" t="s">
        <v>301</v>
      </c>
      <c r="E346" s="11">
        <v>360</v>
      </c>
      <c r="F346" s="11" t="s">
        <v>302</v>
      </c>
      <c r="G346" s="11">
        <v>10000000</v>
      </c>
      <c r="H346" s="11">
        <v>8</v>
      </c>
      <c r="I346" s="11">
        <v>999</v>
      </c>
      <c r="J346" s="11">
        <v>100</v>
      </c>
      <c r="K346" s="11">
        <v>100</v>
      </c>
      <c r="L346" s="11">
        <v>100</v>
      </c>
      <c r="M346" s="11">
        <v>100</v>
      </c>
      <c r="N346" s="11">
        <v>100</v>
      </c>
      <c r="O346" s="11">
        <v>100</v>
      </c>
      <c r="P346" s="11">
        <v>100</v>
      </c>
      <c r="Q346" s="11">
        <v>100</v>
      </c>
      <c r="R346" s="11">
        <v>100</v>
      </c>
      <c r="S346" s="14">
        <v>1</v>
      </c>
      <c r="T346" s="24"/>
    </row>
    <row r="347" spans="1:20" s="17" customFormat="1" x14ac:dyDescent="0.4">
      <c r="A347" s="8"/>
      <c r="B347" s="14">
        <v>99</v>
      </c>
      <c r="C347" s="11">
        <v>9</v>
      </c>
      <c r="D347" s="11" t="s">
        <v>301</v>
      </c>
      <c r="E347" s="11">
        <v>360</v>
      </c>
      <c r="F347" s="11" t="s">
        <v>302</v>
      </c>
      <c r="G347" s="11">
        <v>10000000</v>
      </c>
      <c r="H347" s="11">
        <v>8</v>
      </c>
      <c r="I347" s="11">
        <v>999</v>
      </c>
      <c r="J347" s="11">
        <v>100</v>
      </c>
      <c r="K347" s="11">
        <v>100</v>
      </c>
      <c r="L347" s="11">
        <v>100</v>
      </c>
      <c r="M347" s="11">
        <v>100</v>
      </c>
      <c r="N347" s="11">
        <v>100</v>
      </c>
      <c r="O347" s="11">
        <v>100</v>
      </c>
      <c r="P347" s="11">
        <v>100</v>
      </c>
      <c r="Q347" s="11">
        <v>100</v>
      </c>
      <c r="R347" s="11">
        <v>100</v>
      </c>
      <c r="S347" s="14">
        <v>1</v>
      </c>
      <c r="T347" s="24"/>
    </row>
    <row r="348" spans="1:20" s="17" customFormat="1" x14ac:dyDescent="0.4">
      <c r="A348" s="8"/>
      <c r="B348" s="14">
        <v>99</v>
      </c>
      <c r="C348" s="11">
        <v>10</v>
      </c>
      <c r="D348" s="11" t="s">
        <v>301</v>
      </c>
      <c r="E348" s="11">
        <v>360</v>
      </c>
      <c r="F348" s="11" t="s">
        <v>302</v>
      </c>
      <c r="G348" s="11">
        <v>10000000</v>
      </c>
      <c r="H348" s="11">
        <v>8</v>
      </c>
      <c r="I348" s="11">
        <v>999</v>
      </c>
      <c r="J348" s="11">
        <v>100</v>
      </c>
      <c r="K348" s="11">
        <v>100</v>
      </c>
      <c r="L348" s="11">
        <v>100</v>
      </c>
      <c r="M348" s="11">
        <v>100</v>
      </c>
      <c r="N348" s="11">
        <v>100</v>
      </c>
      <c r="O348" s="11">
        <v>100</v>
      </c>
      <c r="P348" s="11">
        <v>100</v>
      </c>
      <c r="Q348" s="11">
        <v>100</v>
      </c>
      <c r="R348" s="11">
        <v>100</v>
      </c>
      <c r="S348" s="14">
        <v>1</v>
      </c>
      <c r="T348" s="24"/>
    </row>
  </sheetData>
  <autoFilter ref="A6:T348" xr:uid="{BB7D76AD-1CD9-4ED4-A8DB-A2C42BF0E9E3}"/>
  <phoneticPr fontId="1"/>
  <conditionalFormatting sqref="J7:R348">
    <cfRule type="expression" dxfId="1" priority="1">
      <formula>J7&lt;100</formula>
    </cfRule>
    <cfRule type="expression" dxfId="0" priority="2">
      <formula>J7&gt;100</formula>
    </cfRule>
  </conditionalFormatting>
  <dataValidations count="1">
    <dataValidation type="list" allowBlank="1" showInputMessage="1" showErrorMessage="1" sqref="A7:A348" xr:uid="{28D050B2-1A54-42F0-A34B-37E05F80C106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07418-9EFF-49E7-8A5B-782DB82851DD}">
  <sheetPr codeName="Sheet3"/>
  <dimension ref="A1:V374"/>
  <sheetViews>
    <sheetView topLeftCell="A205" zoomScale="115" zoomScaleNormal="115" workbookViewId="0">
      <selection activeCell="BQ29" sqref="AB1:BQ29"/>
    </sheetView>
  </sheetViews>
  <sheetFormatPr defaultRowHeight="18.75" x14ac:dyDescent="0.4"/>
  <cols>
    <col min="1" max="1" width="8.875" bestFit="1" customWidth="1"/>
    <col min="2" max="2" width="8.5" bestFit="1" customWidth="1"/>
    <col min="3" max="3" width="12.625" bestFit="1" customWidth="1"/>
    <col min="4" max="4" width="12.625" customWidth="1"/>
    <col min="5" max="8" width="12.5" customWidth="1"/>
    <col min="9" max="10" width="11.25" bestFit="1" customWidth="1"/>
    <col min="11" max="11" width="5.375" bestFit="1" customWidth="1"/>
    <col min="12" max="12" width="5.25" bestFit="1" customWidth="1"/>
    <col min="13" max="14" width="5.375" bestFit="1" customWidth="1"/>
    <col min="15" max="15" width="5.5" bestFit="1" customWidth="1"/>
    <col min="16" max="18" width="5.25" bestFit="1" customWidth="1"/>
    <col min="19" max="19" width="4.375" bestFit="1" customWidth="1"/>
    <col min="20" max="20" width="5.375" bestFit="1" customWidth="1"/>
    <col min="21" max="22" width="5.5" bestFit="1" customWidth="1"/>
    <col min="23" max="60" width="4" bestFit="1" customWidth="1"/>
    <col min="61" max="70" width="5.125" bestFit="1" customWidth="1"/>
    <col min="71" max="71" width="5.5" bestFit="1" customWidth="1"/>
    <col min="72" max="72" width="8.25" bestFit="1" customWidth="1"/>
    <col min="73" max="73" width="6.25" bestFit="1" customWidth="1"/>
    <col min="74" max="75" width="2.875" bestFit="1" customWidth="1"/>
    <col min="76" max="76" width="8.25" bestFit="1" customWidth="1"/>
    <col min="77" max="77" width="6.25" bestFit="1" customWidth="1"/>
    <col min="78" max="79" width="2.875" bestFit="1" customWidth="1"/>
    <col min="80" max="80" width="8.25" bestFit="1" customWidth="1"/>
    <col min="81" max="81" width="6.25" bestFit="1" customWidth="1"/>
    <col min="82" max="84" width="2.875" bestFit="1" customWidth="1"/>
    <col min="85" max="85" width="8.25" bestFit="1" customWidth="1"/>
    <col min="86" max="86" width="6.25" bestFit="1" customWidth="1"/>
    <col min="87" max="89" width="2.875" bestFit="1" customWidth="1"/>
    <col min="90" max="90" width="8.25" bestFit="1" customWidth="1"/>
    <col min="91" max="91" width="6.25" bestFit="1" customWidth="1"/>
    <col min="92" max="93" width="2.875" bestFit="1" customWidth="1"/>
    <col min="94" max="94" width="8.25" bestFit="1" customWidth="1"/>
    <col min="95" max="95" width="6.25" bestFit="1" customWidth="1"/>
    <col min="96" max="98" width="2.875" bestFit="1" customWidth="1"/>
    <col min="99" max="99" width="8.25" bestFit="1" customWidth="1"/>
    <col min="100" max="100" width="6.25" bestFit="1" customWidth="1"/>
    <col min="101" max="102" width="2.875" bestFit="1" customWidth="1"/>
    <col min="103" max="103" width="8.25" bestFit="1" customWidth="1"/>
    <col min="104" max="104" width="6.25" bestFit="1" customWidth="1"/>
    <col min="105" max="106" width="2.875" bestFit="1" customWidth="1"/>
    <col min="107" max="107" width="8.25" bestFit="1" customWidth="1"/>
    <col min="108" max="108" width="6.25" bestFit="1" customWidth="1"/>
    <col min="109" max="110" width="2.875" bestFit="1" customWidth="1"/>
    <col min="111" max="111" width="8.25" bestFit="1" customWidth="1"/>
    <col min="112" max="112" width="6.25" bestFit="1" customWidth="1"/>
    <col min="113" max="115" width="2.875" bestFit="1" customWidth="1"/>
    <col min="116" max="116" width="8.25" bestFit="1" customWidth="1"/>
    <col min="117" max="117" width="6.25" bestFit="1" customWidth="1"/>
    <col min="118" max="120" width="2.875" bestFit="1" customWidth="1"/>
    <col min="121" max="121" width="8.25" bestFit="1" customWidth="1"/>
    <col min="122" max="122" width="6.25" bestFit="1" customWidth="1"/>
    <col min="123" max="125" width="2.875" bestFit="1" customWidth="1"/>
    <col min="126" max="126" width="8.25" bestFit="1" customWidth="1"/>
    <col min="127" max="127" width="6.25" bestFit="1" customWidth="1"/>
    <col min="128" max="129" width="2.875" bestFit="1" customWidth="1"/>
    <col min="130" max="130" width="8.25" bestFit="1" customWidth="1"/>
    <col min="131" max="131" width="6.25" bestFit="1" customWidth="1"/>
    <col min="132" max="134" width="2.875" bestFit="1" customWidth="1"/>
    <col min="135" max="135" width="8.25" bestFit="1" customWidth="1"/>
    <col min="136" max="136" width="6.25" bestFit="1" customWidth="1"/>
    <col min="137" max="139" width="2.875" bestFit="1" customWidth="1"/>
    <col min="140" max="140" width="8.25" bestFit="1" customWidth="1"/>
    <col min="141" max="141" width="6.25" bestFit="1" customWidth="1"/>
    <col min="142" max="143" width="2.875" bestFit="1" customWidth="1"/>
    <col min="144" max="144" width="8.25" bestFit="1" customWidth="1"/>
    <col min="145" max="145" width="6.25" bestFit="1" customWidth="1"/>
    <col min="146" max="147" width="2.875" bestFit="1" customWidth="1"/>
    <col min="148" max="148" width="8.25" bestFit="1" customWidth="1"/>
    <col min="149" max="149" width="6.25" bestFit="1" customWidth="1"/>
    <col min="150" max="152" width="2.875" bestFit="1" customWidth="1"/>
    <col min="153" max="153" width="8.25" bestFit="1" customWidth="1"/>
    <col min="154" max="154" width="6.25" bestFit="1" customWidth="1"/>
    <col min="155" max="157" width="2.875" bestFit="1" customWidth="1"/>
    <col min="158" max="158" width="8.25" bestFit="1" customWidth="1"/>
    <col min="159" max="159" width="6.25" bestFit="1" customWidth="1"/>
    <col min="160" max="162" width="2.875" bestFit="1" customWidth="1"/>
    <col min="163" max="163" width="8.25" bestFit="1" customWidth="1"/>
    <col min="164" max="164" width="6.25" bestFit="1" customWidth="1"/>
    <col min="165" max="166" width="2.875" bestFit="1" customWidth="1"/>
    <col min="167" max="167" width="8.25" bestFit="1" customWidth="1"/>
    <col min="168" max="168" width="6.25" bestFit="1" customWidth="1"/>
    <col min="169" max="171" width="2.875" bestFit="1" customWidth="1"/>
    <col min="172" max="172" width="8.25" bestFit="1" customWidth="1"/>
    <col min="173" max="173" width="6.25" bestFit="1" customWidth="1"/>
    <col min="174" max="176" width="2.875" bestFit="1" customWidth="1"/>
    <col min="177" max="177" width="8.25" bestFit="1" customWidth="1"/>
    <col min="178" max="178" width="6.25" bestFit="1" customWidth="1"/>
    <col min="179" max="181" width="2.875" bestFit="1" customWidth="1"/>
    <col min="182" max="182" width="8.25" bestFit="1" customWidth="1"/>
    <col min="183" max="183" width="6.25" bestFit="1" customWidth="1"/>
    <col min="184" max="185" width="2.875" bestFit="1" customWidth="1"/>
    <col min="186" max="186" width="8.25" bestFit="1" customWidth="1"/>
    <col min="187" max="187" width="6.25" bestFit="1" customWidth="1"/>
    <col min="188" max="189" width="2.875" bestFit="1" customWidth="1"/>
    <col min="190" max="190" width="8.25" bestFit="1" customWidth="1"/>
    <col min="191" max="191" width="6.25" bestFit="1" customWidth="1"/>
    <col min="192" max="193" width="2.875" bestFit="1" customWidth="1"/>
    <col min="194" max="194" width="8.25" bestFit="1" customWidth="1"/>
    <col min="195" max="195" width="6.25" bestFit="1" customWidth="1"/>
    <col min="196" max="197" width="2.875" bestFit="1" customWidth="1"/>
    <col min="198" max="198" width="8.25" bestFit="1" customWidth="1"/>
    <col min="199" max="199" width="6.25" bestFit="1" customWidth="1"/>
    <col min="200" max="202" width="2.875" bestFit="1" customWidth="1"/>
    <col min="203" max="203" width="8.25" bestFit="1" customWidth="1"/>
    <col min="204" max="204" width="6.25" bestFit="1" customWidth="1"/>
    <col min="205" max="207" width="2.875" bestFit="1" customWidth="1"/>
    <col min="208" max="208" width="8.25" bestFit="1" customWidth="1"/>
    <col min="209" max="209" width="6.25" bestFit="1" customWidth="1"/>
    <col min="210" max="211" width="2.875" bestFit="1" customWidth="1"/>
    <col min="212" max="212" width="8.25" bestFit="1" customWidth="1"/>
    <col min="213" max="213" width="6.25" bestFit="1" customWidth="1"/>
    <col min="214" max="216" width="2.875" bestFit="1" customWidth="1"/>
    <col min="217" max="217" width="8.25" bestFit="1" customWidth="1"/>
    <col min="218" max="218" width="6.25" bestFit="1" customWidth="1"/>
    <col min="219" max="220" width="2.875" bestFit="1" customWidth="1"/>
    <col min="221" max="221" width="8.25" bestFit="1" customWidth="1"/>
    <col min="222" max="222" width="6.25" bestFit="1" customWidth="1"/>
    <col min="223" max="225" width="2.875" bestFit="1" customWidth="1"/>
    <col min="226" max="226" width="8.25" bestFit="1" customWidth="1"/>
    <col min="227" max="227" width="6.25" bestFit="1" customWidth="1"/>
    <col min="228" max="230" width="2.875" bestFit="1" customWidth="1"/>
    <col min="231" max="231" width="8.25" bestFit="1" customWidth="1"/>
    <col min="232" max="232" width="6.25" bestFit="1" customWidth="1"/>
    <col min="233" max="233" width="8.25" bestFit="1" customWidth="1"/>
    <col min="234" max="234" width="6.25" bestFit="1" customWidth="1"/>
    <col min="235" max="235" width="8.25" bestFit="1" customWidth="1"/>
    <col min="236" max="236" width="6.25" bestFit="1" customWidth="1"/>
    <col min="237" max="237" width="8.25" bestFit="1" customWidth="1"/>
    <col min="238" max="238" width="7.375" bestFit="1" customWidth="1"/>
    <col min="239" max="239" width="9.375" bestFit="1" customWidth="1"/>
    <col min="240" max="240" width="7.375" bestFit="1" customWidth="1"/>
    <col min="241" max="241" width="9.375" bestFit="1" customWidth="1"/>
    <col min="242" max="242" width="7.375" bestFit="1" customWidth="1"/>
    <col min="243" max="243" width="2.875" bestFit="1" customWidth="1"/>
    <col min="244" max="244" width="9.375" bestFit="1" customWidth="1"/>
    <col min="245" max="245" width="7.375" bestFit="1" customWidth="1"/>
    <col min="246" max="246" width="9.375" bestFit="1" customWidth="1"/>
    <col min="247" max="247" width="7.375" bestFit="1" customWidth="1"/>
    <col min="248" max="248" width="9.375" bestFit="1" customWidth="1"/>
    <col min="249" max="249" width="7.375" bestFit="1" customWidth="1"/>
    <col min="250" max="250" width="9.375" bestFit="1" customWidth="1"/>
    <col min="251" max="251" width="7.375" bestFit="1" customWidth="1"/>
    <col min="252" max="252" width="9.375" bestFit="1" customWidth="1"/>
    <col min="253" max="253" width="7.375" bestFit="1" customWidth="1"/>
    <col min="254" max="254" width="9.375" bestFit="1" customWidth="1"/>
    <col min="255" max="255" width="7.375" bestFit="1" customWidth="1"/>
    <col min="256" max="256" width="9.375" bestFit="1" customWidth="1"/>
    <col min="257" max="257" width="7.375" bestFit="1" customWidth="1"/>
    <col min="258" max="258" width="9.375" bestFit="1" customWidth="1"/>
    <col min="259" max="259" width="5.5" bestFit="1" customWidth="1"/>
  </cols>
  <sheetData>
    <row r="1" spans="1:22" x14ac:dyDescent="0.4">
      <c r="A1" s="9">
        <v>2</v>
      </c>
      <c r="B1" s="9">
        <v>3</v>
      </c>
      <c r="C1" s="9">
        <v>22</v>
      </c>
      <c r="D1" s="4"/>
      <c r="E1" s="1"/>
      <c r="F1">
        <v>1</v>
      </c>
      <c r="G1" t="s">
        <v>221</v>
      </c>
    </row>
    <row r="2" spans="1:22" x14ac:dyDescent="0.4">
      <c r="A2" s="9" t="s">
        <v>29</v>
      </c>
      <c r="B2" s="9" t="s">
        <v>311</v>
      </c>
      <c r="C2" s="9" t="s">
        <v>1011</v>
      </c>
      <c r="D2" s="4"/>
      <c r="E2" s="1"/>
      <c r="F2">
        <v>2</v>
      </c>
      <c r="G2" t="s">
        <v>221</v>
      </c>
    </row>
    <row r="3" spans="1:22" x14ac:dyDescent="0.4">
      <c r="A3" s="9" t="s">
        <v>25</v>
      </c>
      <c r="B3" s="9" t="s">
        <v>25</v>
      </c>
      <c r="C3" s="9" t="s">
        <v>1012</v>
      </c>
      <c r="D3" s="4"/>
      <c r="E3" s="1"/>
      <c r="F3">
        <v>3</v>
      </c>
      <c r="G3" t="s">
        <v>221</v>
      </c>
      <c r="I3" s="25" t="s">
        <v>1150</v>
      </c>
      <c r="J3" s="25" t="s">
        <v>1134</v>
      </c>
    </row>
    <row r="4" spans="1:22" x14ac:dyDescent="0.4">
      <c r="A4" s="9" t="s">
        <v>34</v>
      </c>
      <c r="B4" s="9" t="s">
        <v>33</v>
      </c>
      <c r="C4" s="9">
        <v>0</v>
      </c>
      <c r="D4" s="4"/>
      <c r="E4" s="1"/>
      <c r="F4">
        <v>4</v>
      </c>
      <c r="G4" t="s">
        <v>221</v>
      </c>
      <c r="I4" s="25" t="s">
        <v>1136</v>
      </c>
      <c r="J4" t="s">
        <v>1145</v>
      </c>
      <c r="K4" t="s">
        <v>1144</v>
      </c>
      <c r="L4" t="s">
        <v>1137</v>
      </c>
      <c r="M4" t="s">
        <v>1138</v>
      </c>
      <c r="N4" t="s">
        <v>1139</v>
      </c>
      <c r="O4" t="s">
        <v>1140</v>
      </c>
      <c r="P4" t="s">
        <v>1141</v>
      </c>
      <c r="Q4" t="s">
        <v>1142</v>
      </c>
      <c r="R4" t="s">
        <v>1143</v>
      </c>
      <c r="S4" t="s">
        <v>1147</v>
      </c>
      <c r="T4" t="s">
        <v>1149</v>
      </c>
      <c r="U4" t="s">
        <v>1146</v>
      </c>
      <c r="V4" t="s">
        <v>1135</v>
      </c>
    </row>
    <row r="5" spans="1:22" x14ac:dyDescent="0.4">
      <c r="A5" s="9"/>
      <c r="B5" s="9"/>
      <c r="C5" s="9"/>
      <c r="D5" s="4"/>
      <c r="E5" s="1"/>
      <c r="F5">
        <v>5</v>
      </c>
      <c r="G5" t="s">
        <v>221</v>
      </c>
      <c r="I5" s="26" t="s">
        <v>1151</v>
      </c>
      <c r="J5">
        <v>0</v>
      </c>
      <c r="K5">
        <v>2</v>
      </c>
      <c r="L5">
        <v>7</v>
      </c>
      <c r="M5">
        <v>2</v>
      </c>
      <c r="N5">
        <v>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16</v>
      </c>
    </row>
    <row r="6" spans="1:22" x14ac:dyDescent="0.4">
      <c r="A6" s="9" t="s">
        <v>27</v>
      </c>
      <c r="B6" s="9" t="s">
        <v>27</v>
      </c>
      <c r="C6" s="9" t="s">
        <v>27</v>
      </c>
      <c r="D6" s="4"/>
      <c r="E6" s="1"/>
      <c r="F6">
        <v>6</v>
      </c>
      <c r="G6" t="s">
        <v>221</v>
      </c>
      <c r="I6" s="26" t="s">
        <v>1152</v>
      </c>
      <c r="J6">
        <v>0</v>
      </c>
      <c r="K6">
        <v>2</v>
      </c>
      <c r="L6">
        <v>8</v>
      </c>
      <c r="M6">
        <v>4</v>
      </c>
      <c r="N6">
        <v>5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20</v>
      </c>
    </row>
    <row r="7" spans="1:22" x14ac:dyDescent="0.4">
      <c r="A7" s="14">
        <v>1</v>
      </c>
      <c r="B7" s="14">
        <v>1</v>
      </c>
      <c r="C7" s="11" t="s">
        <v>1035</v>
      </c>
      <c r="D7" s="29" t="str">
        <f>LEFT(C7,7)</f>
        <v>2022/02</v>
      </c>
      <c r="E7" s="28" t="str">
        <f>VLOOKUP(A7,F:G,2)</f>
        <v>31A</v>
      </c>
      <c r="F7" s="28">
        <v>7</v>
      </c>
      <c r="G7" s="28" t="s">
        <v>234</v>
      </c>
      <c r="H7" s="28"/>
      <c r="I7" s="26" t="s">
        <v>1153</v>
      </c>
      <c r="J7">
        <v>0</v>
      </c>
      <c r="K7">
        <v>4</v>
      </c>
      <c r="L7">
        <v>9</v>
      </c>
      <c r="M7">
        <v>4</v>
      </c>
      <c r="N7">
        <v>5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23</v>
      </c>
    </row>
    <row r="8" spans="1:22" x14ac:dyDescent="0.4">
      <c r="A8" s="14">
        <v>1</v>
      </c>
      <c r="B8" s="14">
        <v>1</v>
      </c>
      <c r="C8" s="11" t="s">
        <v>1035</v>
      </c>
      <c r="D8" s="29" t="str">
        <f t="shared" ref="D8:D71" si="0">LEFT(C8,7)</f>
        <v>2022/02</v>
      </c>
      <c r="E8" s="28" t="str">
        <f t="shared" ref="E8:E71" si="1">VLOOKUP(A8,F:G,2)</f>
        <v>31A</v>
      </c>
      <c r="F8" s="28">
        <v>8</v>
      </c>
      <c r="G8" s="28" t="s">
        <v>234</v>
      </c>
      <c r="H8" s="28"/>
      <c r="I8" s="26" t="s">
        <v>1154</v>
      </c>
      <c r="J8">
        <v>0</v>
      </c>
      <c r="K8">
        <v>5</v>
      </c>
      <c r="L8">
        <v>9</v>
      </c>
      <c r="M8">
        <v>4</v>
      </c>
      <c r="N8">
        <v>5</v>
      </c>
      <c r="O8">
        <v>1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26</v>
      </c>
    </row>
    <row r="9" spans="1:22" x14ac:dyDescent="0.4">
      <c r="A9" s="14">
        <v>2</v>
      </c>
      <c r="B9" s="14">
        <v>1</v>
      </c>
      <c r="C9" s="11" t="s">
        <v>1035</v>
      </c>
      <c r="D9" s="29" t="str">
        <f t="shared" si="0"/>
        <v>2022/02</v>
      </c>
      <c r="E9" s="28" t="str">
        <f t="shared" si="1"/>
        <v>31A</v>
      </c>
      <c r="F9" s="28">
        <v>9</v>
      </c>
      <c r="G9" s="28" t="s">
        <v>234</v>
      </c>
      <c r="H9" s="28"/>
      <c r="I9" s="26" t="s">
        <v>1155</v>
      </c>
      <c r="J9">
        <v>0</v>
      </c>
      <c r="K9">
        <v>5</v>
      </c>
      <c r="L9">
        <v>10</v>
      </c>
      <c r="M9">
        <v>5</v>
      </c>
      <c r="N9">
        <v>6</v>
      </c>
      <c r="O9">
        <v>1</v>
      </c>
      <c r="P9">
        <v>1</v>
      </c>
      <c r="Q9">
        <v>2</v>
      </c>
      <c r="R9">
        <v>0</v>
      </c>
      <c r="S9">
        <v>0</v>
      </c>
      <c r="T9">
        <v>0</v>
      </c>
      <c r="U9">
        <v>0</v>
      </c>
      <c r="V9">
        <v>30</v>
      </c>
    </row>
    <row r="10" spans="1:22" x14ac:dyDescent="0.4">
      <c r="A10" s="14">
        <v>3</v>
      </c>
      <c r="B10" s="14">
        <v>1</v>
      </c>
      <c r="C10" s="11" t="s">
        <v>1035</v>
      </c>
      <c r="D10" s="29" t="str">
        <f t="shared" si="0"/>
        <v>2022/02</v>
      </c>
      <c r="E10" s="28" t="str">
        <f t="shared" si="1"/>
        <v>31A</v>
      </c>
      <c r="F10" s="28">
        <v>10</v>
      </c>
      <c r="G10" s="28" t="s">
        <v>234</v>
      </c>
      <c r="H10" s="28"/>
      <c r="I10" s="26" t="s">
        <v>1156</v>
      </c>
      <c r="J10">
        <v>0</v>
      </c>
      <c r="K10">
        <v>5</v>
      </c>
      <c r="L10">
        <v>11</v>
      </c>
      <c r="M10">
        <v>6</v>
      </c>
      <c r="N10">
        <v>6</v>
      </c>
      <c r="O10">
        <v>1</v>
      </c>
      <c r="P10">
        <v>2</v>
      </c>
      <c r="Q10">
        <v>2</v>
      </c>
      <c r="R10">
        <v>0</v>
      </c>
      <c r="S10">
        <v>0</v>
      </c>
      <c r="T10">
        <v>0</v>
      </c>
      <c r="U10">
        <v>0</v>
      </c>
      <c r="V10">
        <v>33</v>
      </c>
    </row>
    <row r="11" spans="1:22" x14ac:dyDescent="0.4">
      <c r="A11" s="14">
        <v>4</v>
      </c>
      <c r="B11" s="14">
        <v>1</v>
      </c>
      <c r="C11" s="11" t="s">
        <v>1035</v>
      </c>
      <c r="D11" s="29" t="str">
        <f t="shared" si="0"/>
        <v>2022/02</v>
      </c>
      <c r="E11" s="28" t="str">
        <f t="shared" si="1"/>
        <v>31A</v>
      </c>
      <c r="F11" s="28">
        <v>11</v>
      </c>
      <c r="G11" s="28" t="s">
        <v>234</v>
      </c>
      <c r="H11" s="28"/>
      <c r="I11" s="26" t="s">
        <v>1157</v>
      </c>
      <c r="J11">
        <v>0</v>
      </c>
      <c r="K11">
        <v>5</v>
      </c>
      <c r="L11">
        <v>12</v>
      </c>
      <c r="M11">
        <v>7</v>
      </c>
      <c r="N11">
        <v>6</v>
      </c>
      <c r="O11">
        <v>1</v>
      </c>
      <c r="P11">
        <v>2</v>
      </c>
      <c r="Q11">
        <v>2</v>
      </c>
      <c r="R11">
        <v>2</v>
      </c>
      <c r="S11">
        <v>0</v>
      </c>
      <c r="T11">
        <v>0</v>
      </c>
      <c r="U11">
        <v>0</v>
      </c>
      <c r="V11">
        <v>37</v>
      </c>
    </row>
    <row r="12" spans="1:22" x14ac:dyDescent="0.4">
      <c r="A12" s="14">
        <v>5</v>
      </c>
      <c r="B12" s="14">
        <v>1</v>
      </c>
      <c r="C12" s="11" t="s">
        <v>1035</v>
      </c>
      <c r="D12" s="29" t="str">
        <f t="shared" si="0"/>
        <v>2022/02</v>
      </c>
      <c r="E12" s="28" t="str">
        <f t="shared" si="1"/>
        <v>31A</v>
      </c>
      <c r="F12" s="28">
        <v>12</v>
      </c>
      <c r="G12" s="28" t="s">
        <v>234</v>
      </c>
      <c r="H12" s="28"/>
      <c r="I12" s="26" t="s">
        <v>1158</v>
      </c>
      <c r="J12">
        <v>0</v>
      </c>
      <c r="K12">
        <v>7</v>
      </c>
      <c r="L12">
        <v>12</v>
      </c>
      <c r="M12">
        <v>7</v>
      </c>
      <c r="N12">
        <v>6</v>
      </c>
      <c r="O12">
        <v>1</v>
      </c>
      <c r="P12">
        <v>2</v>
      </c>
      <c r="Q12">
        <v>4</v>
      </c>
      <c r="R12">
        <v>2</v>
      </c>
      <c r="S12">
        <v>0</v>
      </c>
      <c r="T12">
        <v>0</v>
      </c>
      <c r="U12">
        <v>0</v>
      </c>
      <c r="V12">
        <v>41</v>
      </c>
    </row>
    <row r="13" spans="1:22" x14ac:dyDescent="0.4">
      <c r="A13" s="14">
        <v>6</v>
      </c>
      <c r="B13" s="14">
        <v>1</v>
      </c>
      <c r="C13" s="11" t="s">
        <v>1035</v>
      </c>
      <c r="D13" s="29" t="str">
        <f t="shared" si="0"/>
        <v>2022/02</v>
      </c>
      <c r="E13" s="28" t="str">
        <f t="shared" si="1"/>
        <v>31A</v>
      </c>
      <c r="F13" s="28">
        <v>13</v>
      </c>
      <c r="G13" s="28" t="s">
        <v>180</v>
      </c>
      <c r="H13" s="28"/>
      <c r="I13" s="26" t="s">
        <v>1159</v>
      </c>
      <c r="J13">
        <v>0</v>
      </c>
      <c r="K13">
        <v>7</v>
      </c>
      <c r="L13">
        <v>12</v>
      </c>
      <c r="M13">
        <v>9</v>
      </c>
      <c r="N13">
        <v>6</v>
      </c>
      <c r="O13">
        <v>3</v>
      </c>
      <c r="P13">
        <v>2</v>
      </c>
      <c r="Q13">
        <v>4</v>
      </c>
      <c r="R13">
        <v>2</v>
      </c>
      <c r="S13">
        <v>0</v>
      </c>
      <c r="T13">
        <v>0</v>
      </c>
      <c r="U13">
        <v>0</v>
      </c>
      <c r="V13">
        <v>45</v>
      </c>
    </row>
    <row r="14" spans="1:22" x14ac:dyDescent="0.4">
      <c r="A14" s="14">
        <v>10</v>
      </c>
      <c r="B14" s="14">
        <v>1</v>
      </c>
      <c r="C14" s="11" t="s">
        <v>1035</v>
      </c>
      <c r="D14" s="29" t="str">
        <f t="shared" si="0"/>
        <v>2022/02</v>
      </c>
      <c r="E14" s="28" t="str">
        <f t="shared" si="1"/>
        <v>31B</v>
      </c>
      <c r="F14" s="28">
        <v>14</v>
      </c>
      <c r="G14" s="28" t="s">
        <v>180</v>
      </c>
      <c r="H14" s="28"/>
      <c r="I14" s="26" t="s">
        <v>1160</v>
      </c>
      <c r="J14">
        <v>0</v>
      </c>
      <c r="K14">
        <v>7</v>
      </c>
      <c r="L14">
        <v>12</v>
      </c>
      <c r="M14">
        <v>9</v>
      </c>
      <c r="N14">
        <v>6</v>
      </c>
      <c r="O14">
        <v>3</v>
      </c>
      <c r="P14">
        <v>4</v>
      </c>
      <c r="Q14">
        <v>6</v>
      </c>
      <c r="R14">
        <v>2</v>
      </c>
      <c r="S14">
        <v>0</v>
      </c>
      <c r="T14">
        <v>0</v>
      </c>
      <c r="U14">
        <v>0</v>
      </c>
      <c r="V14">
        <v>49</v>
      </c>
    </row>
    <row r="15" spans="1:22" x14ac:dyDescent="0.4">
      <c r="A15" s="14">
        <v>12</v>
      </c>
      <c r="B15" s="14">
        <v>1</v>
      </c>
      <c r="C15" s="11" t="s">
        <v>1035</v>
      </c>
      <c r="D15" s="29" t="str">
        <f t="shared" si="0"/>
        <v>2022/02</v>
      </c>
      <c r="E15" s="28" t="str">
        <f t="shared" si="1"/>
        <v>31B</v>
      </c>
      <c r="F15" s="28">
        <v>15</v>
      </c>
      <c r="G15" s="28" t="s">
        <v>180</v>
      </c>
      <c r="H15" s="28"/>
      <c r="I15" s="26" t="s">
        <v>1161</v>
      </c>
      <c r="J15">
        <v>0</v>
      </c>
      <c r="K15">
        <v>7</v>
      </c>
      <c r="L15">
        <v>13</v>
      </c>
      <c r="M15">
        <v>9</v>
      </c>
      <c r="N15">
        <v>8</v>
      </c>
      <c r="O15">
        <v>3</v>
      </c>
      <c r="P15">
        <v>4</v>
      </c>
      <c r="Q15">
        <v>6</v>
      </c>
      <c r="R15">
        <v>2</v>
      </c>
      <c r="S15">
        <v>0</v>
      </c>
      <c r="T15">
        <v>0</v>
      </c>
      <c r="U15">
        <v>0</v>
      </c>
      <c r="V15">
        <v>52</v>
      </c>
    </row>
    <row r="16" spans="1:22" x14ac:dyDescent="0.4">
      <c r="A16" s="14">
        <v>14</v>
      </c>
      <c r="B16" s="14">
        <v>1</v>
      </c>
      <c r="C16" s="11" t="s">
        <v>1035</v>
      </c>
      <c r="D16" s="29" t="str">
        <f t="shared" si="0"/>
        <v>2022/02</v>
      </c>
      <c r="E16" s="28" t="str">
        <f t="shared" si="1"/>
        <v>31C</v>
      </c>
      <c r="F16" s="28">
        <v>16</v>
      </c>
      <c r="G16" s="28" t="s">
        <v>180</v>
      </c>
      <c r="H16" s="28"/>
      <c r="I16" s="26" t="s">
        <v>1162</v>
      </c>
      <c r="J16">
        <v>0</v>
      </c>
      <c r="K16">
        <v>7</v>
      </c>
      <c r="L16">
        <v>13</v>
      </c>
      <c r="M16">
        <v>9</v>
      </c>
      <c r="N16">
        <v>9</v>
      </c>
      <c r="O16">
        <v>3</v>
      </c>
      <c r="P16">
        <v>4</v>
      </c>
      <c r="Q16">
        <v>6</v>
      </c>
      <c r="R16">
        <v>4</v>
      </c>
      <c r="S16">
        <v>0</v>
      </c>
      <c r="T16">
        <v>0</v>
      </c>
      <c r="U16">
        <v>0</v>
      </c>
      <c r="V16">
        <v>55</v>
      </c>
    </row>
    <row r="17" spans="1:22" x14ac:dyDescent="0.4">
      <c r="A17" s="14">
        <v>15</v>
      </c>
      <c r="B17" s="14">
        <v>1</v>
      </c>
      <c r="C17" s="11" t="s">
        <v>1035</v>
      </c>
      <c r="D17" s="29" t="str">
        <f t="shared" si="0"/>
        <v>2022/02</v>
      </c>
      <c r="E17" s="28" t="str">
        <f t="shared" si="1"/>
        <v>31C</v>
      </c>
      <c r="F17" s="28">
        <v>17</v>
      </c>
      <c r="G17" s="28" t="s">
        <v>180</v>
      </c>
      <c r="H17" s="28"/>
      <c r="I17" s="26" t="s">
        <v>1163</v>
      </c>
      <c r="J17">
        <v>0</v>
      </c>
      <c r="K17">
        <v>7</v>
      </c>
      <c r="L17">
        <v>15</v>
      </c>
      <c r="M17">
        <v>9</v>
      </c>
      <c r="N17">
        <v>9</v>
      </c>
      <c r="O17">
        <v>3</v>
      </c>
      <c r="P17">
        <v>4</v>
      </c>
      <c r="Q17">
        <v>6</v>
      </c>
      <c r="R17">
        <v>4</v>
      </c>
      <c r="S17">
        <v>2</v>
      </c>
      <c r="T17">
        <v>0</v>
      </c>
      <c r="U17">
        <v>0</v>
      </c>
      <c r="V17">
        <v>59</v>
      </c>
    </row>
    <row r="18" spans="1:22" x14ac:dyDescent="0.4">
      <c r="A18" s="14">
        <v>16</v>
      </c>
      <c r="B18" s="14">
        <v>1</v>
      </c>
      <c r="C18" s="11" t="s">
        <v>1035</v>
      </c>
      <c r="D18" s="29" t="str">
        <f t="shared" si="0"/>
        <v>2022/02</v>
      </c>
      <c r="E18" s="28" t="str">
        <f t="shared" si="1"/>
        <v>31C</v>
      </c>
      <c r="F18" s="28">
        <v>18</v>
      </c>
      <c r="G18" s="28" t="s">
        <v>180</v>
      </c>
      <c r="H18" s="28"/>
      <c r="I18" s="26" t="s">
        <v>1164</v>
      </c>
      <c r="J18">
        <v>0</v>
      </c>
      <c r="K18">
        <v>8</v>
      </c>
      <c r="L18">
        <v>15</v>
      </c>
      <c r="M18">
        <v>9</v>
      </c>
      <c r="N18">
        <v>9</v>
      </c>
      <c r="O18">
        <v>4</v>
      </c>
      <c r="P18">
        <v>6</v>
      </c>
      <c r="Q18">
        <v>6</v>
      </c>
      <c r="R18">
        <v>4</v>
      </c>
      <c r="S18">
        <v>2</v>
      </c>
      <c r="T18">
        <v>0</v>
      </c>
      <c r="U18">
        <v>0</v>
      </c>
      <c r="V18">
        <v>63</v>
      </c>
    </row>
    <row r="19" spans="1:22" x14ac:dyDescent="0.4">
      <c r="A19" s="14">
        <v>46</v>
      </c>
      <c r="B19" s="14">
        <v>1</v>
      </c>
      <c r="C19" s="11" t="s">
        <v>1035</v>
      </c>
      <c r="D19" s="29" t="str">
        <f t="shared" si="0"/>
        <v>2022/02</v>
      </c>
      <c r="E19" s="28" t="str">
        <f t="shared" si="1"/>
        <v>30G</v>
      </c>
      <c r="F19" s="28">
        <v>19</v>
      </c>
      <c r="G19" s="28" t="s">
        <v>220</v>
      </c>
      <c r="H19" s="28"/>
      <c r="I19" s="26" t="s">
        <v>1165</v>
      </c>
      <c r="J19">
        <v>0</v>
      </c>
      <c r="K19">
        <v>9</v>
      </c>
      <c r="L19">
        <v>16</v>
      </c>
      <c r="M19">
        <v>9</v>
      </c>
      <c r="N19">
        <v>11</v>
      </c>
      <c r="O19">
        <v>4</v>
      </c>
      <c r="P19">
        <v>6</v>
      </c>
      <c r="Q19">
        <v>6</v>
      </c>
      <c r="R19">
        <v>4</v>
      </c>
      <c r="S19">
        <v>2</v>
      </c>
      <c r="T19">
        <v>0</v>
      </c>
      <c r="U19">
        <v>0</v>
      </c>
      <c r="V19">
        <v>67</v>
      </c>
    </row>
    <row r="20" spans="1:22" x14ac:dyDescent="0.4">
      <c r="A20" s="14">
        <v>18</v>
      </c>
      <c r="B20" s="14">
        <v>1</v>
      </c>
      <c r="C20" s="11" t="s">
        <v>1036</v>
      </c>
      <c r="D20" s="29" t="str">
        <f t="shared" si="0"/>
        <v>2022/02</v>
      </c>
      <c r="E20" s="28" t="str">
        <f t="shared" si="1"/>
        <v>31C</v>
      </c>
      <c r="F20" s="28">
        <v>20</v>
      </c>
      <c r="G20" s="28" t="s">
        <v>220</v>
      </c>
      <c r="H20" s="28"/>
      <c r="I20" s="26" t="s">
        <v>1166</v>
      </c>
      <c r="J20">
        <v>0</v>
      </c>
      <c r="K20">
        <v>10</v>
      </c>
      <c r="L20">
        <v>16</v>
      </c>
      <c r="M20">
        <v>11</v>
      </c>
      <c r="N20">
        <v>11</v>
      </c>
      <c r="O20">
        <v>5</v>
      </c>
      <c r="P20">
        <v>6</v>
      </c>
      <c r="Q20">
        <v>6</v>
      </c>
      <c r="R20">
        <v>4</v>
      </c>
      <c r="S20">
        <v>2</v>
      </c>
      <c r="T20">
        <v>0</v>
      </c>
      <c r="U20">
        <v>0</v>
      </c>
      <c r="V20">
        <v>71</v>
      </c>
    </row>
    <row r="21" spans="1:22" x14ac:dyDescent="0.4">
      <c r="A21" s="14">
        <v>13</v>
      </c>
      <c r="B21" s="14">
        <v>1</v>
      </c>
      <c r="C21" s="11" t="s">
        <v>1037</v>
      </c>
      <c r="D21" s="29" t="str">
        <f t="shared" si="0"/>
        <v>2022/02</v>
      </c>
      <c r="E21" s="28" t="str">
        <f t="shared" si="1"/>
        <v>31C</v>
      </c>
      <c r="F21" s="28">
        <v>21</v>
      </c>
      <c r="G21" s="28" t="s">
        <v>220</v>
      </c>
      <c r="H21" s="28"/>
      <c r="I21" s="26" t="s">
        <v>1167</v>
      </c>
      <c r="J21">
        <v>0</v>
      </c>
      <c r="K21">
        <v>10</v>
      </c>
      <c r="L21">
        <v>16</v>
      </c>
      <c r="M21">
        <v>11</v>
      </c>
      <c r="N21">
        <v>13</v>
      </c>
      <c r="O21">
        <v>6</v>
      </c>
      <c r="P21">
        <v>7</v>
      </c>
      <c r="Q21">
        <v>6</v>
      </c>
      <c r="R21">
        <v>6</v>
      </c>
      <c r="S21">
        <v>2</v>
      </c>
      <c r="T21">
        <v>0</v>
      </c>
      <c r="U21">
        <v>0</v>
      </c>
      <c r="V21">
        <v>77</v>
      </c>
    </row>
    <row r="22" spans="1:22" x14ac:dyDescent="0.4">
      <c r="A22" s="14">
        <v>3</v>
      </c>
      <c r="B22" s="14">
        <v>1</v>
      </c>
      <c r="C22" s="11" t="s">
        <v>1038</v>
      </c>
      <c r="D22" s="29" t="str">
        <f t="shared" si="0"/>
        <v>2022/02</v>
      </c>
      <c r="E22" s="28" t="str">
        <f t="shared" si="1"/>
        <v>31A</v>
      </c>
      <c r="F22" s="28">
        <v>22</v>
      </c>
      <c r="G22" s="28" t="s">
        <v>220</v>
      </c>
      <c r="H22" s="28"/>
      <c r="I22" s="26" t="s">
        <v>1168</v>
      </c>
      <c r="J22">
        <v>0</v>
      </c>
      <c r="K22">
        <v>10</v>
      </c>
      <c r="L22">
        <v>16</v>
      </c>
      <c r="M22">
        <v>11</v>
      </c>
      <c r="N22">
        <v>13</v>
      </c>
      <c r="O22">
        <v>7</v>
      </c>
      <c r="P22">
        <v>7</v>
      </c>
      <c r="Q22">
        <v>6</v>
      </c>
      <c r="R22">
        <v>6</v>
      </c>
      <c r="S22">
        <v>2</v>
      </c>
      <c r="T22">
        <v>0</v>
      </c>
      <c r="U22">
        <v>0</v>
      </c>
      <c r="V22">
        <v>78</v>
      </c>
    </row>
    <row r="23" spans="1:22" x14ac:dyDescent="0.4">
      <c r="A23" s="14">
        <v>44</v>
      </c>
      <c r="B23" s="14">
        <v>1</v>
      </c>
      <c r="C23" s="11" t="s">
        <v>1038</v>
      </c>
      <c r="D23" s="29" t="str">
        <f t="shared" si="0"/>
        <v>2022/02</v>
      </c>
      <c r="E23" s="28" t="str">
        <f t="shared" si="1"/>
        <v>30G</v>
      </c>
      <c r="F23" s="28">
        <v>23</v>
      </c>
      <c r="G23" s="28" t="s">
        <v>220</v>
      </c>
      <c r="H23" s="28"/>
      <c r="I23" s="26" t="s">
        <v>1169</v>
      </c>
      <c r="J23">
        <v>0</v>
      </c>
      <c r="K23">
        <v>11</v>
      </c>
      <c r="L23">
        <v>19</v>
      </c>
      <c r="M23">
        <v>11</v>
      </c>
      <c r="N23">
        <v>13</v>
      </c>
      <c r="O23">
        <v>7</v>
      </c>
      <c r="P23">
        <v>7</v>
      </c>
      <c r="Q23">
        <v>7</v>
      </c>
      <c r="R23">
        <v>6</v>
      </c>
      <c r="S23">
        <v>2</v>
      </c>
      <c r="T23">
        <v>0</v>
      </c>
      <c r="U23">
        <v>0</v>
      </c>
      <c r="V23">
        <v>83</v>
      </c>
    </row>
    <row r="24" spans="1:22" x14ac:dyDescent="0.4">
      <c r="A24" s="14">
        <v>8</v>
      </c>
      <c r="B24" s="14">
        <v>1</v>
      </c>
      <c r="C24" s="11" t="s">
        <v>1039</v>
      </c>
      <c r="D24" s="29" t="str">
        <f t="shared" si="0"/>
        <v>2022/03</v>
      </c>
      <c r="E24" s="28" t="str">
        <f t="shared" si="1"/>
        <v>31B</v>
      </c>
      <c r="F24" s="28">
        <v>24</v>
      </c>
      <c r="G24" s="28" t="s">
        <v>220</v>
      </c>
      <c r="H24" s="28"/>
      <c r="I24" s="26" t="s">
        <v>1170</v>
      </c>
      <c r="J24">
        <v>0</v>
      </c>
      <c r="K24">
        <v>12</v>
      </c>
      <c r="L24">
        <v>20</v>
      </c>
      <c r="M24">
        <v>11</v>
      </c>
      <c r="N24">
        <v>13</v>
      </c>
      <c r="O24">
        <v>7</v>
      </c>
      <c r="P24">
        <v>7</v>
      </c>
      <c r="Q24">
        <v>8</v>
      </c>
      <c r="R24">
        <v>6</v>
      </c>
      <c r="S24">
        <v>2</v>
      </c>
      <c r="T24">
        <v>0</v>
      </c>
      <c r="U24">
        <v>0</v>
      </c>
      <c r="V24">
        <v>86</v>
      </c>
    </row>
    <row r="25" spans="1:22" x14ac:dyDescent="0.4">
      <c r="A25" s="14">
        <v>9</v>
      </c>
      <c r="B25" s="14">
        <v>1</v>
      </c>
      <c r="C25" s="11" t="s">
        <v>1039</v>
      </c>
      <c r="D25" s="29" t="str">
        <f t="shared" si="0"/>
        <v>2022/03</v>
      </c>
      <c r="E25" s="28" t="str">
        <f t="shared" si="1"/>
        <v>31B</v>
      </c>
      <c r="F25" s="28">
        <v>25</v>
      </c>
      <c r="G25" s="28" t="s">
        <v>236</v>
      </c>
      <c r="H25" s="28"/>
      <c r="I25" s="26" t="s">
        <v>1171</v>
      </c>
      <c r="J25">
        <v>0</v>
      </c>
      <c r="K25">
        <v>12</v>
      </c>
      <c r="L25">
        <v>20</v>
      </c>
      <c r="M25">
        <v>11</v>
      </c>
      <c r="N25">
        <v>14</v>
      </c>
      <c r="O25">
        <v>7</v>
      </c>
      <c r="P25">
        <v>9</v>
      </c>
      <c r="Q25">
        <v>8</v>
      </c>
      <c r="R25">
        <v>7</v>
      </c>
      <c r="S25">
        <v>2</v>
      </c>
      <c r="T25">
        <v>0</v>
      </c>
      <c r="U25">
        <v>0</v>
      </c>
      <c r="V25">
        <v>90</v>
      </c>
    </row>
    <row r="26" spans="1:22" x14ac:dyDescent="0.4">
      <c r="A26" s="14">
        <v>6</v>
      </c>
      <c r="B26" s="14">
        <v>1</v>
      </c>
      <c r="C26" s="11" t="s">
        <v>1040</v>
      </c>
      <c r="D26" s="29" t="str">
        <f t="shared" si="0"/>
        <v>2022/03</v>
      </c>
      <c r="E26" s="28" t="str">
        <f t="shared" si="1"/>
        <v>31A</v>
      </c>
      <c r="F26" s="28">
        <v>26</v>
      </c>
      <c r="G26" s="28" t="s">
        <v>236</v>
      </c>
      <c r="H26" s="28"/>
      <c r="I26" s="26" t="s">
        <v>1172</v>
      </c>
      <c r="J26">
        <v>0</v>
      </c>
      <c r="K26">
        <v>14</v>
      </c>
      <c r="L26">
        <v>20</v>
      </c>
      <c r="M26">
        <v>11</v>
      </c>
      <c r="N26">
        <v>14</v>
      </c>
      <c r="O26">
        <v>7</v>
      </c>
      <c r="P26">
        <v>9</v>
      </c>
      <c r="Q26">
        <v>8</v>
      </c>
      <c r="R26">
        <v>9</v>
      </c>
      <c r="S26">
        <v>2</v>
      </c>
      <c r="T26">
        <v>0</v>
      </c>
      <c r="U26">
        <v>0</v>
      </c>
      <c r="V26">
        <v>94</v>
      </c>
    </row>
    <row r="27" spans="1:22" x14ac:dyDescent="0.4">
      <c r="A27" s="14">
        <v>19</v>
      </c>
      <c r="B27" s="14">
        <v>1</v>
      </c>
      <c r="C27" s="11" t="s">
        <v>1041</v>
      </c>
      <c r="D27" s="29" t="str">
        <f t="shared" si="0"/>
        <v>2022/03</v>
      </c>
      <c r="E27" s="28" t="str">
        <f t="shared" si="1"/>
        <v>31D</v>
      </c>
      <c r="F27" s="28">
        <v>27</v>
      </c>
      <c r="G27" s="28" t="s">
        <v>236</v>
      </c>
      <c r="H27" s="28"/>
      <c r="I27" s="26" t="s">
        <v>1173</v>
      </c>
      <c r="J27">
        <v>0</v>
      </c>
      <c r="K27">
        <v>14</v>
      </c>
      <c r="L27">
        <v>22</v>
      </c>
      <c r="M27">
        <v>13</v>
      </c>
      <c r="N27">
        <v>14</v>
      </c>
      <c r="O27">
        <v>9</v>
      </c>
      <c r="P27">
        <v>9</v>
      </c>
      <c r="Q27">
        <v>8</v>
      </c>
      <c r="R27">
        <v>9</v>
      </c>
      <c r="S27">
        <v>2</v>
      </c>
      <c r="T27">
        <v>0</v>
      </c>
      <c r="U27">
        <v>0</v>
      </c>
      <c r="V27">
        <v>100</v>
      </c>
    </row>
    <row r="28" spans="1:22" x14ac:dyDescent="0.4">
      <c r="A28" s="14">
        <v>43</v>
      </c>
      <c r="B28" s="14">
        <v>1</v>
      </c>
      <c r="C28" s="11" t="s">
        <v>1042</v>
      </c>
      <c r="D28" s="29" t="str">
        <f t="shared" si="0"/>
        <v>2022/04</v>
      </c>
      <c r="E28" s="28" t="str">
        <f t="shared" si="1"/>
        <v>30G</v>
      </c>
      <c r="F28" s="28">
        <v>28</v>
      </c>
      <c r="G28" s="28" t="s">
        <v>236</v>
      </c>
      <c r="H28" s="28"/>
      <c r="I28" s="26" t="s">
        <v>1174</v>
      </c>
      <c r="J28">
        <v>0</v>
      </c>
      <c r="K28">
        <v>14</v>
      </c>
      <c r="L28">
        <v>22</v>
      </c>
      <c r="M28">
        <v>13</v>
      </c>
      <c r="N28">
        <v>14</v>
      </c>
      <c r="O28">
        <v>9</v>
      </c>
      <c r="P28">
        <v>11</v>
      </c>
      <c r="Q28">
        <v>8</v>
      </c>
      <c r="R28">
        <v>9</v>
      </c>
      <c r="S28">
        <v>3</v>
      </c>
      <c r="T28">
        <v>0</v>
      </c>
      <c r="U28">
        <v>0</v>
      </c>
      <c r="V28">
        <v>103</v>
      </c>
    </row>
    <row r="29" spans="1:22" x14ac:dyDescent="0.4">
      <c r="A29" s="14">
        <v>1</v>
      </c>
      <c r="B29" s="14">
        <v>1</v>
      </c>
      <c r="C29" s="11" t="s">
        <v>1043</v>
      </c>
      <c r="D29" s="29" t="str">
        <f t="shared" si="0"/>
        <v>2022/04</v>
      </c>
      <c r="E29" s="28" t="str">
        <f t="shared" si="1"/>
        <v>31A</v>
      </c>
      <c r="F29" s="28">
        <v>29</v>
      </c>
      <c r="G29" s="28" t="s">
        <v>236</v>
      </c>
      <c r="H29" s="28"/>
      <c r="I29" s="26" t="s">
        <v>1175</v>
      </c>
      <c r="J29">
        <v>0</v>
      </c>
      <c r="K29">
        <v>14</v>
      </c>
      <c r="L29">
        <v>24</v>
      </c>
      <c r="M29">
        <v>13</v>
      </c>
      <c r="N29">
        <v>15</v>
      </c>
      <c r="O29">
        <v>9</v>
      </c>
      <c r="P29">
        <v>11</v>
      </c>
      <c r="Q29">
        <v>8</v>
      </c>
      <c r="R29">
        <v>9</v>
      </c>
      <c r="S29">
        <v>5</v>
      </c>
      <c r="T29">
        <v>0</v>
      </c>
      <c r="U29">
        <v>0</v>
      </c>
      <c r="V29">
        <v>108</v>
      </c>
    </row>
    <row r="30" spans="1:22" x14ac:dyDescent="0.4">
      <c r="A30" s="14">
        <v>48</v>
      </c>
      <c r="B30" s="14">
        <v>1</v>
      </c>
      <c r="C30" s="11" t="s">
        <v>1043</v>
      </c>
      <c r="D30" s="29" t="str">
        <f t="shared" si="0"/>
        <v>2022/04</v>
      </c>
      <c r="E30" s="28" t="str">
        <f t="shared" si="1"/>
        <v>30G</v>
      </c>
      <c r="F30" s="28">
        <v>30</v>
      </c>
      <c r="G30" s="28" t="s">
        <v>236</v>
      </c>
      <c r="H30" s="28"/>
      <c r="I30" s="26" t="s">
        <v>1176</v>
      </c>
      <c r="J30">
        <v>0</v>
      </c>
      <c r="K30">
        <v>14</v>
      </c>
      <c r="L30">
        <v>24</v>
      </c>
      <c r="M30">
        <v>14</v>
      </c>
      <c r="N30">
        <v>17</v>
      </c>
      <c r="O30">
        <v>9</v>
      </c>
      <c r="P30">
        <v>11</v>
      </c>
      <c r="Q30">
        <v>8</v>
      </c>
      <c r="R30">
        <v>9</v>
      </c>
      <c r="S30">
        <v>5</v>
      </c>
      <c r="T30">
        <v>0</v>
      </c>
      <c r="U30">
        <v>0</v>
      </c>
      <c r="V30">
        <v>111</v>
      </c>
    </row>
    <row r="31" spans="1:22" x14ac:dyDescent="0.4">
      <c r="A31" s="14">
        <v>47</v>
      </c>
      <c r="B31" s="14">
        <v>1</v>
      </c>
      <c r="C31" s="11" t="s">
        <v>1044</v>
      </c>
      <c r="D31" s="29" t="str">
        <f t="shared" si="0"/>
        <v>2022/05</v>
      </c>
      <c r="E31" s="28" t="str">
        <f t="shared" si="1"/>
        <v>30G</v>
      </c>
      <c r="F31" s="28">
        <v>31</v>
      </c>
      <c r="G31" s="28" t="s">
        <v>303</v>
      </c>
      <c r="H31" s="28"/>
      <c r="I31" s="26" t="s">
        <v>1177</v>
      </c>
      <c r="J31">
        <v>0</v>
      </c>
      <c r="K31">
        <v>16</v>
      </c>
      <c r="L31">
        <v>25</v>
      </c>
      <c r="M31">
        <v>14</v>
      </c>
      <c r="N31">
        <v>17</v>
      </c>
      <c r="O31">
        <v>9</v>
      </c>
      <c r="P31">
        <v>11</v>
      </c>
      <c r="Q31">
        <v>8</v>
      </c>
      <c r="R31">
        <v>10</v>
      </c>
      <c r="S31">
        <v>5</v>
      </c>
      <c r="T31">
        <v>0</v>
      </c>
      <c r="U31">
        <v>0</v>
      </c>
      <c r="V31">
        <v>115</v>
      </c>
    </row>
    <row r="32" spans="1:22" x14ac:dyDescent="0.4">
      <c r="A32" s="14">
        <v>31</v>
      </c>
      <c r="B32" s="14">
        <v>1</v>
      </c>
      <c r="C32" s="11" t="s">
        <v>1045</v>
      </c>
      <c r="D32" s="29" t="str">
        <f t="shared" si="0"/>
        <v>2022/05</v>
      </c>
      <c r="E32" s="28" t="str">
        <f t="shared" si="1"/>
        <v>31F</v>
      </c>
      <c r="F32" s="28">
        <v>32</v>
      </c>
      <c r="G32" s="28" t="s">
        <v>303</v>
      </c>
      <c r="H32" s="28"/>
      <c r="I32" s="26" t="s">
        <v>1178</v>
      </c>
      <c r="J32">
        <v>0</v>
      </c>
      <c r="K32">
        <v>16</v>
      </c>
      <c r="L32">
        <v>25</v>
      </c>
      <c r="M32">
        <v>14</v>
      </c>
      <c r="N32">
        <v>17</v>
      </c>
      <c r="O32">
        <v>10</v>
      </c>
      <c r="P32">
        <v>11</v>
      </c>
      <c r="Q32">
        <v>9</v>
      </c>
      <c r="R32">
        <v>12</v>
      </c>
      <c r="S32">
        <v>5</v>
      </c>
      <c r="T32">
        <v>0</v>
      </c>
      <c r="U32">
        <v>0</v>
      </c>
      <c r="V32">
        <v>119</v>
      </c>
    </row>
    <row r="33" spans="1:22" x14ac:dyDescent="0.4">
      <c r="A33" s="14">
        <v>32</v>
      </c>
      <c r="B33" s="14">
        <v>1</v>
      </c>
      <c r="C33" s="11" t="s">
        <v>1045</v>
      </c>
      <c r="D33" s="29" t="str">
        <f t="shared" si="0"/>
        <v>2022/05</v>
      </c>
      <c r="E33" s="28" t="str">
        <f t="shared" si="1"/>
        <v>31F</v>
      </c>
      <c r="F33" s="28">
        <v>33</v>
      </c>
      <c r="G33" s="28" t="s">
        <v>303</v>
      </c>
      <c r="H33" s="28"/>
      <c r="I33" s="26" t="s">
        <v>1179</v>
      </c>
      <c r="J33">
        <v>0</v>
      </c>
      <c r="K33">
        <v>17</v>
      </c>
      <c r="L33">
        <v>25</v>
      </c>
      <c r="M33">
        <v>14</v>
      </c>
      <c r="N33">
        <v>18</v>
      </c>
      <c r="O33">
        <v>10</v>
      </c>
      <c r="P33">
        <v>11</v>
      </c>
      <c r="Q33">
        <v>9</v>
      </c>
      <c r="R33">
        <v>13</v>
      </c>
      <c r="S33">
        <v>5</v>
      </c>
      <c r="T33">
        <v>0</v>
      </c>
      <c r="U33">
        <v>0</v>
      </c>
      <c r="V33">
        <v>122</v>
      </c>
    </row>
    <row r="34" spans="1:22" x14ac:dyDescent="0.4">
      <c r="A34" s="14">
        <v>5</v>
      </c>
      <c r="B34" s="14">
        <v>1</v>
      </c>
      <c r="C34" s="11" t="s">
        <v>1046</v>
      </c>
      <c r="D34" s="29" t="str">
        <f t="shared" si="0"/>
        <v>2022/06</v>
      </c>
      <c r="E34" s="28" t="str">
        <f t="shared" si="1"/>
        <v>31A</v>
      </c>
      <c r="F34" s="28">
        <v>34</v>
      </c>
      <c r="G34" s="28" t="s">
        <v>303</v>
      </c>
      <c r="H34" s="28"/>
      <c r="I34" s="26" t="s">
        <v>1180</v>
      </c>
      <c r="J34">
        <v>0</v>
      </c>
      <c r="K34">
        <v>17</v>
      </c>
      <c r="L34">
        <v>27</v>
      </c>
      <c r="M34">
        <v>14</v>
      </c>
      <c r="N34">
        <v>20</v>
      </c>
      <c r="O34">
        <v>10</v>
      </c>
      <c r="P34">
        <v>11</v>
      </c>
      <c r="Q34">
        <v>9</v>
      </c>
      <c r="R34">
        <v>13</v>
      </c>
      <c r="S34">
        <v>5</v>
      </c>
      <c r="T34">
        <v>0</v>
      </c>
      <c r="U34">
        <v>0</v>
      </c>
      <c r="V34">
        <v>126</v>
      </c>
    </row>
    <row r="35" spans="1:22" x14ac:dyDescent="0.4">
      <c r="A35" s="14">
        <v>11</v>
      </c>
      <c r="B35" s="14">
        <v>1</v>
      </c>
      <c r="C35" s="11" t="s">
        <v>1046</v>
      </c>
      <c r="D35" s="29" t="str">
        <f t="shared" si="0"/>
        <v>2022/06</v>
      </c>
      <c r="E35" s="28" t="str">
        <f t="shared" si="1"/>
        <v>31B</v>
      </c>
      <c r="F35" s="28">
        <v>35</v>
      </c>
      <c r="G35" s="28" t="s">
        <v>303</v>
      </c>
      <c r="H35" s="28"/>
      <c r="I35" s="26" t="s">
        <v>1181</v>
      </c>
      <c r="J35">
        <v>0</v>
      </c>
      <c r="K35">
        <v>17</v>
      </c>
      <c r="L35">
        <v>27</v>
      </c>
      <c r="M35">
        <v>14</v>
      </c>
      <c r="N35">
        <v>20</v>
      </c>
      <c r="O35">
        <v>10</v>
      </c>
      <c r="P35">
        <v>11</v>
      </c>
      <c r="Q35">
        <v>11</v>
      </c>
      <c r="R35">
        <v>13</v>
      </c>
      <c r="S35">
        <v>5</v>
      </c>
      <c r="T35">
        <v>0</v>
      </c>
      <c r="U35">
        <v>0</v>
      </c>
      <c r="V35">
        <v>128</v>
      </c>
    </row>
    <row r="36" spans="1:22" x14ac:dyDescent="0.4">
      <c r="A36" s="14">
        <v>17</v>
      </c>
      <c r="B36" s="14">
        <v>1</v>
      </c>
      <c r="C36" s="11" t="s">
        <v>1047</v>
      </c>
      <c r="D36" s="29" t="str">
        <f t="shared" si="0"/>
        <v>2022/06</v>
      </c>
      <c r="E36" s="28" t="str">
        <f t="shared" si="1"/>
        <v>31C</v>
      </c>
      <c r="F36" s="28">
        <v>36</v>
      </c>
      <c r="G36" s="28" t="s">
        <v>303</v>
      </c>
      <c r="H36" s="28"/>
      <c r="I36" s="26" t="s">
        <v>1182</v>
      </c>
      <c r="J36">
        <v>0</v>
      </c>
      <c r="K36">
        <v>18</v>
      </c>
      <c r="L36">
        <v>27</v>
      </c>
      <c r="M36">
        <v>14</v>
      </c>
      <c r="N36">
        <v>20</v>
      </c>
      <c r="O36">
        <v>10</v>
      </c>
      <c r="P36">
        <v>13</v>
      </c>
      <c r="Q36">
        <v>12</v>
      </c>
      <c r="R36">
        <v>13</v>
      </c>
      <c r="S36">
        <v>5</v>
      </c>
      <c r="T36">
        <v>0</v>
      </c>
      <c r="U36">
        <v>0</v>
      </c>
      <c r="V36">
        <v>132</v>
      </c>
    </row>
    <row r="37" spans="1:22" x14ac:dyDescent="0.4">
      <c r="A37" s="14">
        <v>25</v>
      </c>
      <c r="B37" s="14">
        <v>1</v>
      </c>
      <c r="C37" s="11" t="s">
        <v>1047</v>
      </c>
      <c r="D37" s="29" t="str">
        <f t="shared" si="0"/>
        <v>2022/06</v>
      </c>
      <c r="E37" s="28" t="str">
        <f t="shared" si="1"/>
        <v>31E</v>
      </c>
      <c r="F37" s="28">
        <v>37</v>
      </c>
      <c r="G37" s="28" t="s">
        <v>181</v>
      </c>
      <c r="H37" s="28"/>
      <c r="I37" s="26" t="s">
        <v>1183</v>
      </c>
      <c r="J37">
        <v>0</v>
      </c>
      <c r="K37">
        <v>18</v>
      </c>
      <c r="L37">
        <v>28</v>
      </c>
      <c r="M37">
        <v>16</v>
      </c>
      <c r="N37">
        <v>20</v>
      </c>
      <c r="O37">
        <v>10</v>
      </c>
      <c r="P37">
        <v>13</v>
      </c>
      <c r="Q37">
        <v>12</v>
      </c>
      <c r="R37">
        <v>14</v>
      </c>
      <c r="S37">
        <v>5</v>
      </c>
      <c r="T37">
        <v>0</v>
      </c>
      <c r="U37">
        <v>0</v>
      </c>
      <c r="V37">
        <v>136</v>
      </c>
    </row>
    <row r="38" spans="1:22" x14ac:dyDescent="0.4">
      <c r="A38" s="14">
        <v>29</v>
      </c>
      <c r="B38" s="14">
        <v>1</v>
      </c>
      <c r="C38" s="11" t="s">
        <v>1048</v>
      </c>
      <c r="D38" s="29" t="str">
        <f t="shared" si="0"/>
        <v>2022/07</v>
      </c>
      <c r="E38" s="28" t="str">
        <f t="shared" si="1"/>
        <v>31E</v>
      </c>
      <c r="F38" s="28">
        <v>38</v>
      </c>
      <c r="G38" s="28" t="s">
        <v>181</v>
      </c>
      <c r="H38" s="28"/>
      <c r="I38" s="26" t="s">
        <v>1184</v>
      </c>
      <c r="J38">
        <v>0</v>
      </c>
      <c r="K38">
        <v>18</v>
      </c>
      <c r="L38">
        <v>28</v>
      </c>
      <c r="M38">
        <v>18</v>
      </c>
      <c r="N38">
        <v>20</v>
      </c>
      <c r="O38">
        <v>12</v>
      </c>
      <c r="P38">
        <v>13</v>
      </c>
      <c r="Q38">
        <v>12</v>
      </c>
      <c r="R38">
        <v>14</v>
      </c>
      <c r="S38">
        <v>5</v>
      </c>
      <c r="T38">
        <v>0</v>
      </c>
      <c r="U38">
        <v>0</v>
      </c>
      <c r="V38">
        <v>140</v>
      </c>
    </row>
    <row r="39" spans="1:22" x14ac:dyDescent="0.4">
      <c r="A39" s="14">
        <v>2</v>
      </c>
      <c r="B39" s="14">
        <v>1</v>
      </c>
      <c r="C39" s="11" t="s">
        <v>1049</v>
      </c>
      <c r="D39" s="29" t="str">
        <f t="shared" si="0"/>
        <v>2022/07</v>
      </c>
      <c r="E39" s="28" t="str">
        <f t="shared" si="1"/>
        <v>31A</v>
      </c>
      <c r="F39" s="28">
        <v>39</v>
      </c>
      <c r="G39" s="28" t="s">
        <v>181</v>
      </c>
      <c r="H39" s="28"/>
      <c r="I39" s="26" t="s">
        <v>1185</v>
      </c>
      <c r="J39">
        <v>0</v>
      </c>
      <c r="K39">
        <v>18</v>
      </c>
      <c r="L39">
        <v>29</v>
      </c>
      <c r="M39">
        <v>18</v>
      </c>
      <c r="N39">
        <v>20</v>
      </c>
      <c r="O39">
        <v>13</v>
      </c>
      <c r="P39">
        <v>13</v>
      </c>
      <c r="Q39">
        <v>13</v>
      </c>
      <c r="R39">
        <v>14</v>
      </c>
      <c r="S39">
        <v>7</v>
      </c>
      <c r="T39">
        <v>0</v>
      </c>
      <c r="U39">
        <v>0</v>
      </c>
      <c r="V39">
        <v>145</v>
      </c>
    </row>
    <row r="40" spans="1:22" x14ac:dyDescent="0.4">
      <c r="A40" s="14">
        <v>7</v>
      </c>
      <c r="B40" s="14">
        <v>1</v>
      </c>
      <c r="C40" s="11" t="s">
        <v>1049</v>
      </c>
      <c r="D40" s="29" t="str">
        <f t="shared" si="0"/>
        <v>2022/07</v>
      </c>
      <c r="E40" s="28" t="str">
        <f t="shared" si="1"/>
        <v>31B</v>
      </c>
      <c r="F40" s="28">
        <v>40</v>
      </c>
      <c r="G40" s="28" t="s">
        <v>181</v>
      </c>
      <c r="H40" s="28"/>
      <c r="I40" s="26" t="s">
        <v>1186</v>
      </c>
      <c r="J40">
        <v>0</v>
      </c>
      <c r="K40">
        <v>18</v>
      </c>
      <c r="L40">
        <v>29</v>
      </c>
      <c r="M40">
        <v>18</v>
      </c>
      <c r="N40">
        <v>20</v>
      </c>
      <c r="O40">
        <v>15</v>
      </c>
      <c r="P40">
        <v>13</v>
      </c>
      <c r="Q40">
        <v>13</v>
      </c>
      <c r="R40">
        <v>14</v>
      </c>
      <c r="S40">
        <v>7</v>
      </c>
      <c r="T40">
        <v>0</v>
      </c>
      <c r="U40">
        <v>0</v>
      </c>
      <c r="V40">
        <v>147</v>
      </c>
    </row>
    <row r="41" spans="1:22" x14ac:dyDescent="0.4">
      <c r="A41" s="14">
        <v>4</v>
      </c>
      <c r="B41" s="14">
        <v>1</v>
      </c>
      <c r="C41" s="11" t="s">
        <v>1050</v>
      </c>
      <c r="D41" s="29" t="str">
        <f t="shared" si="0"/>
        <v>2022/08</v>
      </c>
      <c r="E41" s="28" t="str">
        <f t="shared" si="1"/>
        <v>31A</v>
      </c>
      <c r="F41" s="28">
        <v>41</v>
      </c>
      <c r="G41" s="28" t="s">
        <v>181</v>
      </c>
      <c r="H41" s="28"/>
      <c r="I41" s="26" t="s">
        <v>1187</v>
      </c>
      <c r="J41">
        <v>0</v>
      </c>
      <c r="K41">
        <v>19</v>
      </c>
      <c r="L41">
        <v>31</v>
      </c>
      <c r="M41">
        <v>18</v>
      </c>
      <c r="N41">
        <v>21</v>
      </c>
      <c r="O41">
        <v>16</v>
      </c>
      <c r="P41">
        <v>13</v>
      </c>
      <c r="Q41">
        <v>13</v>
      </c>
      <c r="R41">
        <v>14</v>
      </c>
      <c r="S41">
        <v>7</v>
      </c>
      <c r="T41">
        <v>0</v>
      </c>
      <c r="U41">
        <v>1</v>
      </c>
      <c r="V41">
        <v>153</v>
      </c>
    </row>
    <row r="42" spans="1:22" x14ac:dyDescent="0.4">
      <c r="A42" s="14">
        <v>9</v>
      </c>
      <c r="B42" s="14">
        <v>1</v>
      </c>
      <c r="C42" s="11" t="s">
        <v>1050</v>
      </c>
      <c r="D42" s="29" t="str">
        <f t="shared" si="0"/>
        <v>2022/08</v>
      </c>
      <c r="E42" s="28" t="str">
        <f t="shared" si="1"/>
        <v>31B</v>
      </c>
      <c r="F42" s="28">
        <v>42</v>
      </c>
      <c r="G42" s="28" t="s">
        <v>181</v>
      </c>
      <c r="H42" s="28"/>
      <c r="I42" s="26" t="s">
        <v>1188</v>
      </c>
      <c r="J42">
        <v>0</v>
      </c>
      <c r="K42">
        <v>21</v>
      </c>
      <c r="L42">
        <v>31</v>
      </c>
      <c r="M42">
        <v>18</v>
      </c>
      <c r="N42">
        <v>21</v>
      </c>
      <c r="O42">
        <v>16</v>
      </c>
      <c r="P42">
        <v>14</v>
      </c>
      <c r="Q42">
        <v>13</v>
      </c>
      <c r="R42">
        <v>14</v>
      </c>
      <c r="S42">
        <v>7</v>
      </c>
      <c r="T42">
        <v>0</v>
      </c>
      <c r="U42">
        <v>1</v>
      </c>
      <c r="V42">
        <v>156</v>
      </c>
    </row>
    <row r="43" spans="1:22" x14ac:dyDescent="0.4">
      <c r="A43" s="14">
        <v>37</v>
      </c>
      <c r="B43" s="14">
        <v>1</v>
      </c>
      <c r="C43" s="11" t="s">
        <v>1051</v>
      </c>
      <c r="D43" s="29" t="str">
        <f t="shared" si="0"/>
        <v>2022/08</v>
      </c>
      <c r="E43" s="28" t="str">
        <f t="shared" si="1"/>
        <v>31X</v>
      </c>
      <c r="F43" s="28">
        <v>43</v>
      </c>
      <c r="G43" s="28" t="s">
        <v>189</v>
      </c>
      <c r="H43" s="28"/>
      <c r="I43" s="26" t="s">
        <v>1189</v>
      </c>
      <c r="J43">
        <v>0</v>
      </c>
      <c r="K43">
        <v>21</v>
      </c>
      <c r="L43">
        <v>31</v>
      </c>
      <c r="M43">
        <v>18</v>
      </c>
      <c r="N43">
        <v>22</v>
      </c>
      <c r="O43">
        <v>16</v>
      </c>
      <c r="P43">
        <v>14</v>
      </c>
      <c r="Q43">
        <v>13</v>
      </c>
      <c r="R43">
        <v>16</v>
      </c>
      <c r="S43">
        <v>7</v>
      </c>
      <c r="T43">
        <v>0</v>
      </c>
      <c r="U43">
        <v>1</v>
      </c>
      <c r="V43">
        <v>159</v>
      </c>
    </row>
    <row r="44" spans="1:22" x14ac:dyDescent="0.4">
      <c r="A44" s="14">
        <v>39</v>
      </c>
      <c r="B44" s="14">
        <v>1</v>
      </c>
      <c r="C44" s="11" t="s">
        <v>1051</v>
      </c>
      <c r="D44" s="29" t="str">
        <f t="shared" si="0"/>
        <v>2022/08</v>
      </c>
      <c r="E44" s="28" t="str">
        <f t="shared" si="1"/>
        <v>31X</v>
      </c>
      <c r="F44" s="28">
        <v>44</v>
      </c>
      <c r="G44" s="28" t="s">
        <v>189</v>
      </c>
      <c r="H44" s="28"/>
      <c r="I44" s="26" t="s">
        <v>1190</v>
      </c>
      <c r="J44">
        <v>0</v>
      </c>
      <c r="K44">
        <v>21</v>
      </c>
      <c r="L44">
        <v>31</v>
      </c>
      <c r="M44">
        <v>18</v>
      </c>
      <c r="N44">
        <v>24</v>
      </c>
      <c r="O44">
        <v>16</v>
      </c>
      <c r="P44">
        <v>15</v>
      </c>
      <c r="Q44">
        <v>15</v>
      </c>
      <c r="R44">
        <v>16</v>
      </c>
      <c r="S44">
        <v>7</v>
      </c>
      <c r="T44">
        <v>0</v>
      </c>
      <c r="U44">
        <v>1</v>
      </c>
      <c r="V44">
        <v>164</v>
      </c>
    </row>
    <row r="45" spans="1:22" x14ac:dyDescent="0.4">
      <c r="A45" s="14">
        <v>33</v>
      </c>
      <c r="B45" s="14">
        <v>1</v>
      </c>
      <c r="C45" s="11" t="s">
        <v>1052</v>
      </c>
      <c r="D45" s="29" t="str">
        <f t="shared" si="0"/>
        <v>2022/09</v>
      </c>
      <c r="E45" s="28" t="str">
        <f t="shared" si="1"/>
        <v>31F</v>
      </c>
      <c r="F45" s="28">
        <v>45</v>
      </c>
      <c r="G45" s="28" t="s">
        <v>189</v>
      </c>
      <c r="H45" s="28"/>
      <c r="I45" s="26" t="s">
        <v>1191</v>
      </c>
      <c r="J45">
        <v>0</v>
      </c>
      <c r="K45">
        <v>21</v>
      </c>
      <c r="L45">
        <v>31</v>
      </c>
      <c r="M45">
        <v>20</v>
      </c>
      <c r="N45">
        <v>24</v>
      </c>
      <c r="O45">
        <v>17</v>
      </c>
      <c r="P45">
        <v>15</v>
      </c>
      <c r="Q45">
        <v>15</v>
      </c>
      <c r="R45">
        <v>17</v>
      </c>
      <c r="S45">
        <v>7</v>
      </c>
      <c r="T45">
        <v>0</v>
      </c>
      <c r="U45">
        <v>1</v>
      </c>
      <c r="V45">
        <v>168</v>
      </c>
    </row>
    <row r="46" spans="1:22" x14ac:dyDescent="0.4">
      <c r="A46" s="14">
        <v>34</v>
      </c>
      <c r="B46" s="14">
        <v>1</v>
      </c>
      <c r="C46" s="11" t="s">
        <v>1052</v>
      </c>
      <c r="D46" s="29" t="str">
        <f t="shared" si="0"/>
        <v>2022/09</v>
      </c>
      <c r="E46" s="28" t="str">
        <f t="shared" si="1"/>
        <v>31F</v>
      </c>
      <c r="F46" s="28">
        <v>46</v>
      </c>
      <c r="G46" s="28" t="s">
        <v>189</v>
      </c>
      <c r="H46" s="28"/>
      <c r="I46" s="26" t="s">
        <v>1192</v>
      </c>
      <c r="J46">
        <v>0</v>
      </c>
      <c r="K46">
        <v>21</v>
      </c>
      <c r="L46">
        <v>31</v>
      </c>
      <c r="M46">
        <v>21</v>
      </c>
      <c r="N46">
        <v>24</v>
      </c>
      <c r="O46">
        <v>17</v>
      </c>
      <c r="P46">
        <v>17</v>
      </c>
      <c r="Q46">
        <v>15</v>
      </c>
      <c r="R46">
        <v>17</v>
      </c>
      <c r="S46">
        <v>7</v>
      </c>
      <c r="T46">
        <v>0</v>
      </c>
      <c r="U46">
        <v>1</v>
      </c>
      <c r="V46">
        <v>171</v>
      </c>
    </row>
    <row r="47" spans="1:22" x14ac:dyDescent="0.4">
      <c r="A47" s="14">
        <v>43</v>
      </c>
      <c r="B47" s="14">
        <v>1</v>
      </c>
      <c r="C47" s="11" t="s">
        <v>1053</v>
      </c>
      <c r="D47" s="29" t="str">
        <f t="shared" si="0"/>
        <v>2022/09</v>
      </c>
      <c r="E47" s="28" t="str">
        <f t="shared" si="1"/>
        <v>30G</v>
      </c>
      <c r="F47" s="28">
        <v>47</v>
      </c>
      <c r="G47" s="28" t="s">
        <v>189</v>
      </c>
      <c r="H47" s="28"/>
      <c r="I47" s="26" t="s">
        <v>1193</v>
      </c>
      <c r="J47">
        <v>0</v>
      </c>
      <c r="K47">
        <v>23</v>
      </c>
      <c r="L47">
        <v>33</v>
      </c>
      <c r="M47">
        <v>21</v>
      </c>
      <c r="N47">
        <v>25</v>
      </c>
      <c r="O47">
        <v>18</v>
      </c>
      <c r="P47">
        <v>17</v>
      </c>
      <c r="Q47">
        <v>15</v>
      </c>
      <c r="R47">
        <v>17</v>
      </c>
      <c r="S47">
        <v>7</v>
      </c>
      <c r="T47">
        <v>0</v>
      </c>
      <c r="U47">
        <v>1</v>
      </c>
      <c r="V47">
        <v>177</v>
      </c>
    </row>
    <row r="48" spans="1:22" x14ac:dyDescent="0.4">
      <c r="A48" s="14">
        <v>45</v>
      </c>
      <c r="B48" s="14">
        <v>1</v>
      </c>
      <c r="C48" s="11" t="s">
        <v>1053</v>
      </c>
      <c r="D48" s="29" t="str">
        <f t="shared" si="0"/>
        <v>2022/09</v>
      </c>
      <c r="E48" s="28" t="str">
        <f t="shared" si="1"/>
        <v>30G</v>
      </c>
      <c r="F48" s="28">
        <v>48</v>
      </c>
      <c r="G48" s="28" t="s">
        <v>189</v>
      </c>
      <c r="H48" s="28"/>
      <c r="I48" s="26" t="s">
        <v>1194</v>
      </c>
      <c r="J48">
        <v>0</v>
      </c>
      <c r="K48">
        <v>23</v>
      </c>
      <c r="L48">
        <v>33</v>
      </c>
      <c r="M48">
        <v>21</v>
      </c>
      <c r="N48">
        <v>25</v>
      </c>
      <c r="O48">
        <v>18</v>
      </c>
      <c r="P48">
        <v>17</v>
      </c>
      <c r="Q48">
        <v>15</v>
      </c>
      <c r="R48">
        <v>20</v>
      </c>
      <c r="S48">
        <v>7</v>
      </c>
      <c r="T48">
        <v>0</v>
      </c>
      <c r="U48">
        <v>1</v>
      </c>
      <c r="V48">
        <v>180</v>
      </c>
    </row>
    <row r="49" spans="1:22" x14ac:dyDescent="0.4">
      <c r="A49" s="14">
        <v>20</v>
      </c>
      <c r="B49" s="14">
        <v>1</v>
      </c>
      <c r="C49" s="11" t="s">
        <v>1013</v>
      </c>
      <c r="D49" s="29" t="str">
        <f t="shared" si="0"/>
        <v>2022/10</v>
      </c>
      <c r="E49" s="28" t="str">
        <f t="shared" si="1"/>
        <v>31D</v>
      </c>
      <c r="F49" s="28">
        <v>49</v>
      </c>
      <c r="G49" s="28" t="s">
        <v>996</v>
      </c>
      <c r="H49" s="28"/>
      <c r="I49" s="26" t="s">
        <v>1195</v>
      </c>
      <c r="J49">
        <v>0</v>
      </c>
      <c r="K49">
        <v>23</v>
      </c>
      <c r="L49">
        <v>35</v>
      </c>
      <c r="M49">
        <v>23</v>
      </c>
      <c r="N49">
        <v>25</v>
      </c>
      <c r="O49">
        <v>18</v>
      </c>
      <c r="P49">
        <v>19</v>
      </c>
      <c r="Q49">
        <v>15</v>
      </c>
      <c r="R49">
        <v>20</v>
      </c>
      <c r="S49">
        <v>7</v>
      </c>
      <c r="T49">
        <v>0</v>
      </c>
      <c r="U49">
        <v>1</v>
      </c>
      <c r="V49">
        <v>186</v>
      </c>
    </row>
    <row r="50" spans="1:22" x14ac:dyDescent="0.4">
      <c r="A50" s="14">
        <v>22</v>
      </c>
      <c r="B50" s="14">
        <v>1</v>
      </c>
      <c r="C50" s="11" t="s">
        <v>1013</v>
      </c>
      <c r="D50" s="29" t="str">
        <f t="shared" si="0"/>
        <v>2022/10</v>
      </c>
      <c r="E50" s="28" t="str">
        <f t="shared" si="1"/>
        <v>31D</v>
      </c>
      <c r="F50" s="28">
        <v>50</v>
      </c>
      <c r="G50" s="28" t="s">
        <v>996</v>
      </c>
      <c r="H50" s="28"/>
      <c r="I50" s="26" t="s">
        <v>1196</v>
      </c>
      <c r="J50">
        <v>0</v>
      </c>
      <c r="K50">
        <v>23</v>
      </c>
      <c r="L50">
        <v>35</v>
      </c>
      <c r="M50">
        <v>23</v>
      </c>
      <c r="N50">
        <v>26</v>
      </c>
      <c r="O50">
        <v>18</v>
      </c>
      <c r="P50">
        <v>19</v>
      </c>
      <c r="Q50">
        <v>16</v>
      </c>
      <c r="R50">
        <v>21</v>
      </c>
      <c r="S50">
        <v>7</v>
      </c>
      <c r="T50">
        <v>0</v>
      </c>
      <c r="U50">
        <v>1</v>
      </c>
      <c r="V50">
        <v>189</v>
      </c>
    </row>
    <row r="51" spans="1:22" x14ac:dyDescent="0.4">
      <c r="A51" s="14">
        <v>10</v>
      </c>
      <c r="B51" s="14">
        <v>1</v>
      </c>
      <c r="C51" s="11" t="s">
        <v>1014</v>
      </c>
      <c r="D51" s="29" t="str">
        <f t="shared" si="0"/>
        <v>2022/10</v>
      </c>
      <c r="E51" s="28" t="str">
        <f t="shared" si="1"/>
        <v>31B</v>
      </c>
      <c r="F51" s="28">
        <v>51</v>
      </c>
      <c r="G51" s="28" t="s">
        <v>996</v>
      </c>
      <c r="H51" s="28"/>
      <c r="I51" s="26" t="s">
        <v>1197</v>
      </c>
      <c r="J51">
        <v>0</v>
      </c>
      <c r="K51">
        <v>24</v>
      </c>
      <c r="L51">
        <v>36</v>
      </c>
      <c r="M51">
        <v>23</v>
      </c>
      <c r="N51">
        <v>27</v>
      </c>
      <c r="O51">
        <v>18</v>
      </c>
      <c r="P51">
        <v>19</v>
      </c>
      <c r="Q51">
        <v>16</v>
      </c>
      <c r="R51">
        <v>21</v>
      </c>
      <c r="S51">
        <v>7</v>
      </c>
      <c r="T51">
        <v>0</v>
      </c>
      <c r="U51">
        <v>1</v>
      </c>
      <c r="V51">
        <v>192</v>
      </c>
    </row>
    <row r="52" spans="1:22" x14ac:dyDescent="0.4">
      <c r="A52" s="14">
        <v>11</v>
      </c>
      <c r="B52" s="14">
        <v>1</v>
      </c>
      <c r="C52" s="11" t="s">
        <v>1014</v>
      </c>
      <c r="D52" s="29" t="str">
        <f t="shared" si="0"/>
        <v>2022/10</v>
      </c>
      <c r="E52" s="28" t="str">
        <f t="shared" si="1"/>
        <v>31B</v>
      </c>
      <c r="F52" s="28">
        <v>52</v>
      </c>
      <c r="G52" s="28" t="s">
        <v>996</v>
      </c>
      <c r="H52" s="28"/>
      <c r="I52" s="26" t="s">
        <v>1198</v>
      </c>
      <c r="J52">
        <v>0</v>
      </c>
      <c r="K52">
        <v>24</v>
      </c>
      <c r="L52">
        <v>36</v>
      </c>
      <c r="M52">
        <v>24</v>
      </c>
      <c r="N52">
        <v>27</v>
      </c>
      <c r="O52">
        <v>18</v>
      </c>
      <c r="P52">
        <v>19</v>
      </c>
      <c r="Q52">
        <v>16</v>
      </c>
      <c r="R52">
        <v>21</v>
      </c>
      <c r="S52">
        <v>7</v>
      </c>
      <c r="T52">
        <v>0</v>
      </c>
      <c r="U52">
        <v>1</v>
      </c>
      <c r="V52">
        <v>193</v>
      </c>
    </row>
    <row r="53" spans="1:22" x14ac:dyDescent="0.4">
      <c r="A53" s="14">
        <v>26</v>
      </c>
      <c r="B53" s="14">
        <v>1</v>
      </c>
      <c r="C53" s="11" t="s">
        <v>1015</v>
      </c>
      <c r="D53" s="29" t="str">
        <f t="shared" si="0"/>
        <v>2022/11</v>
      </c>
      <c r="E53" s="28" t="str">
        <f t="shared" si="1"/>
        <v>31E</v>
      </c>
      <c r="F53" s="28">
        <v>53</v>
      </c>
      <c r="G53" s="28" t="s">
        <v>996</v>
      </c>
      <c r="H53" s="28"/>
      <c r="I53" s="26" t="s">
        <v>1199</v>
      </c>
      <c r="J53">
        <v>0</v>
      </c>
      <c r="K53">
        <v>24</v>
      </c>
      <c r="L53">
        <v>37</v>
      </c>
      <c r="M53">
        <v>24</v>
      </c>
      <c r="N53">
        <v>28</v>
      </c>
      <c r="O53">
        <v>18</v>
      </c>
      <c r="P53">
        <v>19</v>
      </c>
      <c r="Q53">
        <v>16</v>
      </c>
      <c r="R53">
        <v>21</v>
      </c>
      <c r="S53">
        <v>7</v>
      </c>
      <c r="T53">
        <v>0</v>
      </c>
      <c r="U53">
        <v>3</v>
      </c>
      <c r="V53">
        <v>197</v>
      </c>
    </row>
    <row r="54" spans="1:22" x14ac:dyDescent="0.4">
      <c r="A54" s="14">
        <v>27</v>
      </c>
      <c r="B54" s="14">
        <v>1</v>
      </c>
      <c r="C54" s="11" t="s">
        <v>1015</v>
      </c>
      <c r="D54" s="29" t="str">
        <f t="shared" si="0"/>
        <v>2022/11</v>
      </c>
      <c r="E54" s="28" t="str">
        <f t="shared" si="1"/>
        <v>31E</v>
      </c>
      <c r="F54" s="28">
        <v>91</v>
      </c>
      <c r="G54" s="28" t="s">
        <v>601</v>
      </c>
      <c r="H54" s="28"/>
      <c r="I54" s="26" t="s">
        <v>1200</v>
      </c>
      <c r="J54">
        <v>0</v>
      </c>
      <c r="K54">
        <v>25</v>
      </c>
      <c r="L54">
        <v>37</v>
      </c>
      <c r="M54">
        <v>24</v>
      </c>
      <c r="N54">
        <v>28</v>
      </c>
      <c r="O54">
        <v>18</v>
      </c>
      <c r="P54">
        <v>19</v>
      </c>
      <c r="Q54">
        <v>16</v>
      </c>
      <c r="R54">
        <v>23</v>
      </c>
      <c r="S54">
        <v>7</v>
      </c>
      <c r="T54">
        <v>0</v>
      </c>
      <c r="U54">
        <v>3</v>
      </c>
      <c r="V54">
        <v>200</v>
      </c>
    </row>
    <row r="55" spans="1:22" x14ac:dyDescent="0.4">
      <c r="A55" s="14">
        <v>35</v>
      </c>
      <c r="B55" s="14">
        <v>1</v>
      </c>
      <c r="C55" s="11" t="s">
        <v>1016</v>
      </c>
      <c r="D55" s="29" t="str">
        <f t="shared" si="0"/>
        <v>2022/11</v>
      </c>
      <c r="E55" s="28" t="str">
        <f t="shared" si="1"/>
        <v>31F</v>
      </c>
      <c r="F55" s="28">
        <v>92</v>
      </c>
      <c r="G55" s="28" t="s">
        <v>601</v>
      </c>
      <c r="H55" s="28"/>
      <c r="I55" s="26" t="s">
        <v>1201</v>
      </c>
      <c r="J55">
        <v>0</v>
      </c>
      <c r="K55">
        <v>25</v>
      </c>
      <c r="L55">
        <v>37</v>
      </c>
      <c r="M55">
        <v>24</v>
      </c>
      <c r="N55">
        <v>28</v>
      </c>
      <c r="O55">
        <v>20</v>
      </c>
      <c r="P55">
        <v>19</v>
      </c>
      <c r="Q55">
        <v>18</v>
      </c>
      <c r="R55">
        <v>23</v>
      </c>
      <c r="S55">
        <v>7</v>
      </c>
      <c r="T55">
        <v>0</v>
      </c>
      <c r="U55">
        <v>3</v>
      </c>
      <c r="V55">
        <v>204</v>
      </c>
    </row>
    <row r="56" spans="1:22" x14ac:dyDescent="0.4">
      <c r="A56" s="14">
        <v>36</v>
      </c>
      <c r="B56" s="14">
        <v>1</v>
      </c>
      <c r="C56" s="11" t="s">
        <v>1016</v>
      </c>
      <c r="D56" s="29" t="str">
        <f t="shared" si="0"/>
        <v>2022/11</v>
      </c>
      <c r="E56" s="28" t="str">
        <f t="shared" si="1"/>
        <v>31F</v>
      </c>
      <c r="F56" s="28">
        <v>93</v>
      </c>
      <c r="G56" s="28" t="s">
        <v>601</v>
      </c>
      <c r="H56" s="28"/>
      <c r="I56" s="26" t="s">
        <v>1202</v>
      </c>
      <c r="J56">
        <v>0</v>
      </c>
      <c r="K56">
        <v>25</v>
      </c>
      <c r="L56">
        <v>38</v>
      </c>
      <c r="M56">
        <v>25</v>
      </c>
      <c r="N56">
        <v>28</v>
      </c>
      <c r="O56">
        <v>20</v>
      </c>
      <c r="P56">
        <v>19</v>
      </c>
      <c r="Q56">
        <v>18</v>
      </c>
      <c r="R56">
        <v>23</v>
      </c>
      <c r="S56">
        <v>7</v>
      </c>
      <c r="T56">
        <v>2</v>
      </c>
      <c r="U56">
        <v>3</v>
      </c>
      <c r="V56">
        <v>208</v>
      </c>
    </row>
    <row r="57" spans="1:22" x14ac:dyDescent="0.4">
      <c r="A57" s="14">
        <v>13</v>
      </c>
      <c r="B57" s="14">
        <v>1</v>
      </c>
      <c r="C57" s="11" t="s">
        <v>1017</v>
      </c>
      <c r="D57" s="29" t="str">
        <f t="shared" si="0"/>
        <v>2022/12</v>
      </c>
      <c r="E57" s="28" t="str">
        <f t="shared" si="1"/>
        <v>31C</v>
      </c>
      <c r="F57" s="28">
        <v>101</v>
      </c>
      <c r="G57" s="28" t="s">
        <v>1148</v>
      </c>
      <c r="H57" s="28"/>
      <c r="I57" s="26" t="s">
        <v>1203</v>
      </c>
      <c r="J57">
        <v>0</v>
      </c>
      <c r="K57">
        <v>25</v>
      </c>
      <c r="L57">
        <v>39</v>
      </c>
      <c r="M57">
        <v>25</v>
      </c>
      <c r="N57">
        <v>28</v>
      </c>
      <c r="O57">
        <v>20</v>
      </c>
      <c r="P57">
        <v>19</v>
      </c>
      <c r="Q57">
        <v>18</v>
      </c>
      <c r="R57">
        <v>25</v>
      </c>
      <c r="S57">
        <v>7</v>
      </c>
      <c r="T57">
        <v>3</v>
      </c>
      <c r="U57">
        <v>3</v>
      </c>
      <c r="V57">
        <v>212</v>
      </c>
    </row>
    <row r="58" spans="1:22" x14ac:dyDescent="0.4">
      <c r="A58" s="14">
        <v>16</v>
      </c>
      <c r="B58" s="14">
        <v>1</v>
      </c>
      <c r="C58" s="11" t="s">
        <v>1017</v>
      </c>
      <c r="D58" s="29" t="str">
        <f t="shared" si="0"/>
        <v>2022/12</v>
      </c>
      <c r="E58" s="28" t="str">
        <f t="shared" si="1"/>
        <v>31C</v>
      </c>
      <c r="F58" s="28">
        <v>102</v>
      </c>
      <c r="G58" s="28" t="s">
        <v>1148</v>
      </c>
      <c r="H58" s="28"/>
      <c r="I58" s="26" t="s">
        <v>1204</v>
      </c>
      <c r="J58">
        <v>0</v>
      </c>
      <c r="K58">
        <v>25</v>
      </c>
      <c r="L58">
        <v>39</v>
      </c>
      <c r="M58">
        <v>25</v>
      </c>
      <c r="N58">
        <v>28</v>
      </c>
      <c r="O58">
        <v>20</v>
      </c>
      <c r="P58">
        <v>21</v>
      </c>
      <c r="Q58">
        <v>19</v>
      </c>
      <c r="R58">
        <v>25</v>
      </c>
      <c r="S58">
        <v>7</v>
      </c>
      <c r="T58">
        <v>3</v>
      </c>
      <c r="U58">
        <v>3</v>
      </c>
      <c r="V58">
        <v>215</v>
      </c>
    </row>
    <row r="59" spans="1:22" x14ac:dyDescent="0.4">
      <c r="A59" s="14">
        <v>6</v>
      </c>
      <c r="B59" s="14">
        <v>1</v>
      </c>
      <c r="C59" s="11" t="s">
        <v>1018</v>
      </c>
      <c r="D59" s="29" t="str">
        <f t="shared" si="0"/>
        <v>2022/12</v>
      </c>
      <c r="E59" s="28" t="str">
        <f t="shared" si="1"/>
        <v>31A</v>
      </c>
      <c r="F59" s="28">
        <v>103</v>
      </c>
      <c r="G59" s="28" t="s">
        <v>1148</v>
      </c>
      <c r="H59" s="28"/>
      <c r="I59" s="26" t="s">
        <v>1205</v>
      </c>
      <c r="J59">
        <v>1</v>
      </c>
      <c r="K59">
        <v>25</v>
      </c>
      <c r="L59">
        <v>39</v>
      </c>
      <c r="M59">
        <v>26</v>
      </c>
      <c r="N59">
        <v>28</v>
      </c>
      <c r="O59">
        <v>20</v>
      </c>
      <c r="P59">
        <v>21</v>
      </c>
      <c r="Q59">
        <v>19</v>
      </c>
      <c r="R59">
        <v>25</v>
      </c>
      <c r="S59">
        <v>7</v>
      </c>
      <c r="T59">
        <v>3</v>
      </c>
      <c r="U59">
        <v>3</v>
      </c>
      <c r="V59">
        <v>217</v>
      </c>
    </row>
    <row r="60" spans="1:22" x14ac:dyDescent="0.4">
      <c r="A60" s="14">
        <v>14</v>
      </c>
      <c r="B60" s="14">
        <v>1</v>
      </c>
      <c r="C60" s="11" t="s">
        <v>1054</v>
      </c>
      <c r="D60" s="29" t="str">
        <f t="shared" si="0"/>
        <v>2023/01</v>
      </c>
      <c r="E60" s="28" t="str">
        <f t="shared" si="1"/>
        <v>31C</v>
      </c>
      <c r="F60" s="28">
        <v>104</v>
      </c>
      <c r="G60" s="28" t="s">
        <v>1148</v>
      </c>
      <c r="H60" s="28"/>
      <c r="I60" s="26" t="s">
        <v>1135</v>
      </c>
    </row>
    <row r="61" spans="1:22" x14ac:dyDescent="0.4">
      <c r="A61" s="14">
        <v>38</v>
      </c>
      <c r="B61" s="14">
        <v>1</v>
      </c>
      <c r="C61" s="11" t="s">
        <v>1055</v>
      </c>
      <c r="D61" s="29" t="str">
        <f t="shared" si="0"/>
        <v>2023/01</v>
      </c>
      <c r="E61" s="28" t="str">
        <f t="shared" si="1"/>
        <v>31X</v>
      </c>
      <c r="F61" s="28">
        <v>105</v>
      </c>
      <c r="G61" s="28" t="s">
        <v>1148</v>
      </c>
      <c r="H61" s="28"/>
    </row>
    <row r="62" spans="1:22" x14ac:dyDescent="0.4">
      <c r="A62" s="14">
        <v>41</v>
      </c>
      <c r="B62" s="14">
        <v>1</v>
      </c>
      <c r="C62" s="11" t="s">
        <v>1055</v>
      </c>
      <c r="D62" s="29" t="str">
        <f t="shared" si="0"/>
        <v>2023/01</v>
      </c>
      <c r="E62" s="28" t="str">
        <f t="shared" si="1"/>
        <v>31X</v>
      </c>
      <c r="F62" s="28">
        <v>106</v>
      </c>
      <c r="G62" s="28" t="s">
        <v>1148</v>
      </c>
      <c r="H62" s="28"/>
    </row>
    <row r="63" spans="1:22" x14ac:dyDescent="0.4">
      <c r="A63" s="14">
        <v>1</v>
      </c>
      <c r="B63" s="14">
        <v>1</v>
      </c>
      <c r="C63" s="11" t="s">
        <v>1056</v>
      </c>
      <c r="D63" s="29" t="str">
        <f t="shared" si="0"/>
        <v>2023/02</v>
      </c>
      <c r="E63" s="28" t="str">
        <f t="shared" si="1"/>
        <v>31A</v>
      </c>
      <c r="F63" s="28">
        <v>107</v>
      </c>
      <c r="G63" s="28" t="s">
        <v>1148</v>
      </c>
      <c r="H63" s="28"/>
    </row>
    <row r="64" spans="1:22" x14ac:dyDescent="0.4">
      <c r="A64" s="14">
        <v>2</v>
      </c>
      <c r="B64" s="14">
        <v>1</v>
      </c>
      <c r="C64" s="11" t="s">
        <v>1056</v>
      </c>
      <c r="D64" s="29" t="str">
        <f t="shared" si="0"/>
        <v>2023/02</v>
      </c>
      <c r="E64" s="28" t="str">
        <f t="shared" si="1"/>
        <v>31A</v>
      </c>
      <c r="F64" s="28">
        <v>111</v>
      </c>
      <c r="G64" s="28" t="s">
        <v>941</v>
      </c>
      <c r="H64" s="28"/>
    </row>
    <row r="65" spans="1:8" x14ac:dyDescent="0.4">
      <c r="A65" s="14">
        <v>101</v>
      </c>
      <c r="B65" s="14">
        <v>1</v>
      </c>
      <c r="C65" s="11" t="s">
        <v>1057</v>
      </c>
      <c r="D65" s="29" t="str">
        <f t="shared" si="0"/>
        <v>2023/02</v>
      </c>
      <c r="E65" s="28" t="str">
        <f t="shared" si="1"/>
        <v>AB</v>
      </c>
      <c r="F65" s="28">
        <v>112</v>
      </c>
      <c r="G65" s="28" t="s">
        <v>941</v>
      </c>
      <c r="H65" s="28"/>
    </row>
    <row r="66" spans="1:8" x14ac:dyDescent="0.4">
      <c r="A66" s="14">
        <v>102</v>
      </c>
      <c r="B66" s="14">
        <v>1</v>
      </c>
      <c r="C66" s="11" t="s">
        <v>1057</v>
      </c>
      <c r="D66" s="29" t="str">
        <f t="shared" si="0"/>
        <v>2023/02</v>
      </c>
      <c r="E66" s="28" t="str">
        <f t="shared" si="1"/>
        <v>AB</v>
      </c>
      <c r="F66" s="28">
        <v>113</v>
      </c>
      <c r="G66" s="28" t="s">
        <v>941</v>
      </c>
      <c r="H66" s="28"/>
    </row>
    <row r="67" spans="1:8" x14ac:dyDescent="0.4">
      <c r="A67" s="14">
        <v>28</v>
      </c>
      <c r="B67" s="14">
        <v>1</v>
      </c>
      <c r="C67" s="11" t="s">
        <v>1058</v>
      </c>
      <c r="D67" s="29" t="str">
        <f t="shared" si="0"/>
        <v>2023/03</v>
      </c>
      <c r="E67" s="28" t="str">
        <f t="shared" si="1"/>
        <v>31E</v>
      </c>
      <c r="F67" s="28"/>
      <c r="G67" s="28"/>
      <c r="H67" s="28"/>
    </row>
    <row r="68" spans="1:8" x14ac:dyDescent="0.4">
      <c r="A68" s="14">
        <v>30</v>
      </c>
      <c r="B68" s="14">
        <v>1</v>
      </c>
      <c r="C68" s="11" t="s">
        <v>1058</v>
      </c>
      <c r="D68" s="29" t="str">
        <f t="shared" si="0"/>
        <v>2023/03</v>
      </c>
      <c r="E68" s="28" t="str">
        <f t="shared" si="1"/>
        <v>31E</v>
      </c>
      <c r="F68" s="28"/>
      <c r="G68" s="28"/>
      <c r="H68" s="28"/>
    </row>
    <row r="69" spans="1:8" x14ac:dyDescent="0.4">
      <c r="A69" s="14">
        <v>46</v>
      </c>
      <c r="B69" s="14">
        <v>1</v>
      </c>
      <c r="C69" s="11" t="s">
        <v>1059</v>
      </c>
      <c r="D69" s="29" t="str">
        <f t="shared" si="0"/>
        <v>2023/03</v>
      </c>
      <c r="E69" s="28" t="str">
        <f t="shared" si="1"/>
        <v>30G</v>
      </c>
      <c r="F69" s="28"/>
      <c r="G69" s="28"/>
      <c r="H69" s="28"/>
    </row>
    <row r="70" spans="1:8" x14ac:dyDescent="0.4">
      <c r="A70" s="14">
        <v>21</v>
      </c>
      <c r="B70" s="14">
        <v>1</v>
      </c>
      <c r="C70" s="11" t="s">
        <v>1059</v>
      </c>
      <c r="D70" s="29" t="str">
        <f t="shared" si="0"/>
        <v>2023/03</v>
      </c>
      <c r="E70" s="28" t="str">
        <f t="shared" si="1"/>
        <v>31D</v>
      </c>
      <c r="F70" s="28"/>
      <c r="G70" s="28"/>
      <c r="H70" s="28"/>
    </row>
    <row r="71" spans="1:8" x14ac:dyDescent="0.4">
      <c r="A71" s="14">
        <v>17</v>
      </c>
      <c r="B71" s="14">
        <v>1</v>
      </c>
      <c r="C71" s="11" t="s">
        <v>1060</v>
      </c>
      <c r="D71" s="29" t="str">
        <f t="shared" si="0"/>
        <v>2023/04</v>
      </c>
      <c r="E71" s="28" t="str">
        <f t="shared" si="1"/>
        <v>31C</v>
      </c>
      <c r="F71" s="28"/>
      <c r="G71" s="28"/>
      <c r="H71" s="28"/>
    </row>
    <row r="72" spans="1:8" x14ac:dyDescent="0.4">
      <c r="A72" s="14">
        <v>18</v>
      </c>
      <c r="B72" s="14">
        <v>1</v>
      </c>
      <c r="C72" s="11" t="s">
        <v>1060</v>
      </c>
      <c r="D72" s="29" t="str">
        <f t="shared" ref="D72:D135" si="2">LEFT(C72,7)</f>
        <v>2023/04</v>
      </c>
      <c r="E72" s="28" t="str">
        <f t="shared" ref="E72:E135" si="3">VLOOKUP(A72,F:G,2)</f>
        <v>31C</v>
      </c>
      <c r="F72" s="28"/>
      <c r="G72" s="28"/>
      <c r="H72" s="28"/>
    </row>
    <row r="73" spans="1:8" x14ac:dyDescent="0.4">
      <c r="A73" s="14">
        <v>3</v>
      </c>
      <c r="B73" s="14">
        <v>1</v>
      </c>
      <c r="C73" s="11" t="s">
        <v>1061</v>
      </c>
      <c r="D73" s="29" t="str">
        <f t="shared" si="2"/>
        <v>2023/04</v>
      </c>
      <c r="E73" s="28" t="str">
        <f t="shared" si="3"/>
        <v>31A</v>
      </c>
      <c r="F73" s="28"/>
      <c r="G73" s="28"/>
      <c r="H73" s="28"/>
    </row>
    <row r="74" spans="1:8" x14ac:dyDescent="0.4">
      <c r="A74" s="14">
        <v>48</v>
      </c>
      <c r="B74" s="14">
        <v>1</v>
      </c>
      <c r="C74" s="11" t="s">
        <v>1061</v>
      </c>
      <c r="D74" s="29" t="str">
        <f t="shared" si="2"/>
        <v>2023/04</v>
      </c>
      <c r="E74" s="28" t="str">
        <f t="shared" si="3"/>
        <v>30G</v>
      </c>
      <c r="F74" s="28"/>
      <c r="G74" s="28"/>
      <c r="H74" s="28"/>
    </row>
    <row r="75" spans="1:8" x14ac:dyDescent="0.4">
      <c r="A75" s="14">
        <v>7</v>
      </c>
      <c r="B75" s="14">
        <v>1</v>
      </c>
      <c r="C75" s="11" t="s">
        <v>1062</v>
      </c>
      <c r="D75" s="29" t="str">
        <f t="shared" si="2"/>
        <v>2023/05</v>
      </c>
      <c r="E75" s="28" t="str">
        <f t="shared" si="3"/>
        <v>31B</v>
      </c>
      <c r="F75" s="28"/>
      <c r="G75" s="28"/>
      <c r="H75" s="28"/>
    </row>
    <row r="76" spans="1:8" x14ac:dyDescent="0.4">
      <c r="A76" s="14">
        <v>12</v>
      </c>
      <c r="B76" s="14">
        <v>1</v>
      </c>
      <c r="C76" s="11" t="s">
        <v>1062</v>
      </c>
      <c r="D76" s="29" t="str">
        <f t="shared" si="2"/>
        <v>2023/05</v>
      </c>
      <c r="E76" s="28" t="str">
        <f t="shared" si="3"/>
        <v>31B</v>
      </c>
      <c r="F76" s="28"/>
      <c r="G76" s="28"/>
      <c r="H76" s="28"/>
    </row>
    <row r="77" spans="1:8" x14ac:dyDescent="0.4">
      <c r="A77" s="14">
        <v>47</v>
      </c>
      <c r="B77" s="14">
        <v>1</v>
      </c>
      <c r="C77" s="11" t="s">
        <v>1063</v>
      </c>
      <c r="D77" s="29" t="str">
        <f t="shared" si="2"/>
        <v>2023/05</v>
      </c>
      <c r="E77" s="28" t="str">
        <f t="shared" si="3"/>
        <v>30G</v>
      </c>
      <c r="F77" s="28"/>
      <c r="G77" s="28"/>
      <c r="H77" s="28"/>
    </row>
    <row r="78" spans="1:8" x14ac:dyDescent="0.4">
      <c r="A78" s="14">
        <v>24</v>
      </c>
      <c r="B78" s="14">
        <v>1</v>
      </c>
      <c r="C78" s="11" t="s">
        <v>1063</v>
      </c>
      <c r="D78" s="29" t="str">
        <f t="shared" si="2"/>
        <v>2023/05</v>
      </c>
      <c r="E78" s="28" t="str">
        <f t="shared" si="3"/>
        <v>31D</v>
      </c>
      <c r="F78" s="28"/>
      <c r="G78" s="28"/>
      <c r="H78" s="28"/>
    </row>
    <row r="79" spans="1:8" x14ac:dyDescent="0.4">
      <c r="A79" s="14">
        <v>40</v>
      </c>
      <c r="B79" s="14">
        <v>1</v>
      </c>
      <c r="C79" s="11" t="s">
        <v>1064</v>
      </c>
      <c r="D79" s="29" t="str">
        <f t="shared" si="2"/>
        <v>2023/06</v>
      </c>
      <c r="E79" s="28" t="str">
        <f t="shared" si="3"/>
        <v>31X</v>
      </c>
      <c r="F79" s="28"/>
      <c r="G79" s="28"/>
      <c r="H79" s="28"/>
    </row>
    <row r="80" spans="1:8" x14ac:dyDescent="0.4">
      <c r="A80" s="14">
        <v>42</v>
      </c>
      <c r="B80" s="14">
        <v>1</v>
      </c>
      <c r="C80" s="11" t="s">
        <v>1064</v>
      </c>
      <c r="D80" s="29" t="str">
        <f t="shared" si="2"/>
        <v>2023/06</v>
      </c>
      <c r="E80" s="28" t="str">
        <f t="shared" si="3"/>
        <v>31X</v>
      </c>
      <c r="F80" s="28"/>
      <c r="G80" s="28"/>
      <c r="H80" s="28"/>
    </row>
    <row r="81" spans="1:8" x14ac:dyDescent="0.4">
      <c r="A81" s="14">
        <v>18</v>
      </c>
      <c r="B81" s="14">
        <v>1</v>
      </c>
      <c r="C81" s="11" t="s">
        <v>1065</v>
      </c>
      <c r="D81" s="29" t="str">
        <f t="shared" si="2"/>
        <v>2023/06</v>
      </c>
      <c r="E81" s="28" t="str">
        <f t="shared" si="3"/>
        <v>31C</v>
      </c>
      <c r="F81" s="28"/>
      <c r="G81" s="28"/>
      <c r="H81" s="28"/>
    </row>
    <row r="82" spans="1:8" x14ac:dyDescent="0.4">
      <c r="A82" s="14">
        <v>25</v>
      </c>
      <c r="B82" s="14">
        <v>1</v>
      </c>
      <c r="C82" s="11" t="s">
        <v>1065</v>
      </c>
      <c r="D82" s="29" t="str">
        <f t="shared" si="2"/>
        <v>2023/06</v>
      </c>
      <c r="E82" s="28" t="str">
        <f t="shared" si="3"/>
        <v>31E</v>
      </c>
      <c r="F82" s="28"/>
      <c r="G82" s="28"/>
      <c r="H82" s="28"/>
    </row>
    <row r="83" spans="1:8" x14ac:dyDescent="0.4">
      <c r="A83" s="14">
        <v>15</v>
      </c>
      <c r="B83" s="14">
        <v>1</v>
      </c>
      <c r="C83" s="11" t="s">
        <v>1066</v>
      </c>
      <c r="D83" s="29" t="str">
        <f t="shared" si="2"/>
        <v>2023/06</v>
      </c>
      <c r="E83" s="28" t="str">
        <f t="shared" si="3"/>
        <v>31C</v>
      </c>
      <c r="F83" s="28"/>
      <c r="G83" s="28"/>
      <c r="H83" s="28"/>
    </row>
    <row r="84" spans="1:8" x14ac:dyDescent="0.4">
      <c r="A84" s="14">
        <v>22</v>
      </c>
      <c r="B84" s="14">
        <v>1</v>
      </c>
      <c r="C84" s="11" t="s">
        <v>1066</v>
      </c>
      <c r="D84" s="29" t="str">
        <f t="shared" si="2"/>
        <v>2023/06</v>
      </c>
      <c r="E84" s="28" t="str">
        <f t="shared" si="3"/>
        <v>31D</v>
      </c>
      <c r="F84" s="28"/>
      <c r="G84" s="28"/>
      <c r="H84" s="28"/>
    </row>
    <row r="85" spans="1:8" x14ac:dyDescent="0.4">
      <c r="A85" s="14">
        <v>23</v>
      </c>
      <c r="B85" s="14">
        <v>1</v>
      </c>
      <c r="C85" s="11" t="s">
        <v>1067</v>
      </c>
      <c r="D85" s="29" t="str">
        <f t="shared" si="2"/>
        <v>2023/07</v>
      </c>
      <c r="E85" s="28" t="str">
        <f t="shared" si="3"/>
        <v>31D</v>
      </c>
      <c r="F85" s="28"/>
      <c r="G85" s="28"/>
      <c r="H85" s="28"/>
    </row>
    <row r="86" spans="1:8" x14ac:dyDescent="0.4">
      <c r="A86" s="14">
        <v>6</v>
      </c>
      <c r="B86" s="14">
        <v>1</v>
      </c>
      <c r="C86" s="11" t="s">
        <v>1068</v>
      </c>
      <c r="D86" s="29" t="str">
        <f t="shared" si="2"/>
        <v>2023/08</v>
      </c>
      <c r="E86" s="28" t="str">
        <f t="shared" si="3"/>
        <v>31A</v>
      </c>
      <c r="F86" s="28"/>
      <c r="G86" s="28"/>
      <c r="H86" s="28"/>
    </row>
    <row r="87" spans="1:8" x14ac:dyDescent="0.4">
      <c r="A87" s="14">
        <v>43</v>
      </c>
      <c r="B87" s="14">
        <v>1</v>
      </c>
      <c r="C87" s="11" t="s">
        <v>1068</v>
      </c>
      <c r="D87" s="29" t="str">
        <f t="shared" si="2"/>
        <v>2023/08</v>
      </c>
      <c r="E87" s="28" t="str">
        <f t="shared" si="3"/>
        <v>30G</v>
      </c>
      <c r="F87" s="28"/>
      <c r="G87" s="28"/>
      <c r="H87" s="28"/>
    </row>
    <row r="88" spans="1:8" x14ac:dyDescent="0.4">
      <c r="A88" s="14">
        <v>4</v>
      </c>
      <c r="B88" s="14">
        <v>1</v>
      </c>
      <c r="C88" s="11" t="s">
        <v>1069</v>
      </c>
      <c r="D88" s="29" t="str">
        <f t="shared" si="2"/>
        <v>2023/08</v>
      </c>
      <c r="E88" s="28" t="str">
        <f t="shared" si="3"/>
        <v>31A</v>
      </c>
      <c r="F88" s="28"/>
      <c r="G88" s="28"/>
      <c r="H88" s="28"/>
    </row>
    <row r="89" spans="1:8" x14ac:dyDescent="0.4">
      <c r="A89" s="14">
        <v>5</v>
      </c>
      <c r="B89" s="14">
        <v>1</v>
      </c>
      <c r="C89" s="11" t="s">
        <v>1069</v>
      </c>
      <c r="D89" s="29" t="str">
        <f t="shared" si="2"/>
        <v>2023/08</v>
      </c>
      <c r="E89" s="28" t="str">
        <f t="shared" si="3"/>
        <v>31A</v>
      </c>
      <c r="F89" s="28"/>
      <c r="G89" s="28"/>
      <c r="H89" s="28"/>
    </row>
    <row r="90" spans="1:8" x14ac:dyDescent="0.4">
      <c r="A90" s="14">
        <v>35</v>
      </c>
      <c r="B90" s="14">
        <v>1</v>
      </c>
      <c r="C90" s="11" t="s">
        <v>1070</v>
      </c>
      <c r="D90" s="29" t="str">
        <f t="shared" si="2"/>
        <v>2023/08</v>
      </c>
      <c r="E90" s="28" t="str">
        <f t="shared" si="3"/>
        <v>31F</v>
      </c>
      <c r="F90" s="28"/>
      <c r="G90" s="28"/>
      <c r="H90" s="28"/>
    </row>
    <row r="91" spans="1:8" x14ac:dyDescent="0.4">
      <c r="A91" s="14">
        <v>45</v>
      </c>
      <c r="B91" s="14">
        <v>1</v>
      </c>
      <c r="C91" s="11" t="s">
        <v>1071</v>
      </c>
      <c r="D91" s="29" t="str">
        <f t="shared" si="2"/>
        <v>2023/09</v>
      </c>
      <c r="E91" s="28" t="str">
        <f t="shared" si="3"/>
        <v>30G</v>
      </c>
      <c r="F91" s="28"/>
      <c r="G91" s="28"/>
      <c r="H91" s="28"/>
    </row>
    <row r="92" spans="1:8" x14ac:dyDescent="0.4">
      <c r="A92" s="14">
        <v>31</v>
      </c>
      <c r="B92" s="14">
        <v>1</v>
      </c>
      <c r="C92" s="11" t="s">
        <v>1071</v>
      </c>
      <c r="D92" s="29" t="str">
        <f t="shared" si="2"/>
        <v>2023/09</v>
      </c>
      <c r="E92" s="28" t="str">
        <f t="shared" si="3"/>
        <v>31F</v>
      </c>
      <c r="F92" s="28"/>
      <c r="G92" s="28"/>
      <c r="H92" s="28"/>
    </row>
    <row r="93" spans="1:8" x14ac:dyDescent="0.4">
      <c r="A93" s="14">
        <v>2</v>
      </c>
      <c r="B93" s="14">
        <v>1</v>
      </c>
      <c r="C93" s="11" t="s">
        <v>1072</v>
      </c>
      <c r="D93" s="29" t="str">
        <f t="shared" si="2"/>
        <v>2023/09</v>
      </c>
      <c r="E93" s="28" t="str">
        <f t="shared" si="3"/>
        <v>31A</v>
      </c>
      <c r="F93" s="28"/>
      <c r="G93" s="28"/>
      <c r="H93" s="28"/>
    </row>
    <row r="94" spans="1:8" x14ac:dyDescent="0.4">
      <c r="A94" s="14">
        <v>26</v>
      </c>
      <c r="B94" s="14">
        <v>1</v>
      </c>
      <c r="C94" s="11" t="s">
        <v>1073</v>
      </c>
      <c r="D94" s="29" t="str">
        <f t="shared" si="2"/>
        <v>2023/10</v>
      </c>
      <c r="E94" s="28" t="str">
        <f t="shared" si="3"/>
        <v>31E</v>
      </c>
      <c r="F94" s="28"/>
      <c r="G94" s="28"/>
      <c r="H94" s="28"/>
    </row>
    <row r="95" spans="1:8" x14ac:dyDescent="0.4">
      <c r="A95" s="14">
        <v>29</v>
      </c>
      <c r="B95" s="14">
        <v>1</v>
      </c>
      <c r="C95" s="11" t="s">
        <v>1073</v>
      </c>
      <c r="D95" s="29" t="str">
        <f t="shared" si="2"/>
        <v>2023/10</v>
      </c>
      <c r="E95" s="28" t="str">
        <f t="shared" si="3"/>
        <v>31E</v>
      </c>
      <c r="F95" s="28"/>
      <c r="G95" s="28"/>
      <c r="H95" s="28"/>
    </row>
    <row r="96" spans="1:8" x14ac:dyDescent="0.4">
      <c r="A96" s="14">
        <v>17</v>
      </c>
      <c r="B96" s="14">
        <v>1</v>
      </c>
      <c r="C96" s="11" t="s">
        <v>1019</v>
      </c>
      <c r="D96" s="29" t="str">
        <f t="shared" si="2"/>
        <v>2023/10</v>
      </c>
      <c r="E96" s="28" t="str">
        <f t="shared" si="3"/>
        <v>31C</v>
      </c>
      <c r="F96" s="28"/>
      <c r="G96" s="28"/>
      <c r="H96" s="28"/>
    </row>
    <row r="97" spans="1:8" x14ac:dyDescent="0.4">
      <c r="A97" s="14">
        <v>38</v>
      </c>
      <c r="B97" s="14">
        <v>1</v>
      </c>
      <c r="C97" s="11" t="s">
        <v>1019</v>
      </c>
      <c r="D97" s="29" t="str">
        <f t="shared" si="2"/>
        <v>2023/10</v>
      </c>
      <c r="E97" s="28" t="str">
        <f t="shared" si="3"/>
        <v>31X</v>
      </c>
      <c r="F97" s="28"/>
      <c r="G97" s="28"/>
      <c r="H97" s="28"/>
    </row>
    <row r="98" spans="1:8" x14ac:dyDescent="0.4">
      <c r="A98" s="14">
        <v>44</v>
      </c>
      <c r="B98" s="14">
        <v>1</v>
      </c>
      <c r="C98" s="11" t="s">
        <v>1074</v>
      </c>
      <c r="D98" s="29" t="str">
        <f t="shared" si="2"/>
        <v>2023/11</v>
      </c>
      <c r="E98" s="28" t="str">
        <f t="shared" si="3"/>
        <v>30G</v>
      </c>
      <c r="F98" s="28"/>
      <c r="G98" s="28"/>
      <c r="H98" s="28"/>
    </row>
    <row r="99" spans="1:8" x14ac:dyDescent="0.4">
      <c r="A99" s="14">
        <v>47</v>
      </c>
      <c r="B99" s="14">
        <v>1</v>
      </c>
      <c r="C99" s="11" t="s">
        <v>1074</v>
      </c>
      <c r="D99" s="29" t="str">
        <f t="shared" si="2"/>
        <v>2023/11</v>
      </c>
      <c r="E99" s="28" t="str">
        <f t="shared" si="3"/>
        <v>30G</v>
      </c>
      <c r="F99" s="28"/>
      <c r="G99" s="28"/>
      <c r="H99" s="28"/>
    </row>
    <row r="100" spans="1:8" x14ac:dyDescent="0.4">
      <c r="A100" s="14">
        <v>41</v>
      </c>
      <c r="B100" s="14">
        <v>1</v>
      </c>
      <c r="C100" s="11" t="s">
        <v>1020</v>
      </c>
      <c r="D100" s="29" t="str">
        <f t="shared" si="2"/>
        <v>2023/11</v>
      </c>
      <c r="E100" s="28" t="str">
        <f t="shared" si="3"/>
        <v>31X</v>
      </c>
      <c r="F100" s="28"/>
      <c r="G100" s="28"/>
      <c r="H100" s="28"/>
    </row>
    <row r="101" spans="1:8" x14ac:dyDescent="0.4">
      <c r="A101" s="14">
        <v>42</v>
      </c>
      <c r="B101" s="14">
        <v>1</v>
      </c>
      <c r="C101" s="11" t="s">
        <v>1020</v>
      </c>
      <c r="D101" s="29" t="str">
        <f t="shared" si="2"/>
        <v>2023/11</v>
      </c>
      <c r="E101" s="28" t="str">
        <f t="shared" si="3"/>
        <v>31X</v>
      </c>
      <c r="F101" s="28"/>
      <c r="G101" s="28"/>
      <c r="H101" s="28"/>
    </row>
    <row r="102" spans="1:8" x14ac:dyDescent="0.4">
      <c r="A102" s="14">
        <v>19</v>
      </c>
      <c r="B102" s="14">
        <v>1</v>
      </c>
      <c r="C102" s="11" t="s">
        <v>1075</v>
      </c>
      <c r="D102" s="29" t="str">
        <f t="shared" si="2"/>
        <v>2023/12</v>
      </c>
      <c r="E102" s="28" t="str">
        <f t="shared" si="3"/>
        <v>31D</v>
      </c>
      <c r="F102" s="28"/>
      <c r="G102" s="28"/>
      <c r="H102" s="28"/>
    </row>
    <row r="103" spans="1:8" x14ac:dyDescent="0.4">
      <c r="A103" s="14">
        <v>23</v>
      </c>
      <c r="B103" s="14">
        <v>1</v>
      </c>
      <c r="C103" s="11" t="s">
        <v>1075</v>
      </c>
      <c r="D103" s="29" t="str">
        <f t="shared" si="2"/>
        <v>2023/12</v>
      </c>
      <c r="E103" s="28" t="str">
        <f t="shared" si="3"/>
        <v>31D</v>
      </c>
      <c r="F103" s="28"/>
      <c r="G103" s="28"/>
      <c r="H103" s="28"/>
    </row>
    <row r="104" spans="1:8" x14ac:dyDescent="0.4">
      <c r="A104" s="14">
        <v>3</v>
      </c>
      <c r="B104" s="14">
        <v>1</v>
      </c>
      <c r="C104" s="11" t="s">
        <v>1021</v>
      </c>
      <c r="D104" s="29" t="str">
        <f t="shared" si="2"/>
        <v>2023/12</v>
      </c>
      <c r="E104" s="28" t="str">
        <f t="shared" si="3"/>
        <v>31A</v>
      </c>
      <c r="F104" s="28"/>
      <c r="G104" s="28"/>
      <c r="H104" s="28"/>
    </row>
    <row r="105" spans="1:8" x14ac:dyDescent="0.4">
      <c r="A105" s="14">
        <v>6</v>
      </c>
      <c r="B105" s="14">
        <v>1</v>
      </c>
      <c r="C105" s="11" t="s">
        <v>1021</v>
      </c>
      <c r="D105" s="29" t="str">
        <f t="shared" si="2"/>
        <v>2023/12</v>
      </c>
      <c r="E105" s="28" t="str">
        <f t="shared" si="3"/>
        <v>31A</v>
      </c>
      <c r="F105" s="28"/>
      <c r="G105" s="28"/>
      <c r="H105" s="28"/>
    </row>
    <row r="106" spans="1:8" x14ac:dyDescent="0.4">
      <c r="A106" s="14">
        <v>7</v>
      </c>
      <c r="B106" s="14">
        <v>1</v>
      </c>
      <c r="C106" s="11" t="s">
        <v>1022</v>
      </c>
      <c r="D106" s="29" t="str">
        <f t="shared" si="2"/>
        <v>2023/12</v>
      </c>
      <c r="E106" s="28" t="str">
        <f t="shared" si="3"/>
        <v>31B</v>
      </c>
      <c r="F106" s="28"/>
      <c r="G106" s="28"/>
      <c r="H106" s="28"/>
    </row>
    <row r="107" spans="1:8" x14ac:dyDescent="0.4">
      <c r="A107" s="14">
        <v>8</v>
      </c>
      <c r="B107" s="14">
        <v>1</v>
      </c>
      <c r="C107" s="11" t="s">
        <v>1022</v>
      </c>
      <c r="D107" s="29" t="str">
        <f t="shared" si="2"/>
        <v>2023/12</v>
      </c>
      <c r="E107" s="28" t="str">
        <f t="shared" si="3"/>
        <v>31B</v>
      </c>
      <c r="F107" s="28"/>
      <c r="G107" s="28"/>
      <c r="H107" s="28"/>
    </row>
    <row r="108" spans="1:8" x14ac:dyDescent="0.4">
      <c r="A108" s="14">
        <v>28</v>
      </c>
      <c r="B108" s="14">
        <v>1</v>
      </c>
      <c r="C108" s="11" t="s">
        <v>1076</v>
      </c>
      <c r="D108" s="29" t="str">
        <f t="shared" si="2"/>
        <v>2024/01</v>
      </c>
      <c r="E108" s="28" t="str">
        <f t="shared" si="3"/>
        <v>31E</v>
      </c>
      <c r="F108" s="28"/>
      <c r="G108" s="28"/>
      <c r="H108" s="28"/>
    </row>
    <row r="109" spans="1:8" x14ac:dyDescent="0.4">
      <c r="A109" s="14">
        <v>30</v>
      </c>
      <c r="B109" s="14">
        <v>1</v>
      </c>
      <c r="C109" s="11" t="s">
        <v>1076</v>
      </c>
      <c r="D109" s="29" t="str">
        <f t="shared" si="2"/>
        <v>2024/01</v>
      </c>
      <c r="E109" s="28" t="str">
        <f t="shared" si="3"/>
        <v>31E</v>
      </c>
      <c r="F109" s="28"/>
      <c r="G109" s="28"/>
      <c r="H109" s="28"/>
    </row>
    <row r="110" spans="1:8" x14ac:dyDescent="0.4">
      <c r="A110" s="14">
        <v>101</v>
      </c>
      <c r="B110" s="14">
        <v>1</v>
      </c>
      <c r="C110" s="11" t="s">
        <v>1077</v>
      </c>
      <c r="D110" s="29" t="str">
        <f t="shared" si="2"/>
        <v>2024/01</v>
      </c>
      <c r="E110" s="28" t="str">
        <f t="shared" si="3"/>
        <v>AB</v>
      </c>
      <c r="F110" s="28"/>
      <c r="G110" s="28"/>
      <c r="H110" s="28"/>
    </row>
    <row r="111" spans="1:8" x14ac:dyDescent="0.4">
      <c r="A111" s="14">
        <v>102</v>
      </c>
      <c r="B111" s="14">
        <v>1</v>
      </c>
      <c r="C111" s="11" t="s">
        <v>1078</v>
      </c>
      <c r="D111" s="29" t="str">
        <f t="shared" si="2"/>
        <v>2024/02</v>
      </c>
      <c r="E111" s="28" t="str">
        <f t="shared" si="3"/>
        <v>AB</v>
      </c>
      <c r="F111" s="28"/>
      <c r="G111" s="28"/>
      <c r="H111" s="28"/>
    </row>
    <row r="112" spans="1:8" x14ac:dyDescent="0.4">
      <c r="A112" s="14">
        <v>103</v>
      </c>
      <c r="B112" s="14">
        <v>1</v>
      </c>
      <c r="C112" s="11" t="s">
        <v>1078</v>
      </c>
      <c r="D112" s="29" t="str">
        <f t="shared" si="2"/>
        <v>2024/02</v>
      </c>
      <c r="E112" s="28" t="str">
        <f t="shared" si="3"/>
        <v>AB</v>
      </c>
      <c r="F112" s="28"/>
      <c r="G112" s="28"/>
      <c r="H112" s="28"/>
    </row>
    <row r="113" spans="1:8" x14ac:dyDescent="0.4">
      <c r="A113" s="14">
        <v>2</v>
      </c>
      <c r="B113" s="14">
        <v>1</v>
      </c>
      <c r="C113" s="11" t="s">
        <v>1079</v>
      </c>
      <c r="D113" s="29" t="str">
        <f t="shared" si="2"/>
        <v>2024/02</v>
      </c>
      <c r="E113" s="28" t="str">
        <f t="shared" si="3"/>
        <v>31A</v>
      </c>
      <c r="F113" s="28"/>
      <c r="G113" s="28"/>
      <c r="H113" s="28"/>
    </row>
    <row r="114" spans="1:8" x14ac:dyDescent="0.4">
      <c r="A114" s="14">
        <v>13</v>
      </c>
      <c r="B114" s="14">
        <v>1</v>
      </c>
      <c r="C114" s="11" t="s">
        <v>1079</v>
      </c>
      <c r="D114" s="29" t="str">
        <f t="shared" si="2"/>
        <v>2024/02</v>
      </c>
      <c r="E114" s="28" t="str">
        <f t="shared" si="3"/>
        <v>31C</v>
      </c>
      <c r="F114" s="28"/>
      <c r="G114" s="28"/>
      <c r="H114" s="28"/>
    </row>
    <row r="115" spans="1:8" x14ac:dyDescent="0.4">
      <c r="A115" s="14">
        <v>1</v>
      </c>
      <c r="B115" s="14">
        <v>0</v>
      </c>
      <c r="C115" s="11" t="s">
        <v>1080</v>
      </c>
      <c r="D115" s="29" t="str">
        <f t="shared" si="2"/>
        <v>2024/02</v>
      </c>
      <c r="E115" s="28" t="str">
        <f t="shared" si="3"/>
        <v>31A</v>
      </c>
      <c r="F115" s="28"/>
      <c r="G115" s="28"/>
      <c r="H115" s="28"/>
    </row>
    <row r="116" spans="1:8" x14ac:dyDescent="0.4">
      <c r="A116" s="14">
        <v>15</v>
      </c>
      <c r="B116" s="14">
        <v>1</v>
      </c>
      <c r="C116" s="11" t="s">
        <v>1081</v>
      </c>
      <c r="D116" s="29" t="str">
        <f t="shared" si="2"/>
        <v>2024/03</v>
      </c>
      <c r="E116" s="28" t="str">
        <f t="shared" si="3"/>
        <v>31C</v>
      </c>
      <c r="F116" s="28"/>
      <c r="G116" s="28"/>
      <c r="H116" s="28"/>
    </row>
    <row r="117" spans="1:8" x14ac:dyDescent="0.4">
      <c r="A117" s="14">
        <v>16</v>
      </c>
      <c r="B117" s="14">
        <v>1</v>
      </c>
      <c r="C117" s="11" t="s">
        <v>1081</v>
      </c>
      <c r="D117" s="29" t="str">
        <f t="shared" si="2"/>
        <v>2024/03</v>
      </c>
      <c r="E117" s="28" t="str">
        <f t="shared" si="3"/>
        <v>31C</v>
      </c>
      <c r="F117" s="28"/>
      <c r="G117" s="28"/>
      <c r="H117" s="28"/>
    </row>
    <row r="118" spans="1:8" x14ac:dyDescent="0.4">
      <c r="A118" s="14">
        <v>11</v>
      </c>
      <c r="B118" s="14">
        <v>1</v>
      </c>
      <c r="C118" s="11" t="s">
        <v>1082</v>
      </c>
      <c r="D118" s="29" t="str">
        <f t="shared" si="2"/>
        <v>2024/03</v>
      </c>
      <c r="E118" s="28" t="str">
        <f t="shared" si="3"/>
        <v>31B</v>
      </c>
      <c r="F118" s="28"/>
      <c r="G118" s="28"/>
      <c r="H118" s="28"/>
    </row>
    <row r="119" spans="1:8" x14ac:dyDescent="0.4">
      <c r="A119" s="14">
        <v>4</v>
      </c>
      <c r="B119" s="14">
        <v>1</v>
      </c>
      <c r="C119" s="11" t="s">
        <v>1083</v>
      </c>
      <c r="D119" s="29" t="str">
        <f t="shared" si="2"/>
        <v>2024/04</v>
      </c>
      <c r="E119" s="28" t="str">
        <f t="shared" si="3"/>
        <v>31A</v>
      </c>
      <c r="F119" s="28"/>
      <c r="G119" s="28"/>
      <c r="H119" s="28"/>
    </row>
    <row r="120" spans="1:8" x14ac:dyDescent="0.4">
      <c r="A120" s="14">
        <v>38</v>
      </c>
      <c r="B120" s="14">
        <v>1</v>
      </c>
      <c r="C120" s="11" t="s">
        <v>1083</v>
      </c>
      <c r="D120" s="29" t="str">
        <f t="shared" si="2"/>
        <v>2024/04</v>
      </c>
      <c r="E120" s="28" t="str">
        <f t="shared" si="3"/>
        <v>31X</v>
      </c>
      <c r="F120" s="28"/>
      <c r="G120" s="28"/>
      <c r="H120" s="28"/>
    </row>
    <row r="121" spans="1:8" x14ac:dyDescent="0.4">
      <c r="A121" s="14">
        <v>45</v>
      </c>
      <c r="B121" s="14">
        <v>1</v>
      </c>
      <c r="C121" s="11" t="s">
        <v>1084</v>
      </c>
      <c r="D121" s="29" t="str">
        <f t="shared" si="2"/>
        <v>2024/04</v>
      </c>
      <c r="E121" s="28" t="str">
        <f t="shared" si="3"/>
        <v>30G</v>
      </c>
      <c r="F121" s="28"/>
      <c r="G121" s="28"/>
      <c r="H121" s="28"/>
    </row>
    <row r="122" spans="1:8" x14ac:dyDescent="0.4">
      <c r="A122" s="14">
        <v>46</v>
      </c>
      <c r="B122" s="14">
        <v>1</v>
      </c>
      <c r="C122" s="11" t="s">
        <v>1084</v>
      </c>
      <c r="D122" s="29" t="str">
        <f t="shared" si="2"/>
        <v>2024/04</v>
      </c>
      <c r="E122" s="28" t="str">
        <f t="shared" si="3"/>
        <v>30G</v>
      </c>
      <c r="F122" s="28"/>
      <c r="G122" s="28"/>
      <c r="H122" s="28"/>
    </row>
    <row r="123" spans="1:8" x14ac:dyDescent="0.4">
      <c r="A123" s="14">
        <v>24</v>
      </c>
      <c r="B123" s="14">
        <v>1</v>
      </c>
      <c r="C123" s="11" t="s">
        <v>1085</v>
      </c>
      <c r="D123" s="29" t="str">
        <f t="shared" si="2"/>
        <v>2024/05</v>
      </c>
      <c r="E123" s="28" t="str">
        <f t="shared" si="3"/>
        <v>31D</v>
      </c>
      <c r="F123" s="28"/>
      <c r="G123" s="28"/>
      <c r="H123" s="28"/>
    </row>
    <row r="124" spans="1:8" x14ac:dyDescent="0.4">
      <c r="A124" s="14">
        <v>32</v>
      </c>
      <c r="B124" s="14">
        <v>1</v>
      </c>
      <c r="C124" s="11" t="s">
        <v>1085</v>
      </c>
      <c r="D124" s="29" t="str">
        <f t="shared" si="2"/>
        <v>2024/05</v>
      </c>
      <c r="E124" s="28" t="str">
        <f t="shared" si="3"/>
        <v>31F</v>
      </c>
      <c r="F124" s="28"/>
      <c r="G124" s="28"/>
      <c r="H124" s="28"/>
    </row>
    <row r="125" spans="1:8" x14ac:dyDescent="0.4">
      <c r="A125" s="14">
        <v>39</v>
      </c>
      <c r="B125" s="14">
        <v>1</v>
      </c>
      <c r="C125" s="11" t="s">
        <v>1086</v>
      </c>
      <c r="D125" s="29" t="str">
        <f t="shared" si="2"/>
        <v>2024/05</v>
      </c>
      <c r="E125" s="28" t="str">
        <f t="shared" si="3"/>
        <v>31X</v>
      </c>
      <c r="F125" s="28"/>
      <c r="G125" s="28"/>
      <c r="H125" s="28"/>
    </row>
    <row r="126" spans="1:8" x14ac:dyDescent="0.4">
      <c r="A126" s="14">
        <v>40</v>
      </c>
      <c r="B126" s="14">
        <v>1</v>
      </c>
      <c r="C126" s="11" t="s">
        <v>1086</v>
      </c>
      <c r="D126" s="29" t="str">
        <f t="shared" si="2"/>
        <v>2024/05</v>
      </c>
      <c r="E126" s="28" t="str">
        <f t="shared" si="3"/>
        <v>31X</v>
      </c>
      <c r="F126" s="28"/>
      <c r="G126" s="28"/>
      <c r="H126" s="28"/>
    </row>
    <row r="127" spans="1:8" x14ac:dyDescent="0.4">
      <c r="A127" s="14">
        <v>14</v>
      </c>
      <c r="B127" s="14">
        <v>1</v>
      </c>
      <c r="C127" s="11" t="s">
        <v>1087</v>
      </c>
      <c r="D127" s="29" t="str">
        <f t="shared" si="2"/>
        <v>2024/06</v>
      </c>
      <c r="E127" s="28" t="str">
        <f t="shared" si="3"/>
        <v>31C</v>
      </c>
      <c r="F127" s="28"/>
      <c r="G127" s="28"/>
      <c r="H127" s="28"/>
    </row>
    <row r="128" spans="1:8" x14ac:dyDescent="0.4">
      <c r="A128" s="14">
        <v>42</v>
      </c>
      <c r="B128" s="14">
        <v>1</v>
      </c>
      <c r="C128" s="11" t="s">
        <v>1087</v>
      </c>
      <c r="D128" s="29" t="str">
        <f t="shared" si="2"/>
        <v>2024/06</v>
      </c>
      <c r="E128" s="28" t="str">
        <f t="shared" si="3"/>
        <v>31X</v>
      </c>
      <c r="F128" s="28"/>
      <c r="G128" s="28"/>
      <c r="H128" s="28"/>
    </row>
    <row r="129" spans="1:8" x14ac:dyDescent="0.4">
      <c r="A129" s="14">
        <v>43</v>
      </c>
      <c r="B129" s="14">
        <v>0</v>
      </c>
      <c r="C129" s="11" t="s">
        <v>1088</v>
      </c>
      <c r="D129" s="29" t="str">
        <f t="shared" si="2"/>
        <v>2024/06</v>
      </c>
      <c r="E129" s="28" t="str">
        <f t="shared" si="3"/>
        <v>30G</v>
      </c>
      <c r="F129" s="28"/>
      <c r="G129" s="28"/>
      <c r="H129" s="28"/>
    </row>
    <row r="130" spans="1:8" x14ac:dyDescent="0.4">
      <c r="A130" s="14">
        <v>17</v>
      </c>
      <c r="B130" s="14">
        <v>1</v>
      </c>
      <c r="C130" s="11" t="s">
        <v>1089</v>
      </c>
      <c r="D130" s="29" t="str">
        <f t="shared" si="2"/>
        <v>2024/07</v>
      </c>
      <c r="E130" s="28" t="str">
        <f t="shared" si="3"/>
        <v>31C</v>
      </c>
      <c r="F130" s="28"/>
      <c r="G130" s="28"/>
      <c r="H130" s="28"/>
    </row>
    <row r="131" spans="1:8" x14ac:dyDescent="0.4">
      <c r="A131" s="14">
        <v>18</v>
      </c>
      <c r="B131" s="14">
        <v>1</v>
      </c>
      <c r="C131" s="11" t="s">
        <v>1089</v>
      </c>
      <c r="D131" s="29" t="str">
        <f t="shared" si="2"/>
        <v>2024/07</v>
      </c>
      <c r="E131" s="28" t="str">
        <f t="shared" si="3"/>
        <v>31C</v>
      </c>
      <c r="F131" s="28"/>
      <c r="G131" s="28"/>
      <c r="H131" s="28"/>
    </row>
    <row r="132" spans="1:8" x14ac:dyDescent="0.4">
      <c r="A132" s="14">
        <v>3</v>
      </c>
      <c r="B132" s="14">
        <v>1</v>
      </c>
      <c r="C132" s="11" t="s">
        <v>1090</v>
      </c>
      <c r="D132" s="29" t="str">
        <f t="shared" si="2"/>
        <v>2024/07</v>
      </c>
      <c r="E132" s="28" t="str">
        <f t="shared" si="3"/>
        <v>31A</v>
      </c>
      <c r="F132" s="28"/>
      <c r="G132" s="28"/>
      <c r="H132" s="28"/>
    </row>
    <row r="133" spans="1:8" x14ac:dyDescent="0.4">
      <c r="A133" s="14">
        <v>5</v>
      </c>
      <c r="B133" s="14">
        <v>1</v>
      </c>
      <c r="C133" s="11" t="s">
        <v>1090</v>
      </c>
      <c r="D133" s="29" t="str">
        <f t="shared" si="2"/>
        <v>2024/07</v>
      </c>
      <c r="E133" s="28" t="str">
        <f t="shared" si="3"/>
        <v>31A</v>
      </c>
      <c r="F133" s="28"/>
      <c r="G133" s="28"/>
      <c r="H133" s="28"/>
    </row>
    <row r="134" spans="1:8" x14ac:dyDescent="0.4">
      <c r="A134" s="14">
        <v>34</v>
      </c>
      <c r="B134" s="14">
        <v>1</v>
      </c>
      <c r="C134" s="11" t="s">
        <v>1091</v>
      </c>
      <c r="D134" s="29" t="str">
        <f t="shared" si="2"/>
        <v>2024/08</v>
      </c>
      <c r="E134" s="28" t="str">
        <f t="shared" si="3"/>
        <v>31F</v>
      </c>
      <c r="F134" s="28"/>
      <c r="G134" s="28"/>
      <c r="H134" s="28"/>
    </row>
    <row r="135" spans="1:8" x14ac:dyDescent="0.4">
      <c r="A135" s="14">
        <v>36</v>
      </c>
      <c r="B135" s="14">
        <v>1</v>
      </c>
      <c r="C135" s="11" t="s">
        <v>1091</v>
      </c>
      <c r="D135" s="29" t="str">
        <f t="shared" si="2"/>
        <v>2024/08</v>
      </c>
      <c r="E135" s="28" t="str">
        <f t="shared" si="3"/>
        <v>31F</v>
      </c>
      <c r="F135" s="28"/>
      <c r="G135" s="28"/>
      <c r="H135" s="28"/>
    </row>
    <row r="136" spans="1:8" x14ac:dyDescent="0.4">
      <c r="A136" s="14">
        <v>47</v>
      </c>
      <c r="B136" s="14">
        <v>1</v>
      </c>
      <c r="C136" s="11" t="s">
        <v>1092</v>
      </c>
      <c r="D136" s="29" t="str">
        <f t="shared" ref="D136:D199" si="4">LEFT(C136,7)</f>
        <v>2024/09</v>
      </c>
      <c r="E136" s="28" t="str">
        <f t="shared" ref="E136:E199" si="5">VLOOKUP(A136,F:G,2)</f>
        <v>30G</v>
      </c>
      <c r="F136" s="28"/>
      <c r="G136" s="28"/>
      <c r="H136" s="28"/>
    </row>
    <row r="137" spans="1:8" x14ac:dyDescent="0.4">
      <c r="A137" s="14">
        <v>35</v>
      </c>
      <c r="B137" s="14">
        <v>1</v>
      </c>
      <c r="C137" s="11" t="s">
        <v>1092</v>
      </c>
      <c r="D137" s="29" t="str">
        <f t="shared" si="4"/>
        <v>2024/09</v>
      </c>
      <c r="E137" s="28" t="str">
        <f t="shared" si="5"/>
        <v>31F</v>
      </c>
      <c r="F137" s="28"/>
      <c r="G137" s="28"/>
      <c r="H137" s="28"/>
    </row>
    <row r="138" spans="1:8" x14ac:dyDescent="0.4">
      <c r="A138" s="14">
        <v>27</v>
      </c>
      <c r="B138" s="14">
        <v>1</v>
      </c>
      <c r="C138" s="11" t="s">
        <v>1093</v>
      </c>
      <c r="D138" s="29" t="str">
        <f t="shared" si="4"/>
        <v>2024/09</v>
      </c>
      <c r="E138" s="28" t="str">
        <f t="shared" si="5"/>
        <v>31E</v>
      </c>
      <c r="F138" s="28"/>
      <c r="G138" s="28"/>
      <c r="H138" s="28"/>
    </row>
    <row r="139" spans="1:8" x14ac:dyDescent="0.4">
      <c r="A139" s="14">
        <v>29</v>
      </c>
      <c r="B139" s="14">
        <v>1</v>
      </c>
      <c r="C139" s="11" t="s">
        <v>1093</v>
      </c>
      <c r="D139" s="29" t="str">
        <f t="shared" si="4"/>
        <v>2024/09</v>
      </c>
      <c r="E139" s="28" t="str">
        <f t="shared" si="5"/>
        <v>31E</v>
      </c>
      <c r="F139" s="28"/>
      <c r="G139" s="28"/>
      <c r="H139" s="28"/>
    </row>
    <row r="140" spans="1:8" x14ac:dyDescent="0.4">
      <c r="A140" s="14">
        <v>37</v>
      </c>
      <c r="B140" s="14">
        <v>1</v>
      </c>
      <c r="C140" s="11" t="s">
        <v>1094</v>
      </c>
      <c r="D140" s="29" t="str">
        <f t="shared" si="4"/>
        <v>2024/10</v>
      </c>
      <c r="E140" s="28" t="str">
        <f t="shared" si="5"/>
        <v>31X</v>
      </c>
      <c r="F140" s="28"/>
      <c r="G140" s="28"/>
      <c r="H140" s="28"/>
    </row>
    <row r="141" spans="1:8" x14ac:dyDescent="0.4">
      <c r="A141" s="14">
        <v>2</v>
      </c>
      <c r="B141" s="14">
        <v>0</v>
      </c>
      <c r="C141" s="11" t="s">
        <v>1023</v>
      </c>
      <c r="D141" s="29" t="str">
        <f t="shared" si="4"/>
        <v>2024/10</v>
      </c>
      <c r="E141" s="28" t="str">
        <f t="shared" si="5"/>
        <v>31A</v>
      </c>
      <c r="F141" s="28"/>
      <c r="G141" s="28"/>
      <c r="H141" s="28"/>
    </row>
    <row r="142" spans="1:8" x14ac:dyDescent="0.4">
      <c r="A142" s="14">
        <v>8</v>
      </c>
      <c r="B142" s="14">
        <v>1</v>
      </c>
      <c r="C142" s="11" t="s">
        <v>1024</v>
      </c>
      <c r="D142" s="29" t="str">
        <f t="shared" si="4"/>
        <v>2024/10</v>
      </c>
      <c r="E142" s="28" t="str">
        <f t="shared" si="5"/>
        <v>31B</v>
      </c>
      <c r="F142" s="28"/>
      <c r="G142" s="28"/>
      <c r="H142" s="28"/>
    </row>
    <row r="143" spans="1:8" x14ac:dyDescent="0.4">
      <c r="A143" s="14">
        <v>9</v>
      </c>
      <c r="B143" s="14">
        <v>1</v>
      </c>
      <c r="C143" s="11" t="s">
        <v>1024</v>
      </c>
      <c r="D143" s="29" t="str">
        <f t="shared" si="4"/>
        <v>2024/10</v>
      </c>
      <c r="E143" s="28" t="str">
        <f t="shared" si="5"/>
        <v>31B</v>
      </c>
      <c r="F143" s="28"/>
      <c r="G143" s="28"/>
      <c r="H143" s="28"/>
    </row>
    <row r="144" spans="1:8" x14ac:dyDescent="0.4">
      <c r="A144" s="14">
        <v>7</v>
      </c>
      <c r="B144" s="14">
        <v>1</v>
      </c>
      <c r="C144" s="11" t="s">
        <v>1095</v>
      </c>
      <c r="D144" s="29" t="str">
        <f t="shared" si="4"/>
        <v>2024/11</v>
      </c>
      <c r="E144" s="28" t="str">
        <f t="shared" si="5"/>
        <v>31B</v>
      </c>
      <c r="F144" s="28"/>
      <c r="G144" s="28"/>
      <c r="H144" s="28"/>
    </row>
    <row r="145" spans="1:8" x14ac:dyDescent="0.4">
      <c r="A145" s="14">
        <v>10</v>
      </c>
      <c r="B145" s="14">
        <v>1</v>
      </c>
      <c r="C145" s="11" t="s">
        <v>1095</v>
      </c>
      <c r="D145" s="29" t="str">
        <f t="shared" si="4"/>
        <v>2024/11</v>
      </c>
      <c r="E145" s="28" t="str">
        <f t="shared" si="5"/>
        <v>31B</v>
      </c>
      <c r="F145" s="28"/>
      <c r="G145" s="28"/>
      <c r="H145" s="28"/>
    </row>
    <row r="146" spans="1:8" x14ac:dyDescent="0.4">
      <c r="A146" s="14">
        <v>20</v>
      </c>
      <c r="B146" s="14">
        <v>1</v>
      </c>
      <c r="C146" s="11" t="s">
        <v>1025</v>
      </c>
      <c r="D146" s="29" t="str">
        <f t="shared" si="4"/>
        <v>2024/11</v>
      </c>
      <c r="E146" s="28" t="str">
        <f t="shared" si="5"/>
        <v>31D</v>
      </c>
      <c r="F146" s="28"/>
      <c r="G146" s="28"/>
      <c r="H146" s="28"/>
    </row>
    <row r="147" spans="1:8" x14ac:dyDescent="0.4">
      <c r="A147" s="14">
        <v>24</v>
      </c>
      <c r="B147" s="14">
        <v>1</v>
      </c>
      <c r="C147" s="11" t="s">
        <v>1025</v>
      </c>
      <c r="D147" s="29" t="str">
        <f t="shared" si="4"/>
        <v>2024/11</v>
      </c>
      <c r="E147" s="28" t="str">
        <f t="shared" si="5"/>
        <v>31D</v>
      </c>
      <c r="F147" s="28"/>
      <c r="G147" s="28"/>
      <c r="H147" s="28"/>
    </row>
    <row r="148" spans="1:8" x14ac:dyDescent="0.4">
      <c r="A148" s="14">
        <v>21</v>
      </c>
      <c r="B148" s="14">
        <v>1</v>
      </c>
      <c r="C148" s="11" t="s">
        <v>1096</v>
      </c>
      <c r="D148" s="29" t="str">
        <f t="shared" si="4"/>
        <v>2024/12</v>
      </c>
      <c r="E148" s="28" t="str">
        <f t="shared" si="5"/>
        <v>31D</v>
      </c>
      <c r="F148" s="28"/>
      <c r="G148" s="28"/>
      <c r="H148" s="28"/>
    </row>
    <row r="149" spans="1:8" x14ac:dyDescent="0.4">
      <c r="A149" s="14">
        <v>33</v>
      </c>
      <c r="B149" s="14">
        <v>1</v>
      </c>
      <c r="C149" s="11" t="s">
        <v>1096</v>
      </c>
      <c r="D149" s="29" t="str">
        <f t="shared" si="4"/>
        <v>2024/12</v>
      </c>
      <c r="E149" s="28" t="str">
        <f t="shared" si="5"/>
        <v>31F</v>
      </c>
      <c r="F149" s="28"/>
      <c r="G149" s="28"/>
      <c r="H149" s="28"/>
    </row>
    <row r="150" spans="1:8" x14ac:dyDescent="0.4">
      <c r="A150" s="14">
        <v>1</v>
      </c>
      <c r="B150" s="14">
        <v>1</v>
      </c>
      <c r="C150" s="11" t="s">
        <v>1026</v>
      </c>
      <c r="D150" s="29" t="str">
        <f t="shared" si="4"/>
        <v>2024/12</v>
      </c>
      <c r="E150" s="28" t="str">
        <f t="shared" si="5"/>
        <v>31A</v>
      </c>
      <c r="F150" s="28"/>
      <c r="G150" s="28"/>
      <c r="H150" s="28"/>
    </row>
    <row r="151" spans="1:8" x14ac:dyDescent="0.4">
      <c r="A151" s="14">
        <v>106</v>
      </c>
      <c r="B151" s="14">
        <v>1</v>
      </c>
      <c r="C151" s="11" t="s">
        <v>1027</v>
      </c>
      <c r="D151" s="29" t="str">
        <f t="shared" si="4"/>
        <v>2024/12</v>
      </c>
      <c r="E151" s="28" t="str">
        <f t="shared" si="5"/>
        <v>AB</v>
      </c>
      <c r="F151" s="28"/>
      <c r="G151" s="28"/>
      <c r="H151" s="28"/>
    </row>
    <row r="152" spans="1:8" x14ac:dyDescent="0.4">
      <c r="A152" s="14">
        <v>107</v>
      </c>
      <c r="B152" s="14">
        <v>1</v>
      </c>
      <c r="C152" s="11" t="s">
        <v>1027</v>
      </c>
      <c r="D152" s="29" t="str">
        <f t="shared" si="4"/>
        <v>2024/12</v>
      </c>
      <c r="E152" s="28" t="str">
        <f t="shared" si="5"/>
        <v>AB</v>
      </c>
      <c r="F152" s="28"/>
      <c r="G152" s="28"/>
      <c r="H152" s="28"/>
    </row>
    <row r="153" spans="1:8" x14ac:dyDescent="0.4">
      <c r="A153" s="14">
        <v>22</v>
      </c>
      <c r="B153" s="14">
        <v>1</v>
      </c>
      <c r="C153" s="11" t="s">
        <v>1097</v>
      </c>
      <c r="D153" s="29" t="str">
        <f t="shared" si="4"/>
        <v>2025/01</v>
      </c>
      <c r="E153" s="28" t="str">
        <f t="shared" si="5"/>
        <v>31D</v>
      </c>
      <c r="F153" s="28"/>
      <c r="G153" s="28"/>
      <c r="H153" s="28"/>
    </row>
    <row r="154" spans="1:8" x14ac:dyDescent="0.4">
      <c r="A154" s="14">
        <v>23</v>
      </c>
      <c r="B154" s="14">
        <v>1</v>
      </c>
      <c r="C154" s="11" t="s">
        <v>1097</v>
      </c>
      <c r="D154" s="29" t="str">
        <f t="shared" si="4"/>
        <v>2025/01</v>
      </c>
      <c r="E154" s="28" t="str">
        <f t="shared" si="5"/>
        <v>31D</v>
      </c>
      <c r="F154" s="28"/>
      <c r="G154" s="28"/>
      <c r="H154" s="28"/>
    </row>
    <row r="155" spans="1:8" x14ac:dyDescent="0.4">
      <c r="A155" s="14">
        <v>43</v>
      </c>
      <c r="B155" s="14">
        <v>0</v>
      </c>
      <c r="C155" s="11" t="s">
        <v>1098</v>
      </c>
      <c r="D155" s="29" t="str">
        <f t="shared" si="4"/>
        <v>2025/02</v>
      </c>
      <c r="E155" s="28" t="str">
        <f t="shared" si="5"/>
        <v>30G</v>
      </c>
      <c r="F155" s="28"/>
      <c r="G155" s="28"/>
      <c r="H155" s="28"/>
    </row>
    <row r="156" spans="1:8" x14ac:dyDescent="0.4">
      <c r="A156" s="14">
        <v>19</v>
      </c>
      <c r="B156" s="14">
        <v>0</v>
      </c>
      <c r="C156" s="11" t="s">
        <v>1098</v>
      </c>
      <c r="D156" s="29" t="str">
        <f t="shared" si="4"/>
        <v>2025/02</v>
      </c>
      <c r="E156" s="28" t="str">
        <f t="shared" si="5"/>
        <v>31D</v>
      </c>
      <c r="F156" s="28"/>
      <c r="G156" s="28"/>
      <c r="H156" s="28"/>
    </row>
    <row r="157" spans="1:8" x14ac:dyDescent="0.4">
      <c r="A157" s="14">
        <v>91</v>
      </c>
      <c r="B157" s="14">
        <v>0</v>
      </c>
      <c r="C157" s="11" t="s">
        <v>1099</v>
      </c>
      <c r="D157" s="29" t="str">
        <f t="shared" si="4"/>
        <v>2025/02</v>
      </c>
      <c r="E157" s="28" t="str">
        <f t="shared" si="5"/>
        <v>SRP</v>
      </c>
      <c r="F157" s="28"/>
      <c r="G157" s="28"/>
      <c r="H157" s="28"/>
    </row>
    <row r="158" spans="1:8" x14ac:dyDescent="0.4">
      <c r="A158" s="14">
        <v>4</v>
      </c>
      <c r="B158" s="14">
        <v>1</v>
      </c>
      <c r="C158" s="11" t="s">
        <v>1100</v>
      </c>
      <c r="D158" s="29" t="str">
        <f t="shared" si="4"/>
        <v>2025/02</v>
      </c>
      <c r="E158" s="28" t="str">
        <f t="shared" si="5"/>
        <v>31A</v>
      </c>
      <c r="F158" s="28"/>
      <c r="G158" s="28"/>
      <c r="H158" s="28"/>
    </row>
    <row r="159" spans="1:8" x14ac:dyDescent="0.4">
      <c r="A159" s="14">
        <v>13</v>
      </c>
      <c r="B159" s="14">
        <v>0</v>
      </c>
      <c r="C159" s="11" t="s">
        <v>1100</v>
      </c>
      <c r="D159" s="29" t="str">
        <f t="shared" si="4"/>
        <v>2025/02</v>
      </c>
      <c r="E159" s="28" t="str">
        <f t="shared" si="5"/>
        <v>31C</v>
      </c>
      <c r="F159" s="28"/>
      <c r="G159" s="28"/>
      <c r="H159" s="28"/>
    </row>
    <row r="160" spans="1:8" x14ac:dyDescent="0.4">
      <c r="A160" s="14">
        <v>5</v>
      </c>
      <c r="B160" s="14">
        <v>1</v>
      </c>
      <c r="C160" s="11" t="s">
        <v>1100</v>
      </c>
      <c r="D160" s="29" t="str">
        <f t="shared" si="4"/>
        <v>2025/02</v>
      </c>
      <c r="E160" s="28" t="str">
        <f t="shared" si="5"/>
        <v>31A</v>
      </c>
      <c r="F160" s="28"/>
      <c r="G160" s="28"/>
      <c r="H160" s="28"/>
    </row>
    <row r="161" spans="1:8" x14ac:dyDescent="0.4">
      <c r="A161" s="14">
        <v>44</v>
      </c>
      <c r="B161" s="14">
        <v>1</v>
      </c>
      <c r="C161" s="11" t="s">
        <v>1101</v>
      </c>
      <c r="D161" s="29" t="str">
        <f t="shared" si="4"/>
        <v>2025/03</v>
      </c>
      <c r="E161" s="28" t="str">
        <f t="shared" si="5"/>
        <v>30G</v>
      </c>
      <c r="F161" s="28"/>
      <c r="G161" s="28"/>
      <c r="H161" s="28"/>
    </row>
    <row r="162" spans="1:8" x14ac:dyDescent="0.4">
      <c r="A162" s="14">
        <v>46</v>
      </c>
      <c r="B162" s="14">
        <v>1</v>
      </c>
      <c r="C162" s="11" t="s">
        <v>1101</v>
      </c>
      <c r="D162" s="29" t="str">
        <f t="shared" si="4"/>
        <v>2025/03</v>
      </c>
      <c r="E162" s="28" t="str">
        <f t="shared" si="5"/>
        <v>30G</v>
      </c>
      <c r="F162" s="28"/>
      <c r="G162" s="28"/>
      <c r="H162" s="28"/>
    </row>
    <row r="163" spans="1:8" x14ac:dyDescent="0.4">
      <c r="A163" s="14">
        <v>25</v>
      </c>
      <c r="B163" s="14">
        <v>0</v>
      </c>
      <c r="C163" s="11" t="s">
        <v>1102</v>
      </c>
      <c r="D163" s="29" t="str">
        <f t="shared" si="4"/>
        <v>2025/03</v>
      </c>
      <c r="E163" s="28" t="str">
        <f t="shared" si="5"/>
        <v>31E</v>
      </c>
      <c r="F163" s="28"/>
      <c r="G163" s="28"/>
      <c r="H163" s="28"/>
    </row>
    <row r="164" spans="1:8" x14ac:dyDescent="0.4">
      <c r="A164" s="14">
        <v>39</v>
      </c>
      <c r="B164" s="14">
        <v>1</v>
      </c>
      <c r="C164" s="11" t="s">
        <v>1103</v>
      </c>
      <c r="D164" s="29" t="str">
        <f t="shared" si="4"/>
        <v>2025/04</v>
      </c>
      <c r="E164" s="28" t="str">
        <f t="shared" si="5"/>
        <v>31X</v>
      </c>
      <c r="F164" s="28"/>
      <c r="G164" s="28"/>
      <c r="H164" s="28"/>
    </row>
    <row r="165" spans="1:8" x14ac:dyDescent="0.4">
      <c r="A165" s="14">
        <v>41</v>
      </c>
      <c r="B165" s="14">
        <v>1</v>
      </c>
      <c r="C165" s="11" t="s">
        <v>1103</v>
      </c>
      <c r="D165" s="29" t="str">
        <f t="shared" si="4"/>
        <v>2025/04</v>
      </c>
      <c r="E165" s="28" t="str">
        <f t="shared" si="5"/>
        <v>31X</v>
      </c>
      <c r="F165" s="28"/>
      <c r="G165" s="28"/>
      <c r="H165" s="28"/>
    </row>
    <row r="166" spans="1:8" x14ac:dyDescent="0.4">
      <c r="A166" s="14">
        <v>16</v>
      </c>
      <c r="B166" s="14">
        <v>0</v>
      </c>
      <c r="C166" s="11" t="s">
        <v>1104</v>
      </c>
      <c r="D166" s="29" t="str">
        <f t="shared" si="4"/>
        <v>2025/04</v>
      </c>
      <c r="E166" s="28" t="str">
        <f t="shared" si="5"/>
        <v>31C</v>
      </c>
      <c r="F166" s="28"/>
      <c r="G166" s="28"/>
      <c r="H166" s="28"/>
    </row>
    <row r="167" spans="1:8" x14ac:dyDescent="0.4">
      <c r="A167" s="14">
        <v>14</v>
      </c>
      <c r="B167" s="14">
        <v>1</v>
      </c>
      <c r="C167" s="11" t="s">
        <v>1105</v>
      </c>
      <c r="D167" s="29" t="str">
        <f t="shared" si="4"/>
        <v>2025/05</v>
      </c>
      <c r="E167" s="28" t="str">
        <f t="shared" si="5"/>
        <v>31C</v>
      </c>
      <c r="F167" s="28"/>
      <c r="G167" s="28"/>
      <c r="H167" s="28"/>
    </row>
    <row r="168" spans="1:8" x14ac:dyDescent="0.4">
      <c r="A168" s="14">
        <v>15</v>
      </c>
      <c r="B168" s="14">
        <v>1</v>
      </c>
      <c r="C168" s="11" t="s">
        <v>1105</v>
      </c>
      <c r="D168" s="29" t="str">
        <f t="shared" si="4"/>
        <v>2025/05</v>
      </c>
      <c r="E168" s="28" t="str">
        <f t="shared" si="5"/>
        <v>31C</v>
      </c>
      <c r="F168" s="28"/>
      <c r="G168" s="28"/>
      <c r="H168" s="28"/>
    </row>
    <row r="169" spans="1:8" x14ac:dyDescent="0.4">
      <c r="A169" s="14">
        <v>28</v>
      </c>
      <c r="B169" s="14">
        <v>1</v>
      </c>
      <c r="C169" s="11" t="s">
        <v>1106</v>
      </c>
      <c r="D169" s="29" t="str">
        <f t="shared" si="4"/>
        <v>2025/05</v>
      </c>
      <c r="E169" s="28" t="str">
        <f t="shared" si="5"/>
        <v>31E</v>
      </c>
      <c r="F169" s="28"/>
      <c r="G169" s="28"/>
      <c r="H169" s="28"/>
    </row>
    <row r="170" spans="1:8" x14ac:dyDescent="0.4">
      <c r="A170" s="14">
        <v>31</v>
      </c>
      <c r="B170" s="14">
        <v>0</v>
      </c>
      <c r="C170" s="11" t="s">
        <v>1107</v>
      </c>
      <c r="D170" s="29" t="str">
        <f t="shared" si="4"/>
        <v>2025/05</v>
      </c>
      <c r="E170" s="28" t="str">
        <f t="shared" si="5"/>
        <v>31F</v>
      </c>
      <c r="F170" s="28"/>
      <c r="G170" s="28"/>
      <c r="H170" s="28"/>
    </row>
    <row r="171" spans="1:8" x14ac:dyDescent="0.4">
      <c r="A171" s="14">
        <v>34</v>
      </c>
      <c r="B171" s="14">
        <v>1</v>
      </c>
      <c r="C171" s="11" t="s">
        <v>1107</v>
      </c>
      <c r="D171" s="29" t="str">
        <f t="shared" si="4"/>
        <v>2025/05</v>
      </c>
      <c r="E171" s="28" t="str">
        <f t="shared" si="5"/>
        <v>31F</v>
      </c>
      <c r="F171" s="28"/>
      <c r="G171" s="28"/>
      <c r="H171" s="28"/>
    </row>
    <row r="172" spans="1:8" x14ac:dyDescent="0.4">
      <c r="A172" s="14">
        <v>20</v>
      </c>
      <c r="B172" s="14">
        <v>1</v>
      </c>
      <c r="C172" s="11" t="s">
        <v>1108</v>
      </c>
      <c r="D172" s="29" t="str">
        <f t="shared" si="4"/>
        <v>2025/06</v>
      </c>
      <c r="E172" s="28" t="str">
        <f t="shared" si="5"/>
        <v>31D</v>
      </c>
      <c r="F172" s="28"/>
      <c r="G172" s="28"/>
      <c r="H172" s="28"/>
    </row>
    <row r="173" spans="1:8" x14ac:dyDescent="0.4">
      <c r="A173" s="14">
        <v>38</v>
      </c>
      <c r="B173" s="14">
        <v>1</v>
      </c>
      <c r="C173" s="11" t="s">
        <v>1108</v>
      </c>
      <c r="D173" s="29" t="str">
        <f t="shared" si="4"/>
        <v>2025/06</v>
      </c>
      <c r="E173" s="28" t="str">
        <f t="shared" si="5"/>
        <v>31X</v>
      </c>
      <c r="F173" s="28"/>
      <c r="G173" s="28"/>
      <c r="H173" s="28"/>
    </row>
    <row r="174" spans="1:8" x14ac:dyDescent="0.4">
      <c r="A174" s="14">
        <v>10</v>
      </c>
      <c r="B174" s="14">
        <v>1</v>
      </c>
      <c r="C174" s="11" t="s">
        <v>1109</v>
      </c>
      <c r="D174" s="29" t="str">
        <f t="shared" si="4"/>
        <v>2025/06</v>
      </c>
      <c r="E174" s="28" t="str">
        <f t="shared" si="5"/>
        <v>31B</v>
      </c>
      <c r="F174" s="28"/>
      <c r="G174" s="28"/>
      <c r="H174" s="28"/>
    </row>
    <row r="175" spans="1:8" x14ac:dyDescent="0.4">
      <c r="A175" s="14">
        <v>11</v>
      </c>
      <c r="B175" s="14">
        <v>1</v>
      </c>
      <c r="C175" s="11" t="s">
        <v>1109</v>
      </c>
      <c r="D175" s="29" t="str">
        <f t="shared" si="4"/>
        <v>2025/06</v>
      </c>
      <c r="E175" s="28" t="str">
        <f t="shared" si="5"/>
        <v>31B</v>
      </c>
      <c r="F175" s="28"/>
      <c r="G175" s="28"/>
      <c r="H175" s="28"/>
    </row>
    <row r="176" spans="1:8" x14ac:dyDescent="0.4">
      <c r="A176" s="14">
        <v>26</v>
      </c>
      <c r="B176" s="14">
        <v>1</v>
      </c>
      <c r="C176" s="11" t="s">
        <v>1110</v>
      </c>
      <c r="D176" s="29" t="str">
        <f t="shared" si="4"/>
        <v>2025/07</v>
      </c>
      <c r="E176" s="28" t="str">
        <f t="shared" si="5"/>
        <v>31E</v>
      </c>
      <c r="F176" s="28"/>
      <c r="G176" s="28"/>
      <c r="H176" s="28"/>
    </row>
    <row r="177" spans="1:8" x14ac:dyDescent="0.4">
      <c r="A177" s="14">
        <v>30</v>
      </c>
      <c r="B177" s="14">
        <v>1</v>
      </c>
      <c r="C177" s="11" t="s">
        <v>1110</v>
      </c>
      <c r="D177" s="29" t="str">
        <f t="shared" si="4"/>
        <v>2025/07</v>
      </c>
      <c r="E177" s="28" t="str">
        <f t="shared" si="5"/>
        <v>31E</v>
      </c>
      <c r="F177" s="28"/>
      <c r="G177" s="28"/>
      <c r="H177" s="28"/>
    </row>
    <row r="178" spans="1:8" x14ac:dyDescent="0.4">
      <c r="A178" s="14">
        <v>7</v>
      </c>
      <c r="B178" s="14">
        <v>0</v>
      </c>
      <c r="C178" s="11" t="s">
        <v>1111</v>
      </c>
      <c r="D178" s="29" t="str">
        <f t="shared" si="4"/>
        <v>2025/07</v>
      </c>
      <c r="E178" s="28" t="str">
        <f t="shared" si="5"/>
        <v>31B</v>
      </c>
      <c r="F178" s="28"/>
      <c r="G178" s="28"/>
      <c r="H178" s="28"/>
    </row>
    <row r="179" spans="1:8" x14ac:dyDescent="0.4">
      <c r="A179" s="14">
        <v>45</v>
      </c>
      <c r="B179" s="14">
        <v>0</v>
      </c>
      <c r="C179" s="11" t="s">
        <v>1112</v>
      </c>
      <c r="D179" s="29" t="str">
        <f t="shared" si="4"/>
        <v>2025/08</v>
      </c>
      <c r="E179" s="28" t="str">
        <f t="shared" si="5"/>
        <v>30G</v>
      </c>
      <c r="F179" s="28"/>
      <c r="G179" s="28"/>
      <c r="H179" s="28"/>
    </row>
    <row r="180" spans="1:8" x14ac:dyDescent="0.4">
      <c r="A180" s="14">
        <v>48</v>
      </c>
      <c r="B180" s="14">
        <v>0</v>
      </c>
      <c r="C180" s="11" t="s">
        <v>1112</v>
      </c>
      <c r="D180" s="29" t="str">
        <f t="shared" si="4"/>
        <v>2025/08</v>
      </c>
      <c r="E180" s="28" t="str">
        <f t="shared" si="5"/>
        <v>30G</v>
      </c>
      <c r="F180" s="28"/>
      <c r="G180" s="28"/>
      <c r="H180" s="28"/>
    </row>
    <row r="181" spans="1:8" x14ac:dyDescent="0.4">
      <c r="A181" s="14">
        <v>5</v>
      </c>
      <c r="B181" s="14">
        <v>0</v>
      </c>
      <c r="C181" s="11" t="s">
        <v>1113</v>
      </c>
      <c r="D181" s="29" t="str">
        <f t="shared" si="4"/>
        <v>2025/08</v>
      </c>
      <c r="E181" s="28" t="str">
        <f t="shared" si="5"/>
        <v>31A</v>
      </c>
      <c r="F181" s="28"/>
      <c r="G181" s="28"/>
      <c r="H181" s="28"/>
    </row>
    <row r="182" spans="1:8" x14ac:dyDescent="0.4">
      <c r="A182" s="14">
        <v>5</v>
      </c>
      <c r="B182" s="14">
        <v>9</v>
      </c>
      <c r="C182" s="11" t="s">
        <v>1113</v>
      </c>
      <c r="D182" s="29" t="str">
        <f t="shared" si="4"/>
        <v>2025/08</v>
      </c>
      <c r="E182" s="28" t="str">
        <f t="shared" si="5"/>
        <v>31A</v>
      </c>
      <c r="F182" s="28"/>
      <c r="G182" s="28"/>
      <c r="H182" s="28"/>
    </row>
    <row r="183" spans="1:8" x14ac:dyDescent="0.4">
      <c r="A183" s="14">
        <v>18</v>
      </c>
      <c r="B183" s="14">
        <v>1</v>
      </c>
      <c r="C183" s="11" t="s">
        <v>1114</v>
      </c>
      <c r="D183" s="29" t="str">
        <f t="shared" si="4"/>
        <v>2025/08</v>
      </c>
      <c r="E183" s="28" t="str">
        <f t="shared" si="5"/>
        <v>31C</v>
      </c>
      <c r="F183" s="28"/>
      <c r="G183" s="28"/>
      <c r="H183" s="28"/>
    </row>
    <row r="184" spans="1:8" x14ac:dyDescent="0.4">
      <c r="A184" s="14">
        <v>24</v>
      </c>
      <c r="B184" s="14">
        <v>0</v>
      </c>
      <c r="C184" s="11" t="s">
        <v>1114</v>
      </c>
      <c r="D184" s="29" t="str">
        <f t="shared" si="4"/>
        <v>2025/08</v>
      </c>
      <c r="E184" s="28" t="str">
        <f t="shared" si="5"/>
        <v>31D</v>
      </c>
      <c r="F184" s="28"/>
      <c r="G184" s="28"/>
      <c r="H184" s="28"/>
    </row>
    <row r="185" spans="1:8" x14ac:dyDescent="0.4">
      <c r="A185" s="14">
        <v>37</v>
      </c>
      <c r="B185" s="14">
        <v>0</v>
      </c>
      <c r="C185" s="11" t="s">
        <v>1115</v>
      </c>
      <c r="D185" s="29" t="str">
        <f t="shared" si="4"/>
        <v>2025/09</v>
      </c>
      <c r="E185" s="28" t="str">
        <f t="shared" si="5"/>
        <v>31X</v>
      </c>
      <c r="F185" s="28"/>
      <c r="G185" s="28"/>
      <c r="H185" s="28"/>
    </row>
    <row r="186" spans="1:8" x14ac:dyDescent="0.4">
      <c r="A186" s="14">
        <v>40</v>
      </c>
      <c r="B186" s="14">
        <v>1</v>
      </c>
      <c r="C186" s="11" t="s">
        <v>1115</v>
      </c>
      <c r="D186" s="29" t="str">
        <f t="shared" si="4"/>
        <v>2025/09</v>
      </c>
      <c r="E186" s="28" t="str">
        <f t="shared" si="5"/>
        <v>31X</v>
      </c>
      <c r="F186" s="28"/>
      <c r="G186" s="28"/>
      <c r="H186" s="28"/>
    </row>
    <row r="187" spans="1:8" x14ac:dyDescent="0.4">
      <c r="A187" s="14">
        <v>42</v>
      </c>
      <c r="B187" s="14">
        <v>1</v>
      </c>
      <c r="C187" s="11" t="s">
        <v>1116</v>
      </c>
      <c r="D187" s="29" t="str">
        <f t="shared" si="4"/>
        <v>2025/09</v>
      </c>
      <c r="E187" s="28" t="str">
        <f t="shared" si="5"/>
        <v>31X</v>
      </c>
      <c r="F187" s="28"/>
      <c r="G187" s="28"/>
      <c r="H187" s="28"/>
    </row>
    <row r="188" spans="1:8" x14ac:dyDescent="0.4">
      <c r="A188" s="14">
        <v>1</v>
      </c>
      <c r="B188" s="14">
        <v>0</v>
      </c>
      <c r="C188" s="11" t="s">
        <v>1117</v>
      </c>
      <c r="D188" s="29" t="str">
        <f t="shared" si="4"/>
        <v>2025/10</v>
      </c>
      <c r="E188" s="28" t="str">
        <f t="shared" si="5"/>
        <v>31A</v>
      </c>
      <c r="F188" s="28"/>
      <c r="G188" s="28"/>
      <c r="H188" s="28"/>
    </row>
    <row r="189" spans="1:8" x14ac:dyDescent="0.4">
      <c r="A189" s="14">
        <v>8</v>
      </c>
      <c r="B189" s="14">
        <v>0</v>
      </c>
      <c r="C189" s="11" t="s">
        <v>1028</v>
      </c>
      <c r="D189" s="29" t="str">
        <f t="shared" si="4"/>
        <v>2025/10</v>
      </c>
      <c r="E189" s="28" t="str">
        <f t="shared" si="5"/>
        <v>31B</v>
      </c>
      <c r="F189" s="28"/>
      <c r="G189" s="28"/>
      <c r="H189" s="28"/>
    </row>
    <row r="190" spans="1:8" x14ac:dyDescent="0.4">
      <c r="A190" s="14">
        <v>6</v>
      </c>
      <c r="B190" s="14">
        <v>0</v>
      </c>
      <c r="C190" s="11" t="s">
        <v>1029</v>
      </c>
      <c r="D190" s="29" t="str">
        <f t="shared" si="4"/>
        <v>2025/10</v>
      </c>
      <c r="E190" s="28" t="str">
        <f t="shared" si="5"/>
        <v>31A</v>
      </c>
      <c r="F190" s="28"/>
      <c r="G190" s="28"/>
      <c r="H190" s="28"/>
    </row>
    <row r="191" spans="1:8" x14ac:dyDescent="0.4">
      <c r="A191" s="14">
        <v>9</v>
      </c>
      <c r="B191" s="14">
        <v>1</v>
      </c>
      <c r="C191" s="11" t="s">
        <v>1029</v>
      </c>
      <c r="D191" s="29" t="str">
        <f t="shared" si="4"/>
        <v>2025/10</v>
      </c>
      <c r="E191" s="28" t="str">
        <f t="shared" si="5"/>
        <v>31B</v>
      </c>
      <c r="F191" s="28"/>
      <c r="G191" s="28"/>
      <c r="H191" s="28"/>
    </row>
    <row r="192" spans="1:8" x14ac:dyDescent="0.4">
      <c r="A192" s="14">
        <v>27</v>
      </c>
      <c r="B192" s="14">
        <v>0</v>
      </c>
      <c r="C192" s="11" t="s">
        <v>1030</v>
      </c>
      <c r="D192" s="29" t="str">
        <f t="shared" si="4"/>
        <v>2025/10</v>
      </c>
      <c r="E192" s="28" t="str">
        <f t="shared" si="5"/>
        <v>31E</v>
      </c>
      <c r="F192" s="28"/>
      <c r="G192" s="28"/>
      <c r="H192" s="28"/>
    </row>
    <row r="193" spans="1:8" x14ac:dyDescent="0.4">
      <c r="A193" s="14">
        <v>29</v>
      </c>
      <c r="B193" s="14">
        <v>1</v>
      </c>
      <c r="C193" s="11" t="s">
        <v>1030</v>
      </c>
      <c r="D193" s="29" t="str">
        <f t="shared" si="4"/>
        <v>2025/10</v>
      </c>
      <c r="E193" s="28" t="str">
        <f t="shared" si="5"/>
        <v>31E</v>
      </c>
      <c r="F193" s="28"/>
      <c r="G193" s="28"/>
      <c r="H193" s="28"/>
    </row>
    <row r="194" spans="1:8" x14ac:dyDescent="0.4">
      <c r="A194" s="14">
        <v>13</v>
      </c>
      <c r="B194" s="14">
        <v>0</v>
      </c>
      <c r="C194" s="11" t="s">
        <v>1031</v>
      </c>
      <c r="D194" s="29" t="str">
        <f t="shared" si="4"/>
        <v>2025/11</v>
      </c>
      <c r="E194" s="28" t="str">
        <f t="shared" si="5"/>
        <v>31C</v>
      </c>
      <c r="F194" s="28"/>
      <c r="G194" s="28"/>
      <c r="H194" s="28"/>
    </row>
    <row r="195" spans="1:8" x14ac:dyDescent="0.4">
      <c r="A195" s="14">
        <v>32</v>
      </c>
      <c r="B195" s="14">
        <v>0</v>
      </c>
      <c r="C195" s="11" t="s">
        <v>1032</v>
      </c>
      <c r="D195" s="29" t="str">
        <f t="shared" si="4"/>
        <v>2025/11</v>
      </c>
      <c r="E195" s="28" t="str">
        <f t="shared" si="5"/>
        <v>31F</v>
      </c>
      <c r="F195" s="28"/>
      <c r="G195" s="28"/>
      <c r="H195" s="28"/>
    </row>
    <row r="196" spans="1:8" x14ac:dyDescent="0.4">
      <c r="A196" s="14">
        <v>39</v>
      </c>
      <c r="B196" s="14">
        <v>1</v>
      </c>
      <c r="C196" s="11" t="s">
        <v>1032</v>
      </c>
      <c r="D196" s="29" t="str">
        <f t="shared" si="4"/>
        <v>2025/11</v>
      </c>
      <c r="E196" s="28" t="str">
        <f t="shared" si="5"/>
        <v>31X</v>
      </c>
      <c r="F196" s="28"/>
      <c r="G196" s="28"/>
      <c r="H196" s="28"/>
    </row>
    <row r="197" spans="1:8" x14ac:dyDescent="0.4">
      <c r="A197" s="14">
        <v>17</v>
      </c>
      <c r="B197" s="14">
        <v>0</v>
      </c>
      <c r="C197" s="11" t="s">
        <v>1033</v>
      </c>
      <c r="D197" s="29" t="str">
        <f t="shared" si="4"/>
        <v>2025/12</v>
      </c>
      <c r="E197" s="28" t="str">
        <f t="shared" si="5"/>
        <v>31C</v>
      </c>
      <c r="F197" s="28"/>
      <c r="G197" s="28"/>
      <c r="H197" s="28"/>
    </row>
    <row r="198" spans="1:8" x14ac:dyDescent="0.4">
      <c r="A198" s="14">
        <v>1</v>
      </c>
      <c r="B198" s="14">
        <v>0</v>
      </c>
      <c r="C198" s="11" t="s">
        <v>1034</v>
      </c>
      <c r="D198" s="29" t="str">
        <f t="shared" si="4"/>
        <v>2025/12</v>
      </c>
      <c r="E198" s="28" t="str">
        <f t="shared" si="5"/>
        <v>31A</v>
      </c>
      <c r="F198" s="28"/>
      <c r="G198" s="28"/>
      <c r="H198" s="28"/>
    </row>
    <row r="199" spans="1:8" x14ac:dyDescent="0.4">
      <c r="A199" s="14">
        <v>43</v>
      </c>
      <c r="B199" s="14">
        <v>0</v>
      </c>
      <c r="C199" s="11" t="s">
        <v>1034</v>
      </c>
      <c r="D199" s="29" t="str">
        <f t="shared" si="4"/>
        <v>2025/12</v>
      </c>
      <c r="E199" s="28" t="str">
        <f t="shared" si="5"/>
        <v>30G</v>
      </c>
      <c r="F199" s="28"/>
      <c r="G199" s="28"/>
      <c r="H199" s="28"/>
    </row>
    <row r="200" spans="1:8" x14ac:dyDescent="0.4">
      <c r="A200" s="14">
        <v>7</v>
      </c>
      <c r="B200" s="14">
        <v>0</v>
      </c>
      <c r="C200" s="11" t="s">
        <v>1118</v>
      </c>
      <c r="D200" s="29" t="str">
        <f t="shared" ref="D200:D224" si="6">LEFT(C200,7)</f>
        <v>2026/01</v>
      </c>
      <c r="E200" s="28" t="str">
        <f t="shared" ref="E200:E224" si="7">VLOOKUP(A200,F:G,2)</f>
        <v>31B</v>
      </c>
      <c r="F200" s="28"/>
      <c r="G200" s="28"/>
      <c r="H200" s="28"/>
    </row>
    <row r="201" spans="1:8" x14ac:dyDescent="0.4">
      <c r="A201" s="14">
        <v>91</v>
      </c>
      <c r="B201" s="14">
        <v>0</v>
      </c>
      <c r="C201" s="11" t="s">
        <v>1119</v>
      </c>
      <c r="D201" s="29" t="str">
        <f t="shared" si="6"/>
        <v>2026/02</v>
      </c>
      <c r="E201" s="28" t="str">
        <f t="shared" si="7"/>
        <v>SRP</v>
      </c>
      <c r="F201" s="28"/>
      <c r="G201" s="28"/>
      <c r="H201" s="28"/>
    </row>
    <row r="202" spans="1:8" x14ac:dyDescent="0.4">
      <c r="A202" s="14">
        <v>92</v>
      </c>
      <c r="B202" s="14">
        <v>0</v>
      </c>
      <c r="C202" s="11" t="s">
        <v>1120</v>
      </c>
      <c r="D202" s="29" t="str">
        <f t="shared" si="6"/>
        <v>2026/02</v>
      </c>
      <c r="E202" s="28" t="str">
        <f t="shared" si="7"/>
        <v>SRP</v>
      </c>
      <c r="F202" s="28"/>
      <c r="G202" s="28"/>
      <c r="H202" s="28"/>
    </row>
    <row r="203" spans="1:8" x14ac:dyDescent="0.4">
      <c r="A203" s="14">
        <v>3</v>
      </c>
      <c r="B203" s="14">
        <v>0</v>
      </c>
      <c r="C203" s="11" t="s">
        <v>1121</v>
      </c>
      <c r="D203" s="29" t="str">
        <f t="shared" si="6"/>
        <v>2026/02</v>
      </c>
      <c r="E203" s="28" t="str">
        <f t="shared" si="7"/>
        <v>31A</v>
      </c>
      <c r="F203" s="28"/>
      <c r="G203" s="28"/>
      <c r="H203" s="28"/>
    </row>
    <row r="204" spans="1:8" x14ac:dyDescent="0.4">
      <c r="A204" s="14">
        <v>13</v>
      </c>
      <c r="B204" s="14">
        <v>1</v>
      </c>
      <c r="C204" s="11" t="s">
        <v>1121</v>
      </c>
      <c r="D204" s="29" t="str">
        <f t="shared" si="6"/>
        <v>2026/02</v>
      </c>
      <c r="E204" s="28" t="str">
        <f t="shared" si="7"/>
        <v>31C</v>
      </c>
      <c r="F204" s="28"/>
      <c r="G204" s="28"/>
      <c r="H204" s="28"/>
    </row>
    <row r="205" spans="1:8" x14ac:dyDescent="0.4">
      <c r="A205" s="14">
        <v>37</v>
      </c>
      <c r="B205" s="14">
        <v>1</v>
      </c>
      <c r="C205" s="11" t="s">
        <v>1122</v>
      </c>
      <c r="D205" s="29" t="str">
        <f t="shared" si="6"/>
        <v>2026/03</v>
      </c>
      <c r="E205" s="28" t="str">
        <f t="shared" si="7"/>
        <v>31X</v>
      </c>
      <c r="F205" s="28"/>
      <c r="G205" s="28"/>
      <c r="H205" s="28"/>
    </row>
    <row r="206" spans="1:8" x14ac:dyDescent="0.4">
      <c r="A206" s="14">
        <v>41</v>
      </c>
      <c r="B206" s="14">
        <v>1</v>
      </c>
      <c r="C206" s="11" t="s">
        <v>1122</v>
      </c>
      <c r="D206" s="29" t="str">
        <f t="shared" si="6"/>
        <v>2026/03</v>
      </c>
      <c r="E206" s="28" t="str">
        <f t="shared" si="7"/>
        <v>31X</v>
      </c>
      <c r="F206" s="28"/>
      <c r="G206" s="28"/>
      <c r="H206" s="28"/>
    </row>
    <row r="207" spans="1:8" x14ac:dyDescent="0.4">
      <c r="A207" s="14">
        <v>47</v>
      </c>
      <c r="B207" s="14">
        <v>0</v>
      </c>
      <c r="C207" s="11" t="s">
        <v>1123</v>
      </c>
      <c r="D207" s="29" t="str">
        <f t="shared" si="6"/>
        <v>2026/03</v>
      </c>
      <c r="E207" s="28" t="str">
        <f t="shared" si="7"/>
        <v>30G</v>
      </c>
      <c r="F207" s="28"/>
      <c r="G207" s="28"/>
      <c r="H207" s="28"/>
    </row>
    <row r="208" spans="1:8" x14ac:dyDescent="0.4">
      <c r="A208" s="14">
        <v>19</v>
      </c>
      <c r="B208" s="14">
        <v>0</v>
      </c>
      <c r="C208" s="11" t="s">
        <v>1124</v>
      </c>
      <c r="D208" s="29" t="str">
        <f t="shared" si="6"/>
        <v>2026/04</v>
      </c>
      <c r="E208" s="28" t="str">
        <f t="shared" si="7"/>
        <v>31D</v>
      </c>
      <c r="F208" s="28"/>
      <c r="G208" s="28"/>
      <c r="H208" s="28"/>
    </row>
    <row r="209" spans="1:8" x14ac:dyDescent="0.4">
      <c r="A209" s="14">
        <v>23</v>
      </c>
      <c r="B209" s="14">
        <v>0</v>
      </c>
      <c r="C209" s="11" t="s">
        <v>1124</v>
      </c>
      <c r="D209" s="29" t="str">
        <f t="shared" si="6"/>
        <v>2026/04</v>
      </c>
      <c r="E209" s="28" t="str">
        <f t="shared" si="7"/>
        <v>31D</v>
      </c>
      <c r="F209" s="28"/>
      <c r="G209" s="28"/>
      <c r="H209" s="28"/>
    </row>
    <row r="210" spans="1:8" x14ac:dyDescent="0.4">
      <c r="A210" s="14">
        <v>35</v>
      </c>
      <c r="B210" s="14">
        <v>0</v>
      </c>
      <c r="C210" s="11" t="s">
        <v>1125</v>
      </c>
      <c r="D210" s="29" t="str">
        <f t="shared" si="6"/>
        <v>2026/04</v>
      </c>
      <c r="E210" s="28" t="str">
        <f t="shared" si="7"/>
        <v>31F</v>
      </c>
      <c r="F210" s="28"/>
      <c r="G210" s="28"/>
      <c r="H210" s="28"/>
    </row>
    <row r="211" spans="1:8" x14ac:dyDescent="0.4">
      <c r="A211" s="14">
        <v>36</v>
      </c>
      <c r="B211" s="14">
        <v>0</v>
      </c>
      <c r="C211" s="11" t="s">
        <v>1125</v>
      </c>
      <c r="D211" s="29" t="str">
        <f t="shared" si="6"/>
        <v>2026/04</v>
      </c>
      <c r="E211" s="28" t="str">
        <f t="shared" si="7"/>
        <v>31F</v>
      </c>
      <c r="F211" s="28"/>
      <c r="G211" s="28"/>
      <c r="H211" s="28"/>
    </row>
    <row r="212" spans="1:8" x14ac:dyDescent="0.4">
      <c r="A212" s="14">
        <v>12</v>
      </c>
      <c r="B212" s="14">
        <v>0</v>
      </c>
      <c r="C212" s="11" t="s">
        <v>1126</v>
      </c>
      <c r="D212" s="29" t="str">
        <f t="shared" si="6"/>
        <v>2026/05</v>
      </c>
      <c r="E212" s="28" t="str">
        <f t="shared" si="7"/>
        <v>31B</v>
      </c>
      <c r="F212" s="28"/>
      <c r="G212" s="28"/>
      <c r="H212" s="28"/>
    </row>
    <row r="213" spans="1:8" x14ac:dyDescent="0.4">
      <c r="A213" s="14">
        <v>4</v>
      </c>
      <c r="B213" s="14">
        <v>0</v>
      </c>
      <c r="C213" s="11" t="s">
        <v>1127</v>
      </c>
      <c r="D213" s="29" t="str">
        <f t="shared" si="6"/>
        <v>2026/05</v>
      </c>
      <c r="E213" s="28" t="str">
        <f t="shared" si="7"/>
        <v>31A</v>
      </c>
      <c r="F213" s="28"/>
      <c r="G213" s="28"/>
      <c r="H213" s="28"/>
    </row>
    <row r="214" spans="1:8" x14ac:dyDescent="0.4">
      <c r="A214" s="14">
        <v>111</v>
      </c>
      <c r="B214" s="14">
        <v>1</v>
      </c>
      <c r="C214" s="11" t="s">
        <v>1127</v>
      </c>
      <c r="D214" s="29" t="str">
        <f t="shared" si="6"/>
        <v>2026/05</v>
      </c>
      <c r="E214" s="28" t="str">
        <f t="shared" si="7"/>
        <v>P5R</v>
      </c>
      <c r="F214" s="28"/>
      <c r="G214" s="28"/>
      <c r="H214" s="28"/>
    </row>
    <row r="215" spans="1:8" x14ac:dyDescent="0.4">
      <c r="A215" s="14">
        <v>112</v>
      </c>
      <c r="B215" s="14">
        <v>0</v>
      </c>
      <c r="C215" s="11" t="s">
        <v>1127</v>
      </c>
      <c r="D215" s="29" t="str">
        <f t="shared" si="6"/>
        <v>2026/05</v>
      </c>
      <c r="E215" s="28" t="str">
        <f t="shared" si="7"/>
        <v>P5R</v>
      </c>
      <c r="F215" s="28"/>
      <c r="G215" s="28"/>
      <c r="H215" s="28"/>
    </row>
    <row r="216" spans="1:8" x14ac:dyDescent="0.4">
      <c r="A216" s="14">
        <v>1</v>
      </c>
      <c r="B216" s="14">
        <v>0</v>
      </c>
      <c r="C216" s="11" t="s">
        <v>1128</v>
      </c>
      <c r="D216" s="29" t="str">
        <f t="shared" si="6"/>
        <v>2026/06</v>
      </c>
      <c r="E216" s="28" t="str">
        <f t="shared" si="7"/>
        <v>31A</v>
      </c>
      <c r="F216" s="28"/>
      <c r="G216" s="28"/>
      <c r="H216" s="28"/>
    </row>
    <row r="217" spans="1:8" x14ac:dyDescent="0.4">
      <c r="A217" s="14">
        <v>113</v>
      </c>
      <c r="B217" s="14">
        <v>0</v>
      </c>
      <c r="C217" s="11" t="s">
        <v>1128</v>
      </c>
      <c r="D217" s="29" t="str">
        <f t="shared" si="6"/>
        <v>2026/06</v>
      </c>
      <c r="E217" s="28" t="str">
        <f t="shared" si="7"/>
        <v>P5R</v>
      </c>
      <c r="F217" s="28"/>
      <c r="G217" s="28"/>
      <c r="H217" s="28"/>
    </row>
    <row r="218" spans="1:8" x14ac:dyDescent="0.4">
      <c r="A218" s="14">
        <v>38</v>
      </c>
      <c r="B218" s="14">
        <v>1</v>
      </c>
      <c r="C218" s="11" t="s">
        <v>1129</v>
      </c>
      <c r="D218" s="29" t="str">
        <f t="shared" si="6"/>
        <v>2026/06</v>
      </c>
      <c r="E218" s="28" t="str">
        <f t="shared" si="7"/>
        <v>31X</v>
      </c>
      <c r="F218" s="28"/>
      <c r="G218" s="28"/>
      <c r="H218" s="28"/>
    </row>
    <row r="219" spans="1:8" x14ac:dyDescent="0.4">
      <c r="A219" s="14">
        <v>42</v>
      </c>
      <c r="B219" s="14">
        <v>0</v>
      </c>
      <c r="C219" s="11" t="s">
        <v>1129</v>
      </c>
      <c r="D219" s="29" t="str">
        <f t="shared" si="6"/>
        <v>2026/06</v>
      </c>
      <c r="E219" s="28" t="str">
        <f t="shared" si="7"/>
        <v>31X</v>
      </c>
      <c r="F219" s="28"/>
      <c r="G219" s="28"/>
      <c r="H219" s="28"/>
    </row>
    <row r="220" spans="1:8" x14ac:dyDescent="0.4">
      <c r="A220" s="14">
        <v>33</v>
      </c>
      <c r="B220" s="14">
        <v>0</v>
      </c>
      <c r="C220" s="11" t="s">
        <v>1130</v>
      </c>
      <c r="D220" s="29" t="str">
        <f t="shared" si="6"/>
        <v>2026/07</v>
      </c>
      <c r="E220" s="28" t="str">
        <f t="shared" si="7"/>
        <v>31F</v>
      </c>
      <c r="F220" s="28"/>
      <c r="G220" s="28"/>
      <c r="H220" s="28"/>
    </row>
    <row r="221" spans="1:8" x14ac:dyDescent="0.4">
      <c r="A221" s="14">
        <v>25</v>
      </c>
      <c r="B221" s="14">
        <v>0</v>
      </c>
      <c r="C221" s="11" t="s">
        <v>1131</v>
      </c>
      <c r="D221" s="29" t="str">
        <f t="shared" si="6"/>
        <v>2026/07</v>
      </c>
      <c r="E221" s="28" t="str">
        <f t="shared" si="7"/>
        <v>31E</v>
      </c>
      <c r="F221" s="28"/>
      <c r="G221" s="28"/>
      <c r="H221" s="28"/>
    </row>
    <row r="222" spans="1:8" x14ac:dyDescent="0.4">
      <c r="A222" s="14">
        <v>28</v>
      </c>
      <c r="B222" s="14">
        <v>0</v>
      </c>
      <c r="C222" s="11" t="s">
        <v>1131</v>
      </c>
      <c r="D222" s="29" t="str">
        <f t="shared" si="6"/>
        <v>2026/07</v>
      </c>
      <c r="E222" s="28" t="str">
        <f t="shared" si="7"/>
        <v>31E</v>
      </c>
      <c r="F222" s="28"/>
      <c r="G222" s="28"/>
      <c r="H222" s="28"/>
    </row>
    <row r="223" spans="1:8" x14ac:dyDescent="0.4">
      <c r="A223" s="14">
        <v>50</v>
      </c>
      <c r="B223" s="14">
        <v>0</v>
      </c>
      <c r="C223" s="11" t="s">
        <v>1132</v>
      </c>
      <c r="D223" s="29" t="str">
        <f t="shared" si="6"/>
        <v>2026/08</v>
      </c>
      <c r="E223" s="28" t="str">
        <f t="shared" si="7"/>
        <v>19A</v>
      </c>
      <c r="F223" s="28"/>
      <c r="G223" s="28"/>
      <c r="H223" s="28"/>
    </row>
    <row r="224" spans="1:8" x14ac:dyDescent="0.4">
      <c r="A224" s="14">
        <v>8</v>
      </c>
      <c r="B224" s="14">
        <v>0</v>
      </c>
      <c r="C224" s="11" t="s">
        <v>1133</v>
      </c>
      <c r="D224" s="29" t="str">
        <f t="shared" si="6"/>
        <v>2026/08</v>
      </c>
      <c r="E224" s="28" t="str">
        <f t="shared" si="7"/>
        <v>31B</v>
      </c>
      <c r="F224" s="28"/>
      <c r="G224" s="28"/>
      <c r="H224" s="28"/>
    </row>
    <row r="225" spans="1:8" x14ac:dyDescent="0.4">
      <c r="A225" s="14"/>
      <c r="B225" s="14"/>
      <c r="C225" s="11"/>
      <c r="D225" s="27"/>
      <c r="E225" s="28"/>
      <c r="F225" s="28"/>
      <c r="G225" s="28"/>
      <c r="H225" s="28"/>
    </row>
    <row r="226" spans="1:8" x14ac:dyDescent="0.4">
      <c r="A226" s="14"/>
      <c r="B226" s="14"/>
      <c r="C226" s="11"/>
      <c r="D226" s="27"/>
      <c r="E226" s="28"/>
      <c r="F226" s="28"/>
      <c r="G226" s="28"/>
      <c r="H226" s="28"/>
    </row>
    <row r="227" spans="1:8" x14ac:dyDescent="0.4">
      <c r="A227" s="14"/>
      <c r="B227" s="14"/>
      <c r="C227" s="11"/>
      <c r="D227" s="27"/>
      <c r="E227" s="28"/>
      <c r="F227" s="28"/>
      <c r="G227" s="28"/>
      <c r="H227" s="28"/>
    </row>
    <row r="228" spans="1:8" x14ac:dyDescent="0.4">
      <c r="A228" s="14"/>
      <c r="B228" s="14"/>
      <c r="C228" s="11"/>
      <c r="D228" s="27"/>
      <c r="E228" s="28"/>
      <c r="F228" s="28"/>
      <c r="G228" s="28"/>
      <c r="H228" s="28"/>
    </row>
    <row r="229" spans="1:8" x14ac:dyDescent="0.4">
      <c r="A229" s="14"/>
      <c r="B229" s="14"/>
      <c r="C229" s="11"/>
      <c r="D229" s="27"/>
      <c r="E229" s="28"/>
      <c r="F229" s="28"/>
      <c r="G229" s="28"/>
      <c r="H229" s="28"/>
    </row>
    <row r="230" spans="1:8" x14ac:dyDescent="0.4">
      <c r="A230" s="14"/>
      <c r="B230" s="14"/>
      <c r="C230" s="11"/>
      <c r="D230" s="27"/>
      <c r="E230" s="28"/>
      <c r="F230" s="28"/>
      <c r="G230" s="28"/>
      <c r="H230" s="28"/>
    </row>
    <row r="231" spans="1:8" x14ac:dyDescent="0.4">
      <c r="A231" s="14"/>
      <c r="B231" s="14"/>
      <c r="C231" s="11"/>
      <c r="D231" s="27"/>
      <c r="E231" s="28"/>
      <c r="F231" s="28"/>
      <c r="G231" s="28"/>
      <c r="H231" s="28"/>
    </row>
    <row r="232" spans="1:8" x14ac:dyDescent="0.4">
      <c r="A232" s="14"/>
      <c r="B232" s="14"/>
      <c r="C232" s="11"/>
      <c r="D232" s="27"/>
      <c r="E232" s="28"/>
      <c r="F232" s="28"/>
      <c r="G232" s="28"/>
      <c r="H232" s="28"/>
    </row>
    <row r="233" spans="1:8" x14ac:dyDescent="0.4">
      <c r="A233" s="14"/>
      <c r="B233" s="14"/>
      <c r="C233" s="11"/>
      <c r="D233" s="27"/>
      <c r="E233" s="28"/>
      <c r="F233" s="28"/>
      <c r="G233" s="28"/>
      <c r="H233" s="28"/>
    </row>
    <row r="234" spans="1:8" x14ac:dyDescent="0.4">
      <c r="A234" s="14"/>
      <c r="B234" s="14"/>
      <c r="C234" s="11"/>
      <c r="D234" s="27"/>
      <c r="E234" s="28"/>
      <c r="F234" s="28"/>
      <c r="G234" s="28"/>
      <c r="H234" s="28"/>
    </row>
    <row r="235" spans="1:8" x14ac:dyDescent="0.4">
      <c r="A235" s="14"/>
      <c r="B235" s="14"/>
      <c r="C235" s="11"/>
      <c r="D235" s="27"/>
      <c r="E235" s="28"/>
      <c r="F235" s="28"/>
      <c r="G235" s="28"/>
      <c r="H235" s="28"/>
    </row>
    <row r="236" spans="1:8" x14ac:dyDescent="0.4">
      <c r="A236" s="14"/>
      <c r="B236" s="14"/>
      <c r="C236" s="11"/>
      <c r="D236" s="27"/>
      <c r="E236" s="28"/>
      <c r="F236" s="28"/>
      <c r="G236" s="28"/>
      <c r="H236" s="28"/>
    </row>
    <row r="237" spans="1:8" x14ac:dyDescent="0.4">
      <c r="A237" s="14"/>
      <c r="B237" s="14"/>
      <c r="C237" s="11"/>
      <c r="D237" s="27"/>
      <c r="E237" s="28"/>
      <c r="F237" s="28"/>
      <c r="G237" s="28"/>
      <c r="H237" s="28"/>
    </row>
    <row r="238" spans="1:8" x14ac:dyDescent="0.4">
      <c r="A238" s="14"/>
      <c r="B238" s="14"/>
      <c r="C238" s="11"/>
      <c r="D238" s="27"/>
      <c r="E238" s="28"/>
      <c r="F238" s="28"/>
      <c r="G238" s="28"/>
      <c r="H238" s="28"/>
    </row>
    <row r="239" spans="1:8" x14ac:dyDescent="0.4">
      <c r="A239" s="14"/>
      <c r="B239" s="14"/>
      <c r="C239" s="11"/>
      <c r="D239" s="27"/>
      <c r="E239" s="28"/>
      <c r="F239" s="28"/>
      <c r="G239" s="28"/>
      <c r="H239" s="28"/>
    </row>
    <row r="240" spans="1:8" x14ac:dyDescent="0.4">
      <c r="A240" s="14"/>
      <c r="B240" s="14"/>
      <c r="C240" s="11"/>
      <c r="D240" s="27"/>
      <c r="E240" s="28"/>
      <c r="F240" s="28"/>
      <c r="G240" s="28"/>
      <c r="H240" s="28"/>
    </row>
    <row r="241" spans="1:8" x14ac:dyDescent="0.4">
      <c r="A241" s="14"/>
      <c r="B241" s="14"/>
      <c r="C241" s="11"/>
      <c r="D241" s="27"/>
      <c r="E241" s="28"/>
      <c r="F241" s="28"/>
      <c r="G241" s="28"/>
      <c r="H241" s="28"/>
    </row>
    <row r="242" spans="1:8" x14ac:dyDescent="0.4">
      <c r="A242" s="14"/>
      <c r="B242" s="14"/>
      <c r="C242" s="11"/>
      <c r="D242" s="27"/>
      <c r="E242" s="28"/>
      <c r="F242" s="28"/>
      <c r="G242" s="28"/>
      <c r="H242" s="28"/>
    </row>
    <row r="243" spans="1:8" x14ac:dyDescent="0.4">
      <c r="A243" s="14"/>
      <c r="B243" s="14"/>
      <c r="C243" s="11"/>
      <c r="D243" s="27"/>
      <c r="E243" s="28"/>
      <c r="F243" s="28"/>
      <c r="G243" s="28"/>
      <c r="H243" s="28"/>
    </row>
    <row r="244" spans="1:8" x14ac:dyDescent="0.4">
      <c r="A244" s="14"/>
      <c r="B244" s="14"/>
      <c r="C244" s="11"/>
      <c r="D244" s="27"/>
      <c r="E244" s="28"/>
      <c r="F244" s="28"/>
      <c r="G244" s="28"/>
      <c r="H244" s="28"/>
    </row>
    <row r="245" spans="1:8" x14ac:dyDescent="0.4">
      <c r="A245" s="14"/>
      <c r="B245" s="14"/>
      <c r="C245" s="11"/>
      <c r="D245" s="27"/>
      <c r="E245" s="28"/>
      <c r="F245" s="28"/>
      <c r="G245" s="28"/>
      <c r="H245" s="28"/>
    </row>
    <row r="246" spans="1:8" x14ac:dyDescent="0.4">
      <c r="A246" s="14"/>
      <c r="B246" s="14"/>
      <c r="C246" s="11"/>
      <c r="D246" s="27"/>
      <c r="E246" s="28"/>
      <c r="F246" s="28"/>
      <c r="G246" s="28"/>
      <c r="H246" s="28"/>
    </row>
    <row r="247" spans="1:8" x14ac:dyDescent="0.4">
      <c r="A247" s="14"/>
      <c r="B247" s="14"/>
      <c r="C247" s="11"/>
      <c r="D247" s="27"/>
      <c r="E247" s="28"/>
      <c r="F247" s="28"/>
      <c r="G247" s="28"/>
      <c r="H247" s="28"/>
    </row>
    <row r="248" spans="1:8" x14ac:dyDescent="0.4">
      <c r="A248" s="14"/>
      <c r="B248" s="14"/>
      <c r="C248" s="11"/>
      <c r="D248" s="27"/>
      <c r="E248" s="28"/>
      <c r="F248" s="28"/>
      <c r="G248" s="28"/>
      <c r="H248" s="28"/>
    </row>
    <row r="249" spans="1:8" x14ac:dyDescent="0.4">
      <c r="A249" s="14"/>
      <c r="B249" s="14"/>
      <c r="C249" s="11"/>
      <c r="D249" s="27"/>
      <c r="E249" s="28"/>
      <c r="F249" s="28"/>
      <c r="G249" s="28"/>
      <c r="H249" s="28"/>
    </row>
    <row r="250" spans="1:8" x14ac:dyDescent="0.4">
      <c r="A250" s="14"/>
      <c r="B250" s="14"/>
      <c r="C250" s="11"/>
      <c r="D250" s="27"/>
      <c r="E250" s="28"/>
      <c r="F250" s="28"/>
      <c r="G250" s="28"/>
      <c r="H250" s="28"/>
    </row>
    <row r="251" spans="1:8" x14ac:dyDescent="0.4">
      <c r="A251" s="14"/>
      <c r="B251" s="14"/>
      <c r="C251" s="11"/>
      <c r="D251" s="27"/>
      <c r="E251" s="28"/>
      <c r="F251" s="28"/>
      <c r="G251" s="28"/>
      <c r="H251" s="28"/>
    </row>
    <row r="252" spans="1:8" x14ac:dyDescent="0.4">
      <c r="A252" s="14"/>
      <c r="B252" s="14"/>
      <c r="C252" s="11"/>
      <c r="D252" s="27"/>
      <c r="E252" s="28"/>
      <c r="F252" s="28"/>
      <c r="G252" s="28"/>
      <c r="H252" s="28"/>
    </row>
    <row r="253" spans="1:8" x14ac:dyDescent="0.4">
      <c r="A253" s="14"/>
      <c r="B253" s="14"/>
      <c r="C253" s="11"/>
      <c r="D253" s="27"/>
      <c r="E253" s="28"/>
      <c r="F253" s="28"/>
      <c r="G253" s="28"/>
      <c r="H253" s="28"/>
    </row>
    <row r="254" spans="1:8" x14ac:dyDescent="0.4">
      <c r="A254" s="14"/>
      <c r="B254" s="14"/>
      <c r="C254" s="11"/>
      <c r="D254" s="27"/>
      <c r="E254" s="28"/>
      <c r="F254" s="28"/>
      <c r="G254" s="28"/>
      <c r="H254" s="28"/>
    </row>
    <row r="255" spans="1:8" x14ac:dyDescent="0.4">
      <c r="A255" s="14"/>
      <c r="B255" s="14"/>
      <c r="C255" s="11"/>
      <c r="D255" s="27"/>
      <c r="E255" s="28"/>
      <c r="F255" s="28"/>
      <c r="G255" s="28"/>
      <c r="H255" s="28"/>
    </row>
    <row r="256" spans="1:8" x14ac:dyDescent="0.4">
      <c r="A256" s="14"/>
      <c r="B256" s="14"/>
      <c r="C256" s="11"/>
      <c r="D256" s="27"/>
      <c r="E256" s="28"/>
      <c r="F256" s="28"/>
      <c r="G256" s="28"/>
      <c r="H256" s="28"/>
    </row>
    <row r="257" spans="1:8" x14ac:dyDescent="0.4">
      <c r="A257" s="14"/>
      <c r="B257" s="14"/>
      <c r="C257" s="11"/>
      <c r="D257" s="27"/>
      <c r="E257" s="28"/>
      <c r="F257" s="28"/>
      <c r="G257" s="28"/>
      <c r="H257" s="28"/>
    </row>
    <row r="258" spans="1:8" x14ac:dyDescent="0.4">
      <c r="A258" s="14"/>
      <c r="B258" s="14"/>
      <c r="C258" s="11"/>
      <c r="D258" s="27"/>
      <c r="E258" s="28"/>
      <c r="F258" s="28"/>
      <c r="G258" s="28"/>
      <c r="H258" s="28"/>
    </row>
    <row r="259" spans="1:8" x14ac:dyDescent="0.4">
      <c r="A259" s="14"/>
      <c r="B259" s="14"/>
      <c r="C259" s="11"/>
      <c r="D259" s="27"/>
      <c r="E259" s="28"/>
      <c r="F259" s="28"/>
      <c r="G259" s="28"/>
      <c r="H259" s="28"/>
    </row>
    <row r="260" spans="1:8" x14ac:dyDescent="0.4">
      <c r="A260" s="14"/>
      <c r="B260" s="14"/>
      <c r="C260" s="11"/>
      <c r="D260" s="27"/>
      <c r="E260" s="28"/>
      <c r="F260" s="28"/>
      <c r="G260" s="28"/>
      <c r="H260" s="28"/>
    </row>
    <row r="261" spans="1:8" x14ac:dyDescent="0.4">
      <c r="A261" s="14"/>
      <c r="B261" s="14"/>
      <c r="C261" s="11"/>
      <c r="D261" s="27"/>
      <c r="E261" s="28"/>
      <c r="F261" s="28"/>
      <c r="G261" s="28"/>
      <c r="H261" s="28"/>
    </row>
    <row r="262" spans="1:8" x14ac:dyDescent="0.4">
      <c r="A262" s="14"/>
      <c r="B262" s="14"/>
      <c r="C262" s="11"/>
      <c r="D262" s="27"/>
      <c r="E262" s="28"/>
      <c r="F262" s="28"/>
      <c r="G262" s="28"/>
      <c r="H262" s="28"/>
    </row>
    <row r="263" spans="1:8" x14ac:dyDescent="0.4">
      <c r="A263" s="14"/>
      <c r="B263" s="14"/>
      <c r="C263" s="11"/>
      <c r="D263" s="27"/>
      <c r="E263" s="28"/>
      <c r="F263" s="28"/>
      <c r="G263" s="28"/>
      <c r="H263" s="28"/>
    </row>
    <row r="264" spans="1:8" x14ac:dyDescent="0.4">
      <c r="A264" s="14"/>
      <c r="B264" s="14"/>
      <c r="C264" s="11"/>
      <c r="D264" s="27"/>
      <c r="E264" s="28"/>
      <c r="F264" s="28"/>
      <c r="G264" s="28"/>
      <c r="H264" s="28"/>
    </row>
    <row r="265" spans="1:8" x14ac:dyDescent="0.4">
      <c r="A265" s="14"/>
      <c r="B265" s="14"/>
      <c r="C265" s="11"/>
      <c r="D265" s="27"/>
      <c r="E265" s="28"/>
      <c r="F265" s="28"/>
      <c r="G265" s="28"/>
      <c r="H265" s="28"/>
    </row>
    <row r="266" spans="1:8" x14ac:dyDescent="0.4">
      <c r="A266" s="14"/>
      <c r="B266" s="14"/>
      <c r="C266" s="11"/>
      <c r="D266" s="27"/>
      <c r="E266" s="28"/>
      <c r="F266" s="28"/>
      <c r="G266" s="28"/>
      <c r="H266" s="28"/>
    </row>
    <row r="267" spans="1:8" x14ac:dyDescent="0.4">
      <c r="A267" s="14"/>
      <c r="B267" s="14"/>
      <c r="C267" s="11"/>
      <c r="D267" s="27"/>
      <c r="E267" s="28"/>
      <c r="F267" s="28"/>
      <c r="G267" s="28"/>
      <c r="H267" s="28"/>
    </row>
    <row r="268" spans="1:8" x14ac:dyDescent="0.4">
      <c r="A268" s="14"/>
      <c r="B268" s="14"/>
      <c r="C268" s="11"/>
      <c r="D268" s="27"/>
      <c r="E268" s="28"/>
      <c r="F268" s="28"/>
      <c r="G268" s="28"/>
      <c r="H268" s="28"/>
    </row>
    <row r="269" spans="1:8" x14ac:dyDescent="0.4">
      <c r="A269" s="14"/>
      <c r="B269" s="14"/>
      <c r="C269" s="11"/>
      <c r="D269" s="27"/>
      <c r="E269" s="28"/>
      <c r="F269" s="28"/>
      <c r="G269" s="28"/>
      <c r="H269" s="28"/>
    </row>
    <row r="270" spans="1:8" x14ac:dyDescent="0.4">
      <c r="A270" s="14"/>
      <c r="B270" s="14"/>
      <c r="C270" s="11"/>
      <c r="D270" s="27"/>
      <c r="E270" s="28"/>
      <c r="F270" s="28"/>
      <c r="G270" s="28"/>
      <c r="H270" s="28"/>
    </row>
    <row r="271" spans="1:8" x14ac:dyDescent="0.4">
      <c r="A271" s="14"/>
      <c r="B271" s="14"/>
      <c r="C271" s="11"/>
      <c r="D271" s="27"/>
      <c r="E271" s="28"/>
      <c r="F271" s="28"/>
      <c r="G271" s="28"/>
      <c r="H271" s="28"/>
    </row>
    <row r="272" spans="1:8" x14ac:dyDescent="0.4">
      <c r="A272" s="14"/>
      <c r="B272" s="14"/>
      <c r="C272" s="11"/>
      <c r="D272" s="27"/>
      <c r="E272" s="28"/>
      <c r="F272" s="28"/>
      <c r="G272" s="28"/>
      <c r="H272" s="28"/>
    </row>
    <row r="273" spans="1:8" x14ac:dyDescent="0.4">
      <c r="A273" s="14"/>
      <c r="B273" s="14"/>
      <c r="C273" s="11"/>
      <c r="D273" s="27"/>
      <c r="E273" s="28"/>
      <c r="F273" s="28"/>
      <c r="G273" s="28"/>
      <c r="H273" s="28"/>
    </row>
    <row r="274" spans="1:8" x14ac:dyDescent="0.4">
      <c r="A274" s="14"/>
      <c r="B274" s="14"/>
      <c r="C274" s="11"/>
      <c r="D274" s="27"/>
      <c r="E274" s="28"/>
      <c r="F274" s="28"/>
      <c r="G274" s="28"/>
      <c r="H274" s="28"/>
    </row>
    <row r="275" spans="1:8" x14ac:dyDescent="0.4">
      <c r="A275" s="14"/>
      <c r="B275" s="14"/>
      <c r="C275" s="11"/>
      <c r="D275" s="27"/>
      <c r="E275" s="28"/>
      <c r="F275" s="28"/>
      <c r="G275" s="28"/>
      <c r="H275" s="28"/>
    </row>
    <row r="276" spans="1:8" x14ac:dyDescent="0.4">
      <c r="A276" s="14"/>
      <c r="B276" s="14"/>
      <c r="C276" s="11"/>
      <c r="D276" s="27"/>
      <c r="E276" s="28"/>
      <c r="F276" s="28"/>
      <c r="G276" s="28"/>
      <c r="H276" s="28"/>
    </row>
    <row r="277" spans="1:8" x14ac:dyDescent="0.4">
      <c r="A277" s="14"/>
      <c r="B277" s="14"/>
      <c r="C277" s="11"/>
      <c r="D277" s="27"/>
      <c r="E277" s="28"/>
      <c r="F277" s="28"/>
      <c r="G277" s="28"/>
      <c r="H277" s="28"/>
    </row>
    <row r="278" spans="1:8" x14ac:dyDescent="0.4">
      <c r="A278" s="14"/>
      <c r="B278" s="14"/>
      <c r="C278" s="11"/>
      <c r="D278" s="27"/>
      <c r="E278" s="28"/>
      <c r="F278" s="28"/>
      <c r="G278" s="28"/>
      <c r="H278" s="28"/>
    </row>
    <row r="279" spans="1:8" x14ac:dyDescent="0.4">
      <c r="A279" s="14"/>
      <c r="B279" s="14"/>
      <c r="C279" s="11"/>
      <c r="D279" s="27"/>
      <c r="E279" s="28"/>
      <c r="F279" s="28"/>
      <c r="G279" s="28"/>
      <c r="H279" s="28"/>
    </row>
    <row r="280" spans="1:8" x14ac:dyDescent="0.4">
      <c r="A280" s="14"/>
      <c r="B280" s="14"/>
      <c r="C280" s="11"/>
      <c r="D280" s="27"/>
      <c r="E280" s="28"/>
      <c r="F280" s="28"/>
      <c r="G280" s="28"/>
      <c r="H280" s="28"/>
    </row>
    <row r="281" spans="1:8" x14ac:dyDescent="0.4">
      <c r="A281" s="14"/>
      <c r="B281" s="14"/>
      <c r="C281" s="11"/>
      <c r="D281" s="27"/>
      <c r="E281" s="28"/>
      <c r="F281" s="28"/>
      <c r="G281" s="28"/>
      <c r="H281" s="28"/>
    </row>
    <row r="282" spans="1:8" x14ac:dyDescent="0.4">
      <c r="A282" s="14"/>
      <c r="B282" s="14"/>
      <c r="C282" s="11"/>
      <c r="D282" s="27"/>
      <c r="E282" s="28"/>
      <c r="F282" s="28"/>
      <c r="G282" s="28"/>
      <c r="H282" s="28"/>
    </row>
    <row r="283" spans="1:8" x14ac:dyDescent="0.4">
      <c r="A283" s="14"/>
      <c r="B283" s="14"/>
      <c r="C283" s="11"/>
      <c r="D283" s="27"/>
      <c r="E283" s="28"/>
      <c r="F283" s="28"/>
      <c r="G283" s="28"/>
      <c r="H283" s="28"/>
    </row>
    <row r="284" spans="1:8" x14ac:dyDescent="0.4">
      <c r="A284" s="14"/>
      <c r="B284" s="14"/>
      <c r="C284" s="11"/>
      <c r="D284" s="27"/>
      <c r="E284" s="28"/>
      <c r="F284" s="28"/>
      <c r="G284" s="28"/>
      <c r="H284" s="28"/>
    </row>
    <row r="285" spans="1:8" x14ac:dyDescent="0.4">
      <c r="A285" s="14"/>
      <c r="B285" s="14"/>
      <c r="C285" s="11"/>
      <c r="D285" s="27"/>
      <c r="E285" s="28"/>
      <c r="F285" s="28"/>
      <c r="G285" s="28"/>
      <c r="H285" s="28"/>
    </row>
    <row r="286" spans="1:8" x14ac:dyDescent="0.4">
      <c r="A286" s="14"/>
      <c r="B286" s="14"/>
      <c r="C286" s="11"/>
      <c r="D286" s="27"/>
      <c r="E286" s="28"/>
      <c r="F286" s="28"/>
      <c r="G286" s="28"/>
      <c r="H286" s="28"/>
    </row>
    <row r="287" spans="1:8" x14ac:dyDescent="0.4">
      <c r="A287" s="14"/>
      <c r="B287" s="14"/>
      <c r="C287" s="11"/>
      <c r="D287" s="27"/>
      <c r="E287" s="28"/>
      <c r="F287" s="28"/>
      <c r="G287" s="28"/>
      <c r="H287" s="28"/>
    </row>
    <row r="288" spans="1:8" x14ac:dyDescent="0.4">
      <c r="A288" s="14"/>
      <c r="B288" s="14"/>
      <c r="C288" s="11"/>
      <c r="D288" s="27"/>
      <c r="E288" s="28"/>
      <c r="F288" s="28"/>
      <c r="G288" s="28"/>
      <c r="H288" s="28"/>
    </row>
    <row r="289" spans="1:8" x14ac:dyDescent="0.4">
      <c r="A289" s="14"/>
      <c r="B289" s="14"/>
      <c r="C289" s="11"/>
      <c r="D289" s="27"/>
      <c r="E289" s="28"/>
      <c r="F289" s="28"/>
      <c r="G289" s="28"/>
      <c r="H289" s="28"/>
    </row>
    <row r="290" spans="1:8" x14ac:dyDescent="0.4">
      <c r="A290" s="14"/>
      <c r="B290" s="14"/>
      <c r="C290" s="11"/>
      <c r="D290" s="27"/>
      <c r="E290" s="28"/>
      <c r="F290" s="28"/>
      <c r="G290" s="28"/>
      <c r="H290" s="28"/>
    </row>
    <row r="291" spans="1:8" x14ac:dyDescent="0.4">
      <c r="A291" s="14"/>
      <c r="B291" s="14"/>
      <c r="C291" s="11"/>
      <c r="D291" s="27"/>
      <c r="E291" s="28"/>
      <c r="F291" s="28"/>
      <c r="G291" s="28"/>
      <c r="H291" s="28"/>
    </row>
    <row r="292" spans="1:8" x14ac:dyDescent="0.4">
      <c r="A292" s="14"/>
      <c r="B292" s="14"/>
      <c r="C292" s="11"/>
      <c r="D292" s="27"/>
      <c r="E292" s="28"/>
      <c r="F292" s="28"/>
      <c r="G292" s="28"/>
      <c r="H292" s="28"/>
    </row>
    <row r="293" spans="1:8" x14ac:dyDescent="0.4">
      <c r="A293" s="14"/>
      <c r="B293" s="14"/>
      <c r="C293" s="11"/>
      <c r="D293" s="27"/>
      <c r="E293" s="28"/>
      <c r="F293" s="28"/>
      <c r="G293" s="28"/>
      <c r="H293" s="28"/>
    </row>
    <row r="294" spans="1:8" x14ac:dyDescent="0.4">
      <c r="A294" s="14"/>
      <c r="B294" s="14"/>
      <c r="C294" s="11"/>
      <c r="D294" s="27"/>
      <c r="E294" s="28"/>
      <c r="F294" s="28"/>
      <c r="G294" s="28"/>
      <c r="H294" s="28"/>
    </row>
    <row r="295" spans="1:8" x14ac:dyDescent="0.4">
      <c r="A295" s="14"/>
      <c r="B295" s="14"/>
      <c r="C295" s="11"/>
      <c r="D295" s="27"/>
      <c r="E295" s="28"/>
      <c r="F295" s="28"/>
      <c r="G295" s="28"/>
      <c r="H295" s="28"/>
    </row>
    <row r="296" spans="1:8" x14ac:dyDescent="0.4">
      <c r="A296" s="14"/>
      <c r="B296" s="14"/>
      <c r="C296" s="11"/>
      <c r="D296" s="27"/>
      <c r="E296" s="28"/>
      <c r="F296" s="28"/>
      <c r="G296" s="28"/>
      <c r="H296" s="28"/>
    </row>
    <row r="297" spans="1:8" x14ac:dyDescent="0.4">
      <c r="A297" s="14"/>
      <c r="B297" s="14"/>
      <c r="C297" s="11"/>
      <c r="D297" s="27"/>
      <c r="E297" s="28"/>
      <c r="F297" s="28"/>
      <c r="G297" s="28"/>
      <c r="H297" s="28"/>
    </row>
    <row r="298" spans="1:8" x14ac:dyDescent="0.4">
      <c r="A298" s="14"/>
      <c r="B298" s="14"/>
      <c r="C298" s="11"/>
      <c r="D298" s="27"/>
      <c r="E298" s="28"/>
      <c r="F298" s="28"/>
      <c r="G298" s="28"/>
      <c r="H298" s="28"/>
    </row>
    <row r="299" spans="1:8" x14ac:dyDescent="0.4">
      <c r="A299" s="14"/>
      <c r="B299" s="14"/>
      <c r="C299" s="11"/>
      <c r="D299" s="27"/>
      <c r="E299" s="28"/>
      <c r="F299" s="28"/>
      <c r="G299" s="28"/>
      <c r="H299" s="28"/>
    </row>
    <row r="300" spans="1:8" x14ac:dyDescent="0.4">
      <c r="A300" s="14"/>
      <c r="B300" s="14"/>
      <c r="C300" s="11"/>
      <c r="D300" s="27"/>
      <c r="E300" s="28"/>
      <c r="F300" s="28"/>
      <c r="G300" s="28"/>
      <c r="H300" s="28"/>
    </row>
    <row r="301" spans="1:8" x14ac:dyDescent="0.4">
      <c r="A301" s="14"/>
      <c r="B301" s="14"/>
      <c r="C301" s="11"/>
      <c r="D301" s="27"/>
      <c r="E301" s="28"/>
      <c r="F301" s="28"/>
      <c r="G301" s="28"/>
      <c r="H301" s="28"/>
    </row>
    <row r="302" spans="1:8" x14ac:dyDescent="0.4">
      <c r="A302" s="14"/>
      <c r="B302" s="14"/>
      <c r="C302" s="11"/>
      <c r="D302" s="27"/>
      <c r="E302" s="28"/>
      <c r="F302" s="28"/>
      <c r="G302" s="28"/>
      <c r="H302" s="28"/>
    </row>
    <row r="303" spans="1:8" x14ac:dyDescent="0.4">
      <c r="A303" s="14"/>
      <c r="B303" s="14"/>
      <c r="C303" s="11"/>
      <c r="D303" s="27"/>
      <c r="E303" s="28"/>
      <c r="F303" s="28"/>
      <c r="G303" s="28"/>
      <c r="H303" s="28"/>
    </row>
    <row r="304" spans="1:8" x14ac:dyDescent="0.4">
      <c r="A304" s="14"/>
      <c r="B304" s="14"/>
      <c r="C304" s="11"/>
      <c r="D304" s="27"/>
      <c r="E304" s="28"/>
      <c r="F304" s="28"/>
      <c r="G304" s="28"/>
      <c r="H304" s="28"/>
    </row>
    <row r="305" spans="1:8" x14ac:dyDescent="0.4">
      <c r="A305" s="14"/>
      <c r="B305" s="14"/>
      <c r="C305" s="11"/>
      <c r="D305" s="27"/>
      <c r="E305" s="28"/>
      <c r="F305" s="28"/>
      <c r="G305" s="28"/>
      <c r="H305" s="28"/>
    </row>
    <row r="306" spans="1:8" x14ac:dyDescent="0.4">
      <c r="A306" s="14"/>
      <c r="B306" s="14"/>
      <c r="C306" s="11"/>
      <c r="D306" s="27"/>
      <c r="E306" s="28"/>
      <c r="F306" s="28"/>
      <c r="G306" s="28"/>
      <c r="H306" s="28"/>
    </row>
    <row r="307" spans="1:8" x14ac:dyDescent="0.4">
      <c r="A307" s="14"/>
      <c r="B307" s="14"/>
      <c r="C307" s="11"/>
      <c r="D307" s="27"/>
      <c r="E307" s="28"/>
      <c r="F307" s="28"/>
      <c r="G307" s="28"/>
      <c r="H307" s="28"/>
    </row>
    <row r="308" spans="1:8" x14ac:dyDescent="0.4">
      <c r="A308" s="14"/>
      <c r="B308" s="14"/>
      <c r="C308" s="11"/>
      <c r="D308" s="27"/>
      <c r="E308" s="28"/>
      <c r="F308" s="28"/>
      <c r="G308" s="28"/>
      <c r="H308" s="28"/>
    </row>
    <row r="309" spans="1:8" x14ac:dyDescent="0.4">
      <c r="A309" s="14"/>
      <c r="B309" s="14"/>
      <c r="C309" s="11"/>
      <c r="D309" s="27"/>
      <c r="E309" s="28"/>
      <c r="F309" s="28"/>
      <c r="G309" s="28"/>
      <c r="H309" s="28"/>
    </row>
    <row r="310" spans="1:8" x14ac:dyDescent="0.4">
      <c r="A310" s="14"/>
      <c r="B310" s="14"/>
      <c r="C310" s="11"/>
      <c r="D310" s="27"/>
      <c r="E310" s="28"/>
      <c r="F310" s="28"/>
      <c r="G310" s="28"/>
      <c r="H310" s="28"/>
    </row>
    <row r="311" spans="1:8" x14ac:dyDescent="0.4">
      <c r="A311" s="14"/>
      <c r="B311" s="14"/>
      <c r="C311" s="11"/>
      <c r="D311" s="27"/>
      <c r="E311" s="28"/>
      <c r="F311" s="28"/>
      <c r="G311" s="28"/>
      <c r="H311" s="28"/>
    </row>
    <row r="312" spans="1:8" x14ac:dyDescent="0.4">
      <c r="A312" s="14"/>
      <c r="B312" s="14"/>
      <c r="C312" s="11"/>
      <c r="D312" s="27"/>
      <c r="E312" s="28"/>
      <c r="F312" s="28"/>
      <c r="G312" s="28"/>
      <c r="H312" s="28"/>
    </row>
    <row r="313" spans="1:8" x14ac:dyDescent="0.4">
      <c r="A313" s="14"/>
      <c r="B313" s="14"/>
      <c r="C313" s="11"/>
      <c r="D313" s="27"/>
      <c r="E313" s="28"/>
      <c r="F313" s="28"/>
      <c r="G313" s="28"/>
      <c r="H313" s="28"/>
    </row>
    <row r="314" spans="1:8" x14ac:dyDescent="0.4">
      <c r="A314" s="14"/>
      <c r="B314" s="14"/>
      <c r="C314" s="11"/>
      <c r="D314" s="27"/>
      <c r="E314" s="28"/>
      <c r="F314" s="28"/>
      <c r="G314" s="28"/>
      <c r="H314" s="28"/>
    </row>
    <row r="315" spans="1:8" x14ac:dyDescent="0.4">
      <c r="A315" s="14"/>
      <c r="B315" s="14"/>
      <c r="C315" s="11"/>
      <c r="D315" s="27"/>
      <c r="E315" s="28"/>
      <c r="F315" s="28"/>
      <c r="G315" s="28"/>
      <c r="H315" s="28"/>
    </row>
    <row r="316" spans="1:8" x14ac:dyDescent="0.4">
      <c r="A316" s="14"/>
      <c r="B316" s="14"/>
      <c r="C316" s="11"/>
      <c r="D316" s="27"/>
      <c r="E316" s="28"/>
      <c r="F316" s="28"/>
      <c r="G316" s="28"/>
      <c r="H316" s="28"/>
    </row>
    <row r="317" spans="1:8" x14ac:dyDescent="0.4">
      <c r="A317" s="14"/>
      <c r="B317" s="14"/>
      <c r="C317" s="11"/>
      <c r="D317" s="27"/>
      <c r="E317" s="28"/>
      <c r="F317" s="28"/>
      <c r="G317" s="28"/>
      <c r="H317" s="28"/>
    </row>
    <row r="318" spans="1:8" x14ac:dyDescent="0.4">
      <c r="A318" s="14"/>
      <c r="B318" s="14"/>
      <c r="C318" s="11"/>
      <c r="D318" s="27"/>
      <c r="E318" s="28"/>
      <c r="F318" s="28"/>
      <c r="G318" s="28"/>
      <c r="H318" s="28"/>
    </row>
    <row r="319" spans="1:8" x14ac:dyDescent="0.4">
      <c r="A319" s="14"/>
      <c r="B319" s="14"/>
      <c r="C319" s="11"/>
      <c r="D319" s="27"/>
      <c r="E319" s="28"/>
      <c r="F319" s="28"/>
      <c r="G319" s="28"/>
      <c r="H319" s="28"/>
    </row>
    <row r="320" spans="1:8" x14ac:dyDescent="0.4">
      <c r="A320" s="14"/>
      <c r="B320" s="14"/>
      <c r="C320" s="11"/>
      <c r="D320" s="27"/>
      <c r="E320" s="28"/>
      <c r="F320" s="28"/>
      <c r="G320" s="28"/>
      <c r="H320" s="28"/>
    </row>
    <row r="321" spans="1:8" x14ac:dyDescent="0.4">
      <c r="A321" s="14"/>
      <c r="B321" s="14"/>
      <c r="C321" s="11"/>
      <c r="D321" s="27"/>
      <c r="E321" s="28"/>
      <c r="F321" s="28"/>
      <c r="G321" s="28"/>
      <c r="H321" s="28"/>
    </row>
    <row r="322" spans="1:8" x14ac:dyDescent="0.4">
      <c r="A322" s="14"/>
      <c r="B322" s="14"/>
      <c r="C322" s="11"/>
      <c r="D322" s="27"/>
      <c r="E322" s="28"/>
      <c r="F322" s="28"/>
      <c r="G322" s="28"/>
      <c r="H322" s="28"/>
    </row>
    <row r="323" spans="1:8" x14ac:dyDescent="0.4">
      <c r="A323" s="14"/>
      <c r="B323" s="14"/>
      <c r="C323" s="11"/>
      <c r="D323" s="27"/>
      <c r="E323" s="28"/>
      <c r="F323" s="28"/>
      <c r="G323" s="28"/>
      <c r="H323" s="28"/>
    </row>
    <row r="324" spans="1:8" x14ac:dyDescent="0.4">
      <c r="A324" s="14"/>
      <c r="B324" s="14"/>
      <c r="C324" s="11"/>
      <c r="D324" s="27"/>
      <c r="E324" s="28"/>
      <c r="F324" s="28"/>
      <c r="G324" s="28"/>
      <c r="H324" s="28"/>
    </row>
    <row r="325" spans="1:8" x14ac:dyDescent="0.4">
      <c r="A325" s="14"/>
      <c r="B325" s="14"/>
      <c r="C325" s="11"/>
      <c r="D325" s="27"/>
      <c r="E325" s="28"/>
      <c r="F325" s="28"/>
      <c r="G325" s="28"/>
      <c r="H325" s="28"/>
    </row>
    <row r="326" spans="1:8" x14ac:dyDescent="0.4">
      <c r="A326" s="14"/>
      <c r="B326" s="14"/>
      <c r="C326" s="11"/>
      <c r="D326" s="27"/>
      <c r="E326" s="28"/>
      <c r="F326" s="28"/>
      <c r="G326" s="28"/>
      <c r="H326" s="28"/>
    </row>
    <row r="327" spans="1:8" x14ac:dyDescent="0.4">
      <c r="A327" s="14"/>
      <c r="B327" s="14"/>
      <c r="C327" s="11"/>
      <c r="D327" s="27"/>
      <c r="E327" s="28"/>
      <c r="F327" s="28"/>
      <c r="G327" s="28"/>
      <c r="H327" s="28"/>
    </row>
    <row r="328" spans="1:8" x14ac:dyDescent="0.4">
      <c r="A328" s="14"/>
      <c r="B328" s="14"/>
      <c r="C328" s="11"/>
      <c r="D328" s="27"/>
      <c r="E328" s="28"/>
      <c r="F328" s="28"/>
      <c r="G328" s="28"/>
      <c r="H328" s="28"/>
    </row>
    <row r="329" spans="1:8" x14ac:dyDescent="0.4">
      <c r="A329" s="14"/>
      <c r="B329" s="14"/>
      <c r="C329" s="11"/>
      <c r="D329" s="27"/>
      <c r="E329" s="28"/>
      <c r="F329" s="28"/>
      <c r="G329" s="28"/>
      <c r="H329" s="28"/>
    </row>
    <row r="330" spans="1:8" x14ac:dyDescent="0.4">
      <c r="A330" s="14"/>
      <c r="B330" s="14"/>
      <c r="C330" s="11"/>
      <c r="D330" s="27"/>
      <c r="E330" s="28"/>
      <c r="F330" s="28"/>
      <c r="G330" s="28"/>
      <c r="H330" s="28"/>
    </row>
    <row r="331" spans="1:8" x14ac:dyDescent="0.4">
      <c r="A331" s="14"/>
      <c r="B331" s="14"/>
      <c r="C331" s="11"/>
      <c r="D331" s="27"/>
      <c r="E331" s="28"/>
      <c r="F331" s="28"/>
      <c r="G331" s="28"/>
      <c r="H331" s="28"/>
    </row>
    <row r="332" spans="1:8" x14ac:dyDescent="0.4">
      <c r="A332" s="14"/>
      <c r="B332" s="14"/>
      <c r="C332" s="11"/>
      <c r="D332" s="27"/>
      <c r="E332" s="28"/>
      <c r="F332" s="28"/>
      <c r="G332" s="28"/>
      <c r="H332" s="28"/>
    </row>
    <row r="333" spans="1:8" x14ac:dyDescent="0.4">
      <c r="A333" s="14"/>
      <c r="B333" s="14"/>
      <c r="C333" s="11"/>
      <c r="D333" s="27"/>
      <c r="E333" s="28"/>
      <c r="F333" s="28"/>
      <c r="G333" s="28"/>
      <c r="H333" s="28"/>
    </row>
    <row r="334" spans="1:8" x14ac:dyDescent="0.4">
      <c r="A334" s="14"/>
      <c r="B334" s="14"/>
      <c r="C334" s="11"/>
      <c r="D334" s="27"/>
      <c r="E334" s="28"/>
      <c r="F334" s="28"/>
      <c r="G334" s="28"/>
      <c r="H334" s="28"/>
    </row>
    <row r="335" spans="1:8" x14ac:dyDescent="0.4">
      <c r="A335" s="14"/>
      <c r="B335" s="14"/>
      <c r="C335" s="11"/>
      <c r="D335" s="27"/>
      <c r="E335" s="28"/>
      <c r="F335" s="28"/>
      <c r="G335" s="28"/>
      <c r="H335" s="28"/>
    </row>
    <row r="336" spans="1:8" x14ac:dyDescent="0.4">
      <c r="A336" s="14"/>
      <c r="B336" s="14"/>
      <c r="C336" s="11"/>
      <c r="D336" s="27"/>
      <c r="E336" s="28"/>
      <c r="F336" s="28"/>
      <c r="G336" s="28"/>
      <c r="H336" s="28"/>
    </row>
    <row r="337" spans="1:8" x14ac:dyDescent="0.4">
      <c r="A337" s="14"/>
      <c r="B337" s="14"/>
      <c r="C337" s="11"/>
      <c r="D337" s="27"/>
      <c r="E337" s="28"/>
      <c r="F337" s="28"/>
      <c r="G337" s="28"/>
      <c r="H337" s="28"/>
    </row>
    <row r="338" spans="1:8" x14ac:dyDescent="0.4">
      <c r="A338" s="14"/>
      <c r="B338" s="14"/>
      <c r="C338" s="11"/>
      <c r="D338" s="27"/>
      <c r="E338" s="28"/>
      <c r="F338" s="28"/>
      <c r="G338" s="28"/>
      <c r="H338" s="28"/>
    </row>
    <row r="339" spans="1:8" x14ac:dyDescent="0.4">
      <c r="A339" s="14"/>
      <c r="B339" s="14"/>
      <c r="C339" s="11"/>
      <c r="D339" s="27"/>
      <c r="E339" s="28"/>
      <c r="F339" s="28"/>
      <c r="G339" s="28"/>
      <c r="H339" s="28"/>
    </row>
    <row r="340" spans="1:8" x14ac:dyDescent="0.4">
      <c r="A340" s="14"/>
      <c r="B340" s="14"/>
      <c r="C340" s="11"/>
      <c r="D340" s="27"/>
      <c r="E340" s="28"/>
      <c r="F340" s="28"/>
      <c r="G340" s="28"/>
      <c r="H340" s="28"/>
    </row>
    <row r="341" spans="1:8" x14ac:dyDescent="0.4">
      <c r="A341" s="14"/>
      <c r="B341" s="14"/>
      <c r="C341" s="11"/>
      <c r="D341" s="27"/>
      <c r="E341" s="28"/>
      <c r="F341" s="28"/>
      <c r="G341" s="28"/>
      <c r="H341" s="28"/>
    </row>
    <row r="342" spans="1:8" x14ac:dyDescent="0.4">
      <c r="A342" s="14"/>
      <c r="B342" s="14"/>
      <c r="C342" s="11"/>
      <c r="D342" s="27"/>
      <c r="E342" s="28"/>
      <c r="F342" s="28"/>
      <c r="G342" s="28"/>
      <c r="H342" s="28"/>
    </row>
    <row r="343" spans="1:8" x14ac:dyDescent="0.4">
      <c r="A343" s="14"/>
      <c r="B343" s="14"/>
      <c r="C343" s="11"/>
      <c r="D343" s="27"/>
      <c r="E343" s="28"/>
      <c r="F343" s="28"/>
      <c r="G343" s="28"/>
      <c r="H343" s="28"/>
    </row>
    <row r="344" spans="1:8" x14ac:dyDescent="0.4">
      <c r="A344" s="14"/>
      <c r="B344" s="14"/>
      <c r="C344" s="11"/>
      <c r="D344" s="27"/>
      <c r="E344" s="28"/>
      <c r="F344" s="28"/>
      <c r="G344" s="28"/>
      <c r="H344" s="28"/>
    </row>
    <row r="345" spans="1:8" x14ac:dyDescent="0.4">
      <c r="A345" s="14"/>
      <c r="B345" s="14"/>
      <c r="C345" s="11"/>
      <c r="D345" s="27"/>
      <c r="E345" s="28"/>
      <c r="F345" s="28"/>
      <c r="G345" s="28"/>
      <c r="H345" s="28"/>
    </row>
    <row r="346" spans="1:8" x14ac:dyDescent="0.4">
      <c r="A346" s="14"/>
      <c r="B346" s="14"/>
      <c r="C346" s="11"/>
      <c r="D346" s="27"/>
      <c r="E346" s="28"/>
      <c r="F346" s="28"/>
      <c r="G346" s="28"/>
      <c r="H346" s="28"/>
    </row>
    <row r="347" spans="1:8" x14ac:dyDescent="0.4">
      <c r="A347" s="14"/>
      <c r="B347" s="14"/>
      <c r="C347" s="11"/>
      <c r="D347" s="27"/>
      <c r="E347" s="28"/>
      <c r="F347" s="28"/>
      <c r="G347" s="28"/>
      <c r="H347" s="28"/>
    </row>
    <row r="348" spans="1:8" x14ac:dyDescent="0.4">
      <c r="A348" s="14"/>
      <c r="B348" s="14"/>
      <c r="C348" s="11"/>
      <c r="D348" s="27"/>
      <c r="E348" s="28"/>
      <c r="F348" s="28"/>
      <c r="G348" s="28"/>
      <c r="H348" s="28"/>
    </row>
    <row r="349" spans="1:8" x14ac:dyDescent="0.4">
      <c r="A349" s="14"/>
      <c r="B349" s="14"/>
      <c r="C349" s="11"/>
      <c r="D349" s="27"/>
      <c r="E349" s="28"/>
      <c r="F349" s="28"/>
      <c r="G349" s="28"/>
      <c r="H349" s="28"/>
    </row>
    <row r="350" spans="1:8" x14ac:dyDescent="0.4">
      <c r="A350" s="14"/>
      <c r="B350" s="14"/>
      <c r="C350" s="11"/>
      <c r="D350" s="27"/>
      <c r="E350" s="28"/>
      <c r="F350" s="28"/>
      <c r="G350" s="28"/>
      <c r="H350" s="28"/>
    </row>
    <row r="351" spans="1:8" x14ac:dyDescent="0.4">
      <c r="A351" s="14"/>
      <c r="B351" s="14"/>
      <c r="C351" s="11"/>
      <c r="D351" s="27"/>
      <c r="E351" s="28"/>
      <c r="F351" s="28"/>
      <c r="G351" s="28"/>
      <c r="H351" s="28"/>
    </row>
    <row r="352" spans="1:8" x14ac:dyDescent="0.4">
      <c r="A352" s="14"/>
      <c r="B352" s="14"/>
      <c r="C352" s="11"/>
      <c r="D352" s="27"/>
      <c r="E352" s="28"/>
      <c r="F352" s="28"/>
      <c r="G352" s="28"/>
      <c r="H352" s="28"/>
    </row>
    <row r="353" spans="1:8" x14ac:dyDescent="0.4">
      <c r="A353" s="14"/>
      <c r="B353" s="14"/>
      <c r="C353" s="11"/>
      <c r="D353" s="27"/>
      <c r="E353" s="28"/>
      <c r="F353" s="28"/>
      <c r="G353" s="28"/>
      <c r="H353" s="28"/>
    </row>
    <row r="354" spans="1:8" x14ac:dyDescent="0.4">
      <c r="A354" s="14"/>
      <c r="B354" s="14"/>
      <c r="C354" s="11"/>
      <c r="D354" s="27"/>
      <c r="E354" s="28"/>
      <c r="F354" s="28"/>
      <c r="G354" s="28"/>
      <c r="H354" s="28"/>
    </row>
    <row r="355" spans="1:8" x14ac:dyDescent="0.4">
      <c r="A355" s="14"/>
      <c r="B355" s="14"/>
      <c r="C355" s="11"/>
      <c r="D355" s="27"/>
      <c r="E355" s="28"/>
      <c r="F355" s="28"/>
      <c r="G355" s="28"/>
      <c r="H355" s="28"/>
    </row>
    <row r="356" spans="1:8" x14ac:dyDescent="0.4">
      <c r="A356" s="14"/>
      <c r="B356" s="14"/>
      <c r="C356" s="11"/>
      <c r="D356" s="27"/>
      <c r="E356" s="28"/>
      <c r="F356" s="28"/>
      <c r="G356" s="28"/>
      <c r="H356" s="28"/>
    </row>
    <row r="357" spans="1:8" x14ac:dyDescent="0.4">
      <c r="A357" s="14"/>
      <c r="B357" s="14"/>
      <c r="C357" s="11"/>
      <c r="D357" s="27"/>
      <c r="E357" s="28"/>
      <c r="F357" s="28"/>
      <c r="G357" s="28"/>
      <c r="H357" s="28"/>
    </row>
    <row r="358" spans="1:8" x14ac:dyDescent="0.4">
      <c r="A358" s="14"/>
      <c r="B358" s="14"/>
      <c r="C358" s="11"/>
      <c r="D358" s="27"/>
      <c r="E358" s="28"/>
      <c r="F358" s="28"/>
      <c r="G358" s="28"/>
      <c r="H358" s="28"/>
    </row>
    <row r="359" spans="1:8" x14ac:dyDescent="0.4">
      <c r="A359" s="14"/>
      <c r="B359" s="14"/>
      <c r="C359" s="11"/>
      <c r="D359" s="27"/>
      <c r="E359" s="28"/>
      <c r="F359" s="28"/>
      <c r="G359" s="28"/>
      <c r="H359" s="28"/>
    </row>
    <row r="360" spans="1:8" x14ac:dyDescent="0.4">
      <c r="A360" s="14"/>
      <c r="B360" s="14"/>
      <c r="C360" s="11"/>
      <c r="D360" s="27"/>
      <c r="E360" s="28"/>
      <c r="F360" s="28"/>
      <c r="G360" s="28"/>
      <c r="H360" s="28"/>
    </row>
    <row r="361" spans="1:8" x14ac:dyDescent="0.4">
      <c r="A361" s="14"/>
      <c r="B361" s="14"/>
      <c r="C361" s="11"/>
      <c r="D361" s="27"/>
      <c r="E361" s="28"/>
      <c r="F361" s="28"/>
      <c r="G361" s="28"/>
      <c r="H361" s="28"/>
    </row>
    <row r="362" spans="1:8" x14ac:dyDescent="0.4">
      <c r="A362" s="14"/>
      <c r="B362" s="14"/>
      <c r="C362" s="11"/>
      <c r="D362" s="27"/>
      <c r="E362" s="28"/>
      <c r="F362" s="28"/>
      <c r="G362" s="28"/>
      <c r="H362" s="28"/>
    </row>
    <row r="363" spans="1:8" x14ac:dyDescent="0.4">
      <c r="A363" s="14"/>
      <c r="B363" s="14"/>
      <c r="C363" s="11"/>
      <c r="D363" s="27"/>
      <c r="E363" s="28"/>
      <c r="F363" s="28"/>
      <c r="G363" s="28"/>
      <c r="H363" s="28"/>
    </row>
    <row r="364" spans="1:8" x14ac:dyDescent="0.4">
      <c r="A364" s="14"/>
      <c r="B364" s="14"/>
      <c r="C364" s="11"/>
      <c r="D364" s="27"/>
      <c r="E364" s="28"/>
      <c r="F364" s="28"/>
      <c r="G364" s="28"/>
      <c r="H364" s="28"/>
    </row>
    <row r="365" spans="1:8" x14ac:dyDescent="0.4">
      <c r="A365" s="14"/>
      <c r="B365" s="14"/>
      <c r="C365" s="11"/>
      <c r="D365" s="27"/>
      <c r="E365" s="28"/>
      <c r="F365" s="28"/>
      <c r="G365" s="28"/>
      <c r="H365" s="28"/>
    </row>
    <row r="366" spans="1:8" x14ac:dyDescent="0.4">
      <c r="A366" s="14"/>
      <c r="B366" s="14"/>
      <c r="C366" s="11"/>
      <c r="D366" s="27"/>
      <c r="E366" s="28"/>
      <c r="F366" s="28"/>
      <c r="G366" s="28"/>
      <c r="H366" s="28"/>
    </row>
    <row r="367" spans="1:8" x14ac:dyDescent="0.4">
      <c r="A367" s="14"/>
      <c r="B367" s="14"/>
      <c r="C367" s="11"/>
      <c r="D367" s="27"/>
      <c r="E367" s="28"/>
      <c r="F367" s="28"/>
      <c r="G367" s="28"/>
      <c r="H367" s="28"/>
    </row>
    <row r="368" spans="1:8" x14ac:dyDescent="0.4">
      <c r="A368" s="14"/>
      <c r="B368" s="14"/>
      <c r="C368" s="11"/>
      <c r="D368" s="27"/>
      <c r="E368" s="28"/>
      <c r="F368" s="28"/>
      <c r="G368" s="28"/>
      <c r="H368" s="28"/>
    </row>
    <row r="369" spans="1:8" x14ac:dyDescent="0.4">
      <c r="A369" s="14"/>
      <c r="B369" s="14"/>
      <c r="C369" s="11"/>
      <c r="D369" s="27"/>
      <c r="E369" s="28"/>
      <c r="F369" s="28"/>
      <c r="G369" s="28"/>
      <c r="H369" s="28"/>
    </row>
    <row r="370" spans="1:8" x14ac:dyDescent="0.4">
      <c r="A370" s="14"/>
      <c r="B370" s="14"/>
      <c r="C370" s="11"/>
      <c r="D370" s="27"/>
      <c r="E370" s="28"/>
      <c r="F370" s="28"/>
      <c r="G370" s="28"/>
      <c r="H370" s="28"/>
    </row>
    <row r="371" spans="1:8" x14ac:dyDescent="0.4">
      <c r="A371" s="14"/>
      <c r="B371" s="14"/>
      <c r="C371" s="11"/>
      <c r="D371" s="27"/>
      <c r="E371" s="28"/>
      <c r="F371" s="28"/>
      <c r="G371" s="28"/>
      <c r="H371" s="28"/>
    </row>
    <row r="372" spans="1:8" x14ac:dyDescent="0.4">
      <c r="A372" s="14"/>
      <c r="B372" s="14"/>
      <c r="C372" s="11"/>
      <c r="D372" s="27"/>
      <c r="E372" s="28"/>
      <c r="F372" s="28"/>
      <c r="G372" s="28"/>
      <c r="H372" s="28"/>
    </row>
    <row r="373" spans="1:8" x14ac:dyDescent="0.4">
      <c r="A373" s="14"/>
      <c r="B373" s="14"/>
      <c r="C373" s="11"/>
      <c r="D373" s="27"/>
      <c r="E373" s="28"/>
      <c r="F373" s="28"/>
      <c r="G373" s="28"/>
      <c r="H373" s="28"/>
    </row>
    <row r="374" spans="1:8" x14ac:dyDescent="0.4">
      <c r="A374" s="14"/>
      <c r="B374" s="14"/>
      <c r="C374" s="11"/>
      <c r="D374" s="27"/>
      <c r="E374" s="28"/>
      <c r="F374" s="28"/>
      <c r="G374" s="28"/>
      <c r="H374" s="28"/>
    </row>
  </sheetData>
  <phoneticPr fontId="1"/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77CB4-EE11-41A4-95B0-63F0C66168F6}">
  <sheetPr codeName="Sheet14"/>
  <dimension ref="A1:V245"/>
  <sheetViews>
    <sheetView tabSelected="1" zoomScale="85" zoomScaleNormal="85" workbookViewId="0"/>
  </sheetViews>
  <sheetFormatPr defaultRowHeight="18.75" x14ac:dyDescent="0.4"/>
  <cols>
    <col min="2" max="2" width="12.5" customWidth="1"/>
    <col min="3" max="3" width="8.5" bestFit="1" customWidth="1"/>
    <col min="4" max="4" width="9.375" bestFit="1" customWidth="1"/>
    <col min="5" max="5" width="74.875" bestFit="1" customWidth="1"/>
    <col min="6" max="22" width="12.5" customWidth="1"/>
  </cols>
  <sheetData>
    <row r="1" spans="1:22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14</v>
      </c>
      <c r="R1" s="9">
        <v>15</v>
      </c>
      <c r="S1" s="9">
        <v>16</v>
      </c>
      <c r="T1" s="9">
        <v>14</v>
      </c>
      <c r="U1" s="9">
        <v>15</v>
      </c>
      <c r="V1" s="9">
        <v>16</v>
      </c>
    </row>
    <row r="2" spans="1:22" x14ac:dyDescent="0.4">
      <c r="A2" t="s">
        <v>232</v>
      </c>
      <c r="B2" s="9" t="s">
        <v>225</v>
      </c>
      <c r="C2" s="9" t="s">
        <v>227</v>
      </c>
      <c r="D2" s="9" t="s">
        <v>233</v>
      </c>
      <c r="E2" s="9" t="s">
        <v>229</v>
      </c>
      <c r="F2" s="9" t="s">
        <v>230</v>
      </c>
      <c r="G2" s="9" t="s">
        <v>231</v>
      </c>
      <c r="H2" s="9" t="s">
        <v>588</v>
      </c>
      <c r="I2" s="9" t="s">
        <v>589</v>
      </c>
      <c r="J2" s="9" t="s">
        <v>590</v>
      </c>
      <c r="K2" s="9" t="s">
        <v>591</v>
      </c>
      <c r="L2" s="9" t="s">
        <v>592</v>
      </c>
      <c r="M2" s="9" t="s">
        <v>593</v>
      </c>
      <c r="N2" s="9" t="s">
        <v>597</v>
      </c>
      <c r="O2" s="9" t="s">
        <v>598</v>
      </c>
      <c r="P2" s="9" t="s">
        <v>599</v>
      </c>
      <c r="Q2" s="9" t="s">
        <v>651</v>
      </c>
      <c r="R2" s="9" t="s">
        <v>652</v>
      </c>
      <c r="S2" s="9" t="s">
        <v>653</v>
      </c>
      <c r="T2" s="9" t="s">
        <v>733</v>
      </c>
      <c r="U2" s="9" t="s">
        <v>734</v>
      </c>
      <c r="V2" s="9" t="s">
        <v>735</v>
      </c>
    </row>
    <row r="3" spans="1:22" x14ac:dyDescent="0.4">
      <c r="B3" s="9" t="s">
        <v>25</v>
      </c>
      <c r="C3" s="9" t="s">
        <v>25</v>
      </c>
      <c r="D3" s="9" t="s">
        <v>25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28</v>
      </c>
      <c r="K3" s="9" t="s">
        <v>28</v>
      </c>
      <c r="L3" s="9" t="s">
        <v>25</v>
      </c>
      <c r="M3" s="9" t="s">
        <v>28</v>
      </c>
      <c r="N3" s="9" t="s">
        <v>28</v>
      </c>
      <c r="O3" s="9" t="s">
        <v>25</v>
      </c>
      <c r="P3" s="9" t="s">
        <v>28</v>
      </c>
      <c r="Q3" s="9" t="s">
        <v>28</v>
      </c>
      <c r="R3" s="9" t="s">
        <v>25</v>
      </c>
      <c r="S3" s="9" t="s">
        <v>28</v>
      </c>
      <c r="T3" s="9" t="s">
        <v>28</v>
      </c>
      <c r="U3" s="9" t="s">
        <v>25</v>
      </c>
      <c r="V3" s="9" t="s">
        <v>28</v>
      </c>
    </row>
    <row r="4" spans="1:22" x14ac:dyDescent="0.4">
      <c r="B4" s="9" t="s">
        <v>30</v>
      </c>
      <c r="C4" s="9" t="s">
        <v>33</v>
      </c>
      <c r="D4" s="9" t="s">
        <v>33</v>
      </c>
      <c r="E4" s="9">
        <v>64</v>
      </c>
      <c r="F4" s="9" t="s">
        <v>596</v>
      </c>
      <c r="G4" s="9" t="s">
        <v>33</v>
      </c>
      <c r="H4" s="9">
        <v>20</v>
      </c>
      <c r="I4" s="9" t="s">
        <v>34</v>
      </c>
      <c r="J4" s="9">
        <v>20</v>
      </c>
      <c r="K4" s="9">
        <v>20</v>
      </c>
      <c r="L4" s="9" t="s">
        <v>34</v>
      </c>
      <c r="M4" s="9" t="s">
        <v>34</v>
      </c>
      <c r="N4" s="9">
        <v>20</v>
      </c>
      <c r="O4" s="9" t="s">
        <v>34</v>
      </c>
      <c r="P4" s="9" t="s">
        <v>34</v>
      </c>
      <c r="Q4" s="9">
        <v>20</v>
      </c>
      <c r="R4" s="9" t="s">
        <v>34</v>
      </c>
      <c r="S4" s="9" t="s">
        <v>34</v>
      </c>
      <c r="T4" s="9">
        <v>20</v>
      </c>
      <c r="U4" s="9" t="s">
        <v>34</v>
      </c>
      <c r="V4" s="9" t="s">
        <v>34</v>
      </c>
    </row>
    <row r="5" spans="1:22" x14ac:dyDescent="0.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151</v>
      </c>
      <c r="I6" s="9" t="s">
        <v>151</v>
      </c>
      <c r="J6" s="9" t="s">
        <v>151</v>
      </c>
      <c r="K6" s="9" t="s">
        <v>151</v>
      </c>
      <c r="L6" s="9" t="s">
        <v>151</v>
      </c>
      <c r="M6" s="9" t="s">
        <v>151</v>
      </c>
      <c r="N6" s="9" t="s">
        <v>151</v>
      </c>
      <c r="O6" s="9" t="s">
        <v>151</v>
      </c>
      <c r="P6" s="9" t="s">
        <v>151</v>
      </c>
      <c r="Q6" s="9" t="s">
        <v>151</v>
      </c>
      <c r="R6" s="9" t="s">
        <v>151</v>
      </c>
      <c r="S6" s="9" t="s">
        <v>151</v>
      </c>
      <c r="T6" s="9" t="s">
        <v>151</v>
      </c>
      <c r="U6" s="9" t="s">
        <v>151</v>
      </c>
      <c r="V6" s="9" t="s">
        <v>151</v>
      </c>
    </row>
    <row r="7" spans="1:22" x14ac:dyDescent="0.4">
      <c r="A7" s="8"/>
      <c r="B7" s="14">
        <v>64</v>
      </c>
      <c r="C7" s="14">
        <v>1</v>
      </c>
      <c r="D7" s="14">
        <v>1</v>
      </c>
      <c r="E7" s="11" t="s">
        <v>686</v>
      </c>
      <c r="F7" s="14">
        <v>10</v>
      </c>
      <c r="G7" s="14">
        <v>1</v>
      </c>
      <c r="H7" s="11" t="s">
        <v>228</v>
      </c>
      <c r="I7" s="14"/>
      <c r="J7" s="11" t="s">
        <v>228</v>
      </c>
      <c r="K7" s="11" t="s">
        <v>228</v>
      </c>
      <c r="L7" s="11"/>
      <c r="M7" s="11" t="s">
        <v>228</v>
      </c>
      <c r="N7" s="11" t="s">
        <v>228</v>
      </c>
      <c r="O7" s="11"/>
      <c r="P7" s="11" t="s">
        <v>228</v>
      </c>
      <c r="Q7" s="11" t="s">
        <v>228</v>
      </c>
      <c r="R7" s="11"/>
      <c r="S7" s="11" t="s">
        <v>228</v>
      </c>
      <c r="T7" s="11" t="s">
        <v>228</v>
      </c>
      <c r="U7" s="11"/>
      <c r="V7" s="11" t="s">
        <v>228</v>
      </c>
    </row>
    <row r="8" spans="1:22" x14ac:dyDescent="0.4">
      <c r="A8" s="8"/>
      <c r="B8" s="14">
        <v>64</v>
      </c>
      <c r="C8" s="14">
        <v>1</v>
      </c>
      <c r="D8" s="14">
        <v>2</v>
      </c>
      <c r="E8" s="11" t="s">
        <v>687</v>
      </c>
      <c r="F8" s="14">
        <v>10</v>
      </c>
      <c r="G8" s="14">
        <v>1</v>
      </c>
      <c r="H8" s="11" t="s">
        <v>228</v>
      </c>
      <c r="I8" s="14"/>
      <c r="J8" s="11" t="s">
        <v>228</v>
      </c>
      <c r="K8" s="11" t="s">
        <v>228</v>
      </c>
      <c r="L8" s="11"/>
      <c r="M8" s="11" t="s">
        <v>228</v>
      </c>
      <c r="N8" s="11" t="s">
        <v>228</v>
      </c>
      <c r="O8" s="11"/>
      <c r="P8" s="11" t="s">
        <v>228</v>
      </c>
      <c r="Q8" s="11" t="s">
        <v>228</v>
      </c>
      <c r="R8" s="11"/>
      <c r="S8" s="11" t="s">
        <v>228</v>
      </c>
      <c r="T8" s="11" t="s">
        <v>228</v>
      </c>
      <c r="U8" s="11"/>
      <c r="V8" s="11" t="s">
        <v>228</v>
      </c>
    </row>
    <row r="9" spans="1:22" x14ac:dyDescent="0.4">
      <c r="A9" s="8"/>
      <c r="B9" s="14">
        <v>64</v>
      </c>
      <c r="C9" s="14">
        <v>1</v>
      </c>
      <c r="D9" s="14">
        <v>3</v>
      </c>
      <c r="E9" s="11" t="s">
        <v>688</v>
      </c>
      <c r="F9" s="14">
        <v>15</v>
      </c>
      <c r="G9" s="14">
        <v>1</v>
      </c>
      <c r="H9" s="11" t="s">
        <v>228</v>
      </c>
      <c r="I9" s="14"/>
      <c r="J9" s="11" t="s">
        <v>228</v>
      </c>
      <c r="K9" s="11" t="s">
        <v>228</v>
      </c>
      <c r="L9" s="11"/>
      <c r="M9" s="11" t="s">
        <v>228</v>
      </c>
      <c r="N9" s="11" t="s">
        <v>228</v>
      </c>
      <c r="O9" s="11"/>
      <c r="P9" s="11" t="s">
        <v>228</v>
      </c>
      <c r="Q9" s="11" t="s">
        <v>228</v>
      </c>
      <c r="R9" s="11"/>
      <c r="S9" s="11" t="s">
        <v>228</v>
      </c>
      <c r="T9" s="11" t="s">
        <v>228</v>
      </c>
      <c r="U9" s="11"/>
      <c r="V9" s="11" t="s">
        <v>228</v>
      </c>
    </row>
    <row r="10" spans="1:22" x14ac:dyDescent="0.4">
      <c r="A10" s="8"/>
      <c r="B10" s="14">
        <v>64</v>
      </c>
      <c r="C10" s="14">
        <v>2</v>
      </c>
      <c r="D10" s="14">
        <v>1</v>
      </c>
      <c r="E10" s="11" t="s">
        <v>327</v>
      </c>
      <c r="F10" s="14">
        <v>10</v>
      </c>
      <c r="G10" s="14">
        <v>1</v>
      </c>
      <c r="H10" s="11" t="s">
        <v>228</v>
      </c>
      <c r="I10" s="14"/>
      <c r="J10" s="11" t="s">
        <v>228</v>
      </c>
      <c r="K10" s="11" t="s">
        <v>228</v>
      </c>
      <c r="L10" s="11"/>
      <c r="M10" s="11" t="s">
        <v>228</v>
      </c>
      <c r="N10" s="11" t="s">
        <v>228</v>
      </c>
      <c r="O10" s="11"/>
      <c r="P10" s="11" t="s">
        <v>228</v>
      </c>
      <c r="Q10" s="11" t="s">
        <v>228</v>
      </c>
      <c r="R10" s="11"/>
      <c r="S10" s="11" t="s">
        <v>228</v>
      </c>
      <c r="T10" s="11" t="s">
        <v>228</v>
      </c>
      <c r="U10" s="11"/>
      <c r="V10" s="11" t="s">
        <v>228</v>
      </c>
    </row>
    <row r="11" spans="1:22" x14ac:dyDescent="0.4">
      <c r="A11" s="8"/>
      <c r="B11" s="14">
        <v>64</v>
      </c>
      <c r="C11" s="14">
        <v>2</v>
      </c>
      <c r="D11" s="14">
        <v>2</v>
      </c>
      <c r="E11" s="11" t="s">
        <v>326</v>
      </c>
      <c r="F11" s="14">
        <v>10</v>
      </c>
      <c r="G11" s="14">
        <v>1</v>
      </c>
      <c r="H11" s="11" t="s">
        <v>228</v>
      </c>
      <c r="I11" s="14"/>
      <c r="J11" s="11" t="s">
        <v>228</v>
      </c>
      <c r="K11" s="11" t="s">
        <v>228</v>
      </c>
      <c r="L11" s="11"/>
      <c r="M11" s="11" t="s">
        <v>228</v>
      </c>
      <c r="N11" s="11" t="s">
        <v>228</v>
      </c>
      <c r="O11" s="11"/>
      <c r="P11" s="11" t="s">
        <v>228</v>
      </c>
      <c r="Q11" s="11" t="s">
        <v>228</v>
      </c>
      <c r="R11" s="11"/>
      <c r="S11" s="11" t="s">
        <v>228</v>
      </c>
      <c r="T11" s="11" t="s">
        <v>228</v>
      </c>
      <c r="U11" s="11"/>
      <c r="V11" s="11" t="s">
        <v>228</v>
      </c>
    </row>
    <row r="12" spans="1:22" x14ac:dyDescent="0.4">
      <c r="A12" s="8"/>
      <c r="B12" s="14">
        <v>64</v>
      </c>
      <c r="C12" s="14">
        <v>2</v>
      </c>
      <c r="D12" s="14">
        <v>3</v>
      </c>
      <c r="E12" s="11" t="s">
        <v>689</v>
      </c>
      <c r="F12" s="14">
        <v>15</v>
      </c>
      <c r="G12" s="14">
        <v>1</v>
      </c>
      <c r="H12" s="11" t="s">
        <v>228</v>
      </c>
      <c r="I12" s="14"/>
      <c r="J12" s="11" t="s">
        <v>228</v>
      </c>
      <c r="K12" s="11" t="s">
        <v>228</v>
      </c>
      <c r="L12" s="11"/>
      <c r="M12" s="11" t="s">
        <v>228</v>
      </c>
      <c r="N12" s="11" t="s">
        <v>228</v>
      </c>
      <c r="O12" s="11"/>
      <c r="P12" s="11" t="s">
        <v>228</v>
      </c>
      <c r="Q12" s="11" t="s">
        <v>228</v>
      </c>
      <c r="R12" s="11"/>
      <c r="S12" s="11" t="s">
        <v>228</v>
      </c>
      <c r="T12" s="11" t="s">
        <v>228</v>
      </c>
      <c r="U12" s="11"/>
      <c r="V12" s="11" t="s">
        <v>228</v>
      </c>
    </row>
    <row r="13" spans="1:22" x14ac:dyDescent="0.4">
      <c r="A13" s="8"/>
      <c r="B13" s="14">
        <v>65</v>
      </c>
      <c r="C13" s="14">
        <v>1</v>
      </c>
      <c r="D13" s="14">
        <v>1</v>
      </c>
      <c r="E13" s="11" t="s">
        <v>428</v>
      </c>
      <c r="F13" s="14">
        <v>10</v>
      </c>
      <c r="G13" s="14">
        <v>1</v>
      </c>
      <c r="H13" s="11" t="s">
        <v>228</v>
      </c>
      <c r="I13" s="14"/>
      <c r="J13" s="11" t="s">
        <v>228</v>
      </c>
      <c r="K13" s="11" t="s">
        <v>228</v>
      </c>
      <c r="L13" s="11"/>
      <c r="M13" s="11" t="s">
        <v>228</v>
      </c>
      <c r="N13" s="11" t="s">
        <v>228</v>
      </c>
      <c r="O13" s="11"/>
      <c r="P13" s="11" t="s">
        <v>228</v>
      </c>
      <c r="Q13" s="11" t="s">
        <v>228</v>
      </c>
      <c r="R13" s="11"/>
      <c r="S13" s="11" t="s">
        <v>228</v>
      </c>
      <c r="T13" s="11" t="s">
        <v>228</v>
      </c>
      <c r="U13" s="11"/>
      <c r="V13" s="11" t="s">
        <v>228</v>
      </c>
    </row>
    <row r="14" spans="1:22" x14ac:dyDescent="0.4">
      <c r="A14" s="8"/>
      <c r="B14" s="14">
        <v>65</v>
      </c>
      <c r="C14" s="14">
        <v>1</v>
      </c>
      <c r="D14" s="14">
        <v>2</v>
      </c>
      <c r="E14" s="11" t="s">
        <v>325</v>
      </c>
      <c r="F14" s="14">
        <v>10</v>
      </c>
      <c r="G14" s="14">
        <v>1</v>
      </c>
      <c r="H14" s="11" t="s">
        <v>228</v>
      </c>
      <c r="I14" s="14"/>
      <c r="J14" s="11" t="s">
        <v>228</v>
      </c>
      <c r="K14" s="11" t="s">
        <v>228</v>
      </c>
      <c r="L14" s="11"/>
      <c r="M14" s="11" t="s">
        <v>228</v>
      </c>
      <c r="N14" s="11" t="s">
        <v>228</v>
      </c>
      <c r="O14" s="11"/>
      <c r="P14" s="11" t="s">
        <v>228</v>
      </c>
      <c r="Q14" s="11" t="s">
        <v>228</v>
      </c>
      <c r="R14" s="11"/>
      <c r="S14" s="11" t="s">
        <v>228</v>
      </c>
      <c r="T14" s="11" t="s">
        <v>228</v>
      </c>
      <c r="U14" s="11"/>
      <c r="V14" s="11" t="s">
        <v>228</v>
      </c>
    </row>
    <row r="15" spans="1:22" x14ac:dyDescent="0.4">
      <c r="A15" s="8"/>
      <c r="B15" s="14">
        <v>65</v>
      </c>
      <c r="C15" s="14">
        <v>1</v>
      </c>
      <c r="D15" s="14">
        <v>3</v>
      </c>
      <c r="E15" s="11" t="s">
        <v>690</v>
      </c>
      <c r="F15" s="14">
        <v>15</v>
      </c>
      <c r="G15" s="14">
        <v>1</v>
      </c>
      <c r="H15" s="11" t="s">
        <v>228</v>
      </c>
      <c r="I15" s="14"/>
      <c r="J15" s="11" t="s">
        <v>228</v>
      </c>
      <c r="K15" s="11" t="s">
        <v>228</v>
      </c>
      <c r="L15" s="11"/>
      <c r="M15" s="11" t="s">
        <v>228</v>
      </c>
      <c r="N15" s="11" t="s">
        <v>228</v>
      </c>
      <c r="O15" s="11"/>
      <c r="P15" s="11" t="s">
        <v>228</v>
      </c>
      <c r="Q15" s="11" t="s">
        <v>228</v>
      </c>
      <c r="R15" s="11"/>
      <c r="S15" s="11" t="s">
        <v>228</v>
      </c>
      <c r="T15" s="11" t="s">
        <v>228</v>
      </c>
      <c r="U15" s="11"/>
      <c r="V15" s="11" t="s">
        <v>228</v>
      </c>
    </row>
    <row r="16" spans="1:22" x14ac:dyDescent="0.4">
      <c r="A16" s="8"/>
      <c r="B16" s="14">
        <v>65</v>
      </c>
      <c r="C16" s="14">
        <v>2</v>
      </c>
      <c r="D16" s="14">
        <v>1</v>
      </c>
      <c r="E16" s="11" t="s">
        <v>691</v>
      </c>
      <c r="F16" s="14">
        <v>10</v>
      </c>
      <c r="G16" s="14">
        <v>0</v>
      </c>
      <c r="H16" s="11" t="s">
        <v>600</v>
      </c>
      <c r="I16" s="14">
        <v>50</v>
      </c>
      <c r="J16" s="11" t="s">
        <v>228</v>
      </c>
      <c r="K16" s="11" t="s">
        <v>682</v>
      </c>
      <c r="L16" s="11">
        <v>-150</v>
      </c>
      <c r="M16" s="11" t="s">
        <v>228</v>
      </c>
      <c r="N16" s="11" t="s">
        <v>692</v>
      </c>
      <c r="O16" s="11">
        <v>150</v>
      </c>
      <c r="P16" s="11" t="s">
        <v>228</v>
      </c>
      <c r="Q16" s="11" t="s">
        <v>228</v>
      </c>
      <c r="R16" s="11"/>
      <c r="S16" s="11" t="s">
        <v>228</v>
      </c>
      <c r="T16" s="11" t="s">
        <v>228</v>
      </c>
      <c r="U16" s="11"/>
      <c r="V16" s="11" t="s">
        <v>228</v>
      </c>
    </row>
    <row r="17" spans="1:22" x14ac:dyDescent="0.4">
      <c r="A17" s="8"/>
      <c r="B17" s="14">
        <v>65</v>
      </c>
      <c r="C17" s="14">
        <v>2</v>
      </c>
      <c r="D17" s="14">
        <v>2</v>
      </c>
      <c r="E17" s="11" t="s">
        <v>327</v>
      </c>
      <c r="F17" s="14">
        <v>10</v>
      </c>
      <c r="G17" s="14">
        <v>1</v>
      </c>
      <c r="H17" s="11" t="s">
        <v>228</v>
      </c>
      <c r="I17" s="14"/>
      <c r="J17" s="11" t="s">
        <v>228</v>
      </c>
      <c r="K17" s="11" t="s">
        <v>228</v>
      </c>
      <c r="L17" s="11"/>
      <c r="M17" s="11" t="s">
        <v>228</v>
      </c>
      <c r="N17" s="11" t="s">
        <v>228</v>
      </c>
      <c r="O17" s="11"/>
      <c r="P17" s="11" t="s">
        <v>228</v>
      </c>
      <c r="Q17" s="11" t="s">
        <v>228</v>
      </c>
      <c r="R17" s="11"/>
      <c r="S17" s="11" t="s">
        <v>228</v>
      </c>
      <c r="T17" s="11" t="s">
        <v>228</v>
      </c>
      <c r="U17" s="11"/>
      <c r="V17" s="11" t="s">
        <v>228</v>
      </c>
    </row>
    <row r="18" spans="1:22" x14ac:dyDescent="0.4">
      <c r="A18" s="8"/>
      <c r="B18" s="14">
        <v>65</v>
      </c>
      <c r="C18" s="14">
        <v>2</v>
      </c>
      <c r="D18" s="14">
        <v>3</v>
      </c>
      <c r="E18" s="11" t="s">
        <v>324</v>
      </c>
      <c r="F18" s="14">
        <v>15</v>
      </c>
      <c r="G18" s="14">
        <v>0</v>
      </c>
      <c r="H18" s="11" t="s">
        <v>683</v>
      </c>
      <c r="I18" s="14">
        <v>75</v>
      </c>
      <c r="J18" s="11" t="s">
        <v>228</v>
      </c>
      <c r="K18" s="11" t="s">
        <v>228</v>
      </c>
      <c r="L18" s="11"/>
      <c r="M18" s="11" t="s">
        <v>228</v>
      </c>
      <c r="N18" s="11" t="s">
        <v>228</v>
      </c>
      <c r="O18" s="11"/>
      <c r="P18" s="11" t="s">
        <v>228</v>
      </c>
      <c r="Q18" s="11" t="s">
        <v>228</v>
      </c>
      <c r="R18" s="11"/>
      <c r="S18" s="11" t="s">
        <v>228</v>
      </c>
      <c r="T18" s="11" t="s">
        <v>228</v>
      </c>
      <c r="U18" s="11"/>
      <c r="V18" s="11" t="s">
        <v>228</v>
      </c>
    </row>
    <row r="19" spans="1:22" x14ac:dyDescent="0.4">
      <c r="A19" s="8"/>
      <c r="B19" s="14">
        <v>66</v>
      </c>
      <c r="C19" s="14">
        <v>1</v>
      </c>
      <c r="D19" s="14">
        <v>1</v>
      </c>
      <c r="E19" s="11" t="s">
        <v>328</v>
      </c>
      <c r="F19" s="14">
        <v>10</v>
      </c>
      <c r="G19" s="14">
        <v>1</v>
      </c>
      <c r="H19" s="11" t="s">
        <v>228</v>
      </c>
      <c r="I19" s="14"/>
      <c r="J19" s="11" t="s">
        <v>228</v>
      </c>
      <c r="K19" s="11" t="s">
        <v>228</v>
      </c>
      <c r="L19" s="11"/>
      <c r="M19" s="11" t="s">
        <v>228</v>
      </c>
      <c r="N19" s="11" t="s">
        <v>228</v>
      </c>
      <c r="O19" s="11"/>
      <c r="P19" s="11" t="s">
        <v>228</v>
      </c>
      <c r="Q19" s="11" t="s">
        <v>228</v>
      </c>
      <c r="R19" s="11"/>
      <c r="S19" s="11" t="s">
        <v>228</v>
      </c>
      <c r="T19" s="11" t="s">
        <v>228</v>
      </c>
      <c r="U19" s="11"/>
      <c r="V19" s="11" t="s">
        <v>228</v>
      </c>
    </row>
    <row r="20" spans="1:22" x14ac:dyDescent="0.4">
      <c r="A20" s="8"/>
      <c r="B20" s="14">
        <v>66</v>
      </c>
      <c r="C20" s="14">
        <v>1</v>
      </c>
      <c r="D20" s="14">
        <v>2</v>
      </c>
      <c r="E20" s="11" t="s">
        <v>693</v>
      </c>
      <c r="F20" s="14">
        <v>10</v>
      </c>
      <c r="G20" s="14">
        <v>0</v>
      </c>
      <c r="H20" s="11" t="s">
        <v>694</v>
      </c>
      <c r="I20" s="14">
        <v>10</v>
      </c>
      <c r="J20" s="11" t="s">
        <v>695</v>
      </c>
      <c r="K20" s="11" t="s">
        <v>228</v>
      </c>
      <c r="L20" s="11"/>
      <c r="M20" s="11" t="s">
        <v>228</v>
      </c>
      <c r="N20" s="11" t="s">
        <v>228</v>
      </c>
      <c r="O20" s="11"/>
      <c r="P20" s="11" t="s">
        <v>228</v>
      </c>
      <c r="Q20" s="11" t="s">
        <v>228</v>
      </c>
      <c r="R20" s="11"/>
      <c r="S20" s="11" t="s">
        <v>228</v>
      </c>
      <c r="T20" s="11" t="s">
        <v>228</v>
      </c>
      <c r="U20" s="11"/>
      <c r="V20" s="11" t="s">
        <v>228</v>
      </c>
    </row>
    <row r="21" spans="1:22" x14ac:dyDescent="0.4">
      <c r="A21" s="8"/>
      <c r="B21" s="14">
        <v>66</v>
      </c>
      <c r="C21" s="14">
        <v>1</v>
      </c>
      <c r="D21" s="14">
        <v>3</v>
      </c>
      <c r="E21" s="11" t="s">
        <v>323</v>
      </c>
      <c r="F21" s="14">
        <v>15</v>
      </c>
      <c r="G21" s="14">
        <v>1</v>
      </c>
      <c r="H21" s="11" t="s">
        <v>228</v>
      </c>
      <c r="I21" s="14"/>
      <c r="J21" s="11" t="s">
        <v>228</v>
      </c>
      <c r="K21" s="11" t="s">
        <v>228</v>
      </c>
      <c r="L21" s="11"/>
      <c r="M21" s="11" t="s">
        <v>228</v>
      </c>
      <c r="N21" s="11" t="s">
        <v>228</v>
      </c>
      <c r="O21" s="11"/>
      <c r="P21" s="11" t="s">
        <v>228</v>
      </c>
      <c r="Q21" s="11" t="s">
        <v>228</v>
      </c>
      <c r="R21" s="11"/>
      <c r="S21" s="11" t="s">
        <v>228</v>
      </c>
      <c r="T21" s="11" t="s">
        <v>228</v>
      </c>
      <c r="U21" s="11"/>
      <c r="V21" s="11" t="s">
        <v>228</v>
      </c>
    </row>
    <row r="22" spans="1:22" x14ac:dyDescent="0.4">
      <c r="A22" s="8"/>
      <c r="B22" s="14">
        <v>66</v>
      </c>
      <c r="C22" s="14">
        <v>2</v>
      </c>
      <c r="D22" s="14">
        <v>1</v>
      </c>
      <c r="E22" s="11" t="s">
        <v>795</v>
      </c>
      <c r="F22" s="14">
        <v>15</v>
      </c>
      <c r="G22" s="14">
        <v>0</v>
      </c>
      <c r="H22" s="11" t="s">
        <v>228</v>
      </c>
      <c r="I22" s="14"/>
      <c r="J22" s="11" t="s">
        <v>228</v>
      </c>
      <c r="K22" s="11" t="s">
        <v>692</v>
      </c>
      <c r="L22" s="11">
        <v>150</v>
      </c>
      <c r="M22" s="11" t="s">
        <v>228</v>
      </c>
      <c r="N22" s="11" t="s">
        <v>696</v>
      </c>
      <c r="O22" s="11">
        <v>-150</v>
      </c>
      <c r="P22" s="11" t="s">
        <v>228</v>
      </c>
      <c r="Q22" s="11" t="s">
        <v>228</v>
      </c>
      <c r="R22" s="11"/>
      <c r="S22" s="11" t="s">
        <v>228</v>
      </c>
      <c r="T22" s="11" t="s">
        <v>228</v>
      </c>
      <c r="U22" s="11"/>
      <c r="V22" s="11" t="s">
        <v>228</v>
      </c>
    </row>
    <row r="23" spans="1:22" x14ac:dyDescent="0.4">
      <c r="A23" s="8"/>
      <c r="B23" s="14">
        <v>66</v>
      </c>
      <c r="C23" s="14">
        <v>2</v>
      </c>
      <c r="D23" s="14">
        <v>2</v>
      </c>
      <c r="E23" s="11" t="s">
        <v>327</v>
      </c>
      <c r="F23" s="14">
        <v>10</v>
      </c>
      <c r="G23" s="14">
        <v>1</v>
      </c>
      <c r="H23" s="11" t="s">
        <v>228</v>
      </c>
      <c r="I23" s="14"/>
      <c r="J23" s="11" t="s">
        <v>228</v>
      </c>
      <c r="K23" s="11" t="s">
        <v>228</v>
      </c>
      <c r="L23" s="11"/>
      <c r="M23" s="11" t="s">
        <v>228</v>
      </c>
      <c r="N23" s="11" t="s">
        <v>228</v>
      </c>
      <c r="O23" s="11"/>
      <c r="P23" s="11" t="s">
        <v>228</v>
      </c>
      <c r="Q23" s="11" t="s">
        <v>228</v>
      </c>
      <c r="R23" s="11"/>
      <c r="S23" s="11" t="s">
        <v>228</v>
      </c>
      <c r="T23" s="11" t="s">
        <v>228</v>
      </c>
      <c r="U23" s="11"/>
      <c r="V23" s="11" t="s">
        <v>228</v>
      </c>
    </row>
    <row r="24" spans="1:22" x14ac:dyDescent="0.4">
      <c r="A24" s="8"/>
      <c r="B24" s="14">
        <v>66</v>
      </c>
      <c r="C24" s="14">
        <v>2</v>
      </c>
      <c r="D24" s="14">
        <v>3</v>
      </c>
      <c r="E24" s="11" t="s">
        <v>697</v>
      </c>
      <c r="F24" s="14">
        <v>15</v>
      </c>
      <c r="G24" s="14">
        <v>1</v>
      </c>
      <c r="H24" s="11" t="s">
        <v>228</v>
      </c>
      <c r="I24" s="14"/>
      <c r="J24" s="11" t="s">
        <v>228</v>
      </c>
      <c r="K24" s="11" t="s">
        <v>228</v>
      </c>
      <c r="L24" s="11"/>
      <c r="M24" s="11" t="s">
        <v>228</v>
      </c>
      <c r="N24" s="11" t="s">
        <v>228</v>
      </c>
      <c r="O24" s="11"/>
      <c r="P24" s="11" t="s">
        <v>228</v>
      </c>
      <c r="Q24" s="11" t="s">
        <v>228</v>
      </c>
      <c r="R24" s="11"/>
      <c r="S24" s="11" t="s">
        <v>228</v>
      </c>
      <c r="T24" s="11" t="s">
        <v>228</v>
      </c>
      <c r="U24" s="11"/>
      <c r="V24" s="11" t="s">
        <v>228</v>
      </c>
    </row>
    <row r="25" spans="1:22" x14ac:dyDescent="0.4">
      <c r="A25" s="8"/>
      <c r="B25" s="14">
        <v>66</v>
      </c>
      <c r="C25" s="14">
        <v>3</v>
      </c>
      <c r="D25" s="14">
        <v>1</v>
      </c>
      <c r="E25" s="11" t="s">
        <v>698</v>
      </c>
      <c r="F25" s="14">
        <v>15</v>
      </c>
      <c r="G25" s="14">
        <v>0</v>
      </c>
      <c r="H25" s="11" t="s">
        <v>228</v>
      </c>
      <c r="I25" s="14"/>
      <c r="J25" s="11" t="s">
        <v>228</v>
      </c>
      <c r="K25" s="11" t="s">
        <v>692</v>
      </c>
      <c r="L25" s="11">
        <v>150</v>
      </c>
      <c r="M25" s="11" t="s">
        <v>228</v>
      </c>
      <c r="N25" s="11" t="s">
        <v>594</v>
      </c>
      <c r="O25" s="11">
        <v>-150</v>
      </c>
      <c r="P25" s="11" t="s">
        <v>228</v>
      </c>
      <c r="Q25" s="11" t="s">
        <v>228</v>
      </c>
      <c r="R25" s="11"/>
      <c r="S25" s="11" t="s">
        <v>228</v>
      </c>
      <c r="T25" s="11" t="s">
        <v>228</v>
      </c>
      <c r="U25" s="11"/>
      <c r="V25" s="11" t="s">
        <v>228</v>
      </c>
    </row>
    <row r="26" spans="1:22" x14ac:dyDescent="0.4">
      <c r="A26" s="8"/>
      <c r="B26" s="14">
        <v>66</v>
      </c>
      <c r="C26" s="14">
        <v>3</v>
      </c>
      <c r="D26" s="14">
        <v>2</v>
      </c>
      <c r="E26" s="11" t="s">
        <v>325</v>
      </c>
      <c r="F26" s="14">
        <v>10</v>
      </c>
      <c r="G26" s="14">
        <v>1</v>
      </c>
      <c r="H26" s="11" t="s">
        <v>228</v>
      </c>
      <c r="I26" s="14"/>
      <c r="J26" s="11" t="s">
        <v>228</v>
      </c>
      <c r="K26" s="11" t="s">
        <v>228</v>
      </c>
      <c r="L26" s="11"/>
      <c r="M26" s="11" t="s">
        <v>228</v>
      </c>
      <c r="N26" s="11" t="s">
        <v>228</v>
      </c>
      <c r="O26" s="11"/>
      <c r="P26" s="11" t="s">
        <v>228</v>
      </c>
      <c r="Q26" s="11" t="s">
        <v>228</v>
      </c>
      <c r="R26" s="11"/>
      <c r="S26" s="11" t="s">
        <v>228</v>
      </c>
      <c r="T26" s="11" t="s">
        <v>228</v>
      </c>
      <c r="U26" s="11"/>
      <c r="V26" s="11" t="s">
        <v>228</v>
      </c>
    </row>
    <row r="27" spans="1:22" x14ac:dyDescent="0.4">
      <c r="A27" s="8"/>
      <c r="B27" s="14">
        <v>66</v>
      </c>
      <c r="C27" s="14">
        <v>3</v>
      </c>
      <c r="D27" s="14">
        <v>3</v>
      </c>
      <c r="E27" s="11" t="s">
        <v>699</v>
      </c>
      <c r="F27" s="14">
        <v>15</v>
      </c>
      <c r="G27" s="14">
        <v>1</v>
      </c>
      <c r="H27" s="11" t="s">
        <v>228</v>
      </c>
      <c r="I27" s="14"/>
      <c r="J27" s="11" t="s">
        <v>228</v>
      </c>
      <c r="K27" s="11" t="s">
        <v>228</v>
      </c>
      <c r="L27" s="11"/>
      <c r="M27" s="11" t="s">
        <v>228</v>
      </c>
      <c r="N27" s="11" t="s">
        <v>228</v>
      </c>
      <c r="O27" s="11"/>
      <c r="P27" s="11" t="s">
        <v>228</v>
      </c>
      <c r="Q27" s="11" t="s">
        <v>228</v>
      </c>
      <c r="R27" s="11"/>
      <c r="S27" s="11" t="s">
        <v>228</v>
      </c>
      <c r="T27" s="11" t="s">
        <v>228</v>
      </c>
      <c r="U27" s="11"/>
      <c r="V27" s="11" t="s">
        <v>228</v>
      </c>
    </row>
    <row r="28" spans="1:22" x14ac:dyDescent="0.4">
      <c r="A28" s="8"/>
      <c r="B28" s="14">
        <v>67</v>
      </c>
      <c r="C28" s="14">
        <v>1</v>
      </c>
      <c r="D28" s="14">
        <v>1</v>
      </c>
      <c r="E28" s="11" t="s">
        <v>700</v>
      </c>
      <c r="F28" s="14">
        <v>10</v>
      </c>
      <c r="G28" s="14">
        <v>0</v>
      </c>
      <c r="H28" s="11" t="s">
        <v>694</v>
      </c>
      <c r="I28" s="14">
        <v>15</v>
      </c>
      <c r="J28" s="11" t="s">
        <v>228</v>
      </c>
      <c r="K28" s="11" t="s">
        <v>594</v>
      </c>
      <c r="L28" s="11">
        <v>-150</v>
      </c>
      <c r="M28" s="11" t="s">
        <v>228</v>
      </c>
      <c r="N28" s="11" t="s">
        <v>228</v>
      </c>
      <c r="O28" s="11"/>
      <c r="P28" s="11" t="s">
        <v>228</v>
      </c>
      <c r="Q28" s="11" t="s">
        <v>228</v>
      </c>
      <c r="R28" s="11"/>
      <c r="S28" s="11" t="s">
        <v>228</v>
      </c>
      <c r="T28" s="11" t="s">
        <v>228</v>
      </c>
      <c r="U28" s="11"/>
      <c r="V28" s="11" t="s">
        <v>228</v>
      </c>
    </row>
    <row r="29" spans="1:22" x14ac:dyDescent="0.4">
      <c r="A29" s="8"/>
      <c r="B29" s="14">
        <v>67</v>
      </c>
      <c r="C29" s="14">
        <v>1</v>
      </c>
      <c r="D29" s="14">
        <v>2</v>
      </c>
      <c r="E29" s="11" t="s">
        <v>701</v>
      </c>
      <c r="F29" s="14">
        <v>10</v>
      </c>
      <c r="G29" s="14">
        <v>0</v>
      </c>
      <c r="H29" s="11" t="s">
        <v>683</v>
      </c>
      <c r="I29" s="14">
        <v>50</v>
      </c>
      <c r="J29" s="11" t="s">
        <v>228</v>
      </c>
      <c r="K29" s="11" t="s">
        <v>228</v>
      </c>
      <c r="L29" s="11"/>
      <c r="M29" s="11" t="s">
        <v>228</v>
      </c>
      <c r="N29" s="11" t="s">
        <v>228</v>
      </c>
      <c r="O29" s="11"/>
      <c r="P29" s="11" t="s">
        <v>228</v>
      </c>
      <c r="Q29" s="11" t="s">
        <v>228</v>
      </c>
      <c r="R29" s="11"/>
      <c r="S29" s="11" t="s">
        <v>228</v>
      </c>
      <c r="T29" s="11" t="s">
        <v>228</v>
      </c>
      <c r="U29" s="11"/>
      <c r="V29" s="11" t="s">
        <v>228</v>
      </c>
    </row>
    <row r="30" spans="1:22" x14ac:dyDescent="0.4">
      <c r="A30" s="8"/>
      <c r="B30" s="14">
        <v>67</v>
      </c>
      <c r="C30" s="14">
        <v>1</v>
      </c>
      <c r="D30" s="14">
        <v>3</v>
      </c>
      <c r="E30" s="11" t="s">
        <v>702</v>
      </c>
      <c r="F30" s="14">
        <v>15</v>
      </c>
      <c r="G30" s="14">
        <v>1</v>
      </c>
      <c r="H30" s="11" t="s">
        <v>228</v>
      </c>
      <c r="I30" s="14"/>
      <c r="J30" s="11" t="s">
        <v>228</v>
      </c>
      <c r="K30" s="11" t="s">
        <v>228</v>
      </c>
      <c r="L30" s="11"/>
      <c r="M30" s="11" t="s">
        <v>228</v>
      </c>
      <c r="N30" s="11" t="s">
        <v>228</v>
      </c>
      <c r="O30" s="11"/>
      <c r="P30" s="11" t="s">
        <v>228</v>
      </c>
      <c r="Q30" s="11" t="s">
        <v>228</v>
      </c>
      <c r="R30" s="11"/>
      <c r="S30" s="11" t="s">
        <v>228</v>
      </c>
      <c r="T30" s="11" t="s">
        <v>228</v>
      </c>
      <c r="U30" s="11"/>
      <c r="V30" s="11" t="s">
        <v>228</v>
      </c>
    </row>
    <row r="31" spans="1:22" x14ac:dyDescent="0.4">
      <c r="A31" s="8"/>
      <c r="B31" s="14">
        <v>67</v>
      </c>
      <c r="C31" s="14">
        <v>1</v>
      </c>
      <c r="D31" s="14">
        <v>4</v>
      </c>
      <c r="E31" s="11" t="s">
        <v>703</v>
      </c>
      <c r="F31" s="14">
        <v>0</v>
      </c>
      <c r="G31" s="14">
        <v>0</v>
      </c>
      <c r="H31" s="11" t="s">
        <v>704</v>
      </c>
      <c r="I31" s="14">
        <v>15</v>
      </c>
      <c r="J31" s="11" t="s">
        <v>705</v>
      </c>
      <c r="K31" s="11" t="s">
        <v>228</v>
      </c>
      <c r="L31" s="11"/>
      <c r="M31" s="11" t="s">
        <v>228</v>
      </c>
      <c r="N31" s="11" t="s">
        <v>228</v>
      </c>
      <c r="O31" s="11"/>
      <c r="P31" s="11" t="s">
        <v>228</v>
      </c>
      <c r="Q31" s="11" t="s">
        <v>228</v>
      </c>
      <c r="R31" s="11"/>
      <c r="S31" s="11" t="s">
        <v>228</v>
      </c>
      <c r="T31" s="11" t="s">
        <v>228</v>
      </c>
      <c r="U31" s="11"/>
      <c r="V31" s="11" t="s">
        <v>228</v>
      </c>
    </row>
    <row r="32" spans="1:22" x14ac:dyDescent="0.4">
      <c r="A32" s="8"/>
      <c r="B32" s="14">
        <v>68</v>
      </c>
      <c r="C32" s="14">
        <v>1</v>
      </c>
      <c r="D32" s="14">
        <v>1</v>
      </c>
      <c r="E32" s="11" t="s">
        <v>701</v>
      </c>
      <c r="F32" s="14">
        <v>10</v>
      </c>
      <c r="G32" s="14">
        <v>0</v>
      </c>
      <c r="H32" s="11" t="s">
        <v>683</v>
      </c>
      <c r="I32" s="14">
        <v>50</v>
      </c>
      <c r="J32" s="11" t="s">
        <v>228</v>
      </c>
      <c r="K32" s="11" t="s">
        <v>228</v>
      </c>
      <c r="L32" s="11"/>
      <c r="M32" s="11" t="s">
        <v>228</v>
      </c>
      <c r="N32" s="11" t="s">
        <v>228</v>
      </c>
      <c r="O32" s="11"/>
      <c r="P32" s="11" t="s">
        <v>228</v>
      </c>
      <c r="Q32" s="11" t="s">
        <v>228</v>
      </c>
      <c r="R32" s="11"/>
      <c r="S32" s="11" t="s">
        <v>228</v>
      </c>
      <c r="T32" s="11" t="s">
        <v>228</v>
      </c>
      <c r="U32" s="11"/>
      <c r="V32" s="11" t="s">
        <v>228</v>
      </c>
    </row>
    <row r="33" spans="1:22" x14ac:dyDescent="0.4">
      <c r="A33" s="8"/>
      <c r="B33" s="14">
        <v>68</v>
      </c>
      <c r="C33" s="14">
        <v>1</v>
      </c>
      <c r="D33" s="14">
        <v>2</v>
      </c>
      <c r="E33" s="11" t="s">
        <v>706</v>
      </c>
      <c r="F33" s="14">
        <v>10</v>
      </c>
      <c r="G33" s="14">
        <v>1</v>
      </c>
      <c r="H33" s="11" t="s">
        <v>228</v>
      </c>
      <c r="I33" s="14"/>
      <c r="J33" s="11" t="s">
        <v>228</v>
      </c>
      <c r="K33" s="11" t="s">
        <v>228</v>
      </c>
      <c r="L33" s="11"/>
      <c r="M33" s="11" t="s">
        <v>228</v>
      </c>
      <c r="N33" s="11" t="s">
        <v>228</v>
      </c>
      <c r="O33" s="11"/>
      <c r="P33" s="11" t="s">
        <v>228</v>
      </c>
      <c r="Q33" s="11" t="s">
        <v>228</v>
      </c>
      <c r="R33" s="11"/>
      <c r="S33" s="11" t="s">
        <v>228</v>
      </c>
      <c r="T33" s="11" t="s">
        <v>228</v>
      </c>
      <c r="U33" s="11"/>
      <c r="V33" s="11" t="s">
        <v>228</v>
      </c>
    </row>
    <row r="34" spans="1:22" x14ac:dyDescent="0.4">
      <c r="A34" s="8"/>
      <c r="B34" s="14">
        <v>68</v>
      </c>
      <c r="C34" s="14">
        <v>1</v>
      </c>
      <c r="D34" s="14">
        <v>3</v>
      </c>
      <c r="E34" s="11" t="s">
        <v>707</v>
      </c>
      <c r="F34" s="14">
        <v>15</v>
      </c>
      <c r="G34" s="14">
        <v>1</v>
      </c>
      <c r="H34" s="11" t="s">
        <v>228</v>
      </c>
      <c r="I34" s="14"/>
      <c r="J34" s="11" t="s">
        <v>228</v>
      </c>
      <c r="K34" s="11" t="s">
        <v>228</v>
      </c>
      <c r="L34" s="11"/>
      <c r="M34" s="11" t="s">
        <v>228</v>
      </c>
      <c r="N34" s="11" t="s">
        <v>228</v>
      </c>
      <c r="O34" s="11"/>
      <c r="P34" s="11" t="s">
        <v>228</v>
      </c>
      <c r="Q34" s="11" t="s">
        <v>228</v>
      </c>
      <c r="R34" s="11"/>
      <c r="S34" s="11" t="s">
        <v>228</v>
      </c>
      <c r="T34" s="11" t="s">
        <v>228</v>
      </c>
      <c r="U34" s="11"/>
      <c r="V34" s="11" t="s">
        <v>228</v>
      </c>
    </row>
    <row r="35" spans="1:22" x14ac:dyDescent="0.4">
      <c r="A35" s="8"/>
      <c r="B35" s="14">
        <v>68</v>
      </c>
      <c r="C35" s="14">
        <v>2</v>
      </c>
      <c r="D35" s="14">
        <v>1</v>
      </c>
      <c r="E35" s="11" t="s">
        <v>708</v>
      </c>
      <c r="F35" s="14">
        <v>10</v>
      </c>
      <c r="G35" s="14">
        <v>1</v>
      </c>
      <c r="H35" s="11" t="s">
        <v>228</v>
      </c>
      <c r="I35" s="14"/>
      <c r="J35" s="11" t="s">
        <v>228</v>
      </c>
      <c r="K35" s="11" t="s">
        <v>228</v>
      </c>
      <c r="L35" s="11"/>
      <c r="M35" s="11" t="s">
        <v>228</v>
      </c>
      <c r="N35" s="11" t="s">
        <v>228</v>
      </c>
      <c r="O35" s="11"/>
      <c r="P35" s="11" t="s">
        <v>228</v>
      </c>
      <c r="Q35" s="11" t="s">
        <v>228</v>
      </c>
      <c r="R35" s="11"/>
      <c r="S35" s="11" t="s">
        <v>228</v>
      </c>
      <c r="T35" s="11" t="s">
        <v>228</v>
      </c>
      <c r="U35" s="11"/>
      <c r="V35" s="11" t="s">
        <v>228</v>
      </c>
    </row>
    <row r="36" spans="1:22" x14ac:dyDescent="0.4">
      <c r="A36" s="8"/>
      <c r="B36" s="14">
        <v>68</v>
      </c>
      <c r="C36" s="14">
        <v>2</v>
      </c>
      <c r="D36" s="14">
        <v>2</v>
      </c>
      <c r="E36" s="11" t="s">
        <v>327</v>
      </c>
      <c r="F36" s="14">
        <v>10</v>
      </c>
      <c r="G36" s="14">
        <v>1</v>
      </c>
      <c r="H36" s="11" t="s">
        <v>228</v>
      </c>
      <c r="I36" s="14"/>
      <c r="J36" s="11" t="s">
        <v>228</v>
      </c>
      <c r="K36" s="11" t="s">
        <v>228</v>
      </c>
      <c r="L36" s="11"/>
      <c r="M36" s="11" t="s">
        <v>228</v>
      </c>
      <c r="N36" s="11" t="s">
        <v>228</v>
      </c>
      <c r="O36" s="11"/>
      <c r="P36" s="11" t="s">
        <v>228</v>
      </c>
      <c r="Q36" s="11" t="s">
        <v>228</v>
      </c>
      <c r="R36" s="11"/>
      <c r="S36" s="11" t="s">
        <v>228</v>
      </c>
      <c r="T36" s="11" t="s">
        <v>228</v>
      </c>
      <c r="U36" s="11"/>
      <c r="V36" s="11" t="s">
        <v>228</v>
      </c>
    </row>
    <row r="37" spans="1:22" x14ac:dyDescent="0.4">
      <c r="A37" s="8"/>
      <c r="B37" s="14">
        <v>68</v>
      </c>
      <c r="C37" s="14">
        <v>2</v>
      </c>
      <c r="D37" s="14">
        <v>3</v>
      </c>
      <c r="E37" s="11" t="s">
        <v>689</v>
      </c>
      <c r="F37" s="14">
        <v>15</v>
      </c>
      <c r="G37" s="14">
        <v>1</v>
      </c>
      <c r="H37" s="11" t="s">
        <v>228</v>
      </c>
      <c r="I37" s="14"/>
      <c r="J37" s="11" t="s">
        <v>228</v>
      </c>
      <c r="K37" s="11" t="s">
        <v>228</v>
      </c>
      <c r="L37" s="11"/>
      <c r="M37" s="11" t="s">
        <v>228</v>
      </c>
      <c r="N37" s="11" t="s">
        <v>228</v>
      </c>
      <c r="O37" s="11"/>
      <c r="P37" s="11" t="s">
        <v>228</v>
      </c>
      <c r="Q37" s="11" t="s">
        <v>228</v>
      </c>
      <c r="R37" s="11"/>
      <c r="S37" s="11" t="s">
        <v>228</v>
      </c>
      <c r="T37" s="11" t="s">
        <v>228</v>
      </c>
      <c r="U37" s="11"/>
      <c r="V37" s="11" t="s">
        <v>228</v>
      </c>
    </row>
    <row r="38" spans="1:22" x14ac:dyDescent="0.4">
      <c r="A38" s="8"/>
      <c r="B38" s="14">
        <v>69</v>
      </c>
      <c r="C38" s="14">
        <v>1</v>
      </c>
      <c r="D38" s="14">
        <v>1</v>
      </c>
      <c r="E38" s="11" t="s">
        <v>709</v>
      </c>
      <c r="F38" s="14">
        <v>10</v>
      </c>
      <c r="G38" s="14">
        <v>0</v>
      </c>
      <c r="H38" s="11" t="s">
        <v>684</v>
      </c>
      <c r="I38" s="14">
        <v>50</v>
      </c>
      <c r="J38" s="11" t="s">
        <v>228</v>
      </c>
      <c r="K38" s="11" t="s">
        <v>685</v>
      </c>
      <c r="L38" s="11">
        <v>750</v>
      </c>
      <c r="M38" s="11" t="s">
        <v>228</v>
      </c>
      <c r="N38" s="11" t="s">
        <v>228</v>
      </c>
      <c r="O38" s="11"/>
      <c r="P38" s="11" t="s">
        <v>228</v>
      </c>
      <c r="Q38" s="11" t="s">
        <v>228</v>
      </c>
      <c r="R38" s="11"/>
      <c r="S38" s="11" t="s">
        <v>228</v>
      </c>
      <c r="T38" s="11" t="s">
        <v>228</v>
      </c>
      <c r="U38" s="11"/>
      <c r="V38" s="11" t="s">
        <v>228</v>
      </c>
    </row>
    <row r="39" spans="1:22" x14ac:dyDescent="0.4">
      <c r="A39" s="8"/>
      <c r="B39" s="14">
        <v>69</v>
      </c>
      <c r="C39" s="14">
        <v>1</v>
      </c>
      <c r="D39" s="14">
        <v>2</v>
      </c>
      <c r="E39" s="11" t="s">
        <v>699</v>
      </c>
      <c r="F39" s="14">
        <v>10</v>
      </c>
      <c r="G39" s="14">
        <v>1</v>
      </c>
      <c r="H39" s="11" t="s">
        <v>228</v>
      </c>
      <c r="I39" s="14"/>
      <c r="J39" s="11" t="s">
        <v>228</v>
      </c>
      <c r="K39" s="11" t="s">
        <v>228</v>
      </c>
      <c r="L39" s="11"/>
      <c r="M39" s="11" t="s">
        <v>228</v>
      </c>
      <c r="N39" s="11" t="s">
        <v>228</v>
      </c>
      <c r="O39" s="11"/>
      <c r="P39" s="11" t="s">
        <v>228</v>
      </c>
      <c r="Q39" s="11" t="s">
        <v>228</v>
      </c>
      <c r="R39" s="11"/>
      <c r="S39" s="11" t="s">
        <v>228</v>
      </c>
      <c r="T39" s="11" t="s">
        <v>228</v>
      </c>
      <c r="U39" s="11"/>
      <c r="V39" s="11" t="s">
        <v>228</v>
      </c>
    </row>
    <row r="40" spans="1:22" x14ac:dyDescent="0.4">
      <c r="A40" s="8"/>
      <c r="B40" s="14">
        <v>69</v>
      </c>
      <c r="C40" s="14">
        <v>1</v>
      </c>
      <c r="D40" s="14">
        <v>3</v>
      </c>
      <c r="E40" s="11" t="s">
        <v>324</v>
      </c>
      <c r="F40" s="14">
        <v>15</v>
      </c>
      <c r="G40" s="14">
        <v>0</v>
      </c>
      <c r="H40" s="11" t="s">
        <v>683</v>
      </c>
      <c r="I40" s="14">
        <v>75</v>
      </c>
      <c r="J40" s="11" t="s">
        <v>228</v>
      </c>
      <c r="K40" s="11" t="s">
        <v>228</v>
      </c>
      <c r="L40" s="11"/>
      <c r="M40" s="11" t="s">
        <v>228</v>
      </c>
      <c r="N40" s="11" t="s">
        <v>228</v>
      </c>
      <c r="O40" s="11"/>
      <c r="P40" s="11" t="s">
        <v>228</v>
      </c>
      <c r="Q40" s="11" t="s">
        <v>228</v>
      </c>
      <c r="R40" s="11"/>
      <c r="S40" s="11" t="s">
        <v>228</v>
      </c>
      <c r="T40" s="11" t="s">
        <v>228</v>
      </c>
      <c r="U40" s="11"/>
      <c r="V40" s="11" t="s">
        <v>228</v>
      </c>
    </row>
    <row r="41" spans="1:22" x14ac:dyDescent="0.4">
      <c r="A41" s="8"/>
      <c r="B41" s="14">
        <v>69</v>
      </c>
      <c r="C41" s="14">
        <v>2</v>
      </c>
      <c r="D41" s="14">
        <v>1</v>
      </c>
      <c r="E41" s="11" t="s">
        <v>427</v>
      </c>
      <c r="F41" s="14">
        <v>10</v>
      </c>
      <c r="G41" s="14">
        <v>1</v>
      </c>
      <c r="H41" s="11" t="s">
        <v>228</v>
      </c>
      <c r="I41" s="14"/>
      <c r="J41" s="11" t="s">
        <v>228</v>
      </c>
      <c r="K41" s="11" t="s">
        <v>228</v>
      </c>
      <c r="L41" s="11"/>
      <c r="M41" s="11" t="s">
        <v>228</v>
      </c>
      <c r="N41" s="11" t="s">
        <v>228</v>
      </c>
      <c r="O41" s="11"/>
      <c r="P41" s="11" t="s">
        <v>228</v>
      </c>
      <c r="Q41" s="11" t="s">
        <v>228</v>
      </c>
      <c r="R41" s="11"/>
      <c r="S41" s="11" t="s">
        <v>228</v>
      </c>
      <c r="T41" s="11" t="s">
        <v>228</v>
      </c>
      <c r="U41" s="11"/>
      <c r="V41" s="11" t="s">
        <v>228</v>
      </c>
    </row>
    <row r="42" spans="1:22" x14ac:dyDescent="0.4">
      <c r="A42" s="8"/>
      <c r="B42" s="14">
        <v>69</v>
      </c>
      <c r="C42" s="14">
        <v>2</v>
      </c>
      <c r="D42" s="14">
        <v>2</v>
      </c>
      <c r="E42" s="11" t="s">
        <v>687</v>
      </c>
      <c r="F42" s="14">
        <v>10</v>
      </c>
      <c r="G42" s="14">
        <v>1</v>
      </c>
      <c r="H42" s="11" t="s">
        <v>228</v>
      </c>
      <c r="I42" s="14"/>
      <c r="J42" s="11" t="s">
        <v>228</v>
      </c>
      <c r="K42" s="11" t="s">
        <v>228</v>
      </c>
      <c r="L42" s="11"/>
      <c r="M42" s="11" t="s">
        <v>228</v>
      </c>
      <c r="N42" s="11" t="s">
        <v>228</v>
      </c>
      <c r="O42" s="11"/>
      <c r="P42" s="11" t="s">
        <v>228</v>
      </c>
      <c r="Q42" s="11" t="s">
        <v>228</v>
      </c>
      <c r="R42" s="11"/>
      <c r="S42" s="11" t="s">
        <v>228</v>
      </c>
      <c r="T42" s="11" t="s">
        <v>228</v>
      </c>
      <c r="U42" s="11"/>
      <c r="V42" s="11" t="s">
        <v>228</v>
      </c>
    </row>
    <row r="43" spans="1:22" x14ac:dyDescent="0.4">
      <c r="A43" s="8"/>
      <c r="B43" s="14">
        <v>69</v>
      </c>
      <c r="C43" s="14">
        <v>2</v>
      </c>
      <c r="D43" s="14">
        <v>3</v>
      </c>
      <c r="E43" s="11" t="s">
        <v>707</v>
      </c>
      <c r="F43" s="14">
        <v>15</v>
      </c>
      <c r="G43" s="14">
        <v>1</v>
      </c>
      <c r="H43" s="11" t="s">
        <v>228</v>
      </c>
      <c r="I43" s="14"/>
      <c r="J43" s="11" t="s">
        <v>228</v>
      </c>
      <c r="K43" s="11" t="s">
        <v>228</v>
      </c>
      <c r="L43" s="11"/>
      <c r="M43" s="11" t="s">
        <v>228</v>
      </c>
      <c r="N43" s="11" t="s">
        <v>228</v>
      </c>
      <c r="O43" s="11"/>
      <c r="P43" s="11" t="s">
        <v>228</v>
      </c>
      <c r="Q43" s="11" t="s">
        <v>228</v>
      </c>
      <c r="R43" s="11"/>
      <c r="S43" s="11" t="s">
        <v>228</v>
      </c>
      <c r="T43" s="11" t="s">
        <v>228</v>
      </c>
      <c r="U43" s="11"/>
      <c r="V43" s="11" t="s">
        <v>228</v>
      </c>
    </row>
    <row r="44" spans="1:22" x14ac:dyDescent="0.4">
      <c r="A44" s="8"/>
      <c r="B44" s="14">
        <v>70</v>
      </c>
      <c r="C44" s="14">
        <v>1</v>
      </c>
      <c r="D44" s="14">
        <v>1</v>
      </c>
      <c r="E44" s="11" t="s">
        <v>427</v>
      </c>
      <c r="F44" s="14">
        <v>10</v>
      </c>
      <c r="G44" s="14">
        <v>1</v>
      </c>
      <c r="H44" s="11" t="s">
        <v>228</v>
      </c>
      <c r="I44" s="14"/>
      <c r="J44" s="11" t="s">
        <v>228</v>
      </c>
      <c r="K44" s="11" t="s">
        <v>228</v>
      </c>
      <c r="L44" s="11"/>
      <c r="M44" s="11" t="s">
        <v>228</v>
      </c>
      <c r="N44" s="11" t="s">
        <v>228</v>
      </c>
      <c r="O44" s="11"/>
      <c r="P44" s="11" t="s">
        <v>228</v>
      </c>
      <c r="Q44" s="11" t="s">
        <v>228</v>
      </c>
      <c r="R44" s="11"/>
      <c r="S44" s="11" t="s">
        <v>228</v>
      </c>
      <c r="T44" s="11" t="s">
        <v>228</v>
      </c>
      <c r="U44" s="11"/>
      <c r="V44" s="11" t="s">
        <v>228</v>
      </c>
    </row>
    <row r="45" spans="1:22" x14ac:dyDescent="0.4">
      <c r="A45" s="8"/>
      <c r="B45" s="14">
        <v>70</v>
      </c>
      <c r="C45" s="14">
        <v>1</v>
      </c>
      <c r="D45" s="14">
        <v>2</v>
      </c>
      <c r="E45" s="11" t="s">
        <v>327</v>
      </c>
      <c r="F45" s="14">
        <v>10</v>
      </c>
      <c r="G45" s="14">
        <v>1</v>
      </c>
      <c r="H45" s="11" t="s">
        <v>228</v>
      </c>
      <c r="I45" s="14"/>
      <c r="J45" s="11" t="s">
        <v>228</v>
      </c>
      <c r="K45" s="11" t="s">
        <v>228</v>
      </c>
      <c r="L45" s="11"/>
      <c r="M45" s="11" t="s">
        <v>228</v>
      </c>
      <c r="N45" s="11" t="s">
        <v>228</v>
      </c>
      <c r="O45" s="11"/>
      <c r="P45" s="11" t="s">
        <v>228</v>
      </c>
      <c r="Q45" s="11" t="s">
        <v>228</v>
      </c>
      <c r="R45" s="11"/>
      <c r="S45" s="11" t="s">
        <v>228</v>
      </c>
      <c r="T45" s="11" t="s">
        <v>228</v>
      </c>
      <c r="U45" s="11"/>
      <c r="V45" s="11" t="s">
        <v>228</v>
      </c>
    </row>
    <row r="46" spans="1:22" x14ac:dyDescent="0.4">
      <c r="A46" s="8"/>
      <c r="B46" s="14">
        <v>70</v>
      </c>
      <c r="C46" s="14">
        <v>1</v>
      </c>
      <c r="D46" s="14">
        <v>3</v>
      </c>
      <c r="E46" s="11" t="s">
        <v>707</v>
      </c>
      <c r="F46" s="14">
        <v>15</v>
      </c>
      <c r="G46" s="14">
        <v>1</v>
      </c>
      <c r="H46" s="11" t="s">
        <v>228</v>
      </c>
      <c r="I46" s="14"/>
      <c r="J46" s="11" t="s">
        <v>228</v>
      </c>
      <c r="K46" s="11" t="s">
        <v>228</v>
      </c>
      <c r="L46" s="11"/>
      <c r="M46" s="11" t="s">
        <v>228</v>
      </c>
      <c r="N46" s="11" t="s">
        <v>228</v>
      </c>
      <c r="O46" s="11"/>
      <c r="P46" s="11" t="s">
        <v>228</v>
      </c>
      <c r="Q46" s="11" t="s">
        <v>228</v>
      </c>
      <c r="R46" s="11"/>
      <c r="S46" s="11" t="s">
        <v>228</v>
      </c>
      <c r="T46" s="11" t="s">
        <v>228</v>
      </c>
      <c r="U46" s="11"/>
      <c r="V46" s="11" t="s">
        <v>228</v>
      </c>
    </row>
    <row r="47" spans="1:22" x14ac:dyDescent="0.4">
      <c r="A47" s="8"/>
      <c r="B47" s="14">
        <v>70</v>
      </c>
      <c r="C47" s="14">
        <v>2</v>
      </c>
      <c r="D47" s="14">
        <v>1</v>
      </c>
      <c r="E47" s="11" t="s">
        <v>710</v>
      </c>
      <c r="F47" s="14">
        <v>10</v>
      </c>
      <c r="G47" s="14">
        <v>0</v>
      </c>
      <c r="H47" s="11" t="s">
        <v>682</v>
      </c>
      <c r="I47" s="14">
        <v>-150</v>
      </c>
      <c r="J47" s="11" t="s">
        <v>228</v>
      </c>
      <c r="K47" s="11" t="s">
        <v>692</v>
      </c>
      <c r="L47" s="11">
        <v>-150</v>
      </c>
      <c r="M47" s="11" t="s">
        <v>228</v>
      </c>
      <c r="N47" s="11" t="s">
        <v>696</v>
      </c>
      <c r="O47" s="11">
        <v>-150</v>
      </c>
      <c r="P47" s="11" t="s">
        <v>228</v>
      </c>
      <c r="Q47" s="11" t="s">
        <v>711</v>
      </c>
      <c r="R47" s="11">
        <v>-150</v>
      </c>
      <c r="S47" s="11" t="s">
        <v>228</v>
      </c>
      <c r="T47" s="11" t="s">
        <v>711</v>
      </c>
      <c r="U47" s="11">
        <v>-150</v>
      </c>
      <c r="V47" s="11" t="s">
        <v>228</v>
      </c>
    </row>
    <row r="48" spans="1:22" x14ac:dyDescent="0.4">
      <c r="A48" s="8"/>
      <c r="B48" s="14">
        <v>70</v>
      </c>
      <c r="C48" s="14">
        <v>2</v>
      </c>
      <c r="D48" s="14">
        <v>2</v>
      </c>
      <c r="E48" s="11" t="s">
        <v>712</v>
      </c>
      <c r="F48" s="14">
        <v>10</v>
      </c>
      <c r="G48" s="14">
        <v>1</v>
      </c>
      <c r="H48" s="11" t="s">
        <v>228</v>
      </c>
      <c r="I48" s="14"/>
      <c r="J48" s="11" t="s">
        <v>228</v>
      </c>
      <c r="K48" s="11" t="s">
        <v>228</v>
      </c>
      <c r="L48" s="11"/>
      <c r="M48" s="11" t="s">
        <v>228</v>
      </c>
      <c r="N48" s="11" t="s">
        <v>228</v>
      </c>
      <c r="O48" s="11"/>
      <c r="P48" s="11" t="s">
        <v>228</v>
      </c>
      <c r="Q48" s="11" t="s">
        <v>228</v>
      </c>
      <c r="R48" s="11"/>
      <c r="S48" s="11" t="s">
        <v>228</v>
      </c>
      <c r="T48" s="11" t="s">
        <v>228</v>
      </c>
      <c r="U48" s="11"/>
      <c r="V48" s="11" t="s">
        <v>228</v>
      </c>
    </row>
    <row r="49" spans="1:22" x14ac:dyDescent="0.4">
      <c r="A49" s="8"/>
      <c r="B49" s="14">
        <v>70</v>
      </c>
      <c r="C49" s="14">
        <v>2</v>
      </c>
      <c r="D49" s="14">
        <v>3</v>
      </c>
      <c r="E49" s="11" t="s">
        <v>697</v>
      </c>
      <c r="F49" s="14">
        <v>15</v>
      </c>
      <c r="G49" s="14">
        <v>1</v>
      </c>
      <c r="H49" s="11" t="s">
        <v>228</v>
      </c>
      <c r="I49" s="14"/>
      <c r="J49" s="11" t="s">
        <v>228</v>
      </c>
      <c r="K49" s="11" t="s">
        <v>228</v>
      </c>
      <c r="L49" s="11"/>
      <c r="M49" s="11" t="s">
        <v>228</v>
      </c>
      <c r="N49" s="11" t="s">
        <v>228</v>
      </c>
      <c r="O49" s="11"/>
      <c r="P49" s="11" t="s">
        <v>228</v>
      </c>
      <c r="Q49" s="11" t="s">
        <v>228</v>
      </c>
      <c r="R49" s="11"/>
      <c r="S49" s="11" t="s">
        <v>228</v>
      </c>
      <c r="T49" s="11" t="s">
        <v>228</v>
      </c>
      <c r="U49" s="11"/>
      <c r="V49" s="11" t="s">
        <v>228</v>
      </c>
    </row>
    <row r="50" spans="1:22" x14ac:dyDescent="0.4">
      <c r="A50" s="8"/>
      <c r="B50" s="14">
        <v>70</v>
      </c>
      <c r="C50" s="14">
        <v>2</v>
      </c>
      <c r="D50" s="14">
        <v>4</v>
      </c>
      <c r="E50" s="11" t="s">
        <v>713</v>
      </c>
      <c r="F50" s="14">
        <v>0</v>
      </c>
      <c r="G50" s="14">
        <v>1</v>
      </c>
      <c r="H50" s="11" t="s">
        <v>228</v>
      </c>
      <c r="I50" s="14"/>
      <c r="J50" s="11" t="s">
        <v>228</v>
      </c>
      <c r="K50" s="11" t="s">
        <v>228</v>
      </c>
      <c r="L50" s="11"/>
      <c r="M50" s="11" t="s">
        <v>228</v>
      </c>
      <c r="N50" s="11" t="s">
        <v>228</v>
      </c>
      <c r="O50" s="11"/>
      <c r="P50" s="11" t="s">
        <v>228</v>
      </c>
      <c r="Q50" s="11" t="s">
        <v>228</v>
      </c>
      <c r="R50" s="11"/>
      <c r="S50" s="11" t="s">
        <v>228</v>
      </c>
      <c r="T50" s="11" t="s">
        <v>228</v>
      </c>
      <c r="U50" s="11"/>
      <c r="V50" s="11" t="s">
        <v>228</v>
      </c>
    </row>
    <row r="51" spans="1:22" x14ac:dyDescent="0.4">
      <c r="A51" s="8"/>
      <c r="B51" s="14">
        <v>71</v>
      </c>
      <c r="C51" s="14">
        <v>1</v>
      </c>
      <c r="D51" s="14">
        <v>1</v>
      </c>
      <c r="E51" s="11" t="s">
        <v>701</v>
      </c>
      <c r="F51" s="14">
        <v>10</v>
      </c>
      <c r="G51" s="14">
        <v>0</v>
      </c>
      <c r="H51" s="11" t="s">
        <v>683</v>
      </c>
      <c r="I51" s="14">
        <v>50</v>
      </c>
      <c r="J51" s="11" t="s">
        <v>228</v>
      </c>
      <c r="K51" s="11" t="s">
        <v>228</v>
      </c>
      <c r="L51" s="11"/>
      <c r="M51" s="11" t="s">
        <v>228</v>
      </c>
      <c r="N51" s="11" t="s">
        <v>228</v>
      </c>
      <c r="O51" s="11"/>
      <c r="P51" s="11" t="s">
        <v>228</v>
      </c>
      <c r="Q51" s="11" t="s">
        <v>228</v>
      </c>
      <c r="R51" s="11"/>
      <c r="S51" s="11" t="s">
        <v>228</v>
      </c>
      <c r="T51" s="11" t="s">
        <v>228</v>
      </c>
      <c r="U51" s="11"/>
      <c r="V51" s="11" t="s">
        <v>228</v>
      </c>
    </row>
    <row r="52" spans="1:22" x14ac:dyDescent="0.4">
      <c r="A52" s="8"/>
      <c r="B52" s="14">
        <v>71</v>
      </c>
      <c r="C52" s="14">
        <v>1</v>
      </c>
      <c r="D52" s="14">
        <v>2</v>
      </c>
      <c r="E52" s="11" t="s">
        <v>714</v>
      </c>
      <c r="F52" s="14">
        <v>10</v>
      </c>
      <c r="G52" s="14">
        <v>0</v>
      </c>
      <c r="H52" s="11" t="s">
        <v>715</v>
      </c>
      <c r="I52" s="14">
        <v>50</v>
      </c>
      <c r="J52" s="11" t="s">
        <v>228</v>
      </c>
      <c r="K52" s="11" t="s">
        <v>228</v>
      </c>
      <c r="L52" s="11"/>
      <c r="M52" s="11" t="s">
        <v>228</v>
      </c>
      <c r="N52" s="11" t="s">
        <v>228</v>
      </c>
      <c r="O52" s="11"/>
      <c r="P52" s="11" t="s">
        <v>228</v>
      </c>
      <c r="Q52" s="11" t="s">
        <v>228</v>
      </c>
      <c r="R52" s="11"/>
      <c r="S52" s="11" t="s">
        <v>228</v>
      </c>
      <c r="T52" s="11" t="s">
        <v>228</v>
      </c>
      <c r="U52" s="11"/>
      <c r="V52" s="11" t="s">
        <v>228</v>
      </c>
    </row>
    <row r="53" spans="1:22" x14ac:dyDescent="0.4">
      <c r="A53" s="8"/>
      <c r="B53" s="14">
        <v>71</v>
      </c>
      <c r="C53" s="14">
        <v>1</v>
      </c>
      <c r="D53" s="14">
        <v>3</v>
      </c>
      <c r="E53" s="11" t="s">
        <v>716</v>
      </c>
      <c r="F53" s="14">
        <v>15</v>
      </c>
      <c r="G53" s="14">
        <v>1</v>
      </c>
      <c r="H53" s="11" t="s">
        <v>228</v>
      </c>
      <c r="I53" s="14"/>
      <c r="J53" s="11" t="s">
        <v>228</v>
      </c>
      <c r="K53" s="11" t="s">
        <v>228</v>
      </c>
      <c r="L53" s="11"/>
      <c r="M53" s="11" t="s">
        <v>228</v>
      </c>
      <c r="N53" s="11" t="s">
        <v>228</v>
      </c>
      <c r="O53" s="11"/>
      <c r="P53" s="11" t="s">
        <v>228</v>
      </c>
      <c r="Q53" s="11" t="s">
        <v>228</v>
      </c>
      <c r="R53" s="11"/>
      <c r="S53" s="11" t="s">
        <v>228</v>
      </c>
      <c r="T53" s="11" t="s">
        <v>228</v>
      </c>
      <c r="U53" s="11"/>
      <c r="V53" s="11" t="s">
        <v>228</v>
      </c>
    </row>
    <row r="54" spans="1:22" x14ac:dyDescent="0.4">
      <c r="A54" s="8"/>
      <c r="B54" s="14">
        <v>71</v>
      </c>
      <c r="C54" s="14">
        <v>2</v>
      </c>
      <c r="D54" s="14">
        <v>1</v>
      </c>
      <c r="E54" s="11" t="s">
        <v>428</v>
      </c>
      <c r="F54" s="14">
        <v>10</v>
      </c>
      <c r="G54" s="14">
        <v>1</v>
      </c>
      <c r="H54" s="11" t="s">
        <v>228</v>
      </c>
      <c r="I54" s="14"/>
      <c r="J54" s="11" t="s">
        <v>228</v>
      </c>
      <c r="K54" s="11" t="s">
        <v>228</v>
      </c>
      <c r="L54" s="11"/>
      <c r="M54" s="11" t="s">
        <v>228</v>
      </c>
      <c r="N54" s="11" t="s">
        <v>228</v>
      </c>
      <c r="O54" s="11"/>
      <c r="P54" s="11" t="s">
        <v>228</v>
      </c>
      <c r="Q54" s="11" t="s">
        <v>228</v>
      </c>
      <c r="R54" s="11"/>
      <c r="S54" s="11" t="s">
        <v>228</v>
      </c>
      <c r="T54" s="11" t="s">
        <v>228</v>
      </c>
      <c r="U54" s="11"/>
      <c r="V54" s="11" t="s">
        <v>228</v>
      </c>
    </row>
    <row r="55" spans="1:22" x14ac:dyDescent="0.4">
      <c r="A55" s="8"/>
      <c r="B55" s="14">
        <v>71</v>
      </c>
      <c r="C55" s="14">
        <v>2</v>
      </c>
      <c r="D55" s="14">
        <v>2</v>
      </c>
      <c r="E55" s="11" t="s">
        <v>327</v>
      </c>
      <c r="F55" s="14">
        <v>10</v>
      </c>
      <c r="G55" s="14">
        <v>1</v>
      </c>
      <c r="H55" s="11" t="s">
        <v>228</v>
      </c>
      <c r="I55" s="14"/>
      <c r="J55" s="11" t="s">
        <v>228</v>
      </c>
      <c r="K55" s="11" t="s">
        <v>228</v>
      </c>
      <c r="L55" s="11"/>
      <c r="M55" s="11" t="s">
        <v>228</v>
      </c>
      <c r="N55" s="11" t="s">
        <v>228</v>
      </c>
      <c r="O55" s="11"/>
      <c r="P55" s="11" t="s">
        <v>228</v>
      </c>
      <c r="Q55" s="11" t="s">
        <v>228</v>
      </c>
      <c r="R55" s="11"/>
      <c r="S55" s="11" t="s">
        <v>228</v>
      </c>
      <c r="T55" s="11" t="s">
        <v>228</v>
      </c>
      <c r="U55" s="11"/>
      <c r="V55" s="11" t="s">
        <v>228</v>
      </c>
    </row>
    <row r="56" spans="1:22" x14ac:dyDescent="0.4">
      <c r="A56" s="8"/>
      <c r="B56" s="14">
        <v>71</v>
      </c>
      <c r="C56" s="14">
        <v>2</v>
      </c>
      <c r="D56" s="14">
        <v>3</v>
      </c>
      <c r="E56" s="11" t="s">
        <v>717</v>
      </c>
      <c r="F56" s="14">
        <v>15</v>
      </c>
      <c r="G56" s="14">
        <v>0</v>
      </c>
      <c r="H56" s="11" t="s">
        <v>594</v>
      </c>
      <c r="I56" s="14">
        <v>150</v>
      </c>
      <c r="J56" s="11" t="s">
        <v>228</v>
      </c>
      <c r="K56" s="11" t="s">
        <v>696</v>
      </c>
      <c r="L56" s="11">
        <v>-150</v>
      </c>
      <c r="M56" s="11" t="s">
        <v>228</v>
      </c>
      <c r="N56" s="11" t="s">
        <v>228</v>
      </c>
      <c r="O56" s="11"/>
      <c r="P56" s="11" t="s">
        <v>228</v>
      </c>
      <c r="Q56" s="11" t="s">
        <v>228</v>
      </c>
      <c r="R56" s="11"/>
      <c r="S56" s="11" t="s">
        <v>228</v>
      </c>
      <c r="T56" s="11" t="s">
        <v>228</v>
      </c>
      <c r="U56" s="11"/>
      <c r="V56" s="11" t="s">
        <v>228</v>
      </c>
    </row>
    <row r="57" spans="1:22" x14ac:dyDescent="0.4">
      <c r="A57" s="8"/>
      <c r="B57" s="14">
        <v>72</v>
      </c>
      <c r="C57" s="14">
        <v>1</v>
      </c>
      <c r="D57" s="14">
        <v>1</v>
      </c>
      <c r="E57" s="11" t="s">
        <v>718</v>
      </c>
      <c r="F57" s="14">
        <v>5</v>
      </c>
      <c r="G57" s="14">
        <v>1</v>
      </c>
      <c r="H57" s="11" t="s">
        <v>228</v>
      </c>
      <c r="I57" s="14"/>
      <c r="J57" s="11" t="s">
        <v>228</v>
      </c>
      <c r="K57" s="11" t="s">
        <v>228</v>
      </c>
      <c r="L57" s="11"/>
      <c r="M57" s="11" t="s">
        <v>228</v>
      </c>
      <c r="N57" s="11" t="s">
        <v>228</v>
      </c>
      <c r="O57" s="11"/>
      <c r="P57" s="11" t="s">
        <v>228</v>
      </c>
      <c r="Q57" s="11" t="s">
        <v>228</v>
      </c>
      <c r="R57" s="11"/>
      <c r="S57" s="11" t="s">
        <v>228</v>
      </c>
      <c r="T57" s="11" t="s">
        <v>228</v>
      </c>
      <c r="U57" s="11"/>
      <c r="V57" s="11" t="s">
        <v>228</v>
      </c>
    </row>
    <row r="58" spans="1:22" x14ac:dyDescent="0.4">
      <c r="A58" s="8"/>
      <c r="B58" s="14">
        <v>72</v>
      </c>
      <c r="C58" s="14">
        <v>1</v>
      </c>
      <c r="D58" s="14">
        <v>2</v>
      </c>
      <c r="E58" s="11" t="s">
        <v>327</v>
      </c>
      <c r="F58" s="14">
        <v>10</v>
      </c>
      <c r="G58" s="14">
        <v>1</v>
      </c>
      <c r="H58" s="11" t="s">
        <v>228</v>
      </c>
      <c r="I58" s="14"/>
      <c r="J58" s="11" t="s">
        <v>228</v>
      </c>
      <c r="K58" s="11" t="s">
        <v>228</v>
      </c>
      <c r="L58" s="11"/>
      <c r="M58" s="11" t="s">
        <v>228</v>
      </c>
      <c r="N58" s="11" t="s">
        <v>228</v>
      </c>
      <c r="O58" s="11"/>
      <c r="P58" s="11" t="s">
        <v>228</v>
      </c>
      <c r="Q58" s="11" t="s">
        <v>228</v>
      </c>
      <c r="R58" s="11"/>
      <c r="S58" s="11" t="s">
        <v>228</v>
      </c>
      <c r="T58" s="11" t="s">
        <v>228</v>
      </c>
      <c r="U58" s="11"/>
      <c r="V58" s="11" t="s">
        <v>228</v>
      </c>
    </row>
    <row r="59" spans="1:22" x14ac:dyDescent="0.4">
      <c r="A59" s="8"/>
      <c r="B59" s="14">
        <v>72</v>
      </c>
      <c r="C59" s="14">
        <v>1</v>
      </c>
      <c r="D59" s="14">
        <v>3</v>
      </c>
      <c r="E59" s="11" t="s">
        <v>719</v>
      </c>
      <c r="F59" s="14">
        <v>20</v>
      </c>
      <c r="G59" s="14">
        <v>1</v>
      </c>
      <c r="H59" s="11" t="s">
        <v>228</v>
      </c>
      <c r="I59" s="14"/>
      <c r="J59" s="11" t="s">
        <v>228</v>
      </c>
      <c r="K59" s="11" t="s">
        <v>228</v>
      </c>
      <c r="L59" s="11"/>
      <c r="M59" s="11" t="s">
        <v>228</v>
      </c>
      <c r="N59" s="11" t="s">
        <v>228</v>
      </c>
      <c r="O59" s="11"/>
      <c r="P59" s="11" t="s">
        <v>228</v>
      </c>
      <c r="Q59" s="11" t="s">
        <v>228</v>
      </c>
      <c r="R59" s="11"/>
      <c r="S59" s="11" t="s">
        <v>228</v>
      </c>
      <c r="T59" s="11" t="s">
        <v>228</v>
      </c>
      <c r="U59" s="11"/>
      <c r="V59" s="11" t="s">
        <v>228</v>
      </c>
    </row>
    <row r="60" spans="1:22" x14ac:dyDescent="0.4">
      <c r="A60" s="8"/>
      <c r="B60" s="14">
        <v>72</v>
      </c>
      <c r="C60" s="14">
        <v>2</v>
      </c>
      <c r="D60" s="14">
        <v>1</v>
      </c>
      <c r="E60" s="11" t="s">
        <v>720</v>
      </c>
      <c r="F60" s="14">
        <v>10</v>
      </c>
      <c r="G60" s="14">
        <v>0</v>
      </c>
      <c r="H60" s="11" t="s">
        <v>721</v>
      </c>
      <c r="I60" s="14">
        <v>50</v>
      </c>
      <c r="J60" s="11" t="s">
        <v>228</v>
      </c>
      <c r="K60" s="11" t="s">
        <v>228</v>
      </c>
      <c r="L60" s="11"/>
      <c r="M60" s="11" t="s">
        <v>228</v>
      </c>
      <c r="N60" s="11" t="s">
        <v>228</v>
      </c>
      <c r="O60" s="11"/>
      <c r="P60" s="11" t="s">
        <v>228</v>
      </c>
      <c r="Q60" s="11" t="s">
        <v>228</v>
      </c>
      <c r="R60" s="11"/>
      <c r="S60" s="11" t="s">
        <v>228</v>
      </c>
      <c r="T60" s="11" t="s">
        <v>228</v>
      </c>
      <c r="U60" s="11"/>
      <c r="V60" s="11" t="s">
        <v>228</v>
      </c>
    </row>
    <row r="61" spans="1:22" x14ac:dyDescent="0.4">
      <c r="A61" s="8"/>
      <c r="B61" s="14">
        <v>72</v>
      </c>
      <c r="C61" s="14">
        <v>2</v>
      </c>
      <c r="D61" s="14">
        <v>2</v>
      </c>
      <c r="E61" s="11" t="s">
        <v>428</v>
      </c>
      <c r="F61" s="14">
        <v>10</v>
      </c>
      <c r="G61" s="14">
        <v>1</v>
      </c>
      <c r="H61" s="11" t="s">
        <v>228</v>
      </c>
      <c r="I61" s="14"/>
      <c r="J61" s="11" t="s">
        <v>228</v>
      </c>
      <c r="K61" s="11" t="s">
        <v>228</v>
      </c>
      <c r="L61" s="11"/>
      <c r="M61" s="11" t="s">
        <v>228</v>
      </c>
      <c r="N61" s="11" t="s">
        <v>228</v>
      </c>
      <c r="O61" s="11"/>
      <c r="P61" s="11" t="s">
        <v>228</v>
      </c>
      <c r="Q61" s="11" t="s">
        <v>228</v>
      </c>
      <c r="R61" s="11"/>
      <c r="S61" s="11" t="s">
        <v>228</v>
      </c>
      <c r="T61" s="11" t="s">
        <v>228</v>
      </c>
      <c r="U61" s="11"/>
      <c r="V61" s="11" t="s">
        <v>228</v>
      </c>
    </row>
    <row r="62" spans="1:22" x14ac:dyDescent="0.4">
      <c r="A62" s="8"/>
      <c r="B62" s="14">
        <v>72</v>
      </c>
      <c r="C62" s="14">
        <v>2</v>
      </c>
      <c r="D62" s="14">
        <v>3</v>
      </c>
      <c r="E62" s="11" t="s">
        <v>722</v>
      </c>
      <c r="F62" s="14">
        <v>15</v>
      </c>
      <c r="G62" s="14">
        <v>1</v>
      </c>
      <c r="H62" s="11" t="s">
        <v>228</v>
      </c>
      <c r="I62" s="14"/>
      <c r="J62" s="11" t="s">
        <v>228</v>
      </c>
      <c r="K62" s="11" t="s">
        <v>228</v>
      </c>
      <c r="L62" s="11"/>
      <c r="M62" s="11" t="s">
        <v>228</v>
      </c>
      <c r="N62" s="11" t="s">
        <v>228</v>
      </c>
      <c r="O62" s="11"/>
      <c r="P62" s="11" t="s">
        <v>228</v>
      </c>
      <c r="Q62" s="11" t="s">
        <v>228</v>
      </c>
      <c r="R62" s="11"/>
      <c r="S62" s="11" t="s">
        <v>228</v>
      </c>
      <c r="T62" s="11" t="s">
        <v>228</v>
      </c>
      <c r="U62" s="11"/>
      <c r="V62" s="11" t="s">
        <v>228</v>
      </c>
    </row>
    <row r="63" spans="1:22" x14ac:dyDescent="0.4">
      <c r="A63" s="8"/>
      <c r="B63" s="14">
        <v>73</v>
      </c>
      <c r="C63" s="14">
        <v>1</v>
      </c>
      <c r="D63" s="14">
        <v>1</v>
      </c>
      <c r="E63" s="11" t="s">
        <v>723</v>
      </c>
      <c r="F63" s="14">
        <v>10</v>
      </c>
      <c r="G63" s="14">
        <v>1</v>
      </c>
      <c r="H63" s="11" t="s">
        <v>228</v>
      </c>
      <c r="I63" s="14"/>
      <c r="J63" s="11" t="s">
        <v>228</v>
      </c>
      <c r="K63" s="11" t="s">
        <v>228</v>
      </c>
      <c r="L63" s="11"/>
      <c r="M63" s="11" t="s">
        <v>228</v>
      </c>
      <c r="N63" s="11" t="s">
        <v>228</v>
      </c>
      <c r="O63" s="11"/>
      <c r="P63" s="11" t="s">
        <v>228</v>
      </c>
      <c r="Q63" s="11" t="s">
        <v>228</v>
      </c>
      <c r="R63" s="11"/>
      <c r="S63" s="11" t="s">
        <v>228</v>
      </c>
      <c r="T63" s="11" t="s">
        <v>228</v>
      </c>
      <c r="U63" s="11"/>
      <c r="V63" s="11" t="s">
        <v>228</v>
      </c>
    </row>
    <row r="64" spans="1:22" x14ac:dyDescent="0.4">
      <c r="A64" s="8"/>
      <c r="B64" s="14">
        <v>73</v>
      </c>
      <c r="C64" s="14">
        <v>1</v>
      </c>
      <c r="D64" s="14">
        <v>2</v>
      </c>
      <c r="E64" s="11" t="s">
        <v>687</v>
      </c>
      <c r="F64" s="14">
        <v>10</v>
      </c>
      <c r="G64" s="14">
        <v>1</v>
      </c>
      <c r="H64" s="11" t="s">
        <v>228</v>
      </c>
      <c r="I64" s="14"/>
      <c r="J64" s="11" t="s">
        <v>228</v>
      </c>
      <c r="K64" s="11" t="s">
        <v>228</v>
      </c>
      <c r="L64" s="11"/>
      <c r="M64" s="11" t="s">
        <v>228</v>
      </c>
      <c r="N64" s="11" t="s">
        <v>228</v>
      </c>
      <c r="O64" s="11"/>
      <c r="P64" s="11" t="s">
        <v>228</v>
      </c>
      <c r="Q64" s="11" t="s">
        <v>228</v>
      </c>
      <c r="R64" s="11"/>
      <c r="S64" s="11" t="s">
        <v>228</v>
      </c>
      <c r="T64" s="11" t="s">
        <v>228</v>
      </c>
      <c r="U64" s="11"/>
      <c r="V64" s="11" t="s">
        <v>228</v>
      </c>
    </row>
    <row r="65" spans="1:22" x14ac:dyDescent="0.4">
      <c r="A65" s="8"/>
      <c r="B65" s="14">
        <v>73</v>
      </c>
      <c r="C65" s="14">
        <v>1</v>
      </c>
      <c r="D65" s="14">
        <v>3</v>
      </c>
      <c r="E65" s="11" t="s">
        <v>724</v>
      </c>
      <c r="F65" s="14">
        <v>15</v>
      </c>
      <c r="G65" s="14">
        <v>0</v>
      </c>
      <c r="H65" s="11" t="s">
        <v>721</v>
      </c>
      <c r="I65" s="14">
        <v>75</v>
      </c>
      <c r="J65" s="11" t="s">
        <v>228</v>
      </c>
      <c r="K65" s="11" t="s">
        <v>228</v>
      </c>
      <c r="L65" s="11"/>
      <c r="M65" s="11" t="s">
        <v>228</v>
      </c>
      <c r="N65" s="11" t="s">
        <v>228</v>
      </c>
      <c r="O65" s="11"/>
      <c r="P65" s="11" t="s">
        <v>228</v>
      </c>
      <c r="Q65" s="11" t="s">
        <v>228</v>
      </c>
      <c r="R65" s="11"/>
      <c r="S65" s="11" t="s">
        <v>228</v>
      </c>
      <c r="T65" s="11" t="s">
        <v>228</v>
      </c>
      <c r="U65" s="11"/>
      <c r="V65" s="11" t="s">
        <v>228</v>
      </c>
    </row>
    <row r="66" spans="1:22" x14ac:dyDescent="0.4">
      <c r="A66" s="8"/>
      <c r="B66" s="14">
        <v>73</v>
      </c>
      <c r="C66" s="14">
        <v>2</v>
      </c>
      <c r="D66" s="14">
        <v>1</v>
      </c>
      <c r="E66" s="11" t="s">
        <v>725</v>
      </c>
      <c r="F66" s="14">
        <v>10</v>
      </c>
      <c r="G66" s="14">
        <v>0</v>
      </c>
      <c r="H66" s="11" t="s">
        <v>796</v>
      </c>
      <c r="I66" s="14">
        <v>50</v>
      </c>
      <c r="J66" s="11" t="s">
        <v>228</v>
      </c>
      <c r="K66" s="11" t="s">
        <v>685</v>
      </c>
      <c r="L66" s="11">
        <v>450</v>
      </c>
      <c r="M66" s="11" t="s">
        <v>228</v>
      </c>
      <c r="N66" s="11" t="s">
        <v>228</v>
      </c>
      <c r="O66" s="11"/>
      <c r="P66" s="11" t="s">
        <v>228</v>
      </c>
      <c r="Q66" s="11" t="s">
        <v>228</v>
      </c>
      <c r="R66" s="11"/>
      <c r="S66" s="11" t="s">
        <v>228</v>
      </c>
      <c r="T66" s="11" t="s">
        <v>228</v>
      </c>
      <c r="U66" s="11"/>
      <c r="V66" s="11" t="s">
        <v>228</v>
      </c>
    </row>
    <row r="67" spans="1:22" x14ac:dyDescent="0.4">
      <c r="A67" s="8"/>
      <c r="B67" s="14">
        <v>73</v>
      </c>
      <c r="C67" s="14">
        <v>2</v>
      </c>
      <c r="D67" s="14">
        <v>2</v>
      </c>
      <c r="E67" s="11" t="s">
        <v>797</v>
      </c>
      <c r="F67" s="14">
        <v>10</v>
      </c>
      <c r="G67" s="14">
        <v>0</v>
      </c>
      <c r="H67" s="11" t="s">
        <v>694</v>
      </c>
      <c r="I67" s="14">
        <v>20</v>
      </c>
      <c r="J67" s="11" t="s">
        <v>228</v>
      </c>
      <c r="K67" s="11" t="s">
        <v>711</v>
      </c>
      <c r="L67" s="11">
        <v>150</v>
      </c>
      <c r="M67" s="11" t="s">
        <v>228</v>
      </c>
      <c r="N67" s="11" t="s">
        <v>682</v>
      </c>
      <c r="O67" s="11">
        <v>-150</v>
      </c>
      <c r="P67" s="11" t="s">
        <v>228</v>
      </c>
      <c r="Q67" s="11" t="s">
        <v>228</v>
      </c>
      <c r="R67" s="11"/>
      <c r="S67" s="11" t="s">
        <v>228</v>
      </c>
      <c r="T67" s="11" t="s">
        <v>228</v>
      </c>
      <c r="U67" s="11"/>
      <c r="V67" s="11" t="s">
        <v>228</v>
      </c>
    </row>
    <row r="68" spans="1:22" x14ac:dyDescent="0.4">
      <c r="A68" s="8"/>
      <c r="B68" s="14">
        <v>73</v>
      </c>
      <c r="C68" s="14">
        <v>2</v>
      </c>
      <c r="D68" s="14">
        <v>3</v>
      </c>
      <c r="E68" s="11" t="s">
        <v>324</v>
      </c>
      <c r="F68" s="14">
        <v>15</v>
      </c>
      <c r="G68" s="14">
        <v>0</v>
      </c>
      <c r="H68" s="11" t="s">
        <v>683</v>
      </c>
      <c r="I68" s="14">
        <v>75</v>
      </c>
      <c r="J68" s="11" t="s">
        <v>228</v>
      </c>
      <c r="K68" s="11" t="s">
        <v>228</v>
      </c>
      <c r="L68" s="11"/>
      <c r="M68" s="11" t="s">
        <v>228</v>
      </c>
      <c r="N68" s="11" t="s">
        <v>228</v>
      </c>
      <c r="O68" s="11"/>
      <c r="P68" s="11" t="s">
        <v>228</v>
      </c>
      <c r="Q68" s="11" t="s">
        <v>228</v>
      </c>
      <c r="R68" s="11"/>
      <c r="S68" s="11" t="s">
        <v>228</v>
      </c>
      <c r="T68" s="11" t="s">
        <v>228</v>
      </c>
      <c r="U68" s="11"/>
      <c r="V68" s="11" t="s">
        <v>228</v>
      </c>
    </row>
    <row r="69" spans="1:22" x14ac:dyDescent="0.4">
      <c r="A69" s="8"/>
      <c r="B69" s="14">
        <v>73</v>
      </c>
      <c r="C69" s="14">
        <v>2</v>
      </c>
      <c r="D69" s="14">
        <v>4</v>
      </c>
      <c r="E69" s="11" t="s">
        <v>726</v>
      </c>
      <c r="F69" s="14">
        <v>0</v>
      </c>
      <c r="G69" s="14">
        <v>0</v>
      </c>
      <c r="H69" s="11" t="s">
        <v>684</v>
      </c>
      <c r="I69" s="14">
        <v>30</v>
      </c>
      <c r="J69" s="11" t="s">
        <v>228</v>
      </c>
      <c r="K69" s="11" t="s">
        <v>228</v>
      </c>
      <c r="L69" s="11"/>
      <c r="M69" s="11" t="s">
        <v>228</v>
      </c>
      <c r="N69" s="11" t="s">
        <v>228</v>
      </c>
      <c r="O69" s="11"/>
      <c r="P69" s="11" t="s">
        <v>228</v>
      </c>
      <c r="Q69" s="11" t="s">
        <v>228</v>
      </c>
      <c r="R69" s="11"/>
      <c r="S69" s="11" t="s">
        <v>228</v>
      </c>
      <c r="T69" s="11" t="s">
        <v>228</v>
      </c>
      <c r="U69" s="11"/>
      <c r="V69" s="11" t="s">
        <v>228</v>
      </c>
    </row>
    <row r="70" spans="1:22" x14ac:dyDescent="0.4">
      <c r="A70" s="8"/>
      <c r="B70" s="14">
        <v>74</v>
      </c>
      <c r="C70" s="14">
        <v>1</v>
      </c>
      <c r="D70" s="14">
        <v>1</v>
      </c>
      <c r="E70" s="11" t="s">
        <v>720</v>
      </c>
      <c r="F70" s="14">
        <v>10</v>
      </c>
      <c r="G70" s="14">
        <v>0</v>
      </c>
      <c r="H70" s="11" t="s">
        <v>721</v>
      </c>
      <c r="I70" s="14">
        <v>50</v>
      </c>
      <c r="J70" s="11" t="s">
        <v>228</v>
      </c>
      <c r="K70" s="11" t="s">
        <v>228</v>
      </c>
      <c r="L70" s="11"/>
      <c r="M70" s="11" t="s">
        <v>228</v>
      </c>
      <c r="N70" s="11" t="s">
        <v>228</v>
      </c>
      <c r="O70" s="11"/>
      <c r="P70" s="11" t="s">
        <v>228</v>
      </c>
      <c r="Q70" s="11" t="s">
        <v>228</v>
      </c>
      <c r="R70" s="11"/>
      <c r="S70" s="11" t="s">
        <v>228</v>
      </c>
      <c r="T70" s="11" t="s">
        <v>228</v>
      </c>
      <c r="U70" s="11"/>
      <c r="V70" s="11" t="s">
        <v>228</v>
      </c>
    </row>
    <row r="71" spans="1:22" x14ac:dyDescent="0.4">
      <c r="A71" s="8"/>
      <c r="B71" s="14">
        <v>74</v>
      </c>
      <c r="C71" s="14">
        <v>1</v>
      </c>
      <c r="D71" s="14">
        <v>2</v>
      </c>
      <c r="E71" s="11" t="s">
        <v>707</v>
      </c>
      <c r="F71" s="14">
        <v>10</v>
      </c>
      <c r="G71" s="14">
        <v>1</v>
      </c>
      <c r="H71" s="11" t="s">
        <v>228</v>
      </c>
      <c r="I71" s="14"/>
      <c r="J71" s="11" t="s">
        <v>228</v>
      </c>
      <c r="K71" s="11" t="s">
        <v>228</v>
      </c>
      <c r="L71" s="11"/>
      <c r="M71" s="11" t="s">
        <v>228</v>
      </c>
      <c r="N71" s="11" t="s">
        <v>228</v>
      </c>
      <c r="O71" s="11"/>
      <c r="P71" s="11" t="s">
        <v>228</v>
      </c>
      <c r="Q71" s="11" t="s">
        <v>228</v>
      </c>
      <c r="R71" s="11"/>
      <c r="S71" s="11" t="s">
        <v>228</v>
      </c>
      <c r="T71" s="11" t="s">
        <v>228</v>
      </c>
      <c r="U71" s="11"/>
      <c r="V71" s="11" t="s">
        <v>228</v>
      </c>
    </row>
    <row r="72" spans="1:22" x14ac:dyDescent="0.4">
      <c r="A72" s="8"/>
      <c r="B72" s="14">
        <v>74</v>
      </c>
      <c r="C72" s="14">
        <v>1</v>
      </c>
      <c r="D72" s="14">
        <v>3</v>
      </c>
      <c r="E72" s="11" t="s">
        <v>798</v>
      </c>
      <c r="F72" s="14">
        <v>15</v>
      </c>
      <c r="G72" s="14">
        <v>0</v>
      </c>
      <c r="H72" s="11" t="s">
        <v>694</v>
      </c>
      <c r="I72" s="14">
        <v>30</v>
      </c>
      <c r="J72" s="11" t="s">
        <v>228</v>
      </c>
      <c r="K72" s="11" t="s">
        <v>228</v>
      </c>
      <c r="L72" s="11"/>
      <c r="M72" s="11" t="s">
        <v>228</v>
      </c>
      <c r="N72" s="11" t="s">
        <v>228</v>
      </c>
      <c r="O72" s="11"/>
      <c r="P72" s="11" t="s">
        <v>228</v>
      </c>
      <c r="Q72" s="11" t="s">
        <v>228</v>
      </c>
      <c r="R72" s="11"/>
      <c r="S72" s="11" t="s">
        <v>228</v>
      </c>
      <c r="T72" s="11" t="s">
        <v>228</v>
      </c>
      <c r="U72" s="11"/>
      <c r="V72" s="11" t="s">
        <v>228</v>
      </c>
    </row>
    <row r="73" spans="1:22" x14ac:dyDescent="0.4">
      <c r="A73" s="8"/>
      <c r="B73" s="14">
        <v>74</v>
      </c>
      <c r="C73" s="14">
        <v>1</v>
      </c>
      <c r="D73" s="14">
        <v>4</v>
      </c>
      <c r="E73" s="11" t="s">
        <v>799</v>
      </c>
      <c r="F73" s="14">
        <v>15</v>
      </c>
      <c r="G73" s="14">
        <v>1</v>
      </c>
      <c r="H73" s="11" t="s">
        <v>228</v>
      </c>
      <c r="I73" s="14"/>
      <c r="J73" s="11" t="s">
        <v>228</v>
      </c>
      <c r="K73" s="11" t="s">
        <v>228</v>
      </c>
      <c r="L73" s="11"/>
      <c r="M73" s="11" t="s">
        <v>228</v>
      </c>
      <c r="N73" s="11" t="s">
        <v>228</v>
      </c>
      <c r="O73" s="11"/>
      <c r="P73" s="11" t="s">
        <v>228</v>
      </c>
      <c r="Q73" s="11" t="s">
        <v>228</v>
      </c>
      <c r="R73" s="11"/>
      <c r="S73" s="11" t="s">
        <v>228</v>
      </c>
      <c r="T73" s="11" t="s">
        <v>228</v>
      </c>
      <c r="U73" s="11"/>
      <c r="V73" s="11" t="s">
        <v>228</v>
      </c>
    </row>
    <row r="74" spans="1:22" x14ac:dyDescent="0.4">
      <c r="A74" s="8"/>
      <c r="B74" s="14">
        <v>74</v>
      </c>
      <c r="C74" s="14">
        <v>2</v>
      </c>
      <c r="D74" s="14">
        <v>1</v>
      </c>
      <c r="E74" s="11" t="s">
        <v>800</v>
      </c>
      <c r="F74" s="14">
        <v>10</v>
      </c>
      <c r="G74" s="14">
        <v>0</v>
      </c>
      <c r="H74" s="11" t="s">
        <v>711</v>
      </c>
      <c r="I74" s="14">
        <v>150</v>
      </c>
      <c r="J74" s="11" t="s">
        <v>228</v>
      </c>
      <c r="K74" s="11" t="s">
        <v>594</v>
      </c>
      <c r="L74" s="11">
        <v>-150</v>
      </c>
      <c r="M74" s="11" t="s">
        <v>228</v>
      </c>
      <c r="N74" s="11" t="s">
        <v>228</v>
      </c>
      <c r="O74" s="11"/>
      <c r="P74" s="11" t="s">
        <v>228</v>
      </c>
      <c r="Q74" s="11" t="s">
        <v>228</v>
      </c>
      <c r="R74" s="11"/>
      <c r="S74" s="11" t="s">
        <v>228</v>
      </c>
      <c r="T74" s="11" t="s">
        <v>228</v>
      </c>
      <c r="U74" s="11"/>
      <c r="V74" s="11" t="s">
        <v>228</v>
      </c>
    </row>
    <row r="75" spans="1:22" x14ac:dyDescent="0.4">
      <c r="A75" s="8"/>
      <c r="B75" s="14">
        <v>74</v>
      </c>
      <c r="C75" s="14">
        <v>2</v>
      </c>
      <c r="D75" s="14">
        <v>2</v>
      </c>
      <c r="E75" s="11" t="s">
        <v>801</v>
      </c>
      <c r="F75" s="14">
        <v>10</v>
      </c>
      <c r="G75" s="14">
        <v>1</v>
      </c>
      <c r="H75" s="11" t="s">
        <v>228</v>
      </c>
      <c r="I75" s="14"/>
      <c r="J75" s="11" t="s">
        <v>228</v>
      </c>
      <c r="K75" s="11" t="s">
        <v>228</v>
      </c>
      <c r="L75" s="11"/>
      <c r="M75" s="11" t="s">
        <v>228</v>
      </c>
      <c r="N75" s="11" t="s">
        <v>228</v>
      </c>
      <c r="O75" s="11"/>
      <c r="P75" s="11" t="s">
        <v>228</v>
      </c>
      <c r="Q75" s="11" t="s">
        <v>228</v>
      </c>
      <c r="R75" s="11"/>
      <c r="S75" s="11" t="s">
        <v>228</v>
      </c>
      <c r="T75" s="11" t="s">
        <v>228</v>
      </c>
      <c r="U75" s="11"/>
      <c r="V75" s="11" t="s">
        <v>228</v>
      </c>
    </row>
    <row r="76" spans="1:22" x14ac:dyDescent="0.4">
      <c r="A76" s="8"/>
      <c r="B76" s="14">
        <v>74</v>
      </c>
      <c r="C76" s="14">
        <v>2</v>
      </c>
      <c r="D76" s="14">
        <v>3</v>
      </c>
      <c r="E76" s="11" t="s">
        <v>324</v>
      </c>
      <c r="F76" s="14">
        <v>15</v>
      </c>
      <c r="G76" s="14">
        <v>0</v>
      </c>
      <c r="H76" s="11" t="s">
        <v>683</v>
      </c>
      <c r="I76" s="14">
        <v>75</v>
      </c>
      <c r="J76" s="11" t="s">
        <v>228</v>
      </c>
      <c r="K76" s="11" t="s">
        <v>228</v>
      </c>
      <c r="L76" s="11"/>
      <c r="M76" s="11" t="s">
        <v>228</v>
      </c>
      <c r="N76" s="11" t="s">
        <v>228</v>
      </c>
      <c r="O76" s="11"/>
      <c r="P76" s="11" t="s">
        <v>228</v>
      </c>
      <c r="Q76" s="11" t="s">
        <v>228</v>
      </c>
      <c r="R76" s="11"/>
      <c r="S76" s="11" t="s">
        <v>228</v>
      </c>
      <c r="T76" s="11" t="s">
        <v>228</v>
      </c>
      <c r="U76" s="11"/>
      <c r="V76" s="11" t="s">
        <v>228</v>
      </c>
    </row>
    <row r="77" spans="1:22" x14ac:dyDescent="0.4">
      <c r="A77" s="8"/>
      <c r="B77" s="14">
        <v>74</v>
      </c>
      <c r="C77" s="14">
        <v>2</v>
      </c>
      <c r="D77" s="14">
        <v>4</v>
      </c>
      <c r="E77" s="11" t="s">
        <v>802</v>
      </c>
      <c r="F77" s="14">
        <v>0</v>
      </c>
      <c r="G77" s="14">
        <v>0</v>
      </c>
      <c r="H77" s="11" t="s">
        <v>803</v>
      </c>
      <c r="I77" s="14">
        <v>10</v>
      </c>
      <c r="J77" s="11" t="s">
        <v>228</v>
      </c>
      <c r="K77" s="11" t="s">
        <v>228</v>
      </c>
      <c r="L77" s="11"/>
      <c r="M77" s="11" t="s">
        <v>228</v>
      </c>
      <c r="N77" s="11" t="s">
        <v>228</v>
      </c>
      <c r="O77" s="11"/>
      <c r="P77" s="11" t="s">
        <v>228</v>
      </c>
      <c r="Q77" s="11" t="s">
        <v>228</v>
      </c>
      <c r="R77" s="11"/>
      <c r="S77" s="11" t="s">
        <v>228</v>
      </c>
      <c r="T77" s="11" t="s">
        <v>228</v>
      </c>
      <c r="U77" s="11"/>
      <c r="V77" s="11" t="s">
        <v>228</v>
      </c>
    </row>
    <row r="78" spans="1:22" x14ac:dyDescent="0.4">
      <c r="A78" s="8"/>
      <c r="B78" s="14">
        <v>75</v>
      </c>
      <c r="C78" s="14">
        <v>1</v>
      </c>
      <c r="D78" s="14">
        <v>1</v>
      </c>
      <c r="E78" s="11" t="s">
        <v>718</v>
      </c>
      <c r="F78" s="14">
        <v>5</v>
      </c>
      <c r="G78" s="14">
        <v>1</v>
      </c>
      <c r="H78" s="11" t="s">
        <v>228</v>
      </c>
      <c r="I78" s="14"/>
      <c r="J78" s="11" t="s">
        <v>228</v>
      </c>
      <c r="K78" s="11" t="s">
        <v>228</v>
      </c>
      <c r="L78" s="11"/>
      <c r="M78" s="11" t="s">
        <v>228</v>
      </c>
      <c r="N78" s="11" t="s">
        <v>228</v>
      </c>
      <c r="O78" s="11"/>
      <c r="P78" s="11" t="s">
        <v>228</v>
      </c>
      <c r="Q78" s="11" t="s">
        <v>228</v>
      </c>
      <c r="R78" s="11"/>
      <c r="S78" s="11" t="s">
        <v>228</v>
      </c>
      <c r="T78" s="11" t="s">
        <v>228</v>
      </c>
      <c r="U78" s="11"/>
      <c r="V78" s="11" t="s">
        <v>228</v>
      </c>
    </row>
    <row r="79" spans="1:22" x14ac:dyDescent="0.4">
      <c r="A79" s="8"/>
      <c r="B79" s="14">
        <v>75</v>
      </c>
      <c r="C79" s="14">
        <v>1</v>
      </c>
      <c r="D79" s="14">
        <v>2</v>
      </c>
      <c r="E79" s="11" t="s">
        <v>327</v>
      </c>
      <c r="F79" s="14">
        <v>10</v>
      </c>
      <c r="G79" s="14">
        <v>1</v>
      </c>
      <c r="H79" s="11" t="s">
        <v>228</v>
      </c>
      <c r="I79" s="14"/>
      <c r="J79" s="11" t="s">
        <v>228</v>
      </c>
      <c r="K79" s="11" t="s">
        <v>228</v>
      </c>
      <c r="L79" s="11"/>
      <c r="M79" s="11" t="s">
        <v>228</v>
      </c>
      <c r="N79" s="11" t="s">
        <v>228</v>
      </c>
      <c r="O79" s="11"/>
      <c r="P79" s="11" t="s">
        <v>228</v>
      </c>
      <c r="Q79" s="11" t="s">
        <v>228</v>
      </c>
      <c r="R79" s="11"/>
      <c r="S79" s="11" t="s">
        <v>228</v>
      </c>
      <c r="T79" s="11" t="s">
        <v>228</v>
      </c>
      <c r="U79" s="11"/>
      <c r="V79" s="11" t="s">
        <v>228</v>
      </c>
    </row>
    <row r="80" spans="1:22" x14ac:dyDescent="0.4">
      <c r="A80" s="8"/>
      <c r="B80" s="14">
        <v>75</v>
      </c>
      <c r="C80" s="14">
        <v>1</v>
      </c>
      <c r="D80" s="14">
        <v>3</v>
      </c>
      <c r="E80" s="11" t="s">
        <v>804</v>
      </c>
      <c r="F80" s="14">
        <v>20</v>
      </c>
      <c r="G80" s="14">
        <v>1</v>
      </c>
      <c r="H80" s="11" t="s">
        <v>228</v>
      </c>
      <c r="I80" s="14"/>
      <c r="J80" s="11" t="s">
        <v>228</v>
      </c>
      <c r="K80" s="11" t="s">
        <v>228</v>
      </c>
      <c r="L80" s="11"/>
      <c r="M80" s="11" t="s">
        <v>228</v>
      </c>
      <c r="N80" s="11" t="s">
        <v>228</v>
      </c>
      <c r="O80" s="11"/>
      <c r="P80" s="11" t="s">
        <v>228</v>
      </c>
      <c r="Q80" s="11" t="s">
        <v>228</v>
      </c>
      <c r="R80" s="11"/>
      <c r="S80" s="11" t="s">
        <v>228</v>
      </c>
      <c r="T80" s="11" t="s">
        <v>228</v>
      </c>
      <c r="U80" s="11"/>
      <c r="V80" s="11" t="s">
        <v>228</v>
      </c>
    </row>
    <row r="81" spans="1:22" x14ac:dyDescent="0.4">
      <c r="A81" s="8"/>
      <c r="B81" s="14">
        <v>75</v>
      </c>
      <c r="C81" s="14">
        <v>1</v>
      </c>
      <c r="D81" s="14">
        <v>4</v>
      </c>
      <c r="E81" s="11" t="s">
        <v>805</v>
      </c>
      <c r="F81" s="14">
        <v>0</v>
      </c>
      <c r="G81" s="14">
        <v>0</v>
      </c>
      <c r="H81" s="11" t="s">
        <v>684</v>
      </c>
      <c r="I81" s="14">
        <v>35</v>
      </c>
      <c r="J81" s="11" t="s">
        <v>228</v>
      </c>
      <c r="K81" s="11" t="s">
        <v>228</v>
      </c>
      <c r="L81" s="11"/>
      <c r="M81" s="11" t="s">
        <v>228</v>
      </c>
      <c r="N81" s="11" t="s">
        <v>228</v>
      </c>
      <c r="O81" s="11"/>
      <c r="P81" s="11" t="s">
        <v>228</v>
      </c>
      <c r="Q81" s="11" t="s">
        <v>228</v>
      </c>
      <c r="R81" s="11"/>
      <c r="S81" s="11" t="s">
        <v>228</v>
      </c>
      <c r="T81" s="11" t="s">
        <v>228</v>
      </c>
      <c r="U81" s="11"/>
      <c r="V81" s="11" t="s">
        <v>228</v>
      </c>
    </row>
    <row r="82" spans="1:22" x14ac:dyDescent="0.4">
      <c r="A82" s="8"/>
      <c r="B82" s="14">
        <v>75</v>
      </c>
      <c r="C82" s="14">
        <v>2</v>
      </c>
      <c r="D82" s="14">
        <v>1</v>
      </c>
      <c r="E82" s="11" t="s">
        <v>806</v>
      </c>
      <c r="F82" s="14">
        <v>10</v>
      </c>
      <c r="G82" s="14">
        <v>0</v>
      </c>
      <c r="H82" s="11" t="s">
        <v>682</v>
      </c>
      <c r="I82" s="14">
        <v>-150</v>
      </c>
      <c r="J82" s="11" t="s">
        <v>228</v>
      </c>
      <c r="K82" s="11" t="s">
        <v>692</v>
      </c>
      <c r="L82" s="11">
        <v>-150</v>
      </c>
      <c r="M82" s="11" t="s">
        <v>228</v>
      </c>
      <c r="N82" s="11" t="s">
        <v>594</v>
      </c>
      <c r="O82" s="11">
        <v>-150</v>
      </c>
      <c r="P82" s="11" t="s">
        <v>228</v>
      </c>
      <c r="Q82" s="11" t="s">
        <v>711</v>
      </c>
      <c r="R82" s="11">
        <v>-150</v>
      </c>
      <c r="S82" s="11" t="s">
        <v>228</v>
      </c>
      <c r="T82" s="11" t="s">
        <v>711</v>
      </c>
      <c r="U82" s="11">
        <v>-150</v>
      </c>
      <c r="V82" s="11" t="s">
        <v>228</v>
      </c>
    </row>
    <row r="83" spans="1:22" x14ac:dyDescent="0.4">
      <c r="A83" s="8"/>
      <c r="B83" s="14">
        <v>75</v>
      </c>
      <c r="C83" s="14">
        <v>2</v>
      </c>
      <c r="D83" s="14">
        <v>2</v>
      </c>
      <c r="E83" s="11" t="s">
        <v>701</v>
      </c>
      <c r="F83" s="14">
        <v>10</v>
      </c>
      <c r="G83" s="14">
        <v>0</v>
      </c>
      <c r="H83" s="11" t="s">
        <v>683</v>
      </c>
      <c r="I83" s="14">
        <v>50</v>
      </c>
      <c r="J83" s="11" t="s">
        <v>228</v>
      </c>
      <c r="K83" s="11" t="s">
        <v>228</v>
      </c>
      <c r="L83" s="11"/>
      <c r="M83" s="11" t="s">
        <v>228</v>
      </c>
      <c r="N83" s="11" t="s">
        <v>228</v>
      </c>
      <c r="O83" s="11"/>
      <c r="P83" s="11" t="s">
        <v>228</v>
      </c>
      <c r="Q83" s="11" t="s">
        <v>228</v>
      </c>
      <c r="R83" s="11"/>
      <c r="S83" s="11" t="s">
        <v>228</v>
      </c>
      <c r="T83" s="11" t="s">
        <v>228</v>
      </c>
      <c r="U83" s="11"/>
      <c r="V83" s="11" t="s">
        <v>228</v>
      </c>
    </row>
    <row r="84" spans="1:22" x14ac:dyDescent="0.4">
      <c r="A84" s="8"/>
      <c r="B84" s="14">
        <v>75</v>
      </c>
      <c r="C84" s="14">
        <v>2</v>
      </c>
      <c r="D84" s="14">
        <v>3</v>
      </c>
      <c r="E84" s="11" t="s">
        <v>697</v>
      </c>
      <c r="F84" s="14">
        <v>15</v>
      </c>
      <c r="G84" s="14">
        <v>1</v>
      </c>
      <c r="H84" s="11" t="s">
        <v>228</v>
      </c>
      <c r="I84" s="14"/>
      <c r="J84" s="11" t="s">
        <v>228</v>
      </c>
      <c r="K84" s="11" t="s">
        <v>228</v>
      </c>
      <c r="L84" s="11"/>
      <c r="M84" s="11" t="s">
        <v>228</v>
      </c>
      <c r="N84" s="11" t="s">
        <v>228</v>
      </c>
      <c r="O84" s="11"/>
      <c r="P84" s="11" t="s">
        <v>228</v>
      </c>
      <c r="Q84" s="11" t="s">
        <v>228</v>
      </c>
      <c r="R84" s="11"/>
      <c r="S84" s="11" t="s">
        <v>228</v>
      </c>
      <c r="T84" s="11" t="s">
        <v>228</v>
      </c>
      <c r="U84" s="11"/>
      <c r="V84" s="11" t="s">
        <v>228</v>
      </c>
    </row>
    <row r="85" spans="1:22" x14ac:dyDescent="0.4">
      <c r="A85" s="8"/>
      <c r="B85" s="14">
        <v>75</v>
      </c>
      <c r="C85" s="14">
        <v>2</v>
      </c>
      <c r="D85" s="14">
        <v>4</v>
      </c>
      <c r="E85" s="11" t="s">
        <v>807</v>
      </c>
      <c r="F85" s="14">
        <v>0</v>
      </c>
      <c r="G85" s="14">
        <v>1</v>
      </c>
      <c r="H85" s="11" t="s">
        <v>228</v>
      </c>
      <c r="I85" s="14"/>
      <c r="J85" s="11" t="s">
        <v>228</v>
      </c>
      <c r="K85" s="11" t="s">
        <v>228</v>
      </c>
      <c r="L85" s="11"/>
      <c r="M85" s="11" t="s">
        <v>228</v>
      </c>
      <c r="N85" s="11" t="s">
        <v>228</v>
      </c>
      <c r="O85" s="11"/>
      <c r="P85" s="11" t="s">
        <v>228</v>
      </c>
      <c r="Q85" s="11" t="s">
        <v>228</v>
      </c>
      <c r="R85" s="11"/>
      <c r="S85" s="11" t="s">
        <v>228</v>
      </c>
      <c r="T85" s="11" t="s">
        <v>228</v>
      </c>
      <c r="U85" s="11"/>
      <c r="V85" s="11" t="s">
        <v>228</v>
      </c>
    </row>
    <row r="86" spans="1:22" x14ac:dyDescent="0.4">
      <c r="A86" s="8"/>
      <c r="B86" s="14">
        <v>76</v>
      </c>
      <c r="C86" s="14">
        <v>1</v>
      </c>
      <c r="D86" s="14">
        <v>1</v>
      </c>
      <c r="E86" s="11" t="s">
        <v>808</v>
      </c>
      <c r="F86" s="14">
        <v>10</v>
      </c>
      <c r="G86" s="14">
        <v>1</v>
      </c>
      <c r="H86" s="11" t="s">
        <v>228</v>
      </c>
      <c r="I86" s="14"/>
      <c r="J86" s="11" t="s">
        <v>228</v>
      </c>
      <c r="K86" s="11" t="s">
        <v>228</v>
      </c>
      <c r="L86" s="11"/>
      <c r="M86" s="11" t="s">
        <v>228</v>
      </c>
      <c r="N86" s="11" t="s">
        <v>228</v>
      </c>
      <c r="O86" s="11"/>
      <c r="P86" s="11" t="s">
        <v>228</v>
      </c>
      <c r="Q86" s="11" t="s">
        <v>228</v>
      </c>
      <c r="R86" s="11"/>
      <c r="S86" s="11" t="s">
        <v>228</v>
      </c>
      <c r="T86" s="11" t="s">
        <v>228</v>
      </c>
      <c r="U86" s="11"/>
      <c r="V86" s="11" t="s">
        <v>228</v>
      </c>
    </row>
    <row r="87" spans="1:22" x14ac:dyDescent="0.4">
      <c r="A87" s="8"/>
      <c r="B87" s="14">
        <v>76</v>
      </c>
      <c r="C87" s="14">
        <v>1</v>
      </c>
      <c r="D87" s="14">
        <v>2</v>
      </c>
      <c r="E87" s="11" t="s">
        <v>809</v>
      </c>
      <c r="F87" s="14">
        <v>10</v>
      </c>
      <c r="G87" s="14">
        <v>1</v>
      </c>
      <c r="H87" s="11" t="s">
        <v>228</v>
      </c>
      <c r="I87" s="14"/>
      <c r="J87" s="11" t="s">
        <v>228</v>
      </c>
      <c r="K87" s="11" t="s">
        <v>228</v>
      </c>
      <c r="L87" s="11"/>
      <c r="M87" s="11" t="s">
        <v>228</v>
      </c>
      <c r="N87" s="11" t="s">
        <v>228</v>
      </c>
      <c r="O87" s="11"/>
      <c r="P87" s="11" t="s">
        <v>228</v>
      </c>
      <c r="Q87" s="11" t="s">
        <v>228</v>
      </c>
      <c r="R87" s="11"/>
      <c r="S87" s="11" t="s">
        <v>228</v>
      </c>
      <c r="T87" s="11" t="s">
        <v>228</v>
      </c>
      <c r="U87" s="11"/>
      <c r="V87" s="11" t="s">
        <v>228</v>
      </c>
    </row>
    <row r="88" spans="1:22" x14ac:dyDescent="0.4">
      <c r="A88" s="8"/>
      <c r="B88" s="14">
        <v>76</v>
      </c>
      <c r="C88" s="14">
        <v>1</v>
      </c>
      <c r="D88" s="14">
        <v>3</v>
      </c>
      <c r="E88" s="11" t="s">
        <v>722</v>
      </c>
      <c r="F88" s="14">
        <v>15</v>
      </c>
      <c r="G88" s="14">
        <v>1</v>
      </c>
      <c r="H88" s="11" t="s">
        <v>228</v>
      </c>
      <c r="I88" s="14"/>
      <c r="J88" s="11" t="s">
        <v>228</v>
      </c>
      <c r="K88" s="11" t="s">
        <v>228</v>
      </c>
      <c r="L88" s="11"/>
      <c r="M88" s="11" t="s">
        <v>228</v>
      </c>
      <c r="N88" s="11" t="s">
        <v>228</v>
      </c>
      <c r="O88" s="11"/>
      <c r="P88" s="11" t="s">
        <v>228</v>
      </c>
      <c r="Q88" s="11" t="s">
        <v>228</v>
      </c>
      <c r="R88" s="11"/>
      <c r="S88" s="11" t="s">
        <v>228</v>
      </c>
      <c r="T88" s="11" t="s">
        <v>228</v>
      </c>
      <c r="U88" s="11"/>
      <c r="V88" s="11" t="s">
        <v>228</v>
      </c>
    </row>
    <row r="89" spans="1:22" x14ac:dyDescent="0.4">
      <c r="A89" s="8"/>
      <c r="B89" s="14">
        <v>76</v>
      </c>
      <c r="C89" s="14">
        <v>1</v>
      </c>
      <c r="D89" s="14">
        <v>4</v>
      </c>
      <c r="E89" s="11" t="s">
        <v>810</v>
      </c>
      <c r="F89" s="14">
        <v>0</v>
      </c>
      <c r="G89" s="14">
        <v>0</v>
      </c>
      <c r="H89" s="11" t="s">
        <v>704</v>
      </c>
      <c r="I89" s="14">
        <v>15</v>
      </c>
      <c r="J89" s="11" t="s">
        <v>228</v>
      </c>
      <c r="K89" s="11" t="s">
        <v>228</v>
      </c>
      <c r="L89" s="11"/>
      <c r="M89" s="11" t="s">
        <v>228</v>
      </c>
      <c r="N89" s="11" t="s">
        <v>228</v>
      </c>
      <c r="O89" s="11"/>
      <c r="P89" s="11" t="s">
        <v>228</v>
      </c>
      <c r="Q89" s="11" t="s">
        <v>228</v>
      </c>
      <c r="R89" s="11"/>
      <c r="S89" s="11" t="s">
        <v>228</v>
      </c>
      <c r="T89" s="11" t="s">
        <v>228</v>
      </c>
      <c r="U89" s="11"/>
      <c r="V89" s="11" t="s">
        <v>228</v>
      </c>
    </row>
    <row r="90" spans="1:22" x14ac:dyDescent="0.4">
      <c r="A90" s="8"/>
      <c r="B90" s="14">
        <v>76</v>
      </c>
      <c r="C90" s="14">
        <v>2</v>
      </c>
      <c r="D90" s="14">
        <v>1</v>
      </c>
      <c r="E90" s="11" t="s">
        <v>811</v>
      </c>
      <c r="F90" s="14">
        <v>10</v>
      </c>
      <c r="G90" s="14">
        <v>0</v>
      </c>
      <c r="H90" s="11" t="s">
        <v>704</v>
      </c>
      <c r="I90" s="14">
        <v>15</v>
      </c>
      <c r="J90" s="11" t="s">
        <v>228</v>
      </c>
      <c r="K90" s="11" t="s">
        <v>696</v>
      </c>
      <c r="L90" s="11">
        <v>150</v>
      </c>
      <c r="M90" s="11" t="s">
        <v>228</v>
      </c>
      <c r="N90" s="11" t="s">
        <v>594</v>
      </c>
      <c r="O90" s="11">
        <v>150</v>
      </c>
      <c r="P90" s="11" t="s">
        <v>228</v>
      </c>
      <c r="Q90" s="11" t="s">
        <v>692</v>
      </c>
      <c r="R90" s="11">
        <v>-150</v>
      </c>
      <c r="S90" s="11" t="s">
        <v>228</v>
      </c>
      <c r="T90" s="11" t="s">
        <v>711</v>
      </c>
      <c r="U90" s="11">
        <v>-150</v>
      </c>
      <c r="V90" s="11" t="s">
        <v>228</v>
      </c>
    </row>
    <row r="91" spans="1:22" x14ac:dyDescent="0.4">
      <c r="A91" s="8"/>
      <c r="B91" s="14">
        <v>76</v>
      </c>
      <c r="C91" s="14">
        <v>2</v>
      </c>
      <c r="D91" s="14">
        <v>2</v>
      </c>
      <c r="E91" s="11" t="s">
        <v>327</v>
      </c>
      <c r="F91" s="14">
        <v>10</v>
      </c>
      <c r="G91" s="14">
        <v>1</v>
      </c>
      <c r="H91" s="11" t="s">
        <v>228</v>
      </c>
      <c r="I91" s="14"/>
      <c r="J91" s="11" t="s">
        <v>228</v>
      </c>
      <c r="K91" s="11" t="s">
        <v>228</v>
      </c>
      <c r="L91" s="11"/>
      <c r="M91" s="11" t="s">
        <v>228</v>
      </c>
      <c r="N91" s="11" t="s">
        <v>228</v>
      </c>
      <c r="O91" s="11"/>
      <c r="P91" s="11" t="s">
        <v>228</v>
      </c>
      <c r="Q91" s="11" t="s">
        <v>228</v>
      </c>
      <c r="R91" s="11"/>
      <c r="S91" s="11" t="s">
        <v>228</v>
      </c>
      <c r="T91" s="11" t="s">
        <v>228</v>
      </c>
      <c r="U91" s="11"/>
      <c r="V91" s="11" t="s">
        <v>228</v>
      </c>
    </row>
    <row r="92" spans="1:22" x14ac:dyDescent="0.4">
      <c r="A92" s="8"/>
      <c r="B92" s="14">
        <v>76</v>
      </c>
      <c r="C92" s="14">
        <v>2</v>
      </c>
      <c r="D92" s="14">
        <v>3</v>
      </c>
      <c r="E92" s="11" t="s">
        <v>812</v>
      </c>
      <c r="F92" s="14">
        <v>15</v>
      </c>
      <c r="G92" s="14">
        <v>1</v>
      </c>
      <c r="H92" s="11" t="s">
        <v>228</v>
      </c>
      <c r="I92" s="14"/>
      <c r="J92" s="11" t="s">
        <v>228</v>
      </c>
      <c r="K92" s="11" t="s">
        <v>228</v>
      </c>
      <c r="L92" s="11"/>
      <c r="M92" s="11" t="s">
        <v>228</v>
      </c>
      <c r="N92" s="11" t="s">
        <v>228</v>
      </c>
      <c r="O92" s="11"/>
      <c r="P92" s="11" t="s">
        <v>228</v>
      </c>
      <c r="Q92" s="11" t="s">
        <v>228</v>
      </c>
      <c r="R92" s="11"/>
      <c r="S92" s="11" t="s">
        <v>228</v>
      </c>
      <c r="T92" s="11" t="s">
        <v>228</v>
      </c>
      <c r="U92" s="11"/>
      <c r="V92" s="11" t="s">
        <v>228</v>
      </c>
    </row>
    <row r="93" spans="1:22" x14ac:dyDescent="0.4">
      <c r="A93" s="8"/>
      <c r="B93" s="14">
        <v>76</v>
      </c>
      <c r="C93" s="14">
        <v>2</v>
      </c>
      <c r="D93" s="14">
        <v>4</v>
      </c>
      <c r="E93" s="11" t="s">
        <v>813</v>
      </c>
      <c r="F93" s="14">
        <v>0</v>
      </c>
      <c r="G93" s="14">
        <v>1</v>
      </c>
      <c r="H93" s="11" t="s">
        <v>228</v>
      </c>
      <c r="I93" s="14"/>
      <c r="J93" s="11" t="s">
        <v>228</v>
      </c>
      <c r="K93" s="11" t="s">
        <v>228</v>
      </c>
      <c r="L93" s="11"/>
      <c r="M93" s="11" t="s">
        <v>228</v>
      </c>
      <c r="N93" s="11" t="s">
        <v>228</v>
      </c>
      <c r="O93" s="11"/>
      <c r="P93" s="11" t="s">
        <v>228</v>
      </c>
      <c r="Q93" s="11" t="s">
        <v>228</v>
      </c>
      <c r="R93" s="11"/>
      <c r="S93" s="11" t="s">
        <v>228</v>
      </c>
      <c r="T93" s="11" t="s">
        <v>228</v>
      </c>
      <c r="U93" s="11"/>
      <c r="V93" s="11" t="s">
        <v>228</v>
      </c>
    </row>
    <row r="94" spans="1:22" x14ac:dyDescent="0.4">
      <c r="A94" s="8"/>
      <c r="B94" s="14">
        <v>77</v>
      </c>
      <c r="C94" s="14">
        <v>1</v>
      </c>
      <c r="D94" s="14">
        <v>1</v>
      </c>
      <c r="E94" s="11" t="s">
        <v>814</v>
      </c>
      <c r="F94" s="14">
        <v>35</v>
      </c>
      <c r="G94" s="14">
        <v>1</v>
      </c>
      <c r="H94" s="11" t="s">
        <v>228</v>
      </c>
      <c r="I94" s="14"/>
      <c r="J94" s="11" t="s">
        <v>228</v>
      </c>
      <c r="K94" s="11" t="s">
        <v>228</v>
      </c>
      <c r="L94" s="11"/>
      <c r="M94" s="11" t="s">
        <v>228</v>
      </c>
      <c r="N94" s="11" t="s">
        <v>228</v>
      </c>
      <c r="O94" s="11"/>
      <c r="P94" s="11" t="s">
        <v>228</v>
      </c>
      <c r="Q94" s="11" t="s">
        <v>228</v>
      </c>
      <c r="R94" s="11"/>
      <c r="S94" s="11" t="s">
        <v>228</v>
      </c>
      <c r="T94" s="11" t="s">
        <v>228</v>
      </c>
      <c r="U94" s="11"/>
      <c r="V94" s="11" t="s">
        <v>228</v>
      </c>
    </row>
    <row r="95" spans="1:22" x14ac:dyDescent="0.4">
      <c r="A95" s="8"/>
      <c r="B95" s="14">
        <v>77</v>
      </c>
      <c r="C95" s="14">
        <v>2</v>
      </c>
      <c r="D95" s="14">
        <v>1</v>
      </c>
      <c r="E95" s="11" t="s">
        <v>815</v>
      </c>
      <c r="F95" s="14">
        <v>20</v>
      </c>
      <c r="G95" s="14">
        <v>1</v>
      </c>
      <c r="H95" s="11" t="s">
        <v>228</v>
      </c>
      <c r="I95" s="14"/>
      <c r="J95" s="11" t="s">
        <v>228</v>
      </c>
      <c r="K95" s="11" t="s">
        <v>228</v>
      </c>
      <c r="L95" s="11"/>
      <c r="M95" s="11" t="s">
        <v>228</v>
      </c>
      <c r="N95" s="11" t="s">
        <v>228</v>
      </c>
      <c r="O95" s="11"/>
      <c r="P95" s="11" t="s">
        <v>228</v>
      </c>
      <c r="Q95" s="11" t="s">
        <v>228</v>
      </c>
      <c r="R95" s="11"/>
      <c r="S95" s="11" t="s">
        <v>228</v>
      </c>
      <c r="T95" s="11" t="s">
        <v>228</v>
      </c>
      <c r="U95" s="11"/>
      <c r="V95" s="11" t="s">
        <v>228</v>
      </c>
    </row>
    <row r="96" spans="1:22" x14ac:dyDescent="0.4">
      <c r="A96" s="8"/>
      <c r="B96" s="14">
        <v>77</v>
      </c>
      <c r="C96" s="14">
        <v>2</v>
      </c>
      <c r="D96" s="14">
        <v>2</v>
      </c>
      <c r="E96" s="11" t="s">
        <v>816</v>
      </c>
      <c r="F96" s="14">
        <v>15</v>
      </c>
      <c r="G96" s="14">
        <v>0</v>
      </c>
      <c r="H96" s="11" t="s">
        <v>684</v>
      </c>
      <c r="I96" s="14">
        <v>50</v>
      </c>
      <c r="J96" s="11" t="s">
        <v>228</v>
      </c>
      <c r="K96" s="11" t="s">
        <v>228</v>
      </c>
      <c r="L96" s="11"/>
      <c r="M96" s="11" t="s">
        <v>228</v>
      </c>
      <c r="N96" s="11" t="s">
        <v>228</v>
      </c>
      <c r="O96" s="11"/>
      <c r="P96" s="11" t="s">
        <v>228</v>
      </c>
      <c r="Q96" s="11" t="s">
        <v>228</v>
      </c>
      <c r="R96" s="11"/>
      <c r="S96" s="11" t="s">
        <v>228</v>
      </c>
      <c r="T96" s="11" t="s">
        <v>228</v>
      </c>
      <c r="U96" s="11"/>
      <c r="V96" s="11" t="s">
        <v>228</v>
      </c>
    </row>
    <row r="97" spans="1:22" x14ac:dyDescent="0.4">
      <c r="A97" s="8"/>
      <c r="B97" s="14">
        <v>77</v>
      </c>
      <c r="C97" s="14">
        <v>2</v>
      </c>
      <c r="D97" s="14">
        <v>3</v>
      </c>
      <c r="E97" s="11" t="s">
        <v>817</v>
      </c>
      <c r="F97" s="14">
        <v>15</v>
      </c>
      <c r="G97" s="14">
        <v>1</v>
      </c>
      <c r="H97" s="11" t="s">
        <v>228</v>
      </c>
      <c r="I97" s="14"/>
      <c r="J97" s="11" t="s">
        <v>228</v>
      </c>
      <c r="K97" s="11" t="s">
        <v>228</v>
      </c>
      <c r="L97" s="11"/>
      <c r="M97" s="11" t="s">
        <v>228</v>
      </c>
      <c r="N97" s="11" t="s">
        <v>228</v>
      </c>
      <c r="O97" s="11"/>
      <c r="P97" s="11" t="s">
        <v>228</v>
      </c>
      <c r="Q97" s="11" t="s">
        <v>228</v>
      </c>
      <c r="R97" s="11"/>
      <c r="S97" s="11" t="s">
        <v>228</v>
      </c>
      <c r="T97" s="11" t="s">
        <v>228</v>
      </c>
      <c r="U97" s="11"/>
      <c r="V97" s="11" t="s">
        <v>228</v>
      </c>
    </row>
    <row r="98" spans="1:22" x14ac:dyDescent="0.4">
      <c r="A98" s="8"/>
      <c r="B98" s="14">
        <v>77</v>
      </c>
      <c r="C98" s="14">
        <v>3</v>
      </c>
      <c r="D98" s="14">
        <v>1</v>
      </c>
      <c r="E98" s="11" t="s">
        <v>818</v>
      </c>
      <c r="F98" s="14">
        <v>10</v>
      </c>
      <c r="G98" s="14">
        <v>1</v>
      </c>
      <c r="H98" s="11" t="s">
        <v>228</v>
      </c>
      <c r="I98" s="14"/>
      <c r="J98" s="11" t="s">
        <v>228</v>
      </c>
      <c r="K98" s="11" t="s">
        <v>228</v>
      </c>
      <c r="L98" s="11"/>
      <c r="M98" s="11" t="s">
        <v>228</v>
      </c>
      <c r="N98" s="11" t="s">
        <v>228</v>
      </c>
      <c r="O98" s="11"/>
      <c r="P98" s="11" t="s">
        <v>228</v>
      </c>
      <c r="Q98" s="11" t="s">
        <v>228</v>
      </c>
      <c r="R98" s="11"/>
      <c r="S98" s="11" t="s">
        <v>228</v>
      </c>
      <c r="T98" s="11" t="s">
        <v>228</v>
      </c>
      <c r="U98" s="11"/>
      <c r="V98" s="11" t="s">
        <v>228</v>
      </c>
    </row>
    <row r="99" spans="1:22" x14ac:dyDescent="0.4">
      <c r="A99" s="8"/>
      <c r="B99" s="14">
        <v>77</v>
      </c>
      <c r="C99" s="14">
        <v>3</v>
      </c>
      <c r="D99" s="14">
        <v>2</v>
      </c>
      <c r="E99" s="11" t="s">
        <v>819</v>
      </c>
      <c r="F99" s="14">
        <v>10</v>
      </c>
      <c r="G99" s="14">
        <v>0</v>
      </c>
      <c r="H99" s="11" t="s">
        <v>696</v>
      </c>
      <c r="I99" s="14">
        <v>50</v>
      </c>
      <c r="J99" s="11" t="s">
        <v>228</v>
      </c>
      <c r="K99" s="11" t="s">
        <v>682</v>
      </c>
      <c r="L99" s="11">
        <v>150</v>
      </c>
      <c r="M99" s="11" t="s">
        <v>228</v>
      </c>
      <c r="N99" s="11" t="s">
        <v>594</v>
      </c>
      <c r="O99" s="11">
        <v>50</v>
      </c>
      <c r="P99" s="11" t="s">
        <v>228</v>
      </c>
      <c r="Q99" s="11" t="s">
        <v>692</v>
      </c>
      <c r="R99" s="11">
        <v>50</v>
      </c>
      <c r="S99" s="11" t="s">
        <v>228</v>
      </c>
      <c r="T99" s="11" t="s">
        <v>228</v>
      </c>
      <c r="U99" s="11"/>
      <c r="V99" s="11" t="s">
        <v>228</v>
      </c>
    </row>
    <row r="100" spans="1:22" x14ac:dyDescent="0.4">
      <c r="A100" s="8"/>
      <c r="B100" s="14">
        <v>77</v>
      </c>
      <c r="C100" s="14">
        <v>3</v>
      </c>
      <c r="D100" s="14">
        <v>3</v>
      </c>
      <c r="E100" s="11" t="s">
        <v>820</v>
      </c>
      <c r="F100" s="14">
        <v>15</v>
      </c>
      <c r="G100" s="14">
        <v>1</v>
      </c>
      <c r="H100" s="11" t="s">
        <v>228</v>
      </c>
      <c r="I100" s="14"/>
      <c r="J100" s="11" t="s">
        <v>228</v>
      </c>
      <c r="K100" s="11" t="s">
        <v>228</v>
      </c>
      <c r="L100" s="11"/>
      <c r="M100" s="11" t="s">
        <v>228</v>
      </c>
      <c r="N100" s="11" t="s">
        <v>228</v>
      </c>
      <c r="O100" s="11"/>
      <c r="P100" s="11" t="s">
        <v>228</v>
      </c>
      <c r="Q100" s="11" t="s">
        <v>228</v>
      </c>
      <c r="R100" s="11"/>
      <c r="S100" s="11" t="s">
        <v>228</v>
      </c>
      <c r="T100" s="11" t="s">
        <v>228</v>
      </c>
      <c r="U100" s="11"/>
      <c r="V100" s="11" t="s">
        <v>228</v>
      </c>
    </row>
    <row r="101" spans="1:22" x14ac:dyDescent="0.4">
      <c r="A101" s="8"/>
      <c r="B101" s="14">
        <v>79</v>
      </c>
      <c r="C101" s="14">
        <v>1</v>
      </c>
      <c r="D101" s="14">
        <v>1</v>
      </c>
      <c r="E101" s="11" t="s">
        <v>821</v>
      </c>
      <c r="F101" s="14">
        <v>25</v>
      </c>
      <c r="G101" s="14">
        <v>0</v>
      </c>
      <c r="H101" s="11" t="s">
        <v>694</v>
      </c>
      <c r="I101" s="14">
        <v>15</v>
      </c>
      <c r="J101" s="11" t="s">
        <v>822</v>
      </c>
      <c r="K101" s="11" t="s">
        <v>228</v>
      </c>
      <c r="L101" s="11"/>
      <c r="M101" s="11" t="s">
        <v>228</v>
      </c>
      <c r="N101" s="11" t="s">
        <v>228</v>
      </c>
      <c r="O101" s="11"/>
      <c r="P101" s="11" t="s">
        <v>228</v>
      </c>
      <c r="Q101" s="11" t="s">
        <v>228</v>
      </c>
      <c r="R101" s="11"/>
      <c r="S101" s="11" t="s">
        <v>228</v>
      </c>
      <c r="T101" s="11" t="s">
        <v>228</v>
      </c>
      <c r="U101" s="11"/>
      <c r="V101" s="11" t="s">
        <v>228</v>
      </c>
    </row>
    <row r="102" spans="1:22" x14ac:dyDescent="0.4">
      <c r="A102" s="8"/>
      <c r="B102" s="14">
        <v>79</v>
      </c>
      <c r="C102" s="14">
        <v>1</v>
      </c>
      <c r="D102" s="14">
        <v>2</v>
      </c>
      <c r="E102" s="11" t="s">
        <v>428</v>
      </c>
      <c r="F102" s="14">
        <v>10</v>
      </c>
      <c r="G102" s="14">
        <v>1</v>
      </c>
      <c r="H102" s="11" t="s">
        <v>228</v>
      </c>
      <c r="I102" s="14"/>
      <c r="J102" s="11" t="s">
        <v>228</v>
      </c>
      <c r="K102" s="11" t="s">
        <v>228</v>
      </c>
      <c r="L102" s="11"/>
      <c r="M102" s="11" t="s">
        <v>228</v>
      </c>
      <c r="N102" s="11" t="s">
        <v>228</v>
      </c>
      <c r="O102" s="11"/>
      <c r="P102" s="11" t="s">
        <v>228</v>
      </c>
      <c r="Q102" s="11" t="s">
        <v>228</v>
      </c>
      <c r="R102" s="11"/>
      <c r="S102" s="11" t="s">
        <v>228</v>
      </c>
      <c r="T102" s="11" t="s">
        <v>228</v>
      </c>
      <c r="U102" s="11"/>
      <c r="V102" s="11" t="s">
        <v>228</v>
      </c>
    </row>
    <row r="103" spans="1:22" x14ac:dyDescent="0.4">
      <c r="A103" s="8"/>
      <c r="B103" s="14">
        <v>80</v>
      </c>
      <c r="C103" s="14">
        <v>1</v>
      </c>
      <c r="D103" s="14">
        <v>1</v>
      </c>
      <c r="E103" s="11" t="s">
        <v>823</v>
      </c>
      <c r="F103" s="14">
        <v>20</v>
      </c>
      <c r="G103" s="14">
        <v>0</v>
      </c>
      <c r="H103" s="11" t="s">
        <v>796</v>
      </c>
      <c r="I103" s="14">
        <v>75</v>
      </c>
      <c r="J103" s="11" t="s">
        <v>228</v>
      </c>
      <c r="K103" s="11" t="s">
        <v>228</v>
      </c>
      <c r="L103" s="11"/>
      <c r="M103" s="11" t="s">
        <v>228</v>
      </c>
      <c r="N103" s="11" t="s">
        <v>228</v>
      </c>
      <c r="O103" s="11"/>
      <c r="P103" s="11" t="s">
        <v>228</v>
      </c>
      <c r="Q103" s="11" t="s">
        <v>228</v>
      </c>
      <c r="R103" s="11"/>
      <c r="S103" s="11" t="s">
        <v>228</v>
      </c>
      <c r="T103" s="11" t="s">
        <v>228</v>
      </c>
      <c r="U103" s="11"/>
      <c r="V103" s="11" t="s">
        <v>228</v>
      </c>
    </row>
    <row r="104" spans="1:22" x14ac:dyDescent="0.4">
      <c r="A104" s="8"/>
      <c r="B104" s="14">
        <v>80</v>
      </c>
      <c r="C104" s="14">
        <v>1</v>
      </c>
      <c r="D104" s="14">
        <v>2</v>
      </c>
      <c r="E104" s="11" t="s">
        <v>824</v>
      </c>
      <c r="F104" s="14">
        <v>20</v>
      </c>
      <c r="G104" s="14">
        <v>1</v>
      </c>
      <c r="H104" s="11" t="s">
        <v>228</v>
      </c>
      <c r="I104" s="14"/>
      <c r="J104" s="11" t="s">
        <v>228</v>
      </c>
      <c r="K104" s="11" t="s">
        <v>228</v>
      </c>
      <c r="L104" s="11"/>
      <c r="M104" s="11" t="s">
        <v>228</v>
      </c>
      <c r="N104" s="11" t="s">
        <v>228</v>
      </c>
      <c r="O104" s="11"/>
      <c r="P104" s="11" t="s">
        <v>228</v>
      </c>
      <c r="Q104" s="11" t="s">
        <v>228</v>
      </c>
      <c r="R104" s="11"/>
      <c r="S104" s="11" t="s">
        <v>228</v>
      </c>
      <c r="T104" s="11" t="s">
        <v>228</v>
      </c>
      <c r="U104" s="11"/>
      <c r="V104" s="11" t="s">
        <v>228</v>
      </c>
    </row>
    <row r="105" spans="1:22" x14ac:dyDescent="0.4">
      <c r="A105" s="8"/>
      <c r="B105" s="14">
        <v>80</v>
      </c>
      <c r="C105" s="14">
        <v>1</v>
      </c>
      <c r="D105" s="14">
        <v>3</v>
      </c>
      <c r="E105" s="11" t="s">
        <v>825</v>
      </c>
      <c r="F105" s="14">
        <v>15</v>
      </c>
      <c r="G105" s="14">
        <v>1</v>
      </c>
      <c r="H105" s="11" t="s">
        <v>228</v>
      </c>
      <c r="I105" s="14"/>
      <c r="J105" s="11" t="s">
        <v>228</v>
      </c>
      <c r="K105" s="11" t="s">
        <v>228</v>
      </c>
      <c r="L105" s="11"/>
      <c r="M105" s="11" t="s">
        <v>228</v>
      </c>
      <c r="N105" s="11" t="s">
        <v>228</v>
      </c>
      <c r="O105" s="11"/>
      <c r="P105" s="11" t="s">
        <v>228</v>
      </c>
      <c r="Q105" s="11" t="s">
        <v>228</v>
      </c>
      <c r="R105" s="11"/>
      <c r="S105" s="11" t="s">
        <v>228</v>
      </c>
      <c r="T105" s="11" t="s">
        <v>228</v>
      </c>
      <c r="U105" s="11"/>
      <c r="V105" s="11" t="s">
        <v>228</v>
      </c>
    </row>
    <row r="106" spans="1:22" x14ac:dyDescent="0.4">
      <c r="A106" s="8"/>
      <c r="B106" s="14">
        <v>80</v>
      </c>
      <c r="C106" s="14">
        <v>1</v>
      </c>
      <c r="D106" s="14">
        <v>4</v>
      </c>
      <c r="E106" s="11" t="s">
        <v>826</v>
      </c>
      <c r="F106" s="14">
        <v>0</v>
      </c>
      <c r="G106" s="14">
        <v>0</v>
      </c>
      <c r="H106" s="11" t="s">
        <v>696</v>
      </c>
      <c r="I106" s="14">
        <v>-150</v>
      </c>
      <c r="J106" s="11" t="s">
        <v>228</v>
      </c>
      <c r="K106" s="11" t="s">
        <v>682</v>
      </c>
      <c r="L106" s="11">
        <v>150</v>
      </c>
      <c r="M106" s="11" t="s">
        <v>228</v>
      </c>
      <c r="N106" s="11" t="s">
        <v>228</v>
      </c>
      <c r="O106" s="11"/>
      <c r="P106" s="11" t="s">
        <v>228</v>
      </c>
      <c r="Q106" s="11" t="s">
        <v>228</v>
      </c>
      <c r="R106" s="11"/>
      <c r="S106" s="11" t="s">
        <v>228</v>
      </c>
      <c r="T106" s="11" t="s">
        <v>228</v>
      </c>
      <c r="U106" s="11"/>
      <c r="V106" s="11" t="s">
        <v>228</v>
      </c>
    </row>
    <row r="107" spans="1:22" x14ac:dyDescent="0.4">
      <c r="A107" s="8"/>
      <c r="B107" s="14">
        <v>81</v>
      </c>
      <c r="C107" s="14">
        <v>1</v>
      </c>
      <c r="D107" s="14">
        <v>1</v>
      </c>
      <c r="E107" s="11" t="s">
        <v>827</v>
      </c>
      <c r="F107" s="14">
        <v>15</v>
      </c>
      <c r="G107" s="14">
        <v>0</v>
      </c>
      <c r="H107" s="11" t="s">
        <v>796</v>
      </c>
      <c r="I107" s="14">
        <v>40</v>
      </c>
      <c r="J107" s="11" t="s">
        <v>228</v>
      </c>
      <c r="K107" s="11" t="s">
        <v>685</v>
      </c>
      <c r="L107" s="11">
        <v>250</v>
      </c>
      <c r="M107" s="11" t="s">
        <v>228</v>
      </c>
      <c r="N107" s="11" t="s">
        <v>228</v>
      </c>
      <c r="O107" s="11"/>
      <c r="P107" s="11" t="s">
        <v>228</v>
      </c>
      <c r="Q107" s="11" t="s">
        <v>228</v>
      </c>
      <c r="R107" s="11"/>
      <c r="S107" s="11" t="s">
        <v>228</v>
      </c>
      <c r="T107" s="11" t="s">
        <v>228</v>
      </c>
      <c r="U107" s="11"/>
      <c r="V107" s="11" t="s">
        <v>228</v>
      </c>
    </row>
    <row r="108" spans="1:22" x14ac:dyDescent="0.4">
      <c r="A108" s="8"/>
      <c r="B108" s="14">
        <v>81</v>
      </c>
      <c r="C108" s="14">
        <v>1</v>
      </c>
      <c r="D108" s="14">
        <v>2</v>
      </c>
      <c r="E108" s="11" t="s">
        <v>701</v>
      </c>
      <c r="F108" s="14">
        <v>10</v>
      </c>
      <c r="G108" s="14">
        <v>0</v>
      </c>
      <c r="H108" s="11" t="s">
        <v>683</v>
      </c>
      <c r="I108" s="14">
        <v>50</v>
      </c>
      <c r="J108" s="11" t="s">
        <v>228</v>
      </c>
      <c r="K108" s="11" t="s">
        <v>228</v>
      </c>
      <c r="L108" s="11"/>
      <c r="M108" s="11" t="s">
        <v>228</v>
      </c>
      <c r="N108" s="11" t="s">
        <v>228</v>
      </c>
      <c r="O108" s="11"/>
      <c r="P108" s="11" t="s">
        <v>228</v>
      </c>
      <c r="Q108" s="11" t="s">
        <v>228</v>
      </c>
      <c r="R108" s="11"/>
      <c r="S108" s="11" t="s">
        <v>228</v>
      </c>
      <c r="T108" s="11" t="s">
        <v>228</v>
      </c>
      <c r="U108" s="11"/>
      <c r="V108" s="11" t="s">
        <v>228</v>
      </c>
    </row>
    <row r="109" spans="1:22" x14ac:dyDescent="0.4">
      <c r="A109" s="8"/>
      <c r="B109" s="14">
        <v>81</v>
      </c>
      <c r="C109" s="14">
        <v>1</v>
      </c>
      <c r="D109" s="14">
        <v>3</v>
      </c>
      <c r="E109" s="11" t="s">
        <v>828</v>
      </c>
      <c r="F109" s="14">
        <v>10</v>
      </c>
      <c r="G109" s="14">
        <v>0</v>
      </c>
      <c r="H109" s="11" t="s">
        <v>694</v>
      </c>
      <c r="I109" s="14">
        <v>50</v>
      </c>
      <c r="J109" s="11" t="s">
        <v>228</v>
      </c>
      <c r="K109" s="11" t="s">
        <v>228</v>
      </c>
      <c r="L109" s="11"/>
      <c r="M109" s="11" t="s">
        <v>228</v>
      </c>
      <c r="N109" s="11" t="s">
        <v>228</v>
      </c>
      <c r="O109" s="11"/>
      <c r="P109" s="11" t="s">
        <v>228</v>
      </c>
      <c r="Q109" s="11" t="s">
        <v>228</v>
      </c>
      <c r="R109" s="11"/>
      <c r="S109" s="11" t="s">
        <v>228</v>
      </c>
      <c r="T109" s="11" t="s">
        <v>228</v>
      </c>
      <c r="U109" s="11"/>
      <c r="V109" s="11" t="s">
        <v>228</v>
      </c>
    </row>
    <row r="110" spans="1:22" x14ac:dyDescent="0.4">
      <c r="A110" s="8"/>
      <c r="B110" s="14">
        <v>81</v>
      </c>
      <c r="C110" s="14">
        <v>1</v>
      </c>
      <c r="D110" s="14">
        <v>4</v>
      </c>
      <c r="E110" s="11" t="s">
        <v>829</v>
      </c>
      <c r="F110" s="14">
        <v>10</v>
      </c>
      <c r="G110" s="14">
        <v>1</v>
      </c>
      <c r="H110" s="11" t="s">
        <v>228</v>
      </c>
      <c r="I110" s="14"/>
      <c r="J110" s="11" t="s">
        <v>228</v>
      </c>
      <c r="K110" s="11" t="s">
        <v>228</v>
      </c>
      <c r="L110" s="11"/>
      <c r="M110" s="11" t="s">
        <v>228</v>
      </c>
      <c r="N110" s="11" t="s">
        <v>228</v>
      </c>
      <c r="O110" s="11"/>
      <c r="P110" s="11" t="s">
        <v>228</v>
      </c>
      <c r="Q110" s="11" t="s">
        <v>228</v>
      </c>
      <c r="R110" s="11"/>
      <c r="S110" s="11" t="s">
        <v>228</v>
      </c>
      <c r="T110" s="11" t="s">
        <v>228</v>
      </c>
      <c r="U110" s="11"/>
      <c r="V110" s="11" t="s">
        <v>228</v>
      </c>
    </row>
    <row r="111" spans="1:22" x14ac:dyDescent="0.4">
      <c r="A111" s="8"/>
      <c r="B111" s="14">
        <v>82</v>
      </c>
      <c r="C111" s="14">
        <v>1</v>
      </c>
      <c r="D111" s="14">
        <v>1</v>
      </c>
      <c r="E111" s="11" t="s">
        <v>830</v>
      </c>
      <c r="F111" s="14">
        <v>25</v>
      </c>
      <c r="G111" s="14">
        <v>1</v>
      </c>
      <c r="H111" s="11" t="s">
        <v>228</v>
      </c>
      <c r="I111" s="14"/>
      <c r="J111" s="11" t="s">
        <v>228</v>
      </c>
      <c r="K111" s="11" t="s">
        <v>228</v>
      </c>
      <c r="L111" s="11"/>
      <c r="M111" s="11" t="s">
        <v>228</v>
      </c>
      <c r="N111" s="11" t="s">
        <v>228</v>
      </c>
      <c r="O111" s="11"/>
      <c r="P111" s="11" t="s">
        <v>228</v>
      </c>
      <c r="Q111" s="11" t="s">
        <v>228</v>
      </c>
      <c r="R111" s="11"/>
      <c r="S111" s="11" t="s">
        <v>228</v>
      </c>
      <c r="T111" s="11" t="s">
        <v>228</v>
      </c>
      <c r="U111" s="11"/>
      <c r="V111" s="11" t="s">
        <v>228</v>
      </c>
    </row>
    <row r="112" spans="1:22" x14ac:dyDescent="0.4">
      <c r="A112" s="8"/>
      <c r="B112" s="14">
        <v>82</v>
      </c>
      <c r="C112" s="14">
        <v>1</v>
      </c>
      <c r="D112" s="14">
        <v>2</v>
      </c>
      <c r="E112" s="11" t="s">
        <v>831</v>
      </c>
      <c r="F112" s="14">
        <v>10</v>
      </c>
      <c r="G112" s="14">
        <v>0</v>
      </c>
      <c r="H112" s="11" t="s">
        <v>694</v>
      </c>
      <c r="I112" s="14">
        <v>10</v>
      </c>
      <c r="J112" s="11" t="s">
        <v>695</v>
      </c>
      <c r="K112" s="11" t="s">
        <v>228</v>
      </c>
      <c r="L112" s="11"/>
      <c r="M112" s="11" t="s">
        <v>228</v>
      </c>
      <c r="N112" s="11" t="s">
        <v>228</v>
      </c>
      <c r="O112" s="11"/>
      <c r="P112" s="11" t="s">
        <v>228</v>
      </c>
      <c r="Q112" s="11" t="s">
        <v>228</v>
      </c>
      <c r="R112" s="11"/>
      <c r="S112" s="11" t="s">
        <v>228</v>
      </c>
      <c r="T112" s="11" t="s">
        <v>228</v>
      </c>
      <c r="U112" s="11"/>
      <c r="V112" s="11" t="s">
        <v>228</v>
      </c>
    </row>
    <row r="113" spans="1:22" x14ac:dyDescent="0.4">
      <c r="A113" s="8"/>
      <c r="B113" s="14">
        <v>82</v>
      </c>
      <c r="C113" s="14">
        <v>1</v>
      </c>
      <c r="D113" s="14">
        <v>3</v>
      </c>
      <c r="E113" s="11" t="s">
        <v>832</v>
      </c>
      <c r="F113" s="14">
        <v>0</v>
      </c>
      <c r="G113" s="14">
        <v>0</v>
      </c>
      <c r="H113" s="11" t="s">
        <v>696</v>
      </c>
      <c r="I113" s="14">
        <v>150</v>
      </c>
      <c r="J113" s="11" t="s">
        <v>228</v>
      </c>
      <c r="K113" s="11" t="s">
        <v>682</v>
      </c>
      <c r="L113" s="11">
        <v>-150</v>
      </c>
      <c r="M113" s="11" t="s">
        <v>228</v>
      </c>
      <c r="N113" s="11" t="s">
        <v>228</v>
      </c>
      <c r="O113" s="11"/>
      <c r="P113" s="11" t="s">
        <v>228</v>
      </c>
      <c r="Q113" s="11" t="s">
        <v>228</v>
      </c>
      <c r="R113" s="11"/>
      <c r="S113" s="11" t="s">
        <v>228</v>
      </c>
      <c r="T113" s="11" t="s">
        <v>228</v>
      </c>
      <c r="U113" s="11"/>
      <c r="V113" s="11" t="s">
        <v>228</v>
      </c>
    </row>
    <row r="114" spans="1:22" x14ac:dyDescent="0.4">
      <c r="A114" s="8"/>
      <c r="B114" s="14">
        <v>83</v>
      </c>
      <c r="C114" s="14">
        <v>1</v>
      </c>
      <c r="D114" s="14">
        <v>1</v>
      </c>
      <c r="E114" s="11" t="s">
        <v>833</v>
      </c>
      <c r="F114" s="14">
        <v>25</v>
      </c>
      <c r="G114" s="14">
        <v>1</v>
      </c>
      <c r="H114" s="11" t="s">
        <v>228</v>
      </c>
      <c r="I114" s="14"/>
      <c r="J114" s="11" t="s">
        <v>228</v>
      </c>
      <c r="K114" s="11" t="s">
        <v>228</v>
      </c>
      <c r="L114" s="11"/>
      <c r="M114" s="11" t="s">
        <v>228</v>
      </c>
      <c r="N114" s="11" t="s">
        <v>228</v>
      </c>
      <c r="O114" s="11"/>
      <c r="P114" s="11" t="s">
        <v>228</v>
      </c>
      <c r="Q114" s="11" t="s">
        <v>228</v>
      </c>
      <c r="R114" s="11"/>
      <c r="S114" s="11" t="s">
        <v>228</v>
      </c>
      <c r="T114" s="11" t="s">
        <v>228</v>
      </c>
      <c r="U114" s="11"/>
      <c r="V114" s="11" t="s">
        <v>228</v>
      </c>
    </row>
    <row r="115" spans="1:22" x14ac:dyDescent="0.4">
      <c r="A115" s="8"/>
      <c r="B115" s="14">
        <v>83</v>
      </c>
      <c r="C115" s="14">
        <v>1</v>
      </c>
      <c r="D115" s="14">
        <v>2</v>
      </c>
      <c r="E115" s="11" t="s">
        <v>812</v>
      </c>
      <c r="F115" s="14">
        <v>10</v>
      </c>
      <c r="G115" s="14">
        <v>1</v>
      </c>
      <c r="H115" s="11" t="s">
        <v>228</v>
      </c>
      <c r="I115" s="14"/>
      <c r="J115" s="11" t="s">
        <v>228</v>
      </c>
      <c r="K115" s="11" t="s">
        <v>228</v>
      </c>
      <c r="L115" s="11"/>
      <c r="M115" s="11" t="s">
        <v>228</v>
      </c>
      <c r="N115" s="11" t="s">
        <v>228</v>
      </c>
      <c r="O115" s="11"/>
      <c r="P115" s="11" t="s">
        <v>228</v>
      </c>
      <c r="Q115" s="11" t="s">
        <v>228</v>
      </c>
      <c r="R115" s="11"/>
      <c r="S115" s="11" t="s">
        <v>228</v>
      </c>
      <c r="T115" s="11" t="s">
        <v>228</v>
      </c>
      <c r="U115" s="11"/>
      <c r="V115" s="11" t="s">
        <v>228</v>
      </c>
    </row>
    <row r="116" spans="1:22" x14ac:dyDescent="0.4">
      <c r="A116" s="8"/>
      <c r="B116" s="14">
        <v>83</v>
      </c>
      <c r="C116" s="14">
        <v>1</v>
      </c>
      <c r="D116" s="14">
        <v>3</v>
      </c>
      <c r="E116" s="11" t="s">
        <v>834</v>
      </c>
      <c r="F116" s="14">
        <v>0</v>
      </c>
      <c r="G116" s="14">
        <v>0</v>
      </c>
      <c r="H116" s="11" t="s">
        <v>704</v>
      </c>
      <c r="I116" s="14">
        <v>30</v>
      </c>
      <c r="J116" s="11" t="s">
        <v>228</v>
      </c>
      <c r="K116" s="11" t="s">
        <v>228</v>
      </c>
      <c r="L116" s="11"/>
      <c r="M116" s="11" t="s">
        <v>228</v>
      </c>
      <c r="N116" s="11" t="s">
        <v>228</v>
      </c>
      <c r="O116" s="11"/>
      <c r="P116" s="11" t="s">
        <v>228</v>
      </c>
      <c r="Q116" s="11" t="s">
        <v>228</v>
      </c>
      <c r="R116" s="11"/>
      <c r="S116" s="11" t="s">
        <v>228</v>
      </c>
      <c r="T116" s="11" t="s">
        <v>228</v>
      </c>
      <c r="U116" s="11"/>
      <c r="V116" s="11" t="s">
        <v>228</v>
      </c>
    </row>
    <row r="117" spans="1:22" x14ac:dyDescent="0.4">
      <c r="A117" s="8"/>
      <c r="B117" s="14">
        <v>84</v>
      </c>
      <c r="C117" s="14">
        <v>1</v>
      </c>
      <c r="D117" s="14">
        <v>1</v>
      </c>
      <c r="E117" s="11" t="s">
        <v>835</v>
      </c>
      <c r="F117" s="14">
        <v>20</v>
      </c>
      <c r="G117" s="14">
        <v>0</v>
      </c>
      <c r="H117" s="11" t="s">
        <v>694</v>
      </c>
      <c r="I117" s="14">
        <v>20</v>
      </c>
      <c r="J117" s="11" t="s">
        <v>228</v>
      </c>
      <c r="K117" s="11" t="s">
        <v>228</v>
      </c>
      <c r="L117" s="11"/>
      <c r="M117" s="11" t="s">
        <v>228</v>
      </c>
      <c r="N117" s="11" t="s">
        <v>228</v>
      </c>
      <c r="O117" s="11"/>
      <c r="P117" s="11" t="s">
        <v>228</v>
      </c>
      <c r="Q117" s="11" t="s">
        <v>228</v>
      </c>
      <c r="R117" s="11"/>
      <c r="S117" s="11" t="s">
        <v>228</v>
      </c>
      <c r="T117" s="11" t="s">
        <v>228</v>
      </c>
      <c r="U117" s="11"/>
      <c r="V117" s="11" t="s">
        <v>228</v>
      </c>
    </row>
    <row r="118" spans="1:22" x14ac:dyDescent="0.4">
      <c r="A118" s="8"/>
      <c r="B118" s="14">
        <v>84</v>
      </c>
      <c r="C118" s="14">
        <v>1</v>
      </c>
      <c r="D118" s="14">
        <v>2</v>
      </c>
      <c r="E118" s="11" t="s">
        <v>724</v>
      </c>
      <c r="F118" s="14">
        <v>15</v>
      </c>
      <c r="G118" s="14">
        <v>0</v>
      </c>
      <c r="H118" s="11" t="s">
        <v>836</v>
      </c>
      <c r="I118" s="14">
        <v>75</v>
      </c>
      <c r="J118" s="11" t="s">
        <v>228</v>
      </c>
      <c r="K118" s="11" t="s">
        <v>228</v>
      </c>
      <c r="L118" s="11"/>
      <c r="M118" s="11" t="s">
        <v>228</v>
      </c>
      <c r="N118" s="11" t="s">
        <v>228</v>
      </c>
      <c r="O118" s="11"/>
      <c r="P118" s="11" t="s">
        <v>228</v>
      </c>
      <c r="Q118" s="11" t="s">
        <v>228</v>
      </c>
      <c r="R118" s="11"/>
      <c r="S118" s="11" t="s">
        <v>228</v>
      </c>
      <c r="T118" s="11" t="s">
        <v>228</v>
      </c>
      <c r="U118" s="11"/>
      <c r="V118" s="11" t="s">
        <v>228</v>
      </c>
    </row>
    <row r="119" spans="1:22" x14ac:dyDescent="0.4">
      <c r="A119" s="8"/>
      <c r="B119" s="14">
        <v>84</v>
      </c>
      <c r="C119" s="14">
        <v>1</v>
      </c>
      <c r="D119" s="14">
        <v>3</v>
      </c>
      <c r="E119" s="11" t="s">
        <v>794</v>
      </c>
      <c r="F119" s="14">
        <v>0</v>
      </c>
      <c r="G119" s="14">
        <v>0</v>
      </c>
      <c r="H119" s="11" t="s">
        <v>692</v>
      </c>
      <c r="I119" s="14">
        <v>150</v>
      </c>
      <c r="J119" s="11" t="s">
        <v>228</v>
      </c>
      <c r="K119" s="11" t="s">
        <v>594</v>
      </c>
      <c r="L119" s="11">
        <v>-150</v>
      </c>
      <c r="M119" s="11" t="s">
        <v>228</v>
      </c>
      <c r="N119" s="11" t="s">
        <v>228</v>
      </c>
      <c r="O119" s="11"/>
      <c r="P119" s="11" t="s">
        <v>228</v>
      </c>
      <c r="Q119" s="11" t="s">
        <v>228</v>
      </c>
      <c r="R119" s="11"/>
      <c r="S119" s="11" t="s">
        <v>228</v>
      </c>
      <c r="T119" s="11" t="s">
        <v>228</v>
      </c>
      <c r="U119" s="11"/>
      <c r="V119" s="11" t="s">
        <v>228</v>
      </c>
    </row>
    <row r="120" spans="1:22" x14ac:dyDescent="0.4">
      <c r="A120" s="8"/>
      <c r="B120" s="14">
        <v>85</v>
      </c>
      <c r="C120" s="14">
        <v>1</v>
      </c>
      <c r="D120" s="14">
        <v>1</v>
      </c>
      <c r="E120" s="11" t="s">
        <v>838</v>
      </c>
      <c r="F120" s="14">
        <v>15</v>
      </c>
      <c r="G120" s="14">
        <v>1</v>
      </c>
      <c r="H120" s="11"/>
      <c r="I120" s="14"/>
      <c r="J120" s="11" t="s">
        <v>228</v>
      </c>
      <c r="K120" s="11" t="s">
        <v>228</v>
      </c>
      <c r="L120" s="11"/>
      <c r="M120" s="11" t="s">
        <v>228</v>
      </c>
      <c r="N120" s="11" t="s">
        <v>228</v>
      </c>
      <c r="O120" s="11"/>
      <c r="P120" s="11" t="s">
        <v>228</v>
      </c>
      <c r="Q120" s="11" t="s">
        <v>228</v>
      </c>
      <c r="R120" s="11"/>
      <c r="S120" s="11" t="s">
        <v>228</v>
      </c>
      <c r="T120" s="11" t="s">
        <v>228</v>
      </c>
      <c r="U120" s="11"/>
      <c r="V120" s="11" t="s">
        <v>228</v>
      </c>
    </row>
    <row r="121" spans="1:22" x14ac:dyDescent="0.4">
      <c r="A121" s="8"/>
      <c r="B121" s="14">
        <v>85</v>
      </c>
      <c r="C121" s="14">
        <v>1</v>
      </c>
      <c r="D121" s="14">
        <v>2</v>
      </c>
      <c r="E121" s="11" t="s">
        <v>841</v>
      </c>
      <c r="F121" s="14">
        <v>10</v>
      </c>
      <c r="G121" s="14">
        <v>0</v>
      </c>
      <c r="H121" s="11" t="s">
        <v>839</v>
      </c>
      <c r="I121" s="14">
        <v>50</v>
      </c>
      <c r="J121" s="11" t="s">
        <v>228</v>
      </c>
      <c r="K121" s="11" t="s">
        <v>228</v>
      </c>
      <c r="L121" s="11"/>
      <c r="M121" s="11" t="s">
        <v>228</v>
      </c>
      <c r="N121" s="11" t="s">
        <v>228</v>
      </c>
      <c r="O121" s="11"/>
      <c r="P121" s="11" t="s">
        <v>228</v>
      </c>
      <c r="Q121" s="11" t="s">
        <v>228</v>
      </c>
      <c r="R121" s="11"/>
      <c r="S121" s="11" t="s">
        <v>228</v>
      </c>
      <c r="T121" s="11" t="s">
        <v>228</v>
      </c>
      <c r="U121" s="11"/>
      <c r="V121" s="11" t="s">
        <v>228</v>
      </c>
    </row>
    <row r="122" spans="1:22" x14ac:dyDescent="0.4">
      <c r="A122" s="8"/>
      <c r="B122" s="14">
        <v>85</v>
      </c>
      <c r="C122" s="14">
        <v>1</v>
      </c>
      <c r="D122" s="14">
        <v>3</v>
      </c>
      <c r="E122" s="11" t="s">
        <v>840</v>
      </c>
      <c r="F122" s="14">
        <v>10</v>
      </c>
      <c r="G122" s="14">
        <v>1</v>
      </c>
      <c r="H122" s="11" t="s">
        <v>228</v>
      </c>
      <c r="I122" s="14"/>
      <c r="J122" s="11"/>
      <c r="K122" s="11"/>
      <c r="L122" s="11"/>
      <c r="M122" s="11"/>
      <c r="N122" s="11" t="s">
        <v>228</v>
      </c>
      <c r="O122" s="11"/>
      <c r="P122" s="11" t="s">
        <v>228</v>
      </c>
      <c r="Q122" s="11" t="s">
        <v>228</v>
      </c>
      <c r="R122" s="11"/>
      <c r="S122" s="11" t="s">
        <v>228</v>
      </c>
      <c r="T122" s="11" t="s">
        <v>228</v>
      </c>
      <c r="U122" s="11"/>
      <c r="V122" s="11" t="s">
        <v>228</v>
      </c>
    </row>
    <row r="123" spans="1:22" x14ac:dyDescent="0.4">
      <c r="A123" s="8"/>
      <c r="B123" s="14">
        <v>86</v>
      </c>
      <c r="C123" s="14">
        <v>1</v>
      </c>
      <c r="D123" s="14">
        <v>1</v>
      </c>
      <c r="E123" s="11" t="s">
        <v>841</v>
      </c>
      <c r="F123" s="14">
        <v>20</v>
      </c>
      <c r="G123" s="14">
        <v>0</v>
      </c>
      <c r="H123" s="11" t="s">
        <v>839</v>
      </c>
      <c r="I123" s="14">
        <v>50</v>
      </c>
      <c r="J123" s="11" t="s">
        <v>228</v>
      </c>
      <c r="K123" s="11" t="s">
        <v>228</v>
      </c>
      <c r="L123" s="11"/>
      <c r="M123" s="11" t="s">
        <v>228</v>
      </c>
      <c r="N123" s="11" t="s">
        <v>228</v>
      </c>
      <c r="O123" s="11"/>
      <c r="P123" s="11" t="s">
        <v>228</v>
      </c>
      <c r="Q123" s="11" t="s">
        <v>228</v>
      </c>
      <c r="R123" s="11"/>
      <c r="S123" s="11" t="s">
        <v>228</v>
      </c>
      <c r="T123" s="11" t="s">
        <v>228</v>
      </c>
      <c r="U123" s="11"/>
      <c r="V123" s="11" t="s">
        <v>228</v>
      </c>
    </row>
    <row r="124" spans="1:22" x14ac:dyDescent="0.4">
      <c r="A124" s="8"/>
      <c r="B124" s="14">
        <v>86</v>
      </c>
      <c r="C124" s="14">
        <v>1</v>
      </c>
      <c r="D124" s="14">
        <v>2</v>
      </c>
      <c r="E124" s="11" t="s">
        <v>842</v>
      </c>
      <c r="F124" s="14">
        <v>15</v>
      </c>
      <c r="G124" s="14">
        <v>0</v>
      </c>
      <c r="H124" s="11" t="s">
        <v>836</v>
      </c>
      <c r="I124" s="14">
        <v>25</v>
      </c>
      <c r="J124" s="11" t="s">
        <v>228</v>
      </c>
      <c r="K124" s="11" t="s">
        <v>228</v>
      </c>
      <c r="L124" s="11"/>
      <c r="M124" s="11" t="s">
        <v>228</v>
      </c>
      <c r="N124" s="11" t="s">
        <v>228</v>
      </c>
      <c r="O124" s="11"/>
      <c r="P124" s="11" t="s">
        <v>228</v>
      </c>
      <c r="Q124" s="11" t="s">
        <v>228</v>
      </c>
      <c r="R124" s="11"/>
      <c r="S124" s="11" t="s">
        <v>228</v>
      </c>
      <c r="T124" s="11" t="s">
        <v>228</v>
      </c>
      <c r="U124" s="11"/>
      <c r="V124" s="11" t="s">
        <v>228</v>
      </c>
    </row>
    <row r="125" spans="1:22" x14ac:dyDescent="0.4">
      <c r="A125" s="8"/>
      <c r="B125" s="14">
        <v>86</v>
      </c>
      <c r="C125" s="14">
        <v>1</v>
      </c>
      <c r="D125" s="14">
        <v>3</v>
      </c>
      <c r="E125" s="11" t="s">
        <v>844</v>
      </c>
      <c r="F125" s="14">
        <v>0</v>
      </c>
      <c r="G125" s="14">
        <v>0</v>
      </c>
      <c r="H125" s="11" t="s">
        <v>696</v>
      </c>
      <c r="I125" s="14">
        <v>150</v>
      </c>
      <c r="J125" s="11" t="s">
        <v>228</v>
      </c>
      <c r="K125" s="11" t="s">
        <v>165</v>
      </c>
      <c r="L125" s="11" t="s">
        <v>843</v>
      </c>
      <c r="M125" s="11"/>
      <c r="N125" s="11" t="s">
        <v>166</v>
      </c>
      <c r="O125" s="14">
        <v>-150</v>
      </c>
      <c r="P125" s="11" t="s">
        <v>228</v>
      </c>
      <c r="Q125" s="11" t="s">
        <v>228</v>
      </c>
      <c r="R125" s="11"/>
      <c r="S125" s="11" t="s">
        <v>228</v>
      </c>
      <c r="T125" s="11" t="s">
        <v>228</v>
      </c>
      <c r="U125" s="11"/>
      <c r="V125" s="11" t="s">
        <v>228</v>
      </c>
    </row>
    <row r="126" spans="1:22" x14ac:dyDescent="0.4">
      <c r="A126" s="8"/>
      <c r="B126" s="14">
        <v>87</v>
      </c>
      <c r="C126" s="14">
        <v>1</v>
      </c>
      <c r="D126" s="14">
        <v>1</v>
      </c>
      <c r="E126" s="11" t="s">
        <v>841</v>
      </c>
      <c r="F126" s="14">
        <v>15</v>
      </c>
      <c r="G126" s="14">
        <v>0</v>
      </c>
      <c r="H126" s="11" t="s">
        <v>839</v>
      </c>
      <c r="I126" s="14">
        <v>50</v>
      </c>
      <c r="J126" s="11" t="s">
        <v>228</v>
      </c>
      <c r="K126" s="11" t="s">
        <v>228</v>
      </c>
      <c r="L126" s="11"/>
      <c r="M126" s="11" t="s">
        <v>228</v>
      </c>
      <c r="N126" s="11" t="s">
        <v>228</v>
      </c>
      <c r="O126" s="11"/>
      <c r="P126" s="11" t="s">
        <v>228</v>
      </c>
      <c r="Q126" s="11" t="s">
        <v>228</v>
      </c>
      <c r="R126" s="11"/>
      <c r="S126" s="11" t="s">
        <v>228</v>
      </c>
      <c r="T126" s="11" t="s">
        <v>228</v>
      </c>
      <c r="U126" s="11"/>
      <c r="V126" s="11" t="s">
        <v>228</v>
      </c>
    </row>
    <row r="127" spans="1:22" x14ac:dyDescent="0.4">
      <c r="A127" s="8"/>
      <c r="B127" s="14">
        <v>87</v>
      </c>
      <c r="C127" s="14">
        <v>1</v>
      </c>
      <c r="D127" s="14">
        <v>2</v>
      </c>
      <c r="E127" s="11" t="s">
        <v>845</v>
      </c>
      <c r="F127" s="14">
        <v>20</v>
      </c>
      <c r="G127" s="14">
        <v>1</v>
      </c>
      <c r="H127" s="11" t="s">
        <v>228</v>
      </c>
      <c r="I127" s="14"/>
      <c r="J127" s="11" t="s">
        <v>228</v>
      </c>
      <c r="K127" s="11" t="s">
        <v>228</v>
      </c>
      <c r="L127" s="11"/>
      <c r="M127" s="11" t="s">
        <v>228</v>
      </c>
      <c r="N127" s="11" t="s">
        <v>228</v>
      </c>
      <c r="O127" s="11"/>
      <c r="P127" s="11" t="s">
        <v>228</v>
      </c>
      <c r="Q127" s="11" t="s">
        <v>228</v>
      </c>
      <c r="R127" s="11"/>
      <c r="S127" s="11" t="s">
        <v>228</v>
      </c>
      <c r="T127" s="11" t="s">
        <v>228</v>
      </c>
      <c r="U127" s="11"/>
      <c r="V127" s="11" t="s">
        <v>228</v>
      </c>
    </row>
    <row r="128" spans="1:22" x14ac:dyDescent="0.4">
      <c r="A128" s="8"/>
      <c r="B128" s="14">
        <v>88</v>
      </c>
      <c r="C128" s="14">
        <v>1</v>
      </c>
      <c r="D128" s="14">
        <v>1</v>
      </c>
      <c r="E128" s="11" t="s">
        <v>867</v>
      </c>
      <c r="F128" s="14">
        <v>35</v>
      </c>
      <c r="G128" s="14">
        <v>0</v>
      </c>
      <c r="H128" s="11" t="s">
        <v>836</v>
      </c>
      <c r="I128" s="14">
        <v>150</v>
      </c>
      <c r="J128" s="11" t="s">
        <v>228</v>
      </c>
      <c r="K128" s="11" t="s">
        <v>228</v>
      </c>
      <c r="L128" s="11"/>
      <c r="M128" s="11" t="s">
        <v>228</v>
      </c>
      <c r="N128" s="11" t="s">
        <v>228</v>
      </c>
      <c r="O128" s="11"/>
      <c r="P128" s="11" t="s">
        <v>228</v>
      </c>
      <c r="Q128" s="11" t="s">
        <v>228</v>
      </c>
      <c r="R128" s="11"/>
      <c r="S128" s="11" t="s">
        <v>228</v>
      </c>
      <c r="T128" s="11" t="s">
        <v>228</v>
      </c>
      <c r="U128" s="11"/>
      <c r="V128" s="11" t="s">
        <v>228</v>
      </c>
    </row>
    <row r="129" spans="1:22" x14ac:dyDescent="0.4">
      <c r="A129" s="8"/>
      <c r="B129" s="14">
        <v>88</v>
      </c>
      <c r="C129" s="14">
        <v>1</v>
      </c>
      <c r="D129" s="14">
        <v>2</v>
      </c>
      <c r="E129" s="11" t="s">
        <v>868</v>
      </c>
      <c r="F129" s="14">
        <v>35</v>
      </c>
      <c r="G129" s="14">
        <v>1</v>
      </c>
      <c r="H129" s="11"/>
      <c r="I129" s="14"/>
      <c r="J129" s="11" t="s">
        <v>228</v>
      </c>
      <c r="K129" s="11" t="s">
        <v>228</v>
      </c>
      <c r="L129" s="11"/>
      <c r="M129" s="11" t="s">
        <v>228</v>
      </c>
      <c r="N129" s="11" t="s">
        <v>228</v>
      </c>
      <c r="O129" s="11"/>
      <c r="P129" s="11" t="s">
        <v>228</v>
      </c>
      <c r="Q129" s="11" t="s">
        <v>228</v>
      </c>
      <c r="R129" s="11"/>
      <c r="S129" s="11" t="s">
        <v>228</v>
      </c>
      <c r="T129" s="11" t="s">
        <v>228</v>
      </c>
      <c r="U129" s="11"/>
      <c r="V129" s="11" t="s">
        <v>228</v>
      </c>
    </row>
    <row r="130" spans="1:22" x14ac:dyDescent="0.4">
      <c r="A130" s="8"/>
      <c r="B130" s="14">
        <v>88</v>
      </c>
      <c r="C130" s="14">
        <v>1</v>
      </c>
      <c r="D130" s="14">
        <v>3</v>
      </c>
      <c r="E130" s="11" t="s">
        <v>869</v>
      </c>
      <c r="F130" s="14">
        <v>35</v>
      </c>
      <c r="G130" s="14">
        <v>1</v>
      </c>
      <c r="H130" s="11"/>
      <c r="I130" s="14"/>
      <c r="J130" s="11" t="s">
        <v>228</v>
      </c>
      <c r="K130" s="11" t="s">
        <v>228</v>
      </c>
      <c r="L130" s="11"/>
      <c r="M130" s="11" t="s">
        <v>228</v>
      </c>
      <c r="N130" s="11" t="s">
        <v>228</v>
      </c>
      <c r="O130" s="11"/>
      <c r="P130" s="11" t="s">
        <v>228</v>
      </c>
      <c r="Q130" s="11" t="s">
        <v>228</v>
      </c>
      <c r="R130" s="11"/>
      <c r="S130" s="11" t="s">
        <v>228</v>
      </c>
      <c r="T130" s="11" t="s">
        <v>228</v>
      </c>
      <c r="U130" s="11"/>
      <c r="V130" s="11" t="s">
        <v>228</v>
      </c>
    </row>
    <row r="131" spans="1:22" x14ac:dyDescent="0.4">
      <c r="A131" s="8"/>
      <c r="B131" s="14">
        <v>88</v>
      </c>
      <c r="C131" s="14">
        <v>2</v>
      </c>
      <c r="D131" s="14">
        <v>1</v>
      </c>
      <c r="E131" s="11" t="s">
        <v>870</v>
      </c>
      <c r="F131" s="14">
        <v>35</v>
      </c>
      <c r="G131" s="14">
        <v>1</v>
      </c>
      <c r="H131" s="11"/>
      <c r="I131" s="14"/>
      <c r="J131" s="11"/>
      <c r="K131" s="11"/>
      <c r="L131" s="11"/>
      <c r="M131" s="11" t="s">
        <v>228</v>
      </c>
      <c r="N131" s="11" t="s">
        <v>228</v>
      </c>
      <c r="O131" s="11"/>
      <c r="P131" s="11" t="s">
        <v>228</v>
      </c>
      <c r="Q131" s="11" t="s">
        <v>228</v>
      </c>
      <c r="R131" s="11"/>
      <c r="S131" s="11" t="s">
        <v>228</v>
      </c>
      <c r="T131" s="11" t="s">
        <v>228</v>
      </c>
      <c r="U131" s="11"/>
      <c r="V131" s="11" t="s">
        <v>228</v>
      </c>
    </row>
    <row r="132" spans="1:22" x14ac:dyDescent="0.4">
      <c r="A132" s="8"/>
      <c r="B132" s="14">
        <v>88</v>
      </c>
      <c r="C132" s="14">
        <v>2</v>
      </c>
      <c r="D132" s="14">
        <v>2</v>
      </c>
      <c r="E132" s="11" t="s">
        <v>868</v>
      </c>
      <c r="F132" s="14">
        <v>35</v>
      </c>
      <c r="G132" s="14">
        <v>1</v>
      </c>
      <c r="H132" s="11"/>
      <c r="I132" s="14"/>
      <c r="J132" s="11"/>
      <c r="K132" s="11"/>
      <c r="L132" s="11"/>
      <c r="M132" s="11" t="s">
        <v>228</v>
      </c>
      <c r="N132" s="11" t="s">
        <v>228</v>
      </c>
      <c r="O132" s="11"/>
      <c r="P132" s="11" t="s">
        <v>228</v>
      </c>
      <c r="Q132" s="11" t="s">
        <v>228</v>
      </c>
      <c r="R132" s="11"/>
      <c r="S132" s="11" t="s">
        <v>228</v>
      </c>
      <c r="T132" s="11" t="s">
        <v>228</v>
      </c>
      <c r="U132" s="11"/>
      <c r="V132" s="11" t="s">
        <v>228</v>
      </c>
    </row>
    <row r="133" spans="1:22" x14ac:dyDescent="0.4">
      <c r="A133" s="8"/>
      <c r="B133" s="14">
        <v>88</v>
      </c>
      <c r="C133" s="14">
        <v>2</v>
      </c>
      <c r="D133" s="14">
        <v>3</v>
      </c>
      <c r="E133" s="11" t="s">
        <v>871</v>
      </c>
      <c r="F133" s="14">
        <v>35</v>
      </c>
      <c r="G133" s="14">
        <v>1</v>
      </c>
      <c r="H133" s="11"/>
      <c r="I133" s="14"/>
      <c r="J133" s="11"/>
      <c r="K133" s="11"/>
      <c r="L133" s="11"/>
      <c r="M133" s="11" t="s">
        <v>228</v>
      </c>
      <c r="N133" s="11" t="s">
        <v>228</v>
      </c>
      <c r="O133" s="11"/>
      <c r="P133" s="11" t="s">
        <v>228</v>
      </c>
      <c r="Q133" s="11" t="s">
        <v>228</v>
      </c>
      <c r="R133" s="11"/>
      <c r="S133" s="11" t="s">
        <v>228</v>
      </c>
      <c r="T133" s="11" t="s">
        <v>228</v>
      </c>
      <c r="U133" s="11"/>
      <c r="V133" s="11" t="s">
        <v>228</v>
      </c>
    </row>
    <row r="134" spans="1:22" x14ac:dyDescent="0.4">
      <c r="A134" s="8"/>
      <c r="B134" s="14">
        <v>88</v>
      </c>
      <c r="C134" s="14">
        <v>3</v>
      </c>
      <c r="D134" s="14">
        <v>1</v>
      </c>
      <c r="E134" s="11" t="s">
        <v>867</v>
      </c>
      <c r="F134" s="14">
        <v>35</v>
      </c>
      <c r="G134" s="14">
        <v>0</v>
      </c>
      <c r="H134" s="11" t="s">
        <v>836</v>
      </c>
      <c r="I134" s="14">
        <v>150</v>
      </c>
      <c r="J134" s="11"/>
      <c r="K134" s="11"/>
      <c r="L134" s="11"/>
      <c r="M134" s="11" t="s">
        <v>228</v>
      </c>
      <c r="N134" s="11" t="s">
        <v>228</v>
      </c>
      <c r="O134" s="11"/>
      <c r="P134" s="11" t="s">
        <v>228</v>
      </c>
      <c r="Q134" s="11" t="s">
        <v>228</v>
      </c>
      <c r="R134" s="11"/>
      <c r="S134" s="11" t="s">
        <v>228</v>
      </c>
      <c r="T134" s="11" t="s">
        <v>228</v>
      </c>
      <c r="U134" s="11"/>
      <c r="V134" s="11" t="s">
        <v>228</v>
      </c>
    </row>
    <row r="135" spans="1:22" x14ac:dyDescent="0.4">
      <c r="A135" s="8"/>
      <c r="B135" s="14">
        <v>88</v>
      </c>
      <c r="C135" s="14">
        <v>3</v>
      </c>
      <c r="D135" s="14">
        <v>2</v>
      </c>
      <c r="E135" s="11" t="s">
        <v>873</v>
      </c>
      <c r="F135" s="14">
        <v>35</v>
      </c>
      <c r="G135" s="14">
        <v>1</v>
      </c>
      <c r="H135" s="11"/>
      <c r="I135" s="14"/>
      <c r="J135" s="11"/>
      <c r="K135" s="11"/>
      <c r="L135" s="11"/>
      <c r="M135" s="11" t="s">
        <v>228</v>
      </c>
      <c r="N135" s="11" t="s">
        <v>228</v>
      </c>
      <c r="O135" s="11"/>
      <c r="P135" s="11" t="s">
        <v>228</v>
      </c>
      <c r="Q135" s="11" t="s">
        <v>228</v>
      </c>
      <c r="R135" s="11"/>
      <c r="S135" s="11" t="s">
        <v>228</v>
      </c>
      <c r="T135" s="11" t="s">
        <v>228</v>
      </c>
      <c r="U135" s="11"/>
      <c r="V135" s="11" t="s">
        <v>228</v>
      </c>
    </row>
    <row r="136" spans="1:22" x14ac:dyDescent="0.4">
      <c r="A136" s="8"/>
      <c r="B136" s="14">
        <v>88</v>
      </c>
      <c r="C136" s="14">
        <v>3</v>
      </c>
      <c r="D136" s="14">
        <v>3</v>
      </c>
      <c r="E136" s="11" t="s">
        <v>872</v>
      </c>
      <c r="F136" s="14">
        <v>35</v>
      </c>
      <c r="G136" s="14">
        <v>1</v>
      </c>
      <c r="H136" s="11"/>
      <c r="I136" s="14"/>
      <c r="J136" s="11"/>
      <c r="K136" s="11"/>
      <c r="L136" s="11"/>
      <c r="M136" s="11" t="s">
        <v>228</v>
      </c>
      <c r="N136" s="11" t="s">
        <v>228</v>
      </c>
      <c r="O136" s="11"/>
      <c r="P136" s="11" t="s">
        <v>228</v>
      </c>
      <c r="Q136" s="11" t="s">
        <v>228</v>
      </c>
      <c r="R136" s="11"/>
      <c r="S136" s="11" t="s">
        <v>228</v>
      </c>
      <c r="T136" s="11" t="s">
        <v>228</v>
      </c>
      <c r="U136" s="11"/>
      <c r="V136" s="11" t="s">
        <v>228</v>
      </c>
    </row>
    <row r="137" spans="1:22" x14ac:dyDescent="0.4">
      <c r="A137" s="8"/>
      <c r="B137" s="14">
        <v>89</v>
      </c>
      <c r="C137" s="14">
        <v>1</v>
      </c>
      <c r="D137" s="14">
        <v>1</v>
      </c>
      <c r="E137" s="11" t="s">
        <v>877</v>
      </c>
      <c r="F137" s="14">
        <v>35</v>
      </c>
      <c r="G137" s="14">
        <v>1</v>
      </c>
      <c r="H137" s="11"/>
      <c r="I137" s="14"/>
      <c r="J137" s="11" t="s">
        <v>228</v>
      </c>
      <c r="K137" s="11" t="s">
        <v>228</v>
      </c>
      <c r="L137" s="11"/>
      <c r="M137" s="11" t="s">
        <v>228</v>
      </c>
      <c r="N137" s="11" t="s">
        <v>228</v>
      </c>
      <c r="O137" s="11"/>
      <c r="P137" s="11" t="s">
        <v>228</v>
      </c>
      <c r="Q137" s="11" t="s">
        <v>228</v>
      </c>
      <c r="R137" s="11"/>
      <c r="S137" s="11" t="s">
        <v>228</v>
      </c>
      <c r="T137" s="11" t="s">
        <v>228</v>
      </c>
      <c r="U137" s="11"/>
      <c r="V137" s="11" t="s">
        <v>228</v>
      </c>
    </row>
    <row r="138" spans="1:22" x14ac:dyDescent="0.4">
      <c r="A138" s="8"/>
      <c r="B138" s="14">
        <v>89</v>
      </c>
      <c r="C138" s="14">
        <v>1</v>
      </c>
      <c r="D138" s="14">
        <v>2</v>
      </c>
      <c r="E138" s="11" t="s">
        <v>878</v>
      </c>
      <c r="F138" s="14">
        <v>35</v>
      </c>
      <c r="G138" s="14">
        <v>1</v>
      </c>
      <c r="H138" s="11"/>
      <c r="I138" s="14"/>
      <c r="J138" s="11" t="s">
        <v>228</v>
      </c>
      <c r="K138" s="11" t="s">
        <v>228</v>
      </c>
      <c r="L138" s="11"/>
      <c r="M138" s="11" t="s">
        <v>228</v>
      </c>
      <c r="N138" s="11" t="s">
        <v>228</v>
      </c>
      <c r="O138" s="11"/>
      <c r="P138" s="11" t="s">
        <v>228</v>
      </c>
      <c r="Q138" s="11" t="s">
        <v>228</v>
      </c>
      <c r="R138" s="11"/>
      <c r="S138" s="11" t="s">
        <v>228</v>
      </c>
      <c r="T138" s="11" t="s">
        <v>228</v>
      </c>
      <c r="U138" s="11"/>
      <c r="V138" s="11" t="s">
        <v>228</v>
      </c>
    </row>
    <row r="139" spans="1:22" x14ac:dyDescent="0.4">
      <c r="A139" s="8"/>
      <c r="B139" s="14">
        <v>89</v>
      </c>
      <c r="C139" s="14">
        <v>1</v>
      </c>
      <c r="D139" s="14">
        <v>3</v>
      </c>
      <c r="E139" s="11" t="s">
        <v>879</v>
      </c>
      <c r="F139" s="14">
        <v>35</v>
      </c>
      <c r="G139" s="14">
        <v>1</v>
      </c>
      <c r="H139" s="11"/>
      <c r="I139" s="14"/>
      <c r="J139" s="11" t="s">
        <v>228</v>
      </c>
      <c r="K139" s="11" t="s">
        <v>228</v>
      </c>
      <c r="L139" s="11"/>
      <c r="M139" s="11" t="s">
        <v>228</v>
      </c>
      <c r="N139" s="11" t="s">
        <v>228</v>
      </c>
      <c r="O139" s="11"/>
      <c r="P139" s="11" t="s">
        <v>228</v>
      </c>
      <c r="Q139" s="11" t="s">
        <v>228</v>
      </c>
      <c r="R139" s="11"/>
      <c r="S139" s="11" t="s">
        <v>228</v>
      </c>
      <c r="T139" s="11" t="s">
        <v>228</v>
      </c>
      <c r="U139" s="11"/>
      <c r="V139" s="11" t="s">
        <v>228</v>
      </c>
    </row>
    <row r="140" spans="1:22" x14ac:dyDescent="0.4">
      <c r="A140" s="8"/>
      <c r="B140" s="14">
        <v>89</v>
      </c>
      <c r="C140" s="14">
        <v>2</v>
      </c>
      <c r="D140" s="14">
        <v>1</v>
      </c>
      <c r="E140" s="11" t="s">
        <v>880</v>
      </c>
      <c r="F140" s="14">
        <v>35</v>
      </c>
      <c r="G140" s="14">
        <v>1</v>
      </c>
      <c r="H140" s="11"/>
      <c r="I140" s="14"/>
      <c r="J140" s="11"/>
      <c r="K140" s="11"/>
      <c r="L140" s="11"/>
      <c r="M140" s="11" t="s">
        <v>228</v>
      </c>
      <c r="N140" s="11" t="s">
        <v>228</v>
      </c>
      <c r="O140" s="11"/>
      <c r="P140" s="11" t="s">
        <v>228</v>
      </c>
      <c r="Q140" s="11" t="s">
        <v>228</v>
      </c>
      <c r="R140" s="11"/>
      <c r="S140" s="11" t="s">
        <v>228</v>
      </c>
      <c r="T140" s="11" t="s">
        <v>228</v>
      </c>
      <c r="U140" s="11"/>
      <c r="V140" s="11" t="s">
        <v>228</v>
      </c>
    </row>
    <row r="141" spans="1:22" x14ac:dyDescent="0.4">
      <c r="A141" s="8"/>
      <c r="B141" s="14">
        <v>89</v>
      </c>
      <c r="C141" s="14">
        <v>2</v>
      </c>
      <c r="D141" s="14">
        <v>2</v>
      </c>
      <c r="E141" s="11" t="s">
        <v>881</v>
      </c>
      <c r="F141" s="14">
        <v>35</v>
      </c>
      <c r="G141" s="14">
        <v>1</v>
      </c>
      <c r="H141" s="11"/>
      <c r="I141" s="14"/>
      <c r="J141" s="11"/>
      <c r="K141" s="11"/>
      <c r="L141" s="11"/>
      <c r="M141" s="11" t="s">
        <v>228</v>
      </c>
      <c r="N141" s="11" t="s">
        <v>228</v>
      </c>
      <c r="O141" s="11"/>
      <c r="P141" s="11" t="s">
        <v>228</v>
      </c>
      <c r="Q141" s="11" t="s">
        <v>228</v>
      </c>
      <c r="R141" s="11"/>
      <c r="S141" s="11" t="s">
        <v>228</v>
      </c>
      <c r="T141" s="11" t="s">
        <v>228</v>
      </c>
      <c r="U141" s="11"/>
      <c r="V141" s="11" t="s">
        <v>228</v>
      </c>
    </row>
    <row r="142" spans="1:22" x14ac:dyDescent="0.4">
      <c r="A142" s="8"/>
      <c r="B142" s="14">
        <v>89</v>
      </c>
      <c r="C142" s="14">
        <v>2</v>
      </c>
      <c r="D142" s="14">
        <v>3</v>
      </c>
      <c r="E142" s="11" t="s">
        <v>882</v>
      </c>
      <c r="F142" s="14">
        <v>35</v>
      </c>
      <c r="G142" s="14">
        <v>1</v>
      </c>
      <c r="H142" s="11"/>
      <c r="I142" s="14"/>
      <c r="J142" s="11"/>
      <c r="K142" s="11"/>
      <c r="L142" s="11"/>
      <c r="M142" s="11" t="s">
        <v>228</v>
      </c>
      <c r="N142" s="11" t="s">
        <v>228</v>
      </c>
      <c r="O142" s="11"/>
      <c r="P142" s="11" t="s">
        <v>228</v>
      </c>
      <c r="Q142" s="11" t="s">
        <v>228</v>
      </c>
      <c r="R142" s="11"/>
      <c r="S142" s="11" t="s">
        <v>228</v>
      </c>
      <c r="T142" s="11" t="s">
        <v>228</v>
      </c>
      <c r="U142" s="11"/>
      <c r="V142" s="11" t="s">
        <v>228</v>
      </c>
    </row>
    <row r="143" spans="1:22" x14ac:dyDescent="0.4">
      <c r="A143" s="8"/>
      <c r="B143" s="14">
        <v>91</v>
      </c>
      <c r="C143" s="14">
        <v>1</v>
      </c>
      <c r="D143" s="14">
        <v>1</v>
      </c>
      <c r="E143" s="11" t="s">
        <v>899</v>
      </c>
      <c r="F143" s="14">
        <v>35</v>
      </c>
      <c r="G143" s="14">
        <v>0</v>
      </c>
      <c r="H143" s="11" t="s">
        <v>684</v>
      </c>
      <c r="I143" s="14">
        <v>50</v>
      </c>
      <c r="J143" s="11" t="s">
        <v>228</v>
      </c>
      <c r="K143" s="11" t="s">
        <v>228</v>
      </c>
      <c r="L143" s="11"/>
      <c r="M143" s="11" t="s">
        <v>228</v>
      </c>
      <c r="N143" s="11" t="s">
        <v>228</v>
      </c>
      <c r="O143" s="11"/>
      <c r="P143" s="11" t="s">
        <v>228</v>
      </c>
      <c r="Q143" s="11" t="s">
        <v>228</v>
      </c>
      <c r="R143" s="11"/>
      <c r="S143" s="11" t="s">
        <v>228</v>
      </c>
      <c r="T143" s="11" t="s">
        <v>228</v>
      </c>
      <c r="U143" s="11"/>
      <c r="V143" s="11" t="s">
        <v>228</v>
      </c>
    </row>
    <row r="144" spans="1:22" x14ac:dyDescent="0.4">
      <c r="A144" s="8"/>
      <c r="B144" s="14">
        <v>91</v>
      </c>
      <c r="C144" s="14">
        <v>1</v>
      </c>
      <c r="D144" s="14">
        <v>2</v>
      </c>
      <c r="E144" s="11" t="s">
        <v>689</v>
      </c>
      <c r="F144" s="14">
        <v>35</v>
      </c>
      <c r="G144" s="14">
        <v>1</v>
      </c>
      <c r="H144" s="11" t="s">
        <v>228</v>
      </c>
      <c r="I144" s="14"/>
      <c r="J144" s="11" t="s">
        <v>228</v>
      </c>
      <c r="K144" s="11" t="s">
        <v>228</v>
      </c>
      <c r="L144" s="11"/>
      <c r="M144" s="11" t="s">
        <v>228</v>
      </c>
      <c r="N144" s="11" t="s">
        <v>228</v>
      </c>
      <c r="O144" s="11"/>
      <c r="P144" s="11" t="s">
        <v>228</v>
      </c>
      <c r="Q144" s="11" t="s">
        <v>228</v>
      </c>
      <c r="R144" s="11"/>
      <c r="S144" s="11" t="s">
        <v>228</v>
      </c>
      <c r="T144" s="11" t="s">
        <v>228</v>
      </c>
      <c r="U144" s="11"/>
      <c r="V144" s="11" t="s">
        <v>228</v>
      </c>
    </row>
    <row r="145" spans="1:22" x14ac:dyDescent="0.4">
      <c r="A145" s="8"/>
      <c r="B145" s="14">
        <v>91</v>
      </c>
      <c r="C145" s="14">
        <v>1</v>
      </c>
      <c r="D145" s="14">
        <v>3</v>
      </c>
      <c r="E145" s="11" t="s">
        <v>898</v>
      </c>
      <c r="F145" s="14">
        <v>35</v>
      </c>
      <c r="G145" s="14">
        <v>0</v>
      </c>
      <c r="H145" s="11" t="s">
        <v>839</v>
      </c>
      <c r="I145" s="14">
        <v>150</v>
      </c>
      <c r="J145" s="11" t="s">
        <v>228</v>
      </c>
      <c r="K145" s="11" t="s">
        <v>228</v>
      </c>
      <c r="L145" s="11"/>
      <c r="M145" s="11" t="s">
        <v>228</v>
      </c>
      <c r="N145" s="11" t="s">
        <v>228</v>
      </c>
      <c r="O145" s="11"/>
      <c r="P145" s="11" t="s">
        <v>228</v>
      </c>
      <c r="Q145" s="11" t="s">
        <v>228</v>
      </c>
      <c r="R145" s="11"/>
      <c r="S145" s="11" t="s">
        <v>228</v>
      </c>
      <c r="T145" s="11" t="s">
        <v>228</v>
      </c>
      <c r="U145" s="11"/>
      <c r="V145" s="11" t="s">
        <v>228</v>
      </c>
    </row>
    <row r="146" spans="1:22" x14ac:dyDescent="0.4">
      <c r="A146" s="8"/>
      <c r="B146" s="14">
        <v>91</v>
      </c>
      <c r="C146" s="14">
        <v>2</v>
      </c>
      <c r="D146" s="14">
        <v>1</v>
      </c>
      <c r="E146" s="11" t="s">
        <v>899</v>
      </c>
      <c r="F146" s="14">
        <v>35</v>
      </c>
      <c r="G146" s="14">
        <v>0</v>
      </c>
      <c r="H146" s="11" t="s">
        <v>684</v>
      </c>
      <c r="I146" s="14">
        <v>50</v>
      </c>
      <c r="J146" s="11"/>
      <c r="K146" s="11"/>
      <c r="L146" s="11"/>
      <c r="M146" s="11" t="s">
        <v>228</v>
      </c>
      <c r="N146" s="11" t="s">
        <v>228</v>
      </c>
      <c r="O146" s="11"/>
      <c r="P146" s="11" t="s">
        <v>228</v>
      </c>
      <c r="Q146" s="11" t="s">
        <v>228</v>
      </c>
      <c r="R146" s="11"/>
      <c r="S146" s="11" t="s">
        <v>228</v>
      </c>
      <c r="T146" s="11" t="s">
        <v>228</v>
      </c>
      <c r="U146" s="11"/>
      <c r="V146" s="11" t="s">
        <v>228</v>
      </c>
    </row>
    <row r="147" spans="1:22" x14ac:dyDescent="0.4">
      <c r="A147" s="8"/>
      <c r="B147" s="14">
        <v>91</v>
      </c>
      <c r="C147" s="14">
        <v>2</v>
      </c>
      <c r="D147" s="14">
        <v>2</v>
      </c>
      <c r="E147" s="11" t="s">
        <v>873</v>
      </c>
      <c r="F147" s="14">
        <v>35</v>
      </c>
      <c r="G147" s="14">
        <v>1</v>
      </c>
      <c r="H147" s="11"/>
      <c r="I147" s="14"/>
      <c r="J147" s="11"/>
      <c r="K147" s="11"/>
      <c r="L147" s="11"/>
      <c r="M147" s="11" t="s">
        <v>228</v>
      </c>
      <c r="N147" s="11" t="s">
        <v>228</v>
      </c>
      <c r="O147" s="11"/>
      <c r="P147" s="11" t="s">
        <v>228</v>
      </c>
      <c r="Q147" s="11" t="s">
        <v>228</v>
      </c>
      <c r="R147" s="11"/>
      <c r="S147" s="11" t="s">
        <v>228</v>
      </c>
      <c r="T147" s="11" t="s">
        <v>228</v>
      </c>
      <c r="U147" s="11"/>
      <c r="V147" s="11" t="s">
        <v>228</v>
      </c>
    </row>
    <row r="148" spans="1:22" x14ac:dyDescent="0.4">
      <c r="A148" s="8"/>
      <c r="B148" s="14">
        <v>91</v>
      </c>
      <c r="C148" s="14">
        <v>2</v>
      </c>
      <c r="D148" s="14">
        <v>3</v>
      </c>
      <c r="E148" s="11" t="s">
        <v>867</v>
      </c>
      <c r="F148" s="14">
        <v>35</v>
      </c>
      <c r="G148" s="14">
        <v>0</v>
      </c>
      <c r="H148" s="11" t="s">
        <v>836</v>
      </c>
      <c r="I148" s="14">
        <v>150</v>
      </c>
      <c r="J148" s="11"/>
      <c r="K148" s="11"/>
      <c r="L148" s="11"/>
      <c r="M148" s="11" t="s">
        <v>228</v>
      </c>
      <c r="N148" s="11" t="s">
        <v>228</v>
      </c>
      <c r="O148" s="11"/>
      <c r="P148" s="11" t="s">
        <v>228</v>
      </c>
      <c r="Q148" s="11" t="s">
        <v>228</v>
      </c>
      <c r="R148" s="11"/>
      <c r="S148" s="11" t="s">
        <v>228</v>
      </c>
      <c r="T148" s="11" t="s">
        <v>228</v>
      </c>
      <c r="U148" s="11"/>
      <c r="V148" s="11" t="s">
        <v>228</v>
      </c>
    </row>
    <row r="149" spans="1:22" x14ac:dyDescent="0.4">
      <c r="A149" s="8"/>
      <c r="B149" s="14">
        <v>92</v>
      </c>
      <c r="C149" s="14">
        <v>1</v>
      </c>
      <c r="D149" s="14">
        <v>1</v>
      </c>
      <c r="E149" s="11" t="s">
        <v>907</v>
      </c>
      <c r="F149" s="14">
        <v>35</v>
      </c>
      <c r="G149" s="14">
        <v>1</v>
      </c>
      <c r="H149" s="11"/>
      <c r="I149" s="14"/>
      <c r="J149" s="11" t="s">
        <v>228</v>
      </c>
      <c r="K149" s="11" t="s">
        <v>228</v>
      </c>
      <c r="L149" s="11"/>
      <c r="M149" s="11" t="s">
        <v>228</v>
      </c>
      <c r="N149" s="11" t="s">
        <v>228</v>
      </c>
      <c r="O149" s="11"/>
      <c r="P149" s="11" t="s">
        <v>228</v>
      </c>
      <c r="Q149" s="11" t="s">
        <v>228</v>
      </c>
      <c r="R149" s="11"/>
      <c r="S149" s="11" t="s">
        <v>228</v>
      </c>
      <c r="T149" s="11" t="s">
        <v>228</v>
      </c>
      <c r="U149" s="11"/>
      <c r="V149" s="11" t="s">
        <v>228</v>
      </c>
    </row>
    <row r="150" spans="1:22" x14ac:dyDescent="0.4">
      <c r="A150" s="8"/>
      <c r="B150" s="14">
        <v>92</v>
      </c>
      <c r="C150" s="14">
        <v>1</v>
      </c>
      <c r="D150" s="14">
        <v>2</v>
      </c>
      <c r="E150" s="11" t="s">
        <v>910</v>
      </c>
      <c r="F150" s="14">
        <v>35</v>
      </c>
      <c r="G150" s="14">
        <v>1</v>
      </c>
      <c r="H150" s="11"/>
      <c r="I150" s="14"/>
      <c r="J150" s="11" t="s">
        <v>228</v>
      </c>
      <c r="K150" s="11" t="s">
        <v>228</v>
      </c>
      <c r="L150" s="11"/>
      <c r="M150" s="11" t="s">
        <v>228</v>
      </c>
      <c r="N150" s="11" t="s">
        <v>228</v>
      </c>
      <c r="O150" s="11"/>
      <c r="P150" s="11" t="s">
        <v>228</v>
      </c>
      <c r="Q150" s="11" t="s">
        <v>228</v>
      </c>
      <c r="R150" s="11"/>
      <c r="S150" s="11" t="s">
        <v>228</v>
      </c>
      <c r="T150" s="11" t="s">
        <v>228</v>
      </c>
      <c r="U150" s="11"/>
      <c r="V150" s="11" t="s">
        <v>228</v>
      </c>
    </row>
    <row r="151" spans="1:22" x14ac:dyDescent="0.4">
      <c r="A151" s="8"/>
      <c r="B151" s="14">
        <v>92</v>
      </c>
      <c r="C151" s="14">
        <v>1</v>
      </c>
      <c r="D151" s="14">
        <v>3</v>
      </c>
      <c r="E151" s="11" t="s">
        <v>911</v>
      </c>
      <c r="F151" s="14">
        <v>35</v>
      </c>
      <c r="G151" s="14">
        <v>1</v>
      </c>
      <c r="H151" s="11"/>
      <c r="I151" s="14"/>
      <c r="J151" s="11" t="s">
        <v>228</v>
      </c>
      <c r="K151" s="11" t="s">
        <v>228</v>
      </c>
      <c r="L151" s="11"/>
      <c r="M151" s="11" t="s">
        <v>228</v>
      </c>
      <c r="N151" s="11" t="s">
        <v>228</v>
      </c>
      <c r="O151" s="11"/>
      <c r="P151" s="11" t="s">
        <v>228</v>
      </c>
      <c r="Q151" s="11" t="s">
        <v>228</v>
      </c>
      <c r="R151" s="11"/>
      <c r="S151" s="11" t="s">
        <v>228</v>
      </c>
      <c r="T151" s="11" t="s">
        <v>228</v>
      </c>
      <c r="U151" s="11"/>
      <c r="V151" s="11" t="s">
        <v>228</v>
      </c>
    </row>
    <row r="152" spans="1:22" x14ac:dyDescent="0.4">
      <c r="A152" s="8"/>
      <c r="B152" s="14">
        <v>92</v>
      </c>
      <c r="C152" s="14">
        <v>2</v>
      </c>
      <c r="D152" s="14">
        <v>1</v>
      </c>
      <c r="E152" s="11" t="s">
        <v>878</v>
      </c>
      <c r="F152" s="14">
        <v>35</v>
      </c>
      <c r="G152" s="14">
        <v>1</v>
      </c>
      <c r="H152" s="11"/>
      <c r="I152" s="14"/>
      <c r="J152" s="11"/>
      <c r="K152" s="11"/>
      <c r="L152" s="11"/>
      <c r="M152" s="11" t="s">
        <v>228</v>
      </c>
      <c r="N152" s="11" t="s">
        <v>228</v>
      </c>
      <c r="O152" s="11"/>
      <c r="P152" s="11" t="s">
        <v>228</v>
      </c>
      <c r="Q152" s="11" t="s">
        <v>228</v>
      </c>
      <c r="R152" s="11"/>
      <c r="S152" s="11" t="s">
        <v>228</v>
      </c>
      <c r="T152" s="11" t="s">
        <v>228</v>
      </c>
      <c r="U152" s="11"/>
      <c r="V152" s="11" t="s">
        <v>228</v>
      </c>
    </row>
    <row r="153" spans="1:22" x14ac:dyDescent="0.4">
      <c r="A153" s="8"/>
      <c r="B153" s="14">
        <v>92</v>
      </c>
      <c r="C153" s="14">
        <v>2</v>
      </c>
      <c r="D153" s="14">
        <v>2</v>
      </c>
      <c r="E153" s="11" t="s">
        <v>908</v>
      </c>
      <c r="F153" s="14">
        <v>35</v>
      </c>
      <c r="G153" s="14">
        <v>1</v>
      </c>
      <c r="H153" s="11"/>
      <c r="I153" s="14"/>
      <c r="J153" s="11"/>
      <c r="K153" s="11"/>
      <c r="L153" s="11"/>
      <c r="M153" s="11" t="s">
        <v>228</v>
      </c>
      <c r="N153" s="11" t="s">
        <v>228</v>
      </c>
      <c r="O153" s="11"/>
      <c r="P153" s="11" t="s">
        <v>228</v>
      </c>
      <c r="Q153" s="11" t="s">
        <v>228</v>
      </c>
      <c r="R153" s="11"/>
      <c r="S153" s="11" t="s">
        <v>228</v>
      </c>
      <c r="T153" s="11" t="s">
        <v>228</v>
      </c>
      <c r="U153" s="11"/>
      <c r="V153" s="11" t="s">
        <v>228</v>
      </c>
    </row>
    <row r="154" spans="1:22" x14ac:dyDescent="0.4">
      <c r="A154" s="8"/>
      <c r="B154" s="14">
        <v>92</v>
      </c>
      <c r="C154" s="14">
        <v>2</v>
      </c>
      <c r="D154" s="14">
        <v>3</v>
      </c>
      <c r="E154" s="11" t="s">
        <v>909</v>
      </c>
      <c r="F154" s="14">
        <v>35</v>
      </c>
      <c r="G154" s="14">
        <v>1</v>
      </c>
      <c r="H154" s="11"/>
      <c r="I154" s="14"/>
      <c r="J154" s="11"/>
      <c r="K154" s="11"/>
      <c r="L154" s="11"/>
      <c r="M154" s="11" t="s">
        <v>228</v>
      </c>
      <c r="N154" s="11" t="s">
        <v>228</v>
      </c>
      <c r="O154" s="11"/>
      <c r="P154" s="11" t="s">
        <v>228</v>
      </c>
      <c r="Q154" s="11" t="s">
        <v>228</v>
      </c>
      <c r="R154" s="11"/>
      <c r="S154" s="11" t="s">
        <v>228</v>
      </c>
      <c r="T154" s="11" t="s">
        <v>228</v>
      </c>
      <c r="U154" s="11"/>
      <c r="V154" s="11" t="s">
        <v>228</v>
      </c>
    </row>
    <row r="155" spans="1:22" x14ac:dyDescent="0.4">
      <c r="A155" s="8"/>
      <c r="B155" s="14">
        <v>93</v>
      </c>
      <c r="C155" s="14">
        <v>1</v>
      </c>
      <c r="D155" s="14">
        <v>1</v>
      </c>
      <c r="E155" s="11" t="s">
        <v>917</v>
      </c>
      <c r="F155" s="14">
        <v>35</v>
      </c>
      <c r="G155" s="14">
        <v>1</v>
      </c>
      <c r="H155" s="11"/>
      <c r="I155" s="14"/>
      <c r="J155" s="11" t="s">
        <v>228</v>
      </c>
      <c r="K155" s="11" t="s">
        <v>228</v>
      </c>
      <c r="L155" s="11"/>
      <c r="M155" s="11" t="s">
        <v>228</v>
      </c>
      <c r="N155" s="11" t="s">
        <v>228</v>
      </c>
      <c r="O155" s="11"/>
      <c r="P155" s="11" t="s">
        <v>228</v>
      </c>
      <c r="Q155" s="11" t="s">
        <v>228</v>
      </c>
      <c r="R155" s="11"/>
      <c r="S155" s="11" t="s">
        <v>228</v>
      </c>
      <c r="T155" s="11" t="s">
        <v>228</v>
      </c>
      <c r="U155" s="11"/>
      <c r="V155" s="11" t="s">
        <v>228</v>
      </c>
    </row>
    <row r="156" spans="1:22" x14ac:dyDescent="0.4">
      <c r="A156" s="8"/>
      <c r="B156" s="14">
        <v>93</v>
      </c>
      <c r="C156" s="14">
        <v>1</v>
      </c>
      <c r="D156" s="14">
        <v>2</v>
      </c>
      <c r="E156" s="11" t="s">
        <v>916</v>
      </c>
      <c r="F156" s="14">
        <v>35</v>
      </c>
      <c r="G156" s="14">
        <v>1</v>
      </c>
      <c r="H156" s="11"/>
      <c r="I156" s="14"/>
      <c r="J156" s="11" t="s">
        <v>228</v>
      </c>
      <c r="K156" s="11" t="s">
        <v>228</v>
      </c>
      <c r="L156" s="11"/>
      <c r="M156" s="11" t="s">
        <v>228</v>
      </c>
      <c r="N156" s="11" t="s">
        <v>228</v>
      </c>
      <c r="O156" s="11"/>
      <c r="P156" s="11" t="s">
        <v>228</v>
      </c>
      <c r="Q156" s="11" t="s">
        <v>228</v>
      </c>
      <c r="R156" s="11"/>
      <c r="S156" s="11" t="s">
        <v>228</v>
      </c>
      <c r="T156" s="11" t="s">
        <v>228</v>
      </c>
      <c r="U156" s="11"/>
      <c r="V156" s="11" t="s">
        <v>228</v>
      </c>
    </row>
    <row r="157" spans="1:22" x14ac:dyDescent="0.4">
      <c r="A157" s="8"/>
      <c r="B157" s="14">
        <v>93</v>
      </c>
      <c r="C157" s="14">
        <v>1</v>
      </c>
      <c r="D157" s="14">
        <v>3</v>
      </c>
      <c r="E157" s="11" t="s">
        <v>918</v>
      </c>
      <c r="F157" s="14">
        <v>35</v>
      </c>
      <c r="G157" s="14">
        <v>1</v>
      </c>
      <c r="H157" s="11"/>
      <c r="I157" s="14"/>
      <c r="J157" s="11" t="s">
        <v>228</v>
      </c>
      <c r="K157" s="11" t="s">
        <v>228</v>
      </c>
      <c r="L157" s="11"/>
      <c r="M157" s="11" t="s">
        <v>228</v>
      </c>
      <c r="N157" s="11" t="s">
        <v>228</v>
      </c>
      <c r="O157" s="11"/>
      <c r="P157" s="11" t="s">
        <v>228</v>
      </c>
      <c r="Q157" s="11" t="s">
        <v>228</v>
      </c>
      <c r="R157" s="11"/>
      <c r="S157" s="11" t="s">
        <v>228</v>
      </c>
      <c r="T157" s="11" t="s">
        <v>228</v>
      </c>
      <c r="U157" s="11"/>
      <c r="V157" s="11" t="s">
        <v>228</v>
      </c>
    </row>
    <row r="158" spans="1:22" x14ac:dyDescent="0.4">
      <c r="A158" s="8"/>
      <c r="B158" s="14">
        <v>93</v>
      </c>
      <c r="C158" s="14">
        <v>2</v>
      </c>
      <c r="D158" s="14">
        <v>1</v>
      </c>
      <c r="E158" s="11" t="s">
        <v>871</v>
      </c>
      <c r="F158" s="14">
        <v>35</v>
      </c>
      <c r="G158" s="14">
        <v>1</v>
      </c>
      <c r="H158" s="11"/>
      <c r="I158" s="14"/>
      <c r="J158" s="11"/>
      <c r="K158" s="11"/>
      <c r="L158" s="11"/>
      <c r="M158" s="11" t="s">
        <v>228</v>
      </c>
      <c r="N158" s="11" t="s">
        <v>228</v>
      </c>
      <c r="O158" s="11"/>
      <c r="P158" s="11" t="s">
        <v>228</v>
      </c>
      <c r="Q158" s="11" t="s">
        <v>228</v>
      </c>
      <c r="R158" s="11"/>
      <c r="S158" s="11" t="s">
        <v>228</v>
      </c>
      <c r="T158" s="11" t="s">
        <v>228</v>
      </c>
      <c r="U158" s="11"/>
      <c r="V158" s="11" t="s">
        <v>228</v>
      </c>
    </row>
    <row r="159" spans="1:22" x14ac:dyDescent="0.4">
      <c r="A159" s="8"/>
      <c r="B159" s="14">
        <v>93</v>
      </c>
      <c r="C159" s="14">
        <v>2</v>
      </c>
      <c r="D159" s="14">
        <v>2</v>
      </c>
      <c r="E159" s="11" t="s">
        <v>919</v>
      </c>
      <c r="F159" s="14">
        <v>35</v>
      </c>
      <c r="G159" s="14">
        <v>1</v>
      </c>
      <c r="H159" s="11"/>
      <c r="I159" s="14"/>
      <c r="J159" s="11"/>
      <c r="K159" s="11"/>
      <c r="L159" s="11"/>
      <c r="M159" s="11" t="s">
        <v>228</v>
      </c>
      <c r="N159" s="11" t="s">
        <v>228</v>
      </c>
      <c r="O159" s="11"/>
      <c r="P159" s="11" t="s">
        <v>228</v>
      </c>
      <c r="Q159" s="11" t="s">
        <v>228</v>
      </c>
      <c r="R159" s="11"/>
      <c r="S159" s="11" t="s">
        <v>228</v>
      </c>
      <c r="T159" s="11" t="s">
        <v>228</v>
      </c>
      <c r="U159" s="11"/>
      <c r="V159" s="11" t="s">
        <v>228</v>
      </c>
    </row>
    <row r="160" spans="1:22" x14ac:dyDescent="0.4">
      <c r="A160" s="8"/>
      <c r="B160" s="14">
        <v>93</v>
      </c>
      <c r="C160" s="14">
        <v>2</v>
      </c>
      <c r="D160" s="14">
        <v>3</v>
      </c>
      <c r="E160" s="11" t="s">
        <v>920</v>
      </c>
      <c r="F160" s="14">
        <v>35</v>
      </c>
      <c r="G160" s="14">
        <v>1</v>
      </c>
      <c r="H160" s="11"/>
      <c r="I160" s="14"/>
      <c r="J160" s="11"/>
      <c r="K160" s="11"/>
      <c r="L160" s="11"/>
      <c r="M160" s="11" t="s">
        <v>228</v>
      </c>
      <c r="N160" s="11" t="s">
        <v>228</v>
      </c>
      <c r="O160" s="11"/>
      <c r="P160" s="11" t="s">
        <v>228</v>
      </c>
      <c r="Q160" s="11" t="s">
        <v>228</v>
      </c>
      <c r="R160" s="11"/>
      <c r="S160" s="11" t="s">
        <v>228</v>
      </c>
      <c r="T160" s="11" t="s">
        <v>228</v>
      </c>
      <c r="U160" s="11"/>
      <c r="V160" s="11" t="s">
        <v>228</v>
      </c>
    </row>
    <row r="161" spans="1:22" x14ac:dyDescent="0.4">
      <c r="A161" s="8"/>
      <c r="B161" s="14">
        <v>94</v>
      </c>
      <c r="C161" s="14">
        <v>1</v>
      </c>
      <c r="D161" s="14">
        <v>1</v>
      </c>
      <c r="E161" s="11" t="s">
        <v>924</v>
      </c>
      <c r="F161" s="14">
        <v>35</v>
      </c>
      <c r="G161" s="14">
        <v>1</v>
      </c>
      <c r="H161" s="11"/>
      <c r="I161" s="14"/>
      <c r="J161" s="11" t="s">
        <v>228</v>
      </c>
      <c r="K161" s="11" t="s">
        <v>228</v>
      </c>
      <c r="L161" s="11"/>
      <c r="M161" s="11" t="s">
        <v>228</v>
      </c>
      <c r="N161" s="11" t="s">
        <v>228</v>
      </c>
      <c r="O161" s="11"/>
      <c r="P161" s="11" t="s">
        <v>228</v>
      </c>
      <c r="Q161" s="11" t="s">
        <v>228</v>
      </c>
      <c r="R161" s="11"/>
      <c r="S161" s="11" t="s">
        <v>228</v>
      </c>
      <c r="T161" s="11" t="s">
        <v>228</v>
      </c>
      <c r="U161" s="11"/>
      <c r="V161" s="11" t="s">
        <v>228</v>
      </c>
    </row>
    <row r="162" spans="1:22" x14ac:dyDescent="0.4">
      <c r="A162" s="8"/>
      <c r="B162" s="14">
        <v>94</v>
      </c>
      <c r="C162" s="14">
        <v>1</v>
      </c>
      <c r="D162" s="14">
        <v>2</v>
      </c>
      <c r="E162" s="11" t="s">
        <v>878</v>
      </c>
      <c r="F162" s="14">
        <v>35</v>
      </c>
      <c r="G162" s="14">
        <v>1</v>
      </c>
      <c r="H162" s="11"/>
      <c r="I162" s="14"/>
      <c r="J162" s="11" t="s">
        <v>228</v>
      </c>
      <c r="K162" s="11" t="s">
        <v>228</v>
      </c>
      <c r="L162" s="11"/>
      <c r="M162" s="11" t="s">
        <v>228</v>
      </c>
      <c r="N162" s="11" t="s">
        <v>228</v>
      </c>
      <c r="O162" s="11"/>
      <c r="P162" s="11" t="s">
        <v>228</v>
      </c>
      <c r="Q162" s="11" t="s">
        <v>228</v>
      </c>
      <c r="R162" s="11"/>
      <c r="S162" s="11" t="s">
        <v>228</v>
      </c>
      <c r="T162" s="11" t="s">
        <v>228</v>
      </c>
      <c r="U162" s="11"/>
      <c r="V162" s="11" t="s">
        <v>228</v>
      </c>
    </row>
    <row r="163" spans="1:22" x14ac:dyDescent="0.4">
      <c r="A163" s="8"/>
      <c r="B163" s="14">
        <v>94</v>
      </c>
      <c r="C163" s="14">
        <v>1</v>
      </c>
      <c r="D163" s="14">
        <v>3</v>
      </c>
      <c r="E163" s="11" t="s">
        <v>881</v>
      </c>
      <c r="F163" s="14">
        <v>35</v>
      </c>
      <c r="G163" s="14">
        <v>1</v>
      </c>
      <c r="H163" s="11"/>
      <c r="I163" s="14"/>
      <c r="J163" s="11" t="s">
        <v>228</v>
      </c>
      <c r="K163" s="11" t="s">
        <v>228</v>
      </c>
      <c r="L163" s="11"/>
      <c r="M163" s="11" t="s">
        <v>228</v>
      </c>
      <c r="N163" s="11" t="s">
        <v>228</v>
      </c>
      <c r="O163" s="11"/>
      <c r="P163" s="11" t="s">
        <v>228</v>
      </c>
      <c r="Q163" s="11" t="s">
        <v>228</v>
      </c>
      <c r="R163" s="11"/>
      <c r="S163" s="11" t="s">
        <v>228</v>
      </c>
      <c r="T163" s="11" t="s">
        <v>228</v>
      </c>
      <c r="U163" s="11"/>
      <c r="V163" s="11" t="s">
        <v>228</v>
      </c>
    </row>
    <row r="164" spans="1:22" x14ac:dyDescent="0.4">
      <c r="A164" s="8"/>
      <c r="B164" s="14">
        <v>94</v>
      </c>
      <c r="C164" s="14">
        <v>2</v>
      </c>
      <c r="D164" s="14">
        <v>1</v>
      </c>
      <c r="E164" s="11" t="s">
        <v>925</v>
      </c>
      <c r="F164" s="14">
        <v>35</v>
      </c>
      <c r="G164" s="14">
        <v>0</v>
      </c>
      <c r="H164" s="11" t="s">
        <v>839</v>
      </c>
      <c r="I164" s="14">
        <v>200</v>
      </c>
      <c r="J164" s="11"/>
      <c r="K164" s="11"/>
      <c r="L164" s="11"/>
      <c r="M164" s="11" t="s">
        <v>228</v>
      </c>
      <c r="N164" s="11" t="s">
        <v>228</v>
      </c>
      <c r="O164" s="11"/>
      <c r="P164" s="11" t="s">
        <v>228</v>
      </c>
      <c r="Q164" s="11" t="s">
        <v>228</v>
      </c>
      <c r="R164" s="11"/>
      <c r="S164" s="11" t="s">
        <v>228</v>
      </c>
      <c r="T164" s="11" t="s">
        <v>228</v>
      </c>
      <c r="U164" s="11"/>
      <c r="V164" s="11" t="s">
        <v>228</v>
      </c>
    </row>
    <row r="165" spans="1:22" x14ac:dyDescent="0.4">
      <c r="A165" s="8"/>
      <c r="B165" s="14">
        <v>94</v>
      </c>
      <c r="C165" s="14">
        <v>2</v>
      </c>
      <c r="D165" s="14">
        <v>2</v>
      </c>
      <c r="E165" s="11" t="s">
        <v>872</v>
      </c>
      <c r="F165" s="14">
        <v>35</v>
      </c>
      <c r="G165" s="14">
        <v>1</v>
      </c>
      <c r="H165" s="11"/>
      <c r="I165" s="14"/>
      <c r="J165" s="11"/>
      <c r="K165" s="11"/>
      <c r="L165" s="11"/>
      <c r="M165" s="11" t="s">
        <v>228</v>
      </c>
      <c r="N165" s="11" t="s">
        <v>228</v>
      </c>
      <c r="O165" s="11"/>
      <c r="P165" s="11" t="s">
        <v>228</v>
      </c>
      <c r="Q165" s="11" t="s">
        <v>228</v>
      </c>
      <c r="R165" s="11"/>
      <c r="S165" s="11" t="s">
        <v>228</v>
      </c>
      <c r="T165" s="11" t="s">
        <v>228</v>
      </c>
      <c r="U165" s="11"/>
      <c r="V165" s="11" t="s">
        <v>228</v>
      </c>
    </row>
    <row r="166" spans="1:22" x14ac:dyDescent="0.4">
      <c r="A166" s="8"/>
      <c r="B166" s="14">
        <v>94</v>
      </c>
      <c r="C166" s="14">
        <v>2</v>
      </c>
      <c r="D166" s="14">
        <v>3</v>
      </c>
      <c r="E166" s="11" t="s">
        <v>882</v>
      </c>
      <c r="F166" s="14">
        <v>35</v>
      </c>
      <c r="G166" s="14">
        <v>1</v>
      </c>
      <c r="H166" s="11"/>
      <c r="I166" s="14"/>
      <c r="J166" s="11"/>
      <c r="K166" s="11"/>
      <c r="L166" s="11"/>
      <c r="M166" s="11" t="s">
        <v>228</v>
      </c>
      <c r="N166" s="11" t="s">
        <v>228</v>
      </c>
      <c r="O166" s="11"/>
      <c r="P166" s="11" t="s">
        <v>228</v>
      </c>
      <c r="Q166" s="11" t="s">
        <v>228</v>
      </c>
      <c r="R166" s="11"/>
      <c r="S166" s="11" t="s">
        <v>228</v>
      </c>
      <c r="T166" s="11" t="s">
        <v>228</v>
      </c>
      <c r="U166" s="11"/>
      <c r="V166" s="11" t="s">
        <v>228</v>
      </c>
    </row>
    <row r="167" spans="1:22" x14ac:dyDescent="0.4">
      <c r="A167" s="8"/>
      <c r="B167" s="14">
        <v>95</v>
      </c>
      <c r="C167" s="14">
        <v>1</v>
      </c>
      <c r="D167" s="14">
        <v>1</v>
      </c>
      <c r="E167" s="11" t="s">
        <v>932</v>
      </c>
      <c r="F167" s="14">
        <v>35</v>
      </c>
      <c r="G167" s="14">
        <v>1</v>
      </c>
      <c r="H167" s="11"/>
      <c r="I167" s="14"/>
      <c r="J167" s="11" t="s">
        <v>228</v>
      </c>
      <c r="K167" s="11" t="s">
        <v>228</v>
      </c>
      <c r="L167" s="11"/>
      <c r="M167" s="11" t="s">
        <v>228</v>
      </c>
      <c r="N167" s="11" t="s">
        <v>228</v>
      </c>
      <c r="O167" s="11"/>
      <c r="P167" s="11" t="s">
        <v>228</v>
      </c>
      <c r="Q167" s="11" t="s">
        <v>228</v>
      </c>
      <c r="R167" s="11"/>
      <c r="S167" s="11" t="s">
        <v>228</v>
      </c>
      <c r="T167" s="11" t="s">
        <v>228</v>
      </c>
      <c r="U167" s="11"/>
      <c r="V167" s="11" t="s">
        <v>228</v>
      </c>
    </row>
    <row r="168" spans="1:22" x14ac:dyDescent="0.4">
      <c r="A168" s="8"/>
      <c r="B168" s="14">
        <v>95</v>
      </c>
      <c r="C168" s="14">
        <v>1</v>
      </c>
      <c r="D168" s="14">
        <v>2</v>
      </c>
      <c r="E168" s="11" t="s">
        <v>931</v>
      </c>
      <c r="F168" s="14">
        <v>35</v>
      </c>
      <c r="G168" s="14">
        <v>1</v>
      </c>
      <c r="H168" s="11"/>
      <c r="I168" s="14"/>
      <c r="J168" s="11" t="s">
        <v>228</v>
      </c>
      <c r="K168" s="11" t="s">
        <v>228</v>
      </c>
      <c r="L168" s="11"/>
      <c r="M168" s="11" t="s">
        <v>228</v>
      </c>
      <c r="N168" s="11" t="s">
        <v>228</v>
      </c>
      <c r="O168" s="11"/>
      <c r="P168" s="11" t="s">
        <v>228</v>
      </c>
      <c r="Q168" s="11" t="s">
        <v>228</v>
      </c>
      <c r="R168" s="11"/>
      <c r="S168" s="11" t="s">
        <v>228</v>
      </c>
      <c r="T168" s="11" t="s">
        <v>228</v>
      </c>
      <c r="U168" s="11"/>
      <c r="V168" s="11" t="s">
        <v>228</v>
      </c>
    </row>
    <row r="169" spans="1:22" x14ac:dyDescent="0.4">
      <c r="A169" s="8"/>
      <c r="B169" s="14">
        <v>95</v>
      </c>
      <c r="C169" s="14">
        <v>1</v>
      </c>
      <c r="D169" s="14">
        <v>3</v>
      </c>
      <c r="E169" s="11" t="s">
        <v>930</v>
      </c>
      <c r="F169" s="14">
        <v>35</v>
      </c>
      <c r="G169" s="14">
        <v>1</v>
      </c>
      <c r="H169" s="11"/>
      <c r="I169" s="14"/>
      <c r="J169" s="11" t="s">
        <v>228</v>
      </c>
      <c r="K169" s="11" t="s">
        <v>228</v>
      </c>
      <c r="L169" s="11"/>
      <c r="M169" s="11" t="s">
        <v>228</v>
      </c>
      <c r="N169" s="11" t="s">
        <v>228</v>
      </c>
      <c r="O169" s="11"/>
      <c r="P169" s="11" t="s">
        <v>228</v>
      </c>
      <c r="Q169" s="11" t="s">
        <v>228</v>
      </c>
      <c r="R169" s="11"/>
      <c r="S169" s="11" t="s">
        <v>228</v>
      </c>
      <c r="T169" s="11" t="s">
        <v>228</v>
      </c>
      <c r="U169" s="11"/>
      <c r="V169" s="11" t="s">
        <v>228</v>
      </c>
    </row>
    <row r="170" spans="1:22" x14ac:dyDescent="0.4">
      <c r="A170" s="8"/>
      <c r="B170" s="14">
        <v>95</v>
      </c>
      <c r="C170" s="14">
        <v>2</v>
      </c>
      <c r="D170" s="14">
        <v>1</v>
      </c>
      <c r="E170" s="11" t="s">
        <v>933</v>
      </c>
      <c r="F170" s="14">
        <v>35</v>
      </c>
      <c r="G170" s="14">
        <v>1</v>
      </c>
      <c r="H170" s="11"/>
      <c r="I170" s="14"/>
      <c r="J170" s="11"/>
      <c r="K170" s="11"/>
      <c r="L170" s="11"/>
      <c r="M170" s="11" t="s">
        <v>228</v>
      </c>
      <c r="N170" s="11" t="s">
        <v>228</v>
      </c>
      <c r="O170" s="11"/>
      <c r="P170" s="11" t="s">
        <v>228</v>
      </c>
      <c r="Q170" s="11" t="s">
        <v>228</v>
      </c>
      <c r="R170" s="11"/>
      <c r="S170" s="11" t="s">
        <v>228</v>
      </c>
      <c r="T170" s="11" t="s">
        <v>228</v>
      </c>
      <c r="U170" s="11"/>
      <c r="V170" s="11" t="s">
        <v>228</v>
      </c>
    </row>
    <row r="171" spans="1:22" x14ac:dyDescent="0.4">
      <c r="A171" s="8"/>
      <c r="B171" s="14">
        <v>95</v>
      </c>
      <c r="C171" s="14">
        <v>2</v>
      </c>
      <c r="D171" s="14">
        <v>2</v>
      </c>
      <c r="E171" s="11" t="s">
        <v>934</v>
      </c>
      <c r="F171" s="14">
        <v>35</v>
      </c>
      <c r="G171" s="14">
        <v>1</v>
      </c>
      <c r="H171" s="11"/>
      <c r="I171" s="14"/>
      <c r="J171" s="11"/>
      <c r="K171" s="11"/>
      <c r="L171" s="11"/>
      <c r="M171" s="11" t="s">
        <v>228</v>
      </c>
      <c r="N171" s="11" t="s">
        <v>228</v>
      </c>
      <c r="O171" s="11"/>
      <c r="P171" s="11" t="s">
        <v>228</v>
      </c>
      <c r="Q171" s="11" t="s">
        <v>228</v>
      </c>
      <c r="R171" s="11"/>
      <c r="S171" s="11" t="s">
        <v>228</v>
      </c>
      <c r="T171" s="11" t="s">
        <v>228</v>
      </c>
      <c r="U171" s="11"/>
      <c r="V171" s="11" t="s">
        <v>228</v>
      </c>
    </row>
    <row r="172" spans="1:22" x14ac:dyDescent="0.4">
      <c r="A172" s="8"/>
      <c r="B172" s="14">
        <v>95</v>
      </c>
      <c r="C172" s="14">
        <v>2</v>
      </c>
      <c r="D172" s="14">
        <v>3</v>
      </c>
      <c r="E172" s="11" t="s">
        <v>935</v>
      </c>
      <c r="F172" s="14">
        <v>35</v>
      </c>
      <c r="G172" s="14">
        <v>0</v>
      </c>
      <c r="H172" s="11" t="s">
        <v>937</v>
      </c>
      <c r="I172" s="14">
        <v>15</v>
      </c>
      <c r="J172" s="11"/>
      <c r="K172" s="11"/>
      <c r="L172" s="11"/>
      <c r="M172" s="11" t="s">
        <v>228</v>
      </c>
      <c r="N172" s="11" t="s">
        <v>228</v>
      </c>
      <c r="O172" s="11"/>
      <c r="P172" s="11" t="s">
        <v>228</v>
      </c>
      <c r="Q172" s="11" t="s">
        <v>228</v>
      </c>
      <c r="R172" s="11"/>
      <c r="S172" s="11" t="s">
        <v>228</v>
      </c>
      <c r="T172" s="11" t="s">
        <v>228</v>
      </c>
      <c r="U172" s="11"/>
      <c r="V172" s="11" t="s">
        <v>228</v>
      </c>
    </row>
    <row r="173" spans="1:22" x14ac:dyDescent="0.4">
      <c r="A173" s="8"/>
      <c r="B173" s="14">
        <v>95</v>
      </c>
      <c r="C173" s="14">
        <v>2</v>
      </c>
      <c r="D173" s="14">
        <v>4</v>
      </c>
      <c r="E173" s="11" t="s">
        <v>936</v>
      </c>
      <c r="F173" s="14">
        <v>35</v>
      </c>
      <c r="G173" s="14">
        <v>1</v>
      </c>
      <c r="H173" s="11"/>
      <c r="I173" s="14"/>
      <c r="J173" s="11"/>
      <c r="K173" s="11"/>
      <c r="L173" s="11"/>
      <c r="M173" s="11" t="s">
        <v>228</v>
      </c>
      <c r="N173" s="11" t="s">
        <v>228</v>
      </c>
      <c r="O173" s="11"/>
      <c r="P173" s="11" t="s">
        <v>228</v>
      </c>
      <c r="Q173" s="11" t="s">
        <v>228</v>
      </c>
      <c r="R173" s="11"/>
      <c r="S173" s="11" t="s">
        <v>228</v>
      </c>
      <c r="T173" s="11" t="s">
        <v>228</v>
      </c>
      <c r="U173" s="11"/>
      <c r="V173" s="11" t="s">
        <v>228</v>
      </c>
    </row>
    <row r="174" spans="1:22" x14ac:dyDescent="0.4">
      <c r="A174" s="8"/>
      <c r="B174" s="14">
        <v>96</v>
      </c>
      <c r="C174" s="14">
        <v>1</v>
      </c>
      <c r="D174" s="14">
        <v>1</v>
      </c>
      <c r="E174" s="11" t="s">
        <v>952</v>
      </c>
      <c r="F174" s="14">
        <v>35</v>
      </c>
      <c r="G174" s="14">
        <v>0</v>
      </c>
      <c r="H174" s="11" t="s">
        <v>684</v>
      </c>
      <c r="I174" s="14">
        <v>-50</v>
      </c>
      <c r="J174" s="11" t="s">
        <v>228</v>
      </c>
      <c r="K174" s="11"/>
      <c r="L174" s="11"/>
      <c r="M174" s="11" t="s">
        <v>228</v>
      </c>
      <c r="N174" s="11" t="s">
        <v>228</v>
      </c>
      <c r="O174" s="11"/>
      <c r="P174" s="11" t="s">
        <v>228</v>
      </c>
      <c r="Q174" s="11" t="s">
        <v>228</v>
      </c>
      <c r="R174" s="11"/>
      <c r="S174" s="11" t="s">
        <v>228</v>
      </c>
      <c r="T174" s="11" t="s">
        <v>228</v>
      </c>
      <c r="U174" s="11"/>
      <c r="V174" s="11" t="s">
        <v>228</v>
      </c>
    </row>
    <row r="175" spans="1:22" x14ac:dyDescent="0.4">
      <c r="A175" s="8"/>
      <c r="B175" s="14">
        <v>96</v>
      </c>
      <c r="C175" s="14">
        <v>1</v>
      </c>
      <c r="D175" s="14">
        <v>2</v>
      </c>
      <c r="E175" s="11" t="s">
        <v>916</v>
      </c>
      <c r="F175" s="14">
        <v>35</v>
      </c>
      <c r="G175" s="14">
        <v>1</v>
      </c>
      <c r="H175" s="11"/>
      <c r="I175" s="14"/>
      <c r="J175" s="11" t="s">
        <v>228</v>
      </c>
      <c r="K175" s="11" t="s">
        <v>228</v>
      </c>
      <c r="L175" s="11"/>
      <c r="M175" s="11" t="s">
        <v>228</v>
      </c>
      <c r="N175" s="11" t="s">
        <v>228</v>
      </c>
      <c r="O175" s="11"/>
      <c r="P175" s="11" t="s">
        <v>228</v>
      </c>
      <c r="Q175" s="11" t="s">
        <v>228</v>
      </c>
      <c r="R175" s="11"/>
      <c r="S175" s="11" t="s">
        <v>228</v>
      </c>
      <c r="T175" s="11" t="s">
        <v>228</v>
      </c>
      <c r="U175" s="11"/>
      <c r="V175" s="11" t="s">
        <v>228</v>
      </c>
    </row>
    <row r="176" spans="1:22" x14ac:dyDescent="0.4">
      <c r="A176" s="8"/>
      <c r="B176" s="14">
        <v>96</v>
      </c>
      <c r="C176" s="14">
        <v>1</v>
      </c>
      <c r="D176" s="14">
        <v>3</v>
      </c>
      <c r="E176" s="11" t="s">
        <v>934</v>
      </c>
      <c r="F176" s="14">
        <v>35</v>
      </c>
      <c r="G176" s="14">
        <v>1</v>
      </c>
      <c r="H176" s="11"/>
      <c r="I176" s="14"/>
      <c r="J176" s="11" t="s">
        <v>228</v>
      </c>
      <c r="K176" s="11" t="s">
        <v>228</v>
      </c>
      <c r="L176" s="11"/>
      <c r="M176" s="11" t="s">
        <v>228</v>
      </c>
      <c r="N176" s="11" t="s">
        <v>228</v>
      </c>
      <c r="O176" s="11"/>
      <c r="P176" s="11" t="s">
        <v>228</v>
      </c>
      <c r="Q176" s="11" t="s">
        <v>228</v>
      </c>
      <c r="R176" s="11"/>
      <c r="S176" s="11" t="s">
        <v>228</v>
      </c>
      <c r="T176" s="11" t="s">
        <v>228</v>
      </c>
      <c r="U176" s="11"/>
      <c r="V176" s="11" t="s">
        <v>228</v>
      </c>
    </row>
    <row r="177" spans="1:22" x14ac:dyDescent="0.4">
      <c r="A177" s="8"/>
      <c r="B177" s="14">
        <v>96</v>
      </c>
      <c r="C177" s="14">
        <v>2</v>
      </c>
      <c r="D177" s="14">
        <v>1</v>
      </c>
      <c r="E177" s="11" t="s">
        <v>953</v>
      </c>
      <c r="F177" s="14">
        <v>35</v>
      </c>
      <c r="G177" s="14">
        <v>1</v>
      </c>
      <c r="H177" s="11"/>
      <c r="I177" s="14"/>
      <c r="J177" s="11"/>
      <c r="K177" s="11"/>
      <c r="L177" s="11"/>
      <c r="M177" s="11" t="s">
        <v>228</v>
      </c>
      <c r="N177" s="11" t="s">
        <v>228</v>
      </c>
      <c r="O177" s="11"/>
      <c r="P177" s="11" t="s">
        <v>228</v>
      </c>
      <c r="Q177" s="11" t="s">
        <v>228</v>
      </c>
      <c r="R177" s="11"/>
      <c r="S177" s="11" t="s">
        <v>228</v>
      </c>
      <c r="T177" s="11" t="s">
        <v>228</v>
      </c>
      <c r="U177" s="11"/>
      <c r="V177" s="11" t="s">
        <v>228</v>
      </c>
    </row>
    <row r="178" spans="1:22" x14ac:dyDescent="0.4">
      <c r="A178" s="8"/>
      <c r="B178" s="14">
        <v>96</v>
      </c>
      <c r="C178" s="14">
        <v>2</v>
      </c>
      <c r="D178" s="14">
        <v>2</v>
      </c>
      <c r="E178" s="11" t="s">
        <v>954</v>
      </c>
      <c r="F178" s="14">
        <v>35</v>
      </c>
      <c r="G178" s="14">
        <v>1</v>
      </c>
      <c r="H178" s="11"/>
      <c r="I178" s="14"/>
      <c r="J178" s="11"/>
      <c r="K178" s="11"/>
      <c r="L178" s="11"/>
      <c r="M178" s="11" t="s">
        <v>228</v>
      </c>
      <c r="N178" s="11" t="s">
        <v>228</v>
      </c>
      <c r="O178" s="11"/>
      <c r="P178" s="11" t="s">
        <v>228</v>
      </c>
      <c r="Q178" s="11" t="s">
        <v>228</v>
      </c>
      <c r="R178" s="11"/>
      <c r="S178" s="11" t="s">
        <v>228</v>
      </c>
      <c r="T178" s="11" t="s">
        <v>228</v>
      </c>
      <c r="U178" s="11"/>
      <c r="V178" s="11" t="s">
        <v>228</v>
      </c>
    </row>
    <row r="179" spans="1:22" x14ac:dyDescent="0.4">
      <c r="A179" s="8"/>
      <c r="B179" s="14">
        <v>96</v>
      </c>
      <c r="C179" s="14">
        <v>2</v>
      </c>
      <c r="D179" s="14">
        <v>3</v>
      </c>
      <c r="E179" s="11" t="s">
        <v>955</v>
      </c>
      <c r="F179" s="14">
        <v>35</v>
      </c>
      <c r="G179" s="14">
        <v>1</v>
      </c>
      <c r="H179" s="11"/>
      <c r="I179" s="14"/>
      <c r="J179" s="11"/>
      <c r="K179" s="11"/>
      <c r="L179" s="11"/>
      <c r="M179" s="11" t="s">
        <v>228</v>
      </c>
      <c r="N179" s="11" t="s">
        <v>228</v>
      </c>
      <c r="O179" s="11"/>
      <c r="P179" s="11" t="s">
        <v>228</v>
      </c>
      <c r="Q179" s="11" t="s">
        <v>228</v>
      </c>
      <c r="R179" s="11"/>
      <c r="S179" s="11" t="s">
        <v>228</v>
      </c>
      <c r="T179" s="11" t="s">
        <v>228</v>
      </c>
      <c r="U179" s="11"/>
      <c r="V179" s="11" t="s">
        <v>228</v>
      </c>
    </row>
    <row r="180" spans="1:22" x14ac:dyDescent="0.4">
      <c r="A180" s="8"/>
      <c r="B180" s="14">
        <v>97</v>
      </c>
      <c r="C180" s="14">
        <v>1</v>
      </c>
      <c r="D180" s="14">
        <v>1</v>
      </c>
      <c r="E180" s="11" t="s">
        <v>958</v>
      </c>
      <c r="F180" s="14">
        <v>35</v>
      </c>
      <c r="G180" s="14">
        <v>1</v>
      </c>
      <c r="H180" s="11"/>
      <c r="I180" s="14"/>
      <c r="J180" s="11"/>
      <c r="K180" s="11"/>
      <c r="L180" s="11"/>
      <c r="M180" s="11" t="s">
        <v>228</v>
      </c>
      <c r="N180" s="11" t="s">
        <v>228</v>
      </c>
      <c r="O180" s="11"/>
      <c r="P180" s="11" t="s">
        <v>228</v>
      </c>
      <c r="Q180" s="11" t="s">
        <v>228</v>
      </c>
      <c r="R180" s="11"/>
      <c r="S180" s="11" t="s">
        <v>228</v>
      </c>
      <c r="T180" s="11" t="s">
        <v>228</v>
      </c>
      <c r="U180" s="11"/>
      <c r="V180" s="11" t="s">
        <v>228</v>
      </c>
    </row>
    <row r="181" spans="1:22" x14ac:dyDescent="0.4">
      <c r="A181" s="8"/>
      <c r="B181" s="14">
        <v>97</v>
      </c>
      <c r="C181" s="14">
        <v>1</v>
      </c>
      <c r="D181" s="14">
        <v>2</v>
      </c>
      <c r="E181" s="11" t="s">
        <v>952</v>
      </c>
      <c r="F181" s="14">
        <v>35</v>
      </c>
      <c r="G181" s="14">
        <v>0</v>
      </c>
      <c r="H181" s="11" t="s">
        <v>684</v>
      </c>
      <c r="I181" s="14">
        <v>-50</v>
      </c>
      <c r="J181" s="11" t="s">
        <v>228</v>
      </c>
      <c r="K181" s="11" t="s">
        <v>228</v>
      </c>
      <c r="L181" s="11"/>
      <c r="M181" s="11" t="s">
        <v>228</v>
      </c>
      <c r="N181" s="11" t="s">
        <v>228</v>
      </c>
      <c r="O181" s="11"/>
      <c r="P181" s="11" t="s">
        <v>228</v>
      </c>
      <c r="Q181" s="11" t="s">
        <v>228</v>
      </c>
      <c r="R181" s="11"/>
      <c r="S181" s="11" t="s">
        <v>228</v>
      </c>
      <c r="T181" s="11" t="s">
        <v>228</v>
      </c>
      <c r="U181" s="11"/>
      <c r="V181" s="11" t="s">
        <v>228</v>
      </c>
    </row>
    <row r="182" spans="1:22" x14ac:dyDescent="0.4">
      <c r="A182" s="8"/>
      <c r="B182" s="14">
        <v>97</v>
      </c>
      <c r="C182" s="14">
        <v>1</v>
      </c>
      <c r="D182" s="14">
        <v>3</v>
      </c>
      <c r="E182" s="11" t="s">
        <v>934</v>
      </c>
      <c r="F182" s="14">
        <v>35</v>
      </c>
      <c r="G182" s="14">
        <v>1</v>
      </c>
      <c r="H182" s="11"/>
      <c r="I182" s="14"/>
      <c r="J182" s="11" t="s">
        <v>228</v>
      </c>
      <c r="K182" s="11" t="s">
        <v>228</v>
      </c>
      <c r="L182" s="11"/>
      <c r="M182" s="11" t="s">
        <v>228</v>
      </c>
      <c r="N182" s="11" t="s">
        <v>228</v>
      </c>
      <c r="O182" s="11"/>
      <c r="P182" s="11" t="s">
        <v>228</v>
      </c>
      <c r="Q182" s="11" t="s">
        <v>228</v>
      </c>
      <c r="R182" s="11"/>
      <c r="S182" s="11" t="s">
        <v>228</v>
      </c>
      <c r="T182" s="11" t="s">
        <v>228</v>
      </c>
      <c r="U182" s="11"/>
      <c r="V182" s="11" t="s">
        <v>228</v>
      </c>
    </row>
    <row r="183" spans="1:22" x14ac:dyDescent="0.4">
      <c r="A183" s="8"/>
      <c r="B183" s="14">
        <v>97</v>
      </c>
      <c r="C183" s="14">
        <v>2</v>
      </c>
      <c r="D183" s="14">
        <v>1</v>
      </c>
      <c r="E183" s="11" t="s">
        <v>932</v>
      </c>
      <c r="F183" s="14">
        <v>35</v>
      </c>
      <c r="G183" s="14">
        <v>1</v>
      </c>
      <c r="H183" s="11"/>
      <c r="I183" s="14"/>
      <c r="J183" s="11"/>
      <c r="K183" s="11"/>
      <c r="L183" s="11"/>
      <c r="M183" s="11" t="s">
        <v>228</v>
      </c>
      <c r="N183" s="11" t="s">
        <v>228</v>
      </c>
      <c r="O183" s="11"/>
      <c r="P183" s="11" t="s">
        <v>228</v>
      </c>
      <c r="Q183" s="11" t="s">
        <v>228</v>
      </c>
      <c r="R183" s="11"/>
      <c r="S183" s="11" t="s">
        <v>228</v>
      </c>
      <c r="T183" s="11" t="s">
        <v>228</v>
      </c>
      <c r="U183" s="11"/>
      <c r="V183" s="11" t="s">
        <v>228</v>
      </c>
    </row>
    <row r="184" spans="1:22" x14ac:dyDescent="0.4">
      <c r="A184" s="8"/>
      <c r="B184" s="14">
        <v>97</v>
      </c>
      <c r="C184" s="14">
        <v>2</v>
      </c>
      <c r="D184" s="14">
        <v>2</v>
      </c>
      <c r="E184" s="11" t="s">
        <v>908</v>
      </c>
      <c r="F184" s="14">
        <v>35</v>
      </c>
      <c r="G184" s="14">
        <v>1</v>
      </c>
      <c r="H184" s="11" t="s">
        <v>228</v>
      </c>
      <c r="I184" s="14"/>
      <c r="J184" s="11"/>
      <c r="K184" s="11"/>
      <c r="L184" s="11"/>
      <c r="M184" s="11" t="s">
        <v>228</v>
      </c>
      <c r="N184" s="11" t="s">
        <v>228</v>
      </c>
      <c r="O184" s="11"/>
      <c r="P184" s="11" t="s">
        <v>228</v>
      </c>
      <c r="Q184" s="11" t="s">
        <v>228</v>
      </c>
      <c r="R184" s="11"/>
      <c r="S184" s="11" t="s">
        <v>228</v>
      </c>
      <c r="T184" s="11" t="s">
        <v>228</v>
      </c>
      <c r="U184" s="11"/>
      <c r="V184" s="11" t="s">
        <v>228</v>
      </c>
    </row>
    <row r="185" spans="1:22" x14ac:dyDescent="0.4">
      <c r="A185" s="8"/>
      <c r="B185" s="14">
        <v>97</v>
      </c>
      <c r="C185" s="14">
        <v>2</v>
      </c>
      <c r="D185" s="14">
        <v>3</v>
      </c>
      <c r="E185" s="11" t="s">
        <v>909</v>
      </c>
      <c r="F185" s="14">
        <v>35</v>
      </c>
      <c r="G185" s="14">
        <v>1</v>
      </c>
      <c r="H185" s="11"/>
      <c r="I185" s="14"/>
      <c r="J185" s="11"/>
      <c r="K185" s="11"/>
      <c r="L185" s="11"/>
      <c r="M185" s="11" t="s">
        <v>228</v>
      </c>
      <c r="N185" s="11" t="s">
        <v>228</v>
      </c>
      <c r="O185" s="11"/>
      <c r="P185" s="11" t="s">
        <v>228</v>
      </c>
      <c r="Q185" s="11" t="s">
        <v>228</v>
      </c>
      <c r="R185" s="11"/>
      <c r="S185" s="11" t="s">
        <v>228</v>
      </c>
      <c r="T185" s="11" t="s">
        <v>228</v>
      </c>
      <c r="U185" s="11"/>
      <c r="V185" s="11" t="s">
        <v>228</v>
      </c>
    </row>
    <row r="186" spans="1:22" x14ac:dyDescent="0.4">
      <c r="A186" s="8"/>
      <c r="B186" s="14">
        <v>98</v>
      </c>
      <c r="C186" s="14">
        <v>1</v>
      </c>
      <c r="D186" s="14">
        <v>1</v>
      </c>
      <c r="E186" s="11" t="s">
        <v>961</v>
      </c>
      <c r="F186" s="14">
        <v>35</v>
      </c>
      <c r="G186" s="14">
        <v>1</v>
      </c>
      <c r="H186" s="11"/>
      <c r="I186" s="14"/>
      <c r="J186" s="11"/>
      <c r="K186" s="11"/>
      <c r="L186" s="11"/>
      <c r="M186" s="11" t="s">
        <v>228</v>
      </c>
      <c r="N186" s="11" t="s">
        <v>228</v>
      </c>
      <c r="O186" s="11"/>
      <c r="P186" s="11" t="s">
        <v>228</v>
      </c>
      <c r="Q186" s="11" t="s">
        <v>228</v>
      </c>
      <c r="R186" s="11"/>
      <c r="S186" s="11" t="s">
        <v>228</v>
      </c>
      <c r="T186" s="11" t="s">
        <v>228</v>
      </c>
      <c r="U186" s="11"/>
      <c r="V186" s="11" t="s">
        <v>228</v>
      </c>
    </row>
    <row r="187" spans="1:22" x14ac:dyDescent="0.4">
      <c r="A187" s="8"/>
      <c r="B187" s="14">
        <v>98</v>
      </c>
      <c r="C187" s="14">
        <v>1</v>
      </c>
      <c r="D187" s="14">
        <v>2</v>
      </c>
      <c r="E187" s="11" t="s">
        <v>954</v>
      </c>
      <c r="F187" s="14">
        <v>35</v>
      </c>
      <c r="G187" s="14">
        <v>1</v>
      </c>
      <c r="H187" s="11"/>
      <c r="I187" s="14"/>
      <c r="J187" s="11" t="s">
        <v>228</v>
      </c>
      <c r="K187" s="11" t="s">
        <v>228</v>
      </c>
      <c r="L187" s="11"/>
      <c r="M187" s="11" t="s">
        <v>228</v>
      </c>
      <c r="N187" s="11" t="s">
        <v>228</v>
      </c>
      <c r="O187" s="11"/>
      <c r="P187" s="11" t="s">
        <v>228</v>
      </c>
      <c r="Q187" s="11" t="s">
        <v>228</v>
      </c>
      <c r="R187" s="11"/>
      <c r="S187" s="11" t="s">
        <v>228</v>
      </c>
      <c r="T187" s="11" t="s">
        <v>228</v>
      </c>
      <c r="U187" s="11"/>
      <c r="V187" s="11" t="s">
        <v>228</v>
      </c>
    </row>
    <row r="188" spans="1:22" x14ac:dyDescent="0.4">
      <c r="A188" s="8"/>
      <c r="B188" s="14">
        <v>98</v>
      </c>
      <c r="C188" s="14">
        <v>1</v>
      </c>
      <c r="D188" s="14">
        <v>3</v>
      </c>
      <c r="E188" s="11" t="s">
        <v>931</v>
      </c>
      <c r="F188" s="14">
        <v>35</v>
      </c>
      <c r="G188" s="14">
        <v>1</v>
      </c>
      <c r="H188" s="11"/>
      <c r="I188" s="14"/>
      <c r="J188" s="11" t="s">
        <v>228</v>
      </c>
      <c r="K188" s="11" t="s">
        <v>228</v>
      </c>
      <c r="L188" s="11"/>
      <c r="M188" s="11" t="s">
        <v>228</v>
      </c>
      <c r="N188" s="11" t="s">
        <v>228</v>
      </c>
      <c r="O188" s="11"/>
      <c r="P188" s="11" t="s">
        <v>228</v>
      </c>
      <c r="Q188" s="11" t="s">
        <v>228</v>
      </c>
      <c r="R188" s="11"/>
      <c r="S188" s="11" t="s">
        <v>228</v>
      </c>
      <c r="T188" s="11" t="s">
        <v>228</v>
      </c>
      <c r="U188" s="11"/>
      <c r="V188" s="11" t="s">
        <v>228</v>
      </c>
    </row>
    <row r="189" spans="1:22" x14ac:dyDescent="0.4">
      <c r="A189" s="8"/>
      <c r="B189" s="14">
        <v>98</v>
      </c>
      <c r="C189" s="14">
        <v>2</v>
      </c>
      <c r="D189" s="14">
        <v>1</v>
      </c>
      <c r="E189" s="11" t="s">
        <v>962</v>
      </c>
      <c r="F189" s="14">
        <v>35</v>
      </c>
      <c r="G189" s="14">
        <v>1</v>
      </c>
      <c r="H189" s="11"/>
      <c r="I189" s="14"/>
      <c r="J189" s="11"/>
      <c r="K189" s="11"/>
      <c r="L189" s="11"/>
      <c r="M189" s="11" t="s">
        <v>228</v>
      </c>
      <c r="N189" s="11" t="s">
        <v>228</v>
      </c>
      <c r="O189" s="11"/>
      <c r="P189" s="11" t="s">
        <v>228</v>
      </c>
      <c r="Q189" s="11" t="s">
        <v>228</v>
      </c>
      <c r="R189" s="11"/>
      <c r="S189" s="11" t="s">
        <v>228</v>
      </c>
      <c r="T189" s="11" t="s">
        <v>228</v>
      </c>
      <c r="U189" s="11"/>
      <c r="V189" s="11" t="s">
        <v>228</v>
      </c>
    </row>
    <row r="190" spans="1:22" x14ac:dyDescent="0.4">
      <c r="A190" s="8"/>
      <c r="B190" s="14">
        <v>98</v>
      </c>
      <c r="C190" s="14">
        <v>2</v>
      </c>
      <c r="D190" s="14">
        <v>2</v>
      </c>
      <c r="E190" s="11" t="s">
        <v>964</v>
      </c>
      <c r="F190" s="14">
        <v>35</v>
      </c>
      <c r="G190" s="14">
        <v>0</v>
      </c>
      <c r="H190" s="11" t="s">
        <v>684</v>
      </c>
      <c r="I190" s="14">
        <v>70</v>
      </c>
      <c r="J190" s="11" t="s">
        <v>228</v>
      </c>
      <c r="K190" s="11" t="s">
        <v>685</v>
      </c>
      <c r="L190" s="11" t="s">
        <v>968</v>
      </c>
      <c r="M190" s="11" t="s">
        <v>228</v>
      </c>
      <c r="N190" s="11" t="s">
        <v>228</v>
      </c>
      <c r="O190" s="11"/>
      <c r="P190" s="11" t="s">
        <v>228</v>
      </c>
      <c r="Q190" s="11" t="s">
        <v>228</v>
      </c>
      <c r="R190" s="11"/>
      <c r="S190" s="11" t="s">
        <v>228</v>
      </c>
      <c r="T190" s="11" t="s">
        <v>228</v>
      </c>
      <c r="U190" s="11"/>
      <c r="V190" s="11" t="s">
        <v>228</v>
      </c>
    </row>
    <row r="191" spans="1:22" x14ac:dyDescent="0.4">
      <c r="A191" s="8"/>
      <c r="B191" s="14">
        <v>98</v>
      </c>
      <c r="C191" s="14">
        <v>2</v>
      </c>
      <c r="D191" s="14">
        <v>3</v>
      </c>
      <c r="E191" s="11" t="s">
        <v>963</v>
      </c>
      <c r="F191" s="14">
        <v>35</v>
      </c>
      <c r="G191" s="14">
        <v>1</v>
      </c>
      <c r="H191" s="11"/>
      <c r="I191" s="14"/>
      <c r="J191" s="11"/>
      <c r="K191" s="11"/>
      <c r="L191" s="11"/>
      <c r="M191" s="11" t="s">
        <v>228</v>
      </c>
      <c r="N191" s="11" t="s">
        <v>228</v>
      </c>
      <c r="O191" s="11"/>
      <c r="P191" s="11" t="s">
        <v>228</v>
      </c>
      <c r="Q191" s="11" t="s">
        <v>228</v>
      </c>
      <c r="R191" s="11"/>
      <c r="S191" s="11" t="s">
        <v>228</v>
      </c>
      <c r="T191" s="11" t="s">
        <v>228</v>
      </c>
      <c r="U191" s="11"/>
      <c r="V191" s="11" t="s">
        <v>228</v>
      </c>
    </row>
    <row r="192" spans="1:22" x14ac:dyDescent="0.4">
      <c r="A192" s="8"/>
      <c r="B192" s="14">
        <v>99</v>
      </c>
      <c r="C192" s="14">
        <v>1</v>
      </c>
      <c r="D192" s="14">
        <v>1</v>
      </c>
      <c r="E192" s="11" t="s">
        <v>973</v>
      </c>
      <c r="F192" s="14">
        <v>35</v>
      </c>
      <c r="G192" s="14">
        <v>1</v>
      </c>
      <c r="H192" s="11"/>
      <c r="I192" s="14"/>
      <c r="J192" s="11"/>
      <c r="K192" s="11"/>
      <c r="L192" s="11"/>
      <c r="M192" s="11" t="s">
        <v>228</v>
      </c>
      <c r="N192" s="11" t="s">
        <v>228</v>
      </c>
      <c r="O192" s="11"/>
      <c r="P192" s="11" t="s">
        <v>228</v>
      </c>
      <c r="Q192" s="11" t="s">
        <v>228</v>
      </c>
      <c r="R192" s="11"/>
      <c r="S192" s="11" t="s">
        <v>228</v>
      </c>
      <c r="T192" s="11" t="s">
        <v>228</v>
      </c>
      <c r="U192" s="11"/>
      <c r="V192" s="11" t="s">
        <v>228</v>
      </c>
    </row>
    <row r="193" spans="1:22" x14ac:dyDescent="0.4">
      <c r="A193" s="8"/>
      <c r="B193" s="14">
        <v>99</v>
      </c>
      <c r="C193" s="14">
        <v>1</v>
      </c>
      <c r="D193" s="14">
        <v>2</v>
      </c>
      <c r="E193" s="11" t="s">
        <v>974</v>
      </c>
      <c r="F193" s="14">
        <v>35</v>
      </c>
      <c r="G193" s="14">
        <v>0</v>
      </c>
      <c r="H193" s="11" t="s">
        <v>684</v>
      </c>
      <c r="I193" s="14">
        <v>-50</v>
      </c>
      <c r="J193" s="11"/>
      <c r="K193" s="11"/>
      <c r="L193" s="11"/>
      <c r="M193" s="11" t="s">
        <v>228</v>
      </c>
      <c r="N193" s="11" t="s">
        <v>228</v>
      </c>
      <c r="O193" s="11"/>
      <c r="P193" s="11" t="s">
        <v>228</v>
      </c>
      <c r="Q193" s="11" t="s">
        <v>228</v>
      </c>
      <c r="R193" s="11"/>
      <c r="S193" s="11" t="s">
        <v>228</v>
      </c>
      <c r="T193" s="11" t="s">
        <v>228</v>
      </c>
      <c r="U193" s="11"/>
      <c r="V193" s="11" t="s">
        <v>228</v>
      </c>
    </row>
    <row r="194" spans="1:22" x14ac:dyDescent="0.4">
      <c r="A194" s="8"/>
      <c r="B194" s="14">
        <v>99</v>
      </c>
      <c r="C194" s="14">
        <v>1</v>
      </c>
      <c r="D194" s="14">
        <v>3</v>
      </c>
      <c r="E194" s="11" t="s">
        <v>978</v>
      </c>
      <c r="F194" s="14">
        <v>35</v>
      </c>
      <c r="G194" s="14">
        <v>1</v>
      </c>
      <c r="H194" s="11"/>
      <c r="I194" s="14"/>
      <c r="J194" s="11"/>
      <c r="K194" s="11"/>
      <c r="L194" s="11"/>
      <c r="M194" s="11" t="s">
        <v>228</v>
      </c>
      <c r="N194" s="11" t="s">
        <v>228</v>
      </c>
      <c r="O194" s="11"/>
      <c r="P194" s="11" t="s">
        <v>228</v>
      </c>
      <c r="Q194" s="11" t="s">
        <v>228</v>
      </c>
      <c r="R194" s="11"/>
      <c r="S194" s="11" t="s">
        <v>228</v>
      </c>
      <c r="T194" s="11" t="s">
        <v>228</v>
      </c>
      <c r="U194" s="11"/>
      <c r="V194" s="11" t="s">
        <v>228</v>
      </c>
    </row>
    <row r="195" spans="1:22" x14ac:dyDescent="0.4">
      <c r="A195" s="8"/>
      <c r="B195" s="14">
        <v>99</v>
      </c>
      <c r="C195" s="14">
        <v>1</v>
      </c>
      <c r="D195" s="14">
        <v>4</v>
      </c>
      <c r="E195" s="11" t="s">
        <v>979</v>
      </c>
      <c r="F195" s="14">
        <v>35</v>
      </c>
      <c r="G195" s="14">
        <v>0</v>
      </c>
      <c r="H195" s="11" t="s">
        <v>694</v>
      </c>
      <c r="I195" s="14">
        <v>15</v>
      </c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</row>
    <row r="196" spans="1:22" x14ac:dyDescent="0.4">
      <c r="A196" s="8"/>
      <c r="B196" s="14">
        <v>99</v>
      </c>
      <c r="C196" s="14">
        <v>1</v>
      </c>
      <c r="D196" s="14">
        <v>5</v>
      </c>
      <c r="E196" s="11" t="s">
        <v>980</v>
      </c>
      <c r="F196" s="14">
        <v>35</v>
      </c>
      <c r="G196" s="14">
        <v>0</v>
      </c>
      <c r="H196" s="11" t="s">
        <v>694</v>
      </c>
      <c r="I196" s="14">
        <v>27</v>
      </c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</row>
    <row r="197" spans="1:22" x14ac:dyDescent="0.4">
      <c r="A197" s="8"/>
      <c r="B197" s="14">
        <v>99</v>
      </c>
      <c r="C197" s="14">
        <v>1</v>
      </c>
      <c r="D197" s="14">
        <v>6</v>
      </c>
      <c r="E197" s="11" t="s">
        <v>981</v>
      </c>
      <c r="F197" s="14">
        <v>35</v>
      </c>
      <c r="G197" s="14">
        <v>0</v>
      </c>
      <c r="H197" s="11" t="s">
        <v>694</v>
      </c>
      <c r="I197" s="14">
        <v>38</v>
      </c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</row>
    <row r="198" spans="1:22" x14ac:dyDescent="0.4">
      <c r="A198" s="8"/>
      <c r="B198" s="14">
        <v>99</v>
      </c>
      <c r="C198" s="14">
        <v>1</v>
      </c>
      <c r="D198" s="14">
        <v>7</v>
      </c>
      <c r="E198" s="11" t="s">
        <v>983</v>
      </c>
      <c r="F198" s="14">
        <v>35</v>
      </c>
      <c r="G198" s="14">
        <v>0</v>
      </c>
      <c r="H198" s="11" t="s">
        <v>694</v>
      </c>
      <c r="I198" s="14">
        <v>47</v>
      </c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</row>
    <row r="199" spans="1:22" x14ac:dyDescent="0.4">
      <c r="A199" s="8"/>
      <c r="B199" s="14">
        <v>99</v>
      </c>
      <c r="C199" s="14">
        <v>1</v>
      </c>
      <c r="D199" s="14">
        <v>8</v>
      </c>
      <c r="E199" s="11" t="s">
        <v>982</v>
      </c>
      <c r="F199" s="14">
        <v>35</v>
      </c>
      <c r="G199" s="14">
        <v>0</v>
      </c>
      <c r="H199" s="11" t="s">
        <v>694</v>
      </c>
      <c r="I199" s="14">
        <v>55</v>
      </c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</row>
    <row r="200" spans="1:22" x14ac:dyDescent="0.4">
      <c r="A200" s="8"/>
      <c r="B200" s="14">
        <v>99</v>
      </c>
      <c r="C200" s="14">
        <v>2</v>
      </c>
      <c r="D200" s="14">
        <v>1</v>
      </c>
      <c r="E200" s="11" t="s">
        <v>976</v>
      </c>
      <c r="F200" s="14">
        <v>35</v>
      </c>
      <c r="G200" s="14">
        <v>0</v>
      </c>
      <c r="H200" s="11" t="s">
        <v>684</v>
      </c>
      <c r="I200" s="14">
        <v>-50</v>
      </c>
      <c r="J200" s="11"/>
      <c r="K200" s="11"/>
      <c r="L200" s="11"/>
      <c r="M200" s="11" t="s">
        <v>228</v>
      </c>
      <c r="N200" s="11" t="s">
        <v>228</v>
      </c>
      <c r="O200" s="11"/>
      <c r="P200" s="11" t="s">
        <v>228</v>
      </c>
      <c r="Q200" s="11" t="s">
        <v>228</v>
      </c>
      <c r="R200" s="11"/>
      <c r="S200" s="11" t="s">
        <v>228</v>
      </c>
      <c r="T200" s="11" t="s">
        <v>228</v>
      </c>
      <c r="U200" s="11"/>
      <c r="V200" s="11" t="s">
        <v>228</v>
      </c>
    </row>
    <row r="201" spans="1:22" x14ac:dyDescent="0.4">
      <c r="A201" s="8"/>
      <c r="B201" s="14">
        <v>99</v>
      </c>
      <c r="C201" s="14">
        <v>2</v>
      </c>
      <c r="D201" s="14">
        <v>2</v>
      </c>
      <c r="E201" s="11" t="s">
        <v>977</v>
      </c>
      <c r="F201" s="14">
        <v>35</v>
      </c>
      <c r="G201" s="14">
        <v>1</v>
      </c>
      <c r="H201" s="11"/>
      <c r="I201" s="14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</row>
    <row r="202" spans="1:22" x14ac:dyDescent="0.4">
      <c r="A202" s="8"/>
      <c r="B202" s="14">
        <v>99</v>
      </c>
      <c r="C202" s="14">
        <v>2</v>
      </c>
      <c r="D202" s="14">
        <v>3</v>
      </c>
      <c r="E202" s="11" t="s">
        <v>954</v>
      </c>
      <c r="F202" s="14">
        <v>35</v>
      </c>
      <c r="G202" s="14">
        <v>1</v>
      </c>
      <c r="H202" s="11"/>
      <c r="I202" s="14"/>
      <c r="J202" s="11"/>
      <c r="K202" s="11"/>
      <c r="L202" s="11"/>
      <c r="M202" s="11" t="s">
        <v>228</v>
      </c>
      <c r="N202" s="11" t="s">
        <v>228</v>
      </c>
      <c r="O202" s="11"/>
      <c r="P202" s="11" t="s">
        <v>228</v>
      </c>
      <c r="Q202" s="11" t="s">
        <v>228</v>
      </c>
      <c r="R202" s="11"/>
      <c r="S202" s="11" t="s">
        <v>228</v>
      </c>
      <c r="T202" s="11" t="s">
        <v>228</v>
      </c>
      <c r="U202" s="11"/>
      <c r="V202" s="11" t="s">
        <v>228</v>
      </c>
    </row>
    <row r="203" spans="1:22" x14ac:dyDescent="0.4">
      <c r="A203" s="8"/>
      <c r="B203" s="14">
        <v>99</v>
      </c>
      <c r="C203" s="14">
        <v>2</v>
      </c>
      <c r="D203" s="14">
        <v>4</v>
      </c>
      <c r="E203" s="11" t="s">
        <v>975</v>
      </c>
      <c r="F203" s="14">
        <v>35</v>
      </c>
      <c r="G203" s="14">
        <v>1</v>
      </c>
      <c r="H203" s="11"/>
      <c r="I203" s="14"/>
      <c r="J203" s="11"/>
      <c r="K203" s="11"/>
      <c r="L203" s="11"/>
      <c r="M203" s="11" t="s">
        <v>228</v>
      </c>
      <c r="N203" s="11" t="s">
        <v>228</v>
      </c>
      <c r="O203" s="11"/>
      <c r="P203" s="11" t="s">
        <v>228</v>
      </c>
      <c r="Q203" s="11" t="s">
        <v>228</v>
      </c>
      <c r="R203" s="11"/>
      <c r="S203" s="11" t="s">
        <v>228</v>
      </c>
      <c r="T203" s="11" t="s">
        <v>228</v>
      </c>
      <c r="U203" s="11"/>
      <c r="V203" s="11" t="s">
        <v>228</v>
      </c>
    </row>
    <row r="204" spans="1:22" x14ac:dyDescent="0.4">
      <c r="A204" s="8"/>
      <c r="B204" s="14">
        <v>100</v>
      </c>
      <c r="C204" s="14">
        <v>1</v>
      </c>
      <c r="D204" s="14">
        <v>1</v>
      </c>
      <c r="E204" s="11" t="s">
        <v>879</v>
      </c>
      <c r="F204" s="14">
        <v>35</v>
      </c>
      <c r="G204" s="14">
        <v>1</v>
      </c>
      <c r="H204" s="11"/>
      <c r="I204" s="14"/>
      <c r="J204" s="11"/>
      <c r="K204" s="11"/>
      <c r="L204" s="11"/>
      <c r="M204" s="11" t="s">
        <v>228</v>
      </c>
      <c r="N204" s="11" t="s">
        <v>228</v>
      </c>
      <c r="O204" s="11"/>
      <c r="P204" s="11" t="s">
        <v>228</v>
      </c>
      <c r="Q204" s="11" t="s">
        <v>228</v>
      </c>
      <c r="R204" s="11"/>
      <c r="S204" s="11" t="s">
        <v>228</v>
      </c>
      <c r="T204" s="11" t="s">
        <v>228</v>
      </c>
      <c r="U204" s="11"/>
      <c r="V204" s="11" t="s">
        <v>228</v>
      </c>
    </row>
    <row r="205" spans="1:22" x14ac:dyDescent="0.4">
      <c r="A205" s="8"/>
      <c r="B205" s="14">
        <v>100</v>
      </c>
      <c r="C205" s="14">
        <v>1</v>
      </c>
      <c r="D205" s="14">
        <v>2</v>
      </c>
      <c r="E205" s="11" t="s">
        <v>878</v>
      </c>
      <c r="F205" s="14">
        <v>35</v>
      </c>
      <c r="G205" s="14">
        <v>1</v>
      </c>
      <c r="H205" s="11"/>
      <c r="I205" s="14"/>
      <c r="J205" s="11" t="s">
        <v>228</v>
      </c>
      <c r="K205" s="11" t="s">
        <v>228</v>
      </c>
      <c r="L205" s="11"/>
      <c r="M205" s="11" t="s">
        <v>228</v>
      </c>
      <c r="N205" s="11" t="s">
        <v>228</v>
      </c>
      <c r="O205" s="11"/>
      <c r="P205" s="11" t="s">
        <v>228</v>
      </c>
      <c r="Q205" s="11" t="s">
        <v>228</v>
      </c>
      <c r="R205" s="11"/>
      <c r="S205" s="11" t="s">
        <v>228</v>
      </c>
      <c r="T205" s="11" t="s">
        <v>228</v>
      </c>
      <c r="U205" s="11"/>
      <c r="V205" s="11" t="s">
        <v>228</v>
      </c>
    </row>
    <row r="206" spans="1:22" x14ac:dyDescent="0.4">
      <c r="A206" s="8"/>
      <c r="B206" s="14">
        <v>100</v>
      </c>
      <c r="C206" s="14">
        <v>1</v>
      </c>
      <c r="D206" s="14">
        <v>3</v>
      </c>
      <c r="E206" s="11" t="s">
        <v>925</v>
      </c>
      <c r="F206" s="14">
        <v>35</v>
      </c>
      <c r="G206" s="14">
        <v>0</v>
      </c>
      <c r="H206" s="11" t="s">
        <v>683</v>
      </c>
      <c r="I206" s="14">
        <v>200</v>
      </c>
      <c r="J206" s="11" t="s">
        <v>228</v>
      </c>
      <c r="K206" s="11" t="s">
        <v>228</v>
      </c>
      <c r="L206" s="11"/>
      <c r="M206" s="11" t="s">
        <v>228</v>
      </c>
      <c r="N206" s="11" t="s">
        <v>228</v>
      </c>
      <c r="O206" s="11"/>
      <c r="P206" s="11" t="s">
        <v>228</v>
      </c>
      <c r="Q206" s="11" t="s">
        <v>228</v>
      </c>
      <c r="R206" s="11"/>
      <c r="S206" s="11" t="s">
        <v>228</v>
      </c>
      <c r="T206" s="11" t="s">
        <v>228</v>
      </c>
      <c r="U206" s="11"/>
      <c r="V206" s="11" t="s">
        <v>228</v>
      </c>
    </row>
    <row r="207" spans="1:22" x14ac:dyDescent="0.4">
      <c r="A207" s="8"/>
      <c r="B207" s="14">
        <v>100</v>
      </c>
      <c r="C207" s="14">
        <v>2</v>
      </c>
      <c r="D207" s="14">
        <v>1</v>
      </c>
      <c r="E207" s="11" t="s">
        <v>881</v>
      </c>
      <c r="F207" s="14">
        <v>35</v>
      </c>
      <c r="G207" s="14">
        <v>1</v>
      </c>
      <c r="H207" s="11"/>
      <c r="I207" s="14"/>
      <c r="J207" s="11"/>
      <c r="K207" s="11"/>
      <c r="L207" s="11"/>
      <c r="M207" s="11" t="s">
        <v>228</v>
      </c>
      <c r="N207" s="11" t="s">
        <v>228</v>
      </c>
      <c r="O207" s="11"/>
      <c r="P207" s="11" t="s">
        <v>228</v>
      </c>
      <c r="Q207" s="11" t="s">
        <v>228</v>
      </c>
      <c r="R207" s="11"/>
      <c r="S207" s="11" t="s">
        <v>228</v>
      </c>
      <c r="T207" s="11" t="s">
        <v>228</v>
      </c>
      <c r="U207" s="11"/>
      <c r="V207" s="11" t="s">
        <v>228</v>
      </c>
    </row>
    <row r="208" spans="1:22" x14ac:dyDescent="0.4">
      <c r="A208" s="8"/>
      <c r="B208" s="14">
        <v>100</v>
      </c>
      <c r="C208" s="14">
        <v>2</v>
      </c>
      <c r="D208" s="14">
        <v>2</v>
      </c>
      <c r="E208" s="11" t="s">
        <v>954</v>
      </c>
      <c r="F208" s="14">
        <v>35</v>
      </c>
      <c r="G208" s="14">
        <v>1</v>
      </c>
      <c r="H208" s="11"/>
      <c r="I208" s="14"/>
      <c r="J208" s="11"/>
      <c r="K208" s="11"/>
      <c r="L208" s="11"/>
      <c r="M208" s="11" t="s">
        <v>228</v>
      </c>
      <c r="N208" s="11" t="s">
        <v>228</v>
      </c>
      <c r="O208" s="11"/>
      <c r="P208" s="11" t="s">
        <v>228</v>
      </c>
      <c r="Q208" s="11" t="s">
        <v>228</v>
      </c>
      <c r="R208" s="11"/>
      <c r="S208" s="11" t="s">
        <v>228</v>
      </c>
      <c r="T208" s="11" t="s">
        <v>228</v>
      </c>
      <c r="U208" s="11"/>
      <c r="V208" s="11" t="s">
        <v>228</v>
      </c>
    </row>
    <row r="209" spans="1:22" x14ac:dyDescent="0.4">
      <c r="A209" s="8"/>
      <c r="B209" s="14">
        <v>100</v>
      </c>
      <c r="C209" s="14">
        <v>2</v>
      </c>
      <c r="D209" s="14">
        <v>3</v>
      </c>
      <c r="E209" s="11" t="s">
        <v>909</v>
      </c>
      <c r="F209" s="14">
        <v>35</v>
      </c>
      <c r="G209" s="14">
        <v>1</v>
      </c>
      <c r="H209" s="11"/>
      <c r="I209" s="14"/>
      <c r="J209" s="11"/>
      <c r="K209" s="11"/>
      <c r="L209" s="11"/>
      <c r="M209" s="11" t="s">
        <v>228</v>
      </c>
      <c r="N209" s="11" t="s">
        <v>228</v>
      </c>
      <c r="O209" s="11"/>
      <c r="P209" s="11" t="s">
        <v>228</v>
      </c>
      <c r="Q209" s="11" t="s">
        <v>228</v>
      </c>
      <c r="R209" s="11"/>
      <c r="S209" s="11" t="s">
        <v>228</v>
      </c>
      <c r="T209" s="11" t="s">
        <v>228</v>
      </c>
      <c r="U209" s="11"/>
      <c r="V209" s="11" t="s">
        <v>228</v>
      </c>
    </row>
    <row r="210" spans="1:22" x14ac:dyDescent="0.4">
      <c r="A210" s="8"/>
      <c r="B210" s="14">
        <v>100</v>
      </c>
      <c r="C210" s="14">
        <v>3</v>
      </c>
      <c r="D210" s="14">
        <v>1</v>
      </c>
      <c r="E210" s="11" t="s">
        <v>987</v>
      </c>
      <c r="F210" s="14">
        <v>35</v>
      </c>
      <c r="G210" s="14">
        <v>1</v>
      </c>
      <c r="H210" s="11"/>
      <c r="I210" s="14"/>
      <c r="J210" s="11"/>
      <c r="K210" s="11"/>
      <c r="L210" s="11"/>
      <c r="M210" s="11" t="s">
        <v>228</v>
      </c>
      <c r="N210" s="11" t="s">
        <v>228</v>
      </c>
      <c r="O210" s="11"/>
      <c r="P210" s="11" t="s">
        <v>228</v>
      </c>
      <c r="Q210" s="11" t="s">
        <v>228</v>
      </c>
      <c r="R210" s="11"/>
      <c r="S210" s="11" t="s">
        <v>228</v>
      </c>
      <c r="T210" s="11" t="s">
        <v>228</v>
      </c>
      <c r="U210" s="11"/>
      <c r="V210" s="11" t="s">
        <v>228</v>
      </c>
    </row>
    <row r="211" spans="1:22" x14ac:dyDescent="0.4">
      <c r="A211" s="8"/>
      <c r="B211" s="14">
        <v>100</v>
      </c>
      <c r="C211" s="14">
        <v>3</v>
      </c>
      <c r="D211" s="14">
        <v>2</v>
      </c>
      <c r="E211" s="11" t="s">
        <v>988</v>
      </c>
      <c r="F211" s="14">
        <v>35</v>
      </c>
      <c r="G211" s="14">
        <v>1</v>
      </c>
      <c r="H211" s="11"/>
      <c r="I211" s="14"/>
      <c r="J211" s="11"/>
      <c r="K211" s="11"/>
      <c r="L211" s="11"/>
      <c r="M211" s="11" t="s">
        <v>228</v>
      </c>
      <c r="N211" s="11" t="s">
        <v>228</v>
      </c>
      <c r="O211" s="11"/>
      <c r="P211" s="11" t="s">
        <v>228</v>
      </c>
      <c r="Q211" s="11" t="s">
        <v>228</v>
      </c>
      <c r="R211" s="11"/>
      <c r="S211" s="11" t="s">
        <v>228</v>
      </c>
      <c r="T211" s="11" t="s">
        <v>228</v>
      </c>
      <c r="U211" s="11"/>
      <c r="V211" s="11" t="s">
        <v>228</v>
      </c>
    </row>
    <row r="212" spans="1:22" x14ac:dyDescent="0.4">
      <c r="A212" s="8"/>
      <c r="B212" s="14">
        <v>100</v>
      </c>
      <c r="C212" s="14">
        <v>3</v>
      </c>
      <c r="D212" s="14">
        <v>3</v>
      </c>
      <c r="E212" s="11" t="s">
        <v>934</v>
      </c>
      <c r="F212" s="14">
        <v>35</v>
      </c>
      <c r="G212" s="14">
        <v>1</v>
      </c>
      <c r="H212" s="11"/>
      <c r="I212" s="14"/>
      <c r="J212" s="11"/>
      <c r="K212" s="11"/>
      <c r="L212" s="11"/>
      <c r="M212" s="11" t="s">
        <v>228</v>
      </c>
      <c r="N212" s="11" t="s">
        <v>228</v>
      </c>
      <c r="O212" s="11"/>
      <c r="P212" s="11" t="s">
        <v>228</v>
      </c>
      <c r="Q212" s="11" t="s">
        <v>228</v>
      </c>
      <c r="R212" s="11"/>
      <c r="S212" s="11" t="s">
        <v>228</v>
      </c>
      <c r="T212" s="11" t="s">
        <v>228</v>
      </c>
      <c r="U212" s="11"/>
      <c r="V212" s="11" t="s">
        <v>228</v>
      </c>
    </row>
    <row r="213" spans="1:22" x14ac:dyDescent="0.4">
      <c r="A213" s="8"/>
      <c r="B213" s="14">
        <v>101</v>
      </c>
      <c r="C213" s="14">
        <v>1</v>
      </c>
      <c r="D213" s="14">
        <v>1</v>
      </c>
      <c r="E213" s="11" t="s">
        <v>924</v>
      </c>
      <c r="F213" s="14">
        <v>35</v>
      </c>
      <c r="G213" s="14">
        <v>1</v>
      </c>
      <c r="H213" s="11"/>
      <c r="I213" s="14"/>
      <c r="J213" s="11"/>
      <c r="K213" s="11"/>
      <c r="L213" s="11"/>
      <c r="M213" s="11" t="s">
        <v>228</v>
      </c>
      <c r="N213" s="11" t="s">
        <v>228</v>
      </c>
      <c r="O213" s="11"/>
      <c r="P213" s="11" t="s">
        <v>228</v>
      </c>
      <c r="Q213" s="11" t="s">
        <v>228</v>
      </c>
      <c r="R213" s="11"/>
      <c r="S213" s="11" t="s">
        <v>228</v>
      </c>
      <c r="T213" s="11" t="s">
        <v>228</v>
      </c>
      <c r="U213" s="11"/>
      <c r="V213" s="11" t="s">
        <v>228</v>
      </c>
    </row>
    <row r="214" spans="1:22" x14ac:dyDescent="0.4">
      <c r="A214" s="8"/>
      <c r="B214" s="14">
        <v>101</v>
      </c>
      <c r="C214" s="14">
        <v>1</v>
      </c>
      <c r="D214" s="14">
        <v>2</v>
      </c>
      <c r="E214" s="11" t="s">
        <v>1215</v>
      </c>
      <c r="F214" s="14">
        <v>35</v>
      </c>
      <c r="G214" s="14">
        <v>0</v>
      </c>
      <c r="H214" s="11" t="s">
        <v>684</v>
      </c>
      <c r="I214" s="14">
        <v>-70</v>
      </c>
      <c r="J214" s="11" t="s">
        <v>228</v>
      </c>
      <c r="K214" s="11" t="s">
        <v>685</v>
      </c>
      <c r="L214" s="11" t="s">
        <v>968</v>
      </c>
      <c r="M214" s="11" t="s">
        <v>228</v>
      </c>
      <c r="N214" s="11" t="s">
        <v>228</v>
      </c>
      <c r="O214" s="11"/>
      <c r="P214" s="11" t="s">
        <v>228</v>
      </c>
      <c r="Q214" s="11" t="s">
        <v>228</v>
      </c>
      <c r="R214" s="11"/>
      <c r="S214" s="11" t="s">
        <v>228</v>
      </c>
      <c r="T214" s="11" t="s">
        <v>228</v>
      </c>
      <c r="U214" s="11"/>
      <c r="V214" s="11" t="s">
        <v>228</v>
      </c>
    </row>
    <row r="215" spans="1:22" x14ac:dyDescent="0.4">
      <c r="A215" s="8"/>
      <c r="B215" s="14">
        <v>101</v>
      </c>
      <c r="C215" s="14">
        <v>1</v>
      </c>
      <c r="D215" s="14">
        <v>3</v>
      </c>
      <c r="E215" s="11" t="s">
        <v>925</v>
      </c>
      <c r="F215" s="14">
        <v>35</v>
      </c>
      <c r="G215" s="14">
        <v>0</v>
      </c>
      <c r="H215" s="11" t="s">
        <v>683</v>
      </c>
      <c r="I215" s="14">
        <v>200</v>
      </c>
      <c r="J215" s="11" t="s">
        <v>228</v>
      </c>
      <c r="K215" s="11" t="s">
        <v>228</v>
      </c>
      <c r="L215" s="11"/>
      <c r="M215" s="11" t="s">
        <v>228</v>
      </c>
      <c r="N215" s="11" t="s">
        <v>228</v>
      </c>
      <c r="O215" s="11"/>
      <c r="P215" s="11" t="s">
        <v>228</v>
      </c>
      <c r="Q215" s="11" t="s">
        <v>228</v>
      </c>
      <c r="R215" s="11"/>
      <c r="S215" s="11" t="s">
        <v>228</v>
      </c>
      <c r="T215" s="11" t="s">
        <v>228</v>
      </c>
      <c r="U215" s="11"/>
      <c r="V215" s="11" t="s">
        <v>228</v>
      </c>
    </row>
    <row r="216" spans="1:22" x14ac:dyDescent="0.4">
      <c r="A216" s="8"/>
      <c r="B216" s="14">
        <v>101</v>
      </c>
      <c r="C216" s="14">
        <v>2</v>
      </c>
      <c r="D216" s="14">
        <v>1</v>
      </c>
      <c r="E216" s="11" t="s">
        <v>909</v>
      </c>
      <c r="F216" s="14">
        <v>35</v>
      </c>
      <c r="G216" s="14">
        <v>1</v>
      </c>
      <c r="H216" s="11"/>
      <c r="I216" s="14"/>
      <c r="J216" s="11"/>
      <c r="K216" s="11"/>
      <c r="L216" s="11"/>
      <c r="M216" s="11" t="s">
        <v>228</v>
      </c>
      <c r="N216" s="11" t="s">
        <v>228</v>
      </c>
      <c r="O216" s="11"/>
      <c r="P216" s="11" t="s">
        <v>228</v>
      </c>
      <c r="Q216" s="11" t="s">
        <v>228</v>
      </c>
      <c r="R216" s="11"/>
      <c r="S216" s="11" t="s">
        <v>228</v>
      </c>
      <c r="T216" s="11" t="s">
        <v>228</v>
      </c>
      <c r="U216" s="11"/>
      <c r="V216" s="11" t="s">
        <v>228</v>
      </c>
    </row>
    <row r="217" spans="1:22" x14ac:dyDescent="0.4">
      <c r="A217" s="8"/>
      <c r="B217" s="14">
        <v>101</v>
      </c>
      <c r="C217" s="14">
        <v>2</v>
      </c>
      <c r="D217" s="14">
        <v>2</v>
      </c>
      <c r="E217" s="11" t="s">
        <v>916</v>
      </c>
      <c r="F217" s="14">
        <v>35</v>
      </c>
      <c r="G217" s="14">
        <v>1</v>
      </c>
      <c r="H217" s="11"/>
      <c r="I217" s="14"/>
      <c r="J217" s="11"/>
      <c r="K217" s="11"/>
      <c r="L217" s="11"/>
      <c r="M217" s="11" t="s">
        <v>228</v>
      </c>
      <c r="N217" s="11" t="s">
        <v>228</v>
      </c>
      <c r="O217" s="11"/>
      <c r="P217" s="11" t="s">
        <v>228</v>
      </c>
      <c r="Q217" s="11" t="s">
        <v>228</v>
      </c>
      <c r="R217" s="11"/>
      <c r="S217" s="11" t="s">
        <v>228</v>
      </c>
      <c r="T217" s="11" t="s">
        <v>228</v>
      </c>
      <c r="U217" s="11"/>
      <c r="V217" s="11" t="s">
        <v>228</v>
      </c>
    </row>
    <row r="218" spans="1:22" x14ac:dyDescent="0.4">
      <c r="A218" s="8"/>
      <c r="B218" s="14">
        <v>101</v>
      </c>
      <c r="C218" s="14">
        <v>2</v>
      </c>
      <c r="D218" s="14">
        <v>3</v>
      </c>
      <c r="E218" s="11" t="s">
        <v>1216</v>
      </c>
      <c r="F218" s="14">
        <v>35</v>
      </c>
      <c r="G218" s="14">
        <v>0</v>
      </c>
      <c r="H218" s="11" t="s">
        <v>704</v>
      </c>
      <c r="I218" s="14">
        <v>150</v>
      </c>
      <c r="J218" s="11"/>
      <c r="K218" s="11"/>
      <c r="L218" s="11"/>
      <c r="M218" s="11" t="s">
        <v>228</v>
      </c>
      <c r="N218" s="11" t="s">
        <v>228</v>
      </c>
      <c r="O218" s="11"/>
      <c r="P218" s="11" t="s">
        <v>228</v>
      </c>
      <c r="Q218" s="11" t="s">
        <v>228</v>
      </c>
      <c r="R218" s="11"/>
      <c r="S218" s="11" t="s">
        <v>228</v>
      </c>
      <c r="T218" s="11" t="s">
        <v>228</v>
      </c>
      <c r="U218" s="11"/>
      <c r="V218" s="11" t="s">
        <v>228</v>
      </c>
    </row>
    <row r="219" spans="1:22" x14ac:dyDescent="0.4">
      <c r="A219" s="8"/>
      <c r="B219" s="14">
        <v>102</v>
      </c>
      <c r="C219" s="14">
        <v>1</v>
      </c>
      <c r="D219" s="14">
        <v>1</v>
      </c>
      <c r="E219" s="11" t="s">
        <v>1220</v>
      </c>
      <c r="F219" s="14">
        <v>35</v>
      </c>
      <c r="G219" s="14">
        <v>1</v>
      </c>
      <c r="H219" s="11"/>
      <c r="I219" s="14"/>
      <c r="J219" s="11"/>
      <c r="K219" s="11"/>
      <c r="L219" s="11"/>
      <c r="M219" s="11" t="s">
        <v>228</v>
      </c>
      <c r="N219" s="11" t="s">
        <v>228</v>
      </c>
      <c r="O219" s="11"/>
      <c r="P219" s="11" t="s">
        <v>228</v>
      </c>
      <c r="Q219" s="11" t="s">
        <v>228</v>
      </c>
      <c r="R219" s="11"/>
      <c r="S219" s="11" t="s">
        <v>228</v>
      </c>
      <c r="T219" s="11" t="s">
        <v>228</v>
      </c>
      <c r="U219" s="11"/>
      <c r="V219" s="11" t="s">
        <v>228</v>
      </c>
    </row>
    <row r="220" spans="1:22" x14ac:dyDescent="0.4">
      <c r="A220" s="8"/>
      <c r="B220" s="14">
        <v>102</v>
      </c>
      <c r="C220" s="14">
        <v>1</v>
      </c>
      <c r="D220" s="14">
        <v>2</v>
      </c>
      <c r="E220" s="11" t="s">
        <v>1221</v>
      </c>
      <c r="F220" s="14">
        <v>35</v>
      </c>
      <c r="G220" s="14">
        <v>1</v>
      </c>
      <c r="H220" s="11"/>
      <c r="I220" s="14"/>
      <c r="J220" s="11"/>
      <c r="K220" s="11"/>
      <c r="L220" s="11"/>
      <c r="M220" s="11" t="s">
        <v>228</v>
      </c>
      <c r="N220" s="11" t="s">
        <v>228</v>
      </c>
      <c r="O220" s="11"/>
      <c r="P220" s="11" t="s">
        <v>228</v>
      </c>
      <c r="Q220" s="11" t="s">
        <v>228</v>
      </c>
      <c r="R220" s="11"/>
      <c r="S220" s="11" t="s">
        <v>228</v>
      </c>
      <c r="T220" s="11" t="s">
        <v>228</v>
      </c>
      <c r="U220" s="11"/>
      <c r="V220" s="11" t="s">
        <v>228</v>
      </c>
    </row>
    <row r="221" spans="1:22" x14ac:dyDescent="0.4">
      <c r="A221" s="8"/>
      <c r="B221" s="14">
        <v>102</v>
      </c>
      <c r="C221" s="14">
        <v>1</v>
      </c>
      <c r="D221" s="14">
        <v>3</v>
      </c>
      <c r="E221" s="11" t="s">
        <v>978</v>
      </c>
      <c r="F221" s="14">
        <v>35</v>
      </c>
      <c r="G221" s="14">
        <v>1</v>
      </c>
      <c r="H221" s="11"/>
      <c r="I221" s="14"/>
      <c r="J221" s="11"/>
      <c r="K221" s="11"/>
      <c r="L221" s="11"/>
      <c r="M221" s="11" t="s">
        <v>228</v>
      </c>
      <c r="N221" s="11" t="s">
        <v>228</v>
      </c>
      <c r="O221" s="11"/>
      <c r="P221" s="11" t="s">
        <v>228</v>
      </c>
      <c r="Q221" s="11" t="s">
        <v>228</v>
      </c>
      <c r="R221" s="11"/>
      <c r="S221" s="11" t="s">
        <v>228</v>
      </c>
      <c r="T221" s="11" t="s">
        <v>228</v>
      </c>
      <c r="U221" s="11"/>
      <c r="V221" s="11" t="s">
        <v>228</v>
      </c>
    </row>
    <row r="222" spans="1:22" x14ac:dyDescent="0.4">
      <c r="A222" s="8"/>
      <c r="B222" s="14">
        <v>102</v>
      </c>
      <c r="C222" s="14">
        <v>1</v>
      </c>
      <c r="D222" s="14">
        <v>4</v>
      </c>
      <c r="E222" s="11" t="s">
        <v>979</v>
      </c>
      <c r="F222" s="14">
        <v>35</v>
      </c>
      <c r="G222" s="14">
        <v>0</v>
      </c>
      <c r="H222" s="11" t="s">
        <v>694</v>
      </c>
      <c r="I222" s="14">
        <v>15</v>
      </c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</row>
    <row r="223" spans="1:22" x14ac:dyDescent="0.4">
      <c r="A223" s="8"/>
      <c r="B223" s="14">
        <v>102</v>
      </c>
      <c r="C223" s="14">
        <v>1</v>
      </c>
      <c r="D223" s="14">
        <v>5</v>
      </c>
      <c r="E223" s="11" t="s">
        <v>980</v>
      </c>
      <c r="F223" s="14">
        <v>35</v>
      </c>
      <c r="G223" s="14">
        <v>0</v>
      </c>
      <c r="H223" s="11" t="s">
        <v>694</v>
      </c>
      <c r="I223" s="14">
        <v>27</v>
      </c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</row>
    <row r="224" spans="1:22" x14ac:dyDescent="0.4">
      <c r="A224" s="8"/>
      <c r="B224" s="14">
        <v>102</v>
      </c>
      <c r="C224" s="14">
        <v>1</v>
      </c>
      <c r="D224" s="14">
        <v>6</v>
      </c>
      <c r="E224" s="11" t="s">
        <v>981</v>
      </c>
      <c r="F224" s="14">
        <v>35</v>
      </c>
      <c r="G224" s="14">
        <v>0</v>
      </c>
      <c r="H224" s="11" t="s">
        <v>694</v>
      </c>
      <c r="I224" s="14">
        <v>38</v>
      </c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</row>
    <row r="225" spans="1:22" x14ac:dyDescent="0.4">
      <c r="A225" s="8"/>
      <c r="B225" s="14">
        <v>102</v>
      </c>
      <c r="C225" s="14">
        <v>1</v>
      </c>
      <c r="D225" s="14">
        <v>7</v>
      </c>
      <c r="E225" s="11" t="s">
        <v>983</v>
      </c>
      <c r="F225" s="14">
        <v>35</v>
      </c>
      <c r="G225" s="14">
        <v>0</v>
      </c>
      <c r="H225" s="11" t="s">
        <v>694</v>
      </c>
      <c r="I225" s="14">
        <v>47</v>
      </c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</row>
    <row r="226" spans="1:22" x14ac:dyDescent="0.4">
      <c r="A226" s="8"/>
      <c r="B226" s="14">
        <v>102</v>
      </c>
      <c r="C226" s="14">
        <v>1</v>
      </c>
      <c r="D226" s="14">
        <v>8</v>
      </c>
      <c r="E226" s="11" t="s">
        <v>982</v>
      </c>
      <c r="F226" s="14">
        <v>35</v>
      </c>
      <c r="G226" s="14">
        <v>0</v>
      </c>
      <c r="H226" s="11" t="s">
        <v>694</v>
      </c>
      <c r="I226" s="14">
        <v>55</v>
      </c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</row>
    <row r="227" spans="1:22" x14ac:dyDescent="0.4">
      <c r="A227" s="8"/>
      <c r="B227" s="14">
        <v>102</v>
      </c>
      <c r="C227" s="14">
        <v>2</v>
      </c>
      <c r="D227" s="14">
        <v>1</v>
      </c>
      <c r="E227" s="11" t="s">
        <v>1222</v>
      </c>
      <c r="F227" s="14">
        <v>35</v>
      </c>
      <c r="G227" s="14">
        <v>1</v>
      </c>
      <c r="H227" s="11"/>
      <c r="I227" s="14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</row>
    <row r="228" spans="1:22" x14ac:dyDescent="0.4">
      <c r="A228" s="8"/>
      <c r="B228" s="14">
        <v>102</v>
      </c>
      <c r="C228" s="14">
        <v>2</v>
      </c>
      <c r="D228" s="14">
        <v>2</v>
      </c>
      <c r="E228" s="11" t="s">
        <v>1223</v>
      </c>
      <c r="F228" s="14">
        <v>35</v>
      </c>
      <c r="G228" s="14">
        <v>0</v>
      </c>
      <c r="H228" s="11" t="s">
        <v>684</v>
      </c>
      <c r="I228" s="14">
        <v>-50</v>
      </c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</row>
    <row r="229" spans="1:22" x14ac:dyDescent="0.4">
      <c r="A229" s="8"/>
      <c r="B229" s="14">
        <v>102</v>
      </c>
      <c r="C229" s="14">
        <v>2</v>
      </c>
      <c r="D229" s="14">
        <v>3</v>
      </c>
      <c r="E229" s="11" t="s">
        <v>916</v>
      </c>
      <c r="F229" s="14">
        <v>35</v>
      </c>
      <c r="G229" s="14">
        <v>1</v>
      </c>
      <c r="H229" s="11"/>
      <c r="I229" s="14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</row>
    <row r="230" spans="1:22" x14ac:dyDescent="0.4">
      <c r="A230" s="8"/>
      <c r="B230" s="14">
        <v>103</v>
      </c>
      <c r="C230" s="14">
        <v>1</v>
      </c>
      <c r="D230" s="14">
        <v>1</v>
      </c>
      <c r="E230" s="11" t="s">
        <v>877</v>
      </c>
      <c r="F230" s="14">
        <v>35</v>
      </c>
      <c r="G230" s="14">
        <v>1</v>
      </c>
      <c r="H230" s="11"/>
      <c r="I230" s="14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</row>
    <row r="231" spans="1:22" x14ac:dyDescent="0.4">
      <c r="A231" s="8"/>
      <c r="B231" s="14">
        <v>103</v>
      </c>
      <c r="C231" s="14">
        <v>1</v>
      </c>
      <c r="D231" s="14">
        <v>2</v>
      </c>
      <c r="E231" s="11" t="s">
        <v>1232</v>
      </c>
      <c r="F231" s="14">
        <v>35</v>
      </c>
      <c r="G231" s="14">
        <v>1</v>
      </c>
      <c r="H231" s="11"/>
      <c r="I231" s="14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</row>
    <row r="232" spans="1:22" x14ac:dyDescent="0.4">
      <c r="A232" s="8"/>
      <c r="B232" s="14">
        <v>103</v>
      </c>
      <c r="C232" s="14">
        <v>1</v>
      </c>
      <c r="D232" s="14">
        <v>3</v>
      </c>
      <c r="E232" s="11" t="s">
        <v>879</v>
      </c>
      <c r="F232" s="14">
        <v>35</v>
      </c>
      <c r="G232" s="14">
        <v>1</v>
      </c>
      <c r="H232" s="11"/>
      <c r="I232" s="14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</row>
    <row r="233" spans="1:22" x14ac:dyDescent="0.4">
      <c r="A233" s="8"/>
      <c r="B233" s="14">
        <v>103</v>
      </c>
      <c r="C233" s="14">
        <v>2</v>
      </c>
      <c r="D233" s="14">
        <v>1</v>
      </c>
      <c r="E233" s="11" t="s">
        <v>880</v>
      </c>
      <c r="F233" s="14">
        <v>35</v>
      </c>
      <c r="G233" s="14">
        <v>1</v>
      </c>
      <c r="H233" s="11"/>
      <c r="I233" s="14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</row>
    <row r="234" spans="1:22" x14ac:dyDescent="0.4">
      <c r="A234" s="8"/>
      <c r="B234" s="14">
        <v>103</v>
      </c>
      <c r="C234" s="14">
        <v>2</v>
      </c>
      <c r="D234" s="14">
        <v>2</v>
      </c>
      <c r="E234" s="11" t="s">
        <v>881</v>
      </c>
      <c r="F234" s="14">
        <v>35</v>
      </c>
      <c r="G234" s="14">
        <v>1</v>
      </c>
      <c r="H234" s="11"/>
      <c r="I234" s="14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</row>
    <row r="235" spans="1:22" x14ac:dyDescent="0.4">
      <c r="A235" s="8"/>
      <c r="B235" s="14">
        <v>103</v>
      </c>
      <c r="C235" s="14">
        <v>2</v>
      </c>
      <c r="D235" s="14">
        <v>3</v>
      </c>
      <c r="E235" s="11" t="s">
        <v>1233</v>
      </c>
      <c r="F235" s="14">
        <v>35</v>
      </c>
      <c r="G235" s="14">
        <v>1</v>
      </c>
      <c r="H235" s="11"/>
      <c r="I235" s="14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</row>
    <row r="236" spans="1:22" x14ac:dyDescent="0.4">
      <c r="A236" s="8"/>
      <c r="B236" s="14">
        <v>104</v>
      </c>
      <c r="C236" s="14">
        <v>1</v>
      </c>
      <c r="D236" s="14">
        <v>1</v>
      </c>
      <c r="E236" s="11" t="s">
        <v>1242</v>
      </c>
      <c r="F236" s="14">
        <v>35</v>
      </c>
      <c r="G236" s="14">
        <v>0</v>
      </c>
      <c r="H236" s="11" t="s">
        <v>684</v>
      </c>
      <c r="I236" s="14">
        <v>-60</v>
      </c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</row>
    <row r="237" spans="1:22" x14ac:dyDescent="0.4">
      <c r="A237" s="8"/>
      <c r="B237" s="14">
        <v>104</v>
      </c>
      <c r="C237" s="14">
        <v>1</v>
      </c>
      <c r="D237" s="14">
        <v>2</v>
      </c>
      <c r="E237" s="11" t="s">
        <v>1243</v>
      </c>
      <c r="F237" s="14">
        <v>35</v>
      </c>
      <c r="G237" s="14">
        <v>1</v>
      </c>
      <c r="H237" s="11"/>
      <c r="I237" s="14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</row>
    <row r="238" spans="1:22" x14ac:dyDescent="0.4">
      <c r="A238" s="8"/>
      <c r="B238" s="14">
        <v>104</v>
      </c>
      <c r="C238" s="14">
        <v>1</v>
      </c>
      <c r="D238" s="14">
        <v>3</v>
      </c>
      <c r="E238" s="11" t="s">
        <v>1244</v>
      </c>
      <c r="F238" s="14">
        <v>35</v>
      </c>
      <c r="G238" s="14">
        <v>1</v>
      </c>
      <c r="H238" s="11"/>
      <c r="I238" s="14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</row>
    <row r="239" spans="1:22" x14ac:dyDescent="0.4">
      <c r="A239" s="8"/>
      <c r="B239" s="14">
        <v>104</v>
      </c>
      <c r="C239" s="14">
        <v>2</v>
      </c>
      <c r="D239" s="14">
        <v>1</v>
      </c>
      <c r="E239" s="30" t="s">
        <v>1245</v>
      </c>
      <c r="F239" s="14">
        <v>35</v>
      </c>
      <c r="G239" s="14">
        <v>1</v>
      </c>
      <c r="H239" s="11"/>
      <c r="I239" s="14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</row>
    <row r="240" spans="1:22" x14ac:dyDescent="0.4">
      <c r="A240" s="8"/>
      <c r="B240" s="14">
        <v>104</v>
      </c>
      <c r="C240" s="14">
        <v>2</v>
      </c>
      <c r="D240" s="14">
        <v>2</v>
      </c>
      <c r="E240" s="11" t="s">
        <v>934</v>
      </c>
      <c r="F240" s="14">
        <v>35</v>
      </c>
      <c r="G240" s="14">
        <v>1</v>
      </c>
      <c r="H240" s="11"/>
      <c r="I240" s="14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</row>
    <row r="241" spans="1:22" x14ac:dyDescent="0.4">
      <c r="A241" s="8"/>
      <c r="B241" s="14">
        <v>104</v>
      </c>
      <c r="C241" s="14">
        <v>2</v>
      </c>
      <c r="D241" s="14">
        <v>3</v>
      </c>
      <c r="E241" s="11" t="s">
        <v>1246</v>
      </c>
      <c r="F241" s="14">
        <v>35</v>
      </c>
      <c r="G241" s="14">
        <v>1</v>
      </c>
      <c r="H241" s="11"/>
      <c r="I241" s="14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</row>
    <row r="242" spans="1:22" x14ac:dyDescent="0.4">
      <c r="A242" s="8"/>
      <c r="B242" s="14">
        <v>900</v>
      </c>
      <c r="C242" s="14">
        <v>1</v>
      </c>
      <c r="D242" s="14">
        <v>1</v>
      </c>
      <c r="E242" s="11" t="s">
        <v>990</v>
      </c>
      <c r="F242" s="14">
        <v>40</v>
      </c>
      <c r="G242" s="14">
        <v>0</v>
      </c>
      <c r="H242" s="11" t="s">
        <v>994</v>
      </c>
      <c r="I242" s="14">
        <v>50</v>
      </c>
      <c r="J242" s="11"/>
      <c r="K242" s="11"/>
      <c r="L242" s="11"/>
      <c r="M242" s="11" t="s">
        <v>228</v>
      </c>
      <c r="N242" s="11" t="s">
        <v>228</v>
      </c>
      <c r="O242" s="11"/>
      <c r="P242" s="11" t="s">
        <v>228</v>
      </c>
      <c r="Q242" s="11" t="s">
        <v>228</v>
      </c>
      <c r="R242" s="11"/>
      <c r="S242" s="11" t="s">
        <v>228</v>
      </c>
      <c r="T242" s="11" t="s">
        <v>228</v>
      </c>
      <c r="U242" s="11"/>
      <c r="V242" s="11" t="s">
        <v>228</v>
      </c>
    </row>
    <row r="243" spans="1:22" x14ac:dyDescent="0.4">
      <c r="A243" s="8"/>
      <c r="B243" s="14">
        <v>900</v>
      </c>
      <c r="C243" s="14">
        <v>1</v>
      </c>
      <c r="D243" s="14">
        <v>2</v>
      </c>
      <c r="E243" s="11" t="s">
        <v>991</v>
      </c>
      <c r="F243" s="14">
        <v>85</v>
      </c>
      <c r="G243" s="14">
        <v>0</v>
      </c>
      <c r="H243" s="11" t="s">
        <v>994</v>
      </c>
      <c r="I243" s="14">
        <v>100</v>
      </c>
      <c r="J243" s="11"/>
      <c r="K243" s="11"/>
      <c r="L243" s="11"/>
      <c r="M243" s="11" t="s">
        <v>228</v>
      </c>
      <c r="N243" s="11" t="s">
        <v>228</v>
      </c>
      <c r="O243" s="11"/>
      <c r="P243" s="11" t="s">
        <v>228</v>
      </c>
      <c r="Q243" s="11" t="s">
        <v>228</v>
      </c>
      <c r="R243" s="11"/>
      <c r="S243" s="11" t="s">
        <v>228</v>
      </c>
      <c r="T243" s="11" t="s">
        <v>228</v>
      </c>
      <c r="U243" s="11"/>
      <c r="V243" s="11" t="s">
        <v>228</v>
      </c>
    </row>
    <row r="244" spans="1:22" x14ac:dyDescent="0.4">
      <c r="A244" s="8"/>
      <c r="B244" s="14">
        <v>900</v>
      </c>
      <c r="C244" s="14">
        <v>1</v>
      </c>
      <c r="D244" s="14">
        <v>3</v>
      </c>
      <c r="E244" s="11" t="s">
        <v>992</v>
      </c>
      <c r="F244" s="14">
        <v>135</v>
      </c>
      <c r="G244" s="14">
        <v>0</v>
      </c>
      <c r="H244" s="11" t="s">
        <v>994</v>
      </c>
      <c r="I244" s="14">
        <v>150</v>
      </c>
      <c r="J244" s="11"/>
      <c r="K244" s="11"/>
      <c r="L244" s="11"/>
      <c r="M244" s="11" t="s">
        <v>228</v>
      </c>
      <c r="N244" s="11" t="s">
        <v>228</v>
      </c>
      <c r="O244" s="11"/>
      <c r="P244" s="11" t="s">
        <v>228</v>
      </c>
      <c r="Q244" s="11" t="s">
        <v>228</v>
      </c>
      <c r="R244" s="11"/>
      <c r="S244" s="11" t="s">
        <v>228</v>
      </c>
      <c r="T244" s="11" t="s">
        <v>228</v>
      </c>
      <c r="U244" s="11"/>
      <c r="V244" s="11" t="s">
        <v>228</v>
      </c>
    </row>
    <row r="245" spans="1:22" x14ac:dyDescent="0.4">
      <c r="A245" s="8"/>
      <c r="B245" s="14">
        <v>900</v>
      </c>
      <c r="C245" s="14">
        <v>1</v>
      </c>
      <c r="D245" s="14">
        <v>4</v>
      </c>
      <c r="E245" s="11" t="s">
        <v>993</v>
      </c>
      <c r="F245" s="14">
        <v>200</v>
      </c>
      <c r="G245" s="14">
        <v>0</v>
      </c>
      <c r="H245" s="11" t="s">
        <v>994</v>
      </c>
      <c r="I245" s="14">
        <v>200</v>
      </c>
      <c r="J245" s="11"/>
      <c r="K245" s="11"/>
      <c r="L245" s="11"/>
      <c r="M245" s="11" t="s">
        <v>228</v>
      </c>
      <c r="N245" s="11" t="s">
        <v>228</v>
      </c>
      <c r="O245" s="11"/>
      <c r="P245" s="11" t="s">
        <v>228</v>
      </c>
      <c r="Q245" s="11" t="s">
        <v>228</v>
      </c>
      <c r="R245" s="11"/>
      <c r="S245" s="11" t="s">
        <v>228</v>
      </c>
      <c r="T245" s="11" t="s">
        <v>228</v>
      </c>
      <c r="U245" s="11"/>
      <c r="V245" s="11" t="s">
        <v>228</v>
      </c>
    </row>
  </sheetData>
  <phoneticPr fontId="1"/>
  <dataValidations count="1">
    <dataValidation type="list" allowBlank="1" showInputMessage="1" showErrorMessage="1" sqref="A7:A245" xr:uid="{3523F783-EAFD-4780-AC6E-81CE7A74104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9F364-6DC9-428D-AA85-C0724C8F847C}">
  <sheetPr codeName="Sheet15"/>
  <dimension ref="A1:G216"/>
  <sheetViews>
    <sheetView zoomScale="85" zoomScaleNormal="85" workbookViewId="0"/>
  </sheetViews>
  <sheetFormatPr defaultRowHeight="18.75" x14ac:dyDescent="0.4"/>
  <cols>
    <col min="2" max="7" width="12.5" customWidth="1"/>
  </cols>
  <sheetData>
    <row r="1" spans="1:7" x14ac:dyDescent="0.4">
      <c r="A1" s="12" t="str">
        <f>MAIN!B1</f>
        <v>ローカル</v>
      </c>
      <c r="B1" s="9">
        <v>1</v>
      </c>
      <c r="C1" s="9" t="s">
        <v>614</v>
      </c>
      <c r="D1" s="9" t="s">
        <v>596</v>
      </c>
      <c r="E1" s="9" t="s">
        <v>615</v>
      </c>
      <c r="F1" s="9" t="s">
        <v>727</v>
      </c>
      <c r="G1" s="9" t="s">
        <v>728</v>
      </c>
    </row>
    <row r="2" spans="1:7" x14ac:dyDescent="0.4">
      <c r="A2" t="s">
        <v>612</v>
      </c>
      <c r="B2" s="9" t="s">
        <v>225</v>
      </c>
      <c r="C2" s="9" t="s">
        <v>227</v>
      </c>
      <c r="D2" s="9" t="s">
        <v>610</v>
      </c>
      <c r="E2" s="9" t="s">
        <v>313</v>
      </c>
      <c r="F2" s="9" t="s">
        <v>611</v>
      </c>
      <c r="G2" s="9" t="s">
        <v>314</v>
      </c>
    </row>
    <row r="3" spans="1:7" x14ac:dyDescent="0.4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</row>
    <row r="4" spans="1:7" x14ac:dyDescent="0.4">
      <c r="B4" s="9" t="s">
        <v>34</v>
      </c>
      <c r="C4" s="9" t="s">
        <v>33</v>
      </c>
      <c r="D4" s="9" t="s">
        <v>33</v>
      </c>
      <c r="E4" s="9">
        <v>20</v>
      </c>
      <c r="F4" s="9">
        <v>20</v>
      </c>
      <c r="G4" s="9" t="s">
        <v>34</v>
      </c>
    </row>
    <row r="5" spans="1:7" x14ac:dyDescent="0.4">
      <c r="B5" s="9">
        <v>1</v>
      </c>
      <c r="C5" s="9">
        <v>2</v>
      </c>
      <c r="D5" s="9">
        <v>2</v>
      </c>
      <c r="E5" s="9"/>
      <c r="F5" s="9"/>
      <c r="G5" s="9"/>
    </row>
    <row r="6" spans="1:7" x14ac:dyDescent="0.4">
      <c r="B6" s="9" t="s">
        <v>27</v>
      </c>
      <c r="C6" s="9" t="s">
        <v>27</v>
      </c>
      <c r="D6" s="9" t="s">
        <v>27</v>
      </c>
      <c r="E6" s="9" t="s">
        <v>151</v>
      </c>
      <c r="F6" s="9" t="s">
        <v>151</v>
      </c>
      <c r="G6" s="9" t="s">
        <v>151</v>
      </c>
    </row>
    <row r="7" spans="1:7" x14ac:dyDescent="0.4">
      <c r="A7" s="8"/>
      <c r="B7" s="14">
        <v>79</v>
      </c>
      <c r="C7" s="14">
        <v>1</v>
      </c>
      <c r="D7" s="11" t="s">
        <v>613</v>
      </c>
      <c r="E7" s="11" t="s">
        <v>162</v>
      </c>
      <c r="F7" s="11" t="s">
        <v>617</v>
      </c>
      <c r="G7" s="11" t="s">
        <v>616</v>
      </c>
    </row>
    <row r="8" spans="1:7" x14ac:dyDescent="0.4">
      <c r="A8" s="8"/>
      <c r="B8" s="14">
        <v>79</v>
      </c>
      <c r="C8" s="14">
        <v>1</v>
      </c>
      <c r="D8" s="11" t="s">
        <v>614</v>
      </c>
      <c r="E8" s="11" t="s">
        <v>156</v>
      </c>
      <c r="F8" s="11" t="s">
        <v>617</v>
      </c>
      <c r="G8" s="11" t="s">
        <v>595</v>
      </c>
    </row>
    <row r="9" spans="1:7" x14ac:dyDescent="0.4">
      <c r="A9" s="8"/>
      <c r="B9" s="14">
        <v>80</v>
      </c>
      <c r="C9" s="14">
        <v>1</v>
      </c>
      <c r="D9" s="11" t="s">
        <v>613</v>
      </c>
      <c r="E9" s="11" t="s">
        <v>162</v>
      </c>
      <c r="F9" s="11" t="s">
        <v>617</v>
      </c>
      <c r="G9" s="11" t="s">
        <v>616</v>
      </c>
    </row>
    <row r="10" spans="1:7" x14ac:dyDescent="0.4">
      <c r="A10" s="8"/>
      <c r="B10" s="14">
        <v>80</v>
      </c>
      <c r="C10" s="14">
        <v>1</v>
      </c>
      <c r="D10" s="11" t="s">
        <v>614</v>
      </c>
      <c r="E10" s="11" t="s">
        <v>164</v>
      </c>
      <c r="F10" s="11" t="s">
        <v>617</v>
      </c>
      <c r="G10" s="11" t="s">
        <v>616</v>
      </c>
    </row>
    <row r="11" spans="1:7" x14ac:dyDescent="0.4">
      <c r="A11" s="8"/>
      <c r="B11" s="14">
        <v>80</v>
      </c>
      <c r="C11" s="14">
        <v>1</v>
      </c>
      <c r="D11" s="11" t="s">
        <v>596</v>
      </c>
      <c r="E11" s="11" t="s">
        <v>157</v>
      </c>
      <c r="F11" s="11" t="s">
        <v>617</v>
      </c>
      <c r="G11" s="11" t="s">
        <v>595</v>
      </c>
    </row>
    <row r="12" spans="1:7" x14ac:dyDescent="0.4">
      <c r="A12" s="8"/>
      <c r="B12" s="14">
        <v>80</v>
      </c>
      <c r="C12" s="14">
        <v>1</v>
      </c>
      <c r="D12" s="11" t="s">
        <v>615</v>
      </c>
      <c r="E12" s="11" t="s">
        <v>158</v>
      </c>
      <c r="F12" s="11" t="s">
        <v>617</v>
      </c>
      <c r="G12" s="11" t="s">
        <v>595</v>
      </c>
    </row>
    <row r="13" spans="1:7" x14ac:dyDescent="0.4">
      <c r="A13" s="8"/>
      <c r="B13" s="14">
        <v>81</v>
      </c>
      <c r="C13" s="14">
        <v>1</v>
      </c>
      <c r="D13" s="11" t="s">
        <v>613</v>
      </c>
      <c r="E13" s="11" t="s">
        <v>163</v>
      </c>
      <c r="F13" s="11" t="s">
        <v>617</v>
      </c>
      <c r="G13" s="11" t="s">
        <v>616</v>
      </c>
    </row>
    <row r="14" spans="1:7" x14ac:dyDescent="0.4">
      <c r="A14" s="8"/>
      <c r="B14" s="14">
        <v>81</v>
      </c>
      <c r="C14" s="14">
        <v>1</v>
      </c>
      <c r="D14" s="11" t="s">
        <v>614</v>
      </c>
      <c r="E14" s="11" t="s">
        <v>164</v>
      </c>
      <c r="F14" s="11" t="s">
        <v>617</v>
      </c>
      <c r="G14" s="11" t="s">
        <v>616</v>
      </c>
    </row>
    <row r="15" spans="1:7" x14ac:dyDescent="0.4">
      <c r="A15" s="8"/>
      <c r="B15" s="14">
        <v>81</v>
      </c>
      <c r="C15" s="14">
        <v>1</v>
      </c>
      <c r="D15" s="11" t="s">
        <v>596</v>
      </c>
      <c r="E15" s="11" t="s">
        <v>156</v>
      </c>
      <c r="F15" s="11" t="s">
        <v>617</v>
      </c>
      <c r="G15" s="11" t="s">
        <v>595</v>
      </c>
    </row>
    <row r="16" spans="1:7" x14ac:dyDescent="0.4">
      <c r="A16" s="8"/>
      <c r="B16" s="14">
        <v>81</v>
      </c>
      <c r="C16" s="14">
        <v>1</v>
      </c>
      <c r="D16" s="11" t="s">
        <v>615</v>
      </c>
      <c r="E16" s="11" t="s">
        <v>157</v>
      </c>
      <c r="F16" s="11" t="s">
        <v>617</v>
      </c>
      <c r="G16" s="11" t="s">
        <v>595</v>
      </c>
    </row>
    <row r="17" spans="1:7" x14ac:dyDescent="0.4">
      <c r="A17" s="8"/>
      <c r="B17" s="14">
        <v>82</v>
      </c>
      <c r="C17" s="14">
        <v>1</v>
      </c>
      <c r="D17" s="11" t="s">
        <v>613</v>
      </c>
      <c r="E17" s="11" t="s">
        <v>162</v>
      </c>
      <c r="F17" s="11" t="s">
        <v>617</v>
      </c>
      <c r="G17" s="11" t="s">
        <v>616</v>
      </c>
    </row>
    <row r="18" spans="1:7" x14ac:dyDescent="0.4">
      <c r="A18" s="8"/>
      <c r="B18" s="14">
        <v>82</v>
      </c>
      <c r="C18" s="14">
        <v>1</v>
      </c>
      <c r="D18" s="11" t="s">
        <v>614</v>
      </c>
      <c r="E18" s="11" t="s">
        <v>164</v>
      </c>
      <c r="F18" s="11" t="s">
        <v>617</v>
      </c>
      <c r="G18" s="11" t="s">
        <v>616</v>
      </c>
    </row>
    <row r="19" spans="1:7" x14ac:dyDescent="0.4">
      <c r="A19" s="8"/>
      <c r="B19" s="14">
        <v>82</v>
      </c>
      <c r="C19" s="14">
        <v>1</v>
      </c>
      <c r="D19" s="11" t="s">
        <v>596</v>
      </c>
      <c r="E19" s="11" t="s">
        <v>157</v>
      </c>
      <c r="F19" s="11" t="s">
        <v>617</v>
      </c>
      <c r="G19" s="11" t="s">
        <v>595</v>
      </c>
    </row>
    <row r="20" spans="1:7" x14ac:dyDescent="0.4">
      <c r="A20" s="8"/>
      <c r="B20" s="14">
        <v>83</v>
      </c>
      <c r="C20" s="14">
        <v>1</v>
      </c>
      <c r="D20" s="11" t="s">
        <v>613</v>
      </c>
      <c r="E20" s="11" t="s">
        <v>165</v>
      </c>
      <c r="F20" s="11" t="s">
        <v>617</v>
      </c>
      <c r="G20" s="11" t="s">
        <v>616</v>
      </c>
    </row>
    <row r="21" spans="1:7" x14ac:dyDescent="0.4">
      <c r="A21" s="8"/>
      <c r="B21" s="14">
        <v>83</v>
      </c>
      <c r="C21" s="14">
        <v>1</v>
      </c>
      <c r="D21" s="11" t="s">
        <v>614</v>
      </c>
      <c r="E21" s="11" t="s">
        <v>156</v>
      </c>
      <c r="F21" s="11" t="s">
        <v>617</v>
      </c>
      <c r="G21" s="11" t="s">
        <v>595</v>
      </c>
    </row>
    <row r="22" spans="1:7" x14ac:dyDescent="0.4">
      <c r="A22" s="8"/>
      <c r="B22" s="14">
        <v>83</v>
      </c>
      <c r="C22" s="14">
        <v>1</v>
      </c>
      <c r="D22" s="11" t="s">
        <v>596</v>
      </c>
      <c r="E22" s="11" t="s">
        <v>157</v>
      </c>
      <c r="F22" s="11" t="s">
        <v>617</v>
      </c>
      <c r="G22" s="11" t="s">
        <v>595</v>
      </c>
    </row>
    <row r="23" spans="1:7" x14ac:dyDescent="0.4">
      <c r="A23" s="8"/>
      <c r="B23" s="14">
        <v>84</v>
      </c>
      <c r="C23" s="14">
        <v>1</v>
      </c>
      <c r="D23" s="11" t="s">
        <v>613</v>
      </c>
      <c r="E23" s="11" t="s">
        <v>163</v>
      </c>
      <c r="F23" s="11" t="s">
        <v>617</v>
      </c>
      <c r="G23" s="11" t="s">
        <v>616</v>
      </c>
    </row>
    <row r="24" spans="1:7" x14ac:dyDescent="0.4">
      <c r="A24" s="8"/>
      <c r="B24" s="14">
        <v>84</v>
      </c>
      <c r="C24" s="14">
        <v>1</v>
      </c>
      <c r="D24" s="11" t="s">
        <v>614</v>
      </c>
      <c r="E24" s="11" t="s">
        <v>165</v>
      </c>
      <c r="F24" s="11" t="s">
        <v>617</v>
      </c>
      <c r="G24" s="11" t="s">
        <v>616</v>
      </c>
    </row>
    <row r="25" spans="1:7" x14ac:dyDescent="0.4">
      <c r="A25" s="8"/>
      <c r="B25" s="14">
        <v>84</v>
      </c>
      <c r="C25" s="14">
        <v>1</v>
      </c>
      <c r="D25" s="11" t="s">
        <v>596</v>
      </c>
      <c r="E25" s="11" t="s">
        <v>156</v>
      </c>
      <c r="F25" s="11" t="s">
        <v>617</v>
      </c>
      <c r="G25" s="11" t="s">
        <v>595</v>
      </c>
    </row>
    <row r="26" spans="1:7" x14ac:dyDescent="0.4">
      <c r="A26" s="8"/>
      <c r="B26" s="14">
        <v>85</v>
      </c>
      <c r="C26" s="14">
        <v>1</v>
      </c>
      <c r="D26" s="11" t="s">
        <v>613</v>
      </c>
      <c r="E26" s="11" t="s">
        <v>165</v>
      </c>
      <c r="F26" s="11" t="s">
        <v>617</v>
      </c>
      <c r="G26" s="11" t="s">
        <v>616</v>
      </c>
    </row>
    <row r="27" spans="1:7" x14ac:dyDescent="0.4">
      <c r="A27" s="8"/>
      <c r="B27" s="14">
        <v>85</v>
      </c>
      <c r="C27" s="14">
        <v>1</v>
      </c>
      <c r="D27" s="11" t="s">
        <v>614</v>
      </c>
      <c r="E27" s="11" t="s">
        <v>166</v>
      </c>
      <c r="F27" s="11" t="s">
        <v>617</v>
      </c>
      <c r="G27" s="11" t="s">
        <v>616</v>
      </c>
    </row>
    <row r="28" spans="1:7" x14ac:dyDescent="0.4">
      <c r="A28" s="8"/>
      <c r="B28" s="14">
        <v>85</v>
      </c>
      <c r="C28" s="14">
        <v>1</v>
      </c>
      <c r="D28" s="11" t="s">
        <v>596</v>
      </c>
      <c r="E28" s="11" t="s">
        <v>156</v>
      </c>
      <c r="F28" s="11" t="s">
        <v>617</v>
      </c>
      <c r="G28" s="11" t="s">
        <v>595</v>
      </c>
    </row>
    <row r="29" spans="1:7" x14ac:dyDescent="0.4">
      <c r="A29" s="8"/>
      <c r="B29" s="14">
        <v>85</v>
      </c>
      <c r="C29" s="14">
        <v>1</v>
      </c>
      <c r="D29" s="11" t="s">
        <v>615</v>
      </c>
      <c r="E29" s="11" t="s">
        <v>158</v>
      </c>
      <c r="F29" s="11" t="s">
        <v>617</v>
      </c>
      <c r="G29" s="11" t="s">
        <v>595</v>
      </c>
    </row>
    <row r="30" spans="1:7" x14ac:dyDescent="0.4">
      <c r="A30" s="8"/>
      <c r="B30" s="14">
        <v>86</v>
      </c>
      <c r="C30" s="14">
        <v>1</v>
      </c>
      <c r="D30" s="11" t="s">
        <v>613</v>
      </c>
      <c r="E30" s="11" t="s">
        <v>164</v>
      </c>
      <c r="F30" s="11" t="s">
        <v>617</v>
      </c>
      <c r="G30" s="11" t="s">
        <v>616</v>
      </c>
    </row>
    <row r="31" spans="1:7" x14ac:dyDescent="0.4">
      <c r="A31" s="8"/>
      <c r="B31" s="14">
        <v>86</v>
      </c>
      <c r="C31" s="14">
        <v>1</v>
      </c>
      <c r="D31" s="11" t="s">
        <v>614</v>
      </c>
      <c r="E31" s="11" t="s">
        <v>165</v>
      </c>
      <c r="F31" s="11" t="s">
        <v>617</v>
      </c>
      <c r="G31" s="11" t="s">
        <v>616</v>
      </c>
    </row>
    <row r="32" spans="1:7" x14ac:dyDescent="0.4">
      <c r="A32" s="8"/>
      <c r="B32" s="14">
        <v>86</v>
      </c>
      <c r="C32" s="14">
        <v>1</v>
      </c>
      <c r="D32" s="11" t="s">
        <v>596</v>
      </c>
      <c r="E32" s="11" t="s">
        <v>166</v>
      </c>
      <c r="F32" s="11" t="s">
        <v>617</v>
      </c>
      <c r="G32" s="11" t="s">
        <v>616</v>
      </c>
    </row>
    <row r="33" spans="1:7" x14ac:dyDescent="0.4">
      <c r="A33" s="8"/>
      <c r="B33" s="14">
        <v>86</v>
      </c>
      <c r="C33" s="14">
        <v>1</v>
      </c>
      <c r="D33" s="11" t="s">
        <v>615</v>
      </c>
      <c r="E33" s="11" t="s">
        <v>156</v>
      </c>
      <c r="F33" s="11" t="s">
        <v>617</v>
      </c>
      <c r="G33" s="11" t="s">
        <v>595</v>
      </c>
    </row>
    <row r="34" spans="1:7" x14ac:dyDescent="0.4">
      <c r="A34" s="8"/>
      <c r="B34" s="14">
        <v>87</v>
      </c>
      <c r="C34" s="14">
        <v>1</v>
      </c>
      <c r="D34" s="11" t="s">
        <v>613</v>
      </c>
      <c r="E34" s="11" t="s">
        <v>164</v>
      </c>
      <c r="F34" s="11" t="s">
        <v>617</v>
      </c>
      <c r="G34" s="11" t="s">
        <v>616</v>
      </c>
    </row>
    <row r="35" spans="1:7" x14ac:dyDescent="0.4">
      <c r="A35" s="8"/>
      <c r="B35" s="14">
        <v>87</v>
      </c>
      <c r="C35" s="14">
        <v>1</v>
      </c>
      <c r="D35" s="11" t="s">
        <v>614</v>
      </c>
      <c r="E35" s="11" t="s">
        <v>166</v>
      </c>
      <c r="F35" s="11" t="s">
        <v>617</v>
      </c>
      <c r="G35" s="11" t="s">
        <v>616</v>
      </c>
    </row>
    <row r="36" spans="1:7" x14ac:dyDescent="0.4">
      <c r="A36" s="8"/>
      <c r="B36" s="14">
        <v>87</v>
      </c>
      <c r="C36" s="14">
        <v>1</v>
      </c>
      <c r="D36" s="11" t="s">
        <v>596</v>
      </c>
      <c r="E36" s="11" t="s">
        <v>157</v>
      </c>
      <c r="F36" s="11" t="s">
        <v>617</v>
      </c>
      <c r="G36" s="11" t="s">
        <v>595</v>
      </c>
    </row>
    <row r="37" spans="1:7" x14ac:dyDescent="0.4">
      <c r="A37" s="8"/>
      <c r="B37" s="14">
        <v>88</v>
      </c>
      <c r="C37" s="14">
        <v>1</v>
      </c>
      <c r="D37" s="11" t="s">
        <v>613</v>
      </c>
      <c r="E37" s="11" t="s">
        <v>162</v>
      </c>
      <c r="F37" s="11" t="s">
        <v>617</v>
      </c>
      <c r="G37" s="11" t="s">
        <v>616</v>
      </c>
    </row>
    <row r="38" spans="1:7" x14ac:dyDescent="0.4">
      <c r="A38" s="8"/>
      <c r="B38" s="14">
        <v>88</v>
      </c>
      <c r="C38" s="14">
        <v>1</v>
      </c>
      <c r="D38" s="11" t="s">
        <v>614</v>
      </c>
      <c r="E38" s="11" t="s">
        <v>163</v>
      </c>
      <c r="F38" s="11" t="s">
        <v>617</v>
      </c>
      <c r="G38" s="11" t="s">
        <v>616</v>
      </c>
    </row>
    <row r="39" spans="1:7" x14ac:dyDescent="0.4">
      <c r="A39" s="8"/>
      <c r="B39" s="14">
        <v>88</v>
      </c>
      <c r="C39" s="14">
        <v>1</v>
      </c>
      <c r="D39" s="11" t="s">
        <v>861</v>
      </c>
      <c r="E39" s="11" t="s">
        <v>696</v>
      </c>
      <c r="F39" s="11" t="s">
        <v>617</v>
      </c>
      <c r="G39" s="11" t="s">
        <v>616</v>
      </c>
    </row>
    <row r="40" spans="1:7" x14ac:dyDescent="0.4">
      <c r="A40" s="8"/>
      <c r="B40" s="14">
        <v>88</v>
      </c>
      <c r="C40" s="14">
        <v>1</v>
      </c>
      <c r="D40" s="11" t="s">
        <v>862</v>
      </c>
      <c r="E40" s="11" t="s">
        <v>594</v>
      </c>
      <c r="F40" s="11" t="s">
        <v>617</v>
      </c>
      <c r="G40" s="11" t="s">
        <v>616</v>
      </c>
    </row>
    <row r="41" spans="1:7" x14ac:dyDescent="0.4">
      <c r="A41" s="8"/>
      <c r="B41" s="14">
        <v>88</v>
      </c>
      <c r="C41" s="14">
        <v>1</v>
      </c>
      <c r="D41" s="11" t="s">
        <v>863</v>
      </c>
      <c r="E41" s="11" t="s">
        <v>711</v>
      </c>
      <c r="F41" s="11" t="s">
        <v>617</v>
      </c>
      <c r="G41" s="11" t="s">
        <v>616</v>
      </c>
    </row>
    <row r="42" spans="1:7" x14ac:dyDescent="0.4">
      <c r="A42" s="8"/>
      <c r="B42" s="14">
        <v>88</v>
      </c>
      <c r="C42" s="14">
        <v>1</v>
      </c>
      <c r="D42" s="11" t="s">
        <v>864</v>
      </c>
      <c r="E42" s="11" t="s">
        <v>156</v>
      </c>
      <c r="F42" s="11" t="s">
        <v>617</v>
      </c>
      <c r="G42" s="11" t="s">
        <v>595</v>
      </c>
    </row>
    <row r="43" spans="1:7" x14ac:dyDescent="0.4">
      <c r="A43" s="8"/>
      <c r="B43" s="14">
        <v>88</v>
      </c>
      <c r="C43" s="14">
        <v>1</v>
      </c>
      <c r="D43" s="11" t="s">
        <v>865</v>
      </c>
      <c r="E43" s="11" t="s">
        <v>157</v>
      </c>
      <c r="F43" s="11" t="s">
        <v>617</v>
      </c>
      <c r="G43" s="11" t="s">
        <v>595</v>
      </c>
    </row>
    <row r="44" spans="1:7" x14ac:dyDescent="0.4">
      <c r="A44" s="8"/>
      <c r="B44" s="14">
        <v>88</v>
      </c>
      <c r="C44" s="14">
        <v>1</v>
      </c>
      <c r="D44" s="11" t="s">
        <v>866</v>
      </c>
      <c r="E44" s="11" t="s">
        <v>158</v>
      </c>
      <c r="F44" s="11" t="s">
        <v>617</v>
      </c>
      <c r="G44" s="11" t="s">
        <v>595</v>
      </c>
    </row>
    <row r="45" spans="1:7" x14ac:dyDescent="0.4">
      <c r="A45" s="8"/>
      <c r="B45" s="14">
        <v>88</v>
      </c>
      <c r="C45" s="14">
        <v>2</v>
      </c>
      <c r="D45" s="11" t="s">
        <v>613</v>
      </c>
      <c r="E45" s="11" t="s">
        <v>162</v>
      </c>
      <c r="F45" s="11" t="s">
        <v>617</v>
      </c>
      <c r="G45" s="11" t="s">
        <v>616</v>
      </c>
    </row>
    <row r="46" spans="1:7" x14ac:dyDescent="0.4">
      <c r="A46" s="8"/>
      <c r="B46" s="14">
        <v>88</v>
      </c>
      <c r="C46" s="14">
        <v>2</v>
      </c>
      <c r="D46" s="11" t="s">
        <v>614</v>
      </c>
      <c r="E46" s="11" t="s">
        <v>163</v>
      </c>
      <c r="F46" s="11" t="s">
        <v>617</v>
      </c>
      <c r="G46" s="11" t="s">
        <v>616</v>
      </c>
    </row>
    <row r="47" spans="1:7" x14ac:dyDescent="0.4">
      <c r="A47" s="8"/>
      <c r="B47" s="14">
        <v>88</v>
      </c>
      <c r="C47" s="14">
        <v>2</v>
      </c>
      <c r="D47" s="11" t="s">
        <v>861</v>
      </c>
      <c r="E47" s="11" t="s">
        <v>696</v>
      </c>
      <c r="F47" s="11" t="s">
        <v>617</v>
      </c>
      <c r="G47" s="11" t="s">
        <v>616</v>
      </c>
    </row>
    <row r="48" spans="1:7" x14ac:dyDescent="0.4">
      <c r="A48" s="8"/>
      <c r="B48" s="14">
        <v>88</v>
      </c>
      <c r="C48" s="14">
        <v>2</v>
      </c>
      <c r="D48" s="11" t="s">
        <v>862</v>
      </c>
      <c r="E48" s="11" t="s">
        <v>594</v>
      </c>
      <c r="F48" s="11" t="s">
        <v>617</v>
      </c>
      <c r="G48" s="11" t="s">
        <v>616</v>
      </c>
    </row>
    <row r="49" spans="1:7" x14ac:dyDescent="0.4">
      <c r="A49" s="8"/>
      <c r="B49" s="14">
        <v>88</v>
      </c>
      <c r="C49" s="14">
        <v>2</v>
      </c>
      <c r="D49" s="11" t="s">
        <v>863</v>
      </c>
      <c r="E49" s="11" t="s">
        <v>711</v>
      </c>
      <c r="F49" s="11" t="s">
        <v>617</v>
      </c>
      <c r="G49" s="11" t="s">
        <v>616</v>
      </c>
    </row>
    <row r="50" spans="1:7" x14ac:dyDescent="0.4">
      <c r="A50" s="8"/>
      <c r="B50" s="14">
        <v>88</v>
      </c>
      <c r="C50" s="14">
        <v>2</v>
      </c>
      <c r="D50" s="11" t="s">
        <v>864</v>
      </c>
      <c r="E50" s="11" t="s">
        <v>156</v>
      </c>
      <c r="F50" s="11" t="s">
        <v>617</v>
      </c>
      <c r="G50" s="11" t="s">
        <v>595</v>
      </c>
    </row>
    <row r="51" spans="1:7" x14ac:dyDescent="0.4">
      <c r="A51" s="8"/>
      <c r="B51" s="14">
        <v>88</v>
      </c>
      <c r="C51" s="14">
        <v>2</v>
      </c>
      <c r="D51" s="11" t="s">
        <v>865</v>
      </c>
      <c r="E51" s="11" t="s">
        <v>157</v>
      </c>
      <c r="F51" s="11" t="s">
        <v>617</v>
      </c>
      <c r="G51" s="11" t="s">
        <v>595</v>
      </c>
    </row>
    <row r="52" spans="1:7" x14ac:dyDescent="0.4">
      <c r="A52" s="8"/>
      <c r="B52" s="14">
        <v>88</v>
      </c>
      <c r="C52" s="14">
        <v>2</v>
      </c>
      <c r="D52" s="11" t="s">
        <v>866</v>
      </c>
      <c r="E52" s="11" t="s">
        <v>158</v>
      </c>
      <c r="F52" s="11" t="s">
        <v>617</v>
      </c>
      <c r="G52" s="11" t="s">
        <v>595</v>
      </c>
    </row>
    <row r="53" spans="1:7" x14ac:dyDescent="0.4">
      <c r="A53" s="8"/>
      <c r="B53" s="14">
        <v>89</v>
      </c>
      <c r="C53" s="14">
        <v>1</v>
      </c>
      <c r="D53" s="11" t="s">
        <v>613</v>
      </c>
      <c r="E53" s="11" t="s">
        <v>163</v>
      </c>
      <c r="F53" s="11" t="s">
        <v>617</v>
      </c>
      <c r="G53" s="11" t="s">
        <v>616</v>
      </c>
    </row>
    <row r="54" spans="1:7" x14ac:dyDescent="0.4">
      <c r="A54" s="8"/>
      <c r="B54" s="14">
        <v>89</v>
      </c>
      <c r="C54" s="14">
        <v>1</v>
      </c>
      <c r="D54" s="11" t="s">
        <v>614</v>
      </c>
      <c r="E54" s="11" t="s">
        <v>158</v>
      </c>
      <c r="F54" s="11" t="s">
        <v>617</v>
      </c>
      <c r="G54" s="11" t="s">
        <v>595</v>
      </c>
    </row>
    <row r="55" spans="1:7" x14ac:dyDescent="0.4">
      <c r="A55" s="8"/>
      <c r="B55" s="14">
        <v>89</v>
      </c>
      <c r="C55" s="14">
        <v>2</v>
      </c>
      <c r="D55" s="11" t="s">
        <v>613</v>
      </c>
      <c r="E55" s="11" t="s">
        <v>163</v>
      </c>
      <c r="F55" s="11" t="s">
        <v>617</v>
      </c>
      <c r="G55" s="11" t="s">
        <v>616</v>
      </c>
    </row>
    <row r="56" spans="1:7" x14ac:dyDescent="0.4">
      <c r="A56" s="8"/>
      <c r="B56" s="14">
        <v>89</v>
      </c>
      <c r="C56" s="14">
        <v>2</v>
      </c>
      <c r="D56" s="11" t="s">
        <v>614</v>
      </c>
      <c r="E56" s="11" t="s">
        <v>158</v>
      </c>
      <c r="F56" s="11" t="s">
        <v>617</v>
      </c>
      <c r="G56" s="11" t="s">
        <v>595</v>
      </c>
    </row>
    <row r="57" spans="1:7" x14ac:dyDescent="0.4">
      <c r="A57" s="8"/>
      <c r="B57" s="14">
        <v>91</v>
      </c>
      <c r="C57" s="14">
        <v>1</v>
      </c>
      <c r="D57" s="11" t="s">
        <v>613</v>
      </c>
      <c r="E57" s="11" t="s">
        <v>164</v>
      </c>
      <c r="F57" s="11" t="s">
        <v>617</v>
      </c>
      <c r="G57" s="11" t="s">
        <v>616</v>
      </c>
    </row>
    <row r="58" spans="1:7" x14ac:dyDescent="0.4">
      <c r="A58" s="8"/>
      <c r="B58" s="14">
        <v>91</v>
      </c>
      <c r="C58" s="14">
        <v>1</v>
      </c>
      <c r="D58" s="11" t="s">
        <v>614</v>
      </c>
      <c r="E58" s="11" t="s">
        <v>156</v>
      </c>
      <c r="F58" s="11" t="s">
        <v>617</v>
      </c>
      <c r="G58" s="11" t="s">
        <v>595</v>
      </c>
    </row>
    <row r="59" spans="1:7" x14ac:dyDescent="0.4">
      <c r="A59" s="8"/>
      <c r="B59" s="14">
        <v>91</v>
      </c>
      <c r="C59" s="14">
        <v>1</v>
      </c>
      <c r="D59" s="11" t="s">
        <v>596</v>
      </c>
      <c r="E59" s="11" t="s">
        <v>157</v>
      </c>
      <c r="F59" s="11" t="s">
        <v>617</v>
      </c>
      <c r="G59" s="11" t="s">
        <v>595</v>
      </c>
    </row>
    <row r="60" spans="1:7" x14ac:dyDescent="0.4">
      <c r="A60" s="8"/>
      <c r="B60" s="14">
        <v>91</v>
      </c>
      <c r="C60" s="14">
        <v>2</v>
      </c>
      <c r="D60" s="11" t="s">
        <v>613</v>
      </c>
      <c r="E60" s="11" t="s">
        <v>164</v>
      </c>
      <c r="F60" s="11" t="s">
        <v>617</v>
      </c>
      <c r="G60" s="11" t="s">
        <v>616</v>
      </c>
    </row>
    <row r="61" spans="1:7" x14ac:dyDescent="0.4">
      <c r="A61" s="8"/>
      <c r="B61" s="14">
        <v>91</v>
      </c>
      <c r="C61" s="14">
        <v>2</v>
      </c>
      <c r="D61" s="11" t="s">
        <v>614</v>
      </c>
      <c r="E61" s="11" t="s">
        <v>156</v>
      </c>
      <c r="F61" s="11" t="s">
        <v>617</v>
      </c>
      <c r="G61" s="11" t="s">
        <v>595</v>
      </c>
    </row>
    <row r="62" spans="1:7" x14ac:dyDescent="0.4">
      <c r="A62" s="8"/>
      <c r="B62" s="14">
        <v>91</v>
      </c>
      <c r="C62" s="14">
        <v>2</v>
      </c>
      <c r="D62" s="11" t="s">
        <v>596</v>
      </c>
      <c r="E62" s="11" t="s">
        <v>157</v>
      </c>
      <c r="F62" s="11" t="s">
        <v>617</v>
      </c>
      <c r="G62" s="11" t="s">
        <v>595</v>
      </c>
    </row>
    <row r="63" spans="1:7" x14ac:dyDescent="0.4">
      <c r="A63" s="8"/>
      <c r="B63" s="14">
        <v>92</v>
      </c>
      <c r="C63" s="14">
        <v>1</v>
      </c>
      <c r="D63" s="11" t="s">
        <v>613</v>
      </c>
      <c r="E63" s="11" t="s">
        <v>164</v>
      </c>
      <c r="F63" s="11" t="s">
        <v>617</v>
      </c>
      <c r="G63" s="11" t="s">
        <v>616</v>
      </c>
    </row>
    <row r="64" spans="1:7" x14ac:dyDescent="0.4">
      <c r="A64" s="8"/>
      <c r="B64" s="14">
        <v>92</v>
      </c>
      <c r="C64" s="14">
        <v>1</v>
      </c>
      <c r="D64" s="11" t="s">
        <v>614</v>
      </c>
      <c r="E64" s="11" t="s">
        <v>163</v>
      </c>
      <c r="F64" s="11" t="s">
        <v>617</v>
      </c>
      <c r="G64" s="11" t="s">
        <v>616</v>
      </c>
    </row>
    <row r="65" spans="1:7" x14ac:dyDescent="0.4">
      <c r="A65" s="8"/>
      <c r="B65" s="14">
        <v>92</v>
      </c>
      <c r="C65" s="14">
        <v>1</v>
      </c>
      <c r="D65" s="11" t="s">
        <v>596</v>
      </c>
      <c r="E65" s="11" t="s">
        <v>158</v>
      </c>
      <c r="F65" s="11" t="s">
        <v>617</v>
      </c>
      <c r="G65" s="11" t="s">
        <v>595</v>
      </c>
    </row>
    <row r="66" spans="1:7" x14ac:dyDescent="0.4">
      <c r="A66" s="8"/>
      <c r="B66" s="14">
        <v>92</v>
      </c>
      <c r="C66" s="14">
        <v>2</v>
      </c>
      <c r="D66" s="11" t="s">
        <v>613</v>
      </c>
      <c r="E66" s="11" t="s">
        <v>164</v>
      </c>
      <c r="F66" s="11" t="s">
        <v>617</v>
      </c>
      <c r="G66" s="11" t="s">
        <v>616</v>
      </c>
    </row>
    <row r="67" spans="1:7" x14ac:dyDescent="0.4">
      <c r="A67" s="8"/>
      <c r="B67" s="14">
        <v>92</v>
      </c>
      <c r="C67" s="14">
        <v>2</v>
      </c>
      <c r="D67" s="11" t="s">
        <v>614</v>
      </c>
      <c r="E67" s="11" t="s">
        <v>163</v>
      </c>
      <c r="F67" s="11" t="s">
        <v>617</v>
      </c>
      <c r="G67" s="11" t="s">
        <v>616</v>
      </c>
    </row>
    <row r="68" spans="1:7" x14ac:dyDescent="0.4">
      <c r="A68" s="8"/>
      <c r="B68" s="14">
        <v>92</v>
      </c>
      <c r="C68" s="14">
        <v>2</v>
      </c>
      <c r="D68" s="11" t="s">
        <v>596</v>
      </c>
      <c r="E68" s="11" t="s">
        <v>158</v>
      </c>
      <c r="F68" s="11" t="s">
        <v>617</v>
      </c>
      <c r="G68" s="11" t="s">
        <v>595</v>
      </c>
    </row>
    <row r="69" spans="1:7" x14ac:dyDescent="0.4">
      <c r="A69" s="8"/>
      <c r="B69" s="14">
        <v>93</v>
      </c>
      <c r="C69" s="14">
        <v>1</v>
      </c>
      <c r="D69" s="11" t="s">
        <v>613</v>
      </c>
      <c r="E69" s="11" t="s">
        <v>162</v>
      </c>
      <c r="F69" s="11" t="s">
        <v>617</v>
      </c>
      <c r="G69" s="11" t="s">
        <v>616</v>
      </c>
    </row>
    <row r="70" spans="1:7" x14ac:dyDescent="0.4">
      <c r="A70" s="8"/>
      <c r="B70" s="14">
        <v>93</v>
      </c>
      <c r="C70" s="14">
        <v>1</v>
      </c>
      <c r="D70" s="11" t="s">
        <v>614</v>
      </c>
      <c r="E70" s="11" t="s">
        <v>157</v>
      </c>
      <c r="F70" s="11" t="s">
        <v>617</v>
      </c>
      <c r="G70" s="11" t="s">
        <v>595</v>
      </c>
    </row>
    <row r="71" spans="1:7" x14ac:dyDescent="0.4">
      <c r="A71" s="8"/>
      <c r="B71" s="14">
        <v>93</v>
      </c>
      <c r="C71" s="14">
        <v>2</v>
      </c>
      <c r="D71" s="11" t="s">
        <v>613</v>
      </c>
      <c r="E71" s="11" t="s">
        <v>162</v>
      </c>
      <c r="F71" s="11" t="s">
        <v>617</v>
      </c>
      <c r="G71" s="11" t="s">
        <v>616</v>
      </c>
    </row>
    <row r="72" spans="1:7" x14ac:dyDescent="0.4">
      <c r="A72" s="8"/>
      <c r="B72" s="14">
        <v>93</v>
      </c>
      <c r="C72" s="14">
        <v>2</v>
      </c>
      <c r="D72" s="11" t="s">
        <v>614</v>
      </c>
      <c r="E72" s="11" t="s">
        <v>157</v>
      </c>
      <c r="F72" s="11" t="s">
        <v>617</v>
      </c>
      <c r="G72" s="11" t="s">
        <v>595</v>
      </c>
    </row>
    <row r="73" spans="1:7" x14ac:dyDescent="0.4">
      <c r="A73" s="8"/>
      <c r="B73" s="14">
        <v>94</v>
      </c>
      <c r="C73" s="14">
        <v>1</v>
      </c>
      <c r="D73" s="11" t="s">
        <v>613</v>
      </c>
      <c r="E73" s="11" t="s">
        <v>165</v>
      </c>
      <c r="F73" s="11" t="s">
        <v>617</v>
      </c>
      <c r="G73" s="11" t="s">
        <v>616</v>
      </c>
    </row>
    <row r="74" spans="1:7" x14ac:dyDescent="0.4">
      <c r="A74" s="8"/>
      <c r="B74" s="14">
        <v>94</v>
      </c>
      <c r="C74" s="14">
        <v>1</v>
      </c>
      <c r="D74" s="11" t="s">
        <v>614</v>
      </c>
      <c r="E74" s="11" t="s">
        <v>166</v>
      </c>
      <c r="F74" s="11" t="s">
        <v>617</v>
      </c>
      <c r="G74" s="11" t="s">
        <v>616</v>
      </c>
    </row>
    <row r="75" spans="1:7" x14ac:dyDescent="0.4">
      <c r="A75" s="8"/>
      <c r="B75" s="14">
        <v>94</v>
      </c>
      <c r="C75" s="14">
        <v>1</v>
      </c>
      <c r="D75" s="11" t="s">
        <v>596</v>
      </c>
      <c r="E75" s="11" t="s">
        <v>158</v>
      </c>
      <c r="F75" s="11" t="s">
        <v>617</v>
      </c>
      <c r="G75" s="11" t="s">
        <v>595</v>
      </c>
    </row>
    <row r="76" spans="1:7" x14ac:dyDescent="0.4">
      <c r="A76" s="8"/>
      <c r="B76" s="14">
        <v>94</v>
      </c>
      <c r="C76" s="14">
        <v>2</v>
      </c>
      <c r="D76" s="11" t="s">
        <v>613</v>
      </c>
      <c r="E76" s="11" t="s">
        <v>165</v>
      </c>
      <c r="F76" s="11" t="s">
        <v>617</v>
      </c>
      <c r="G76" s="11" t="s">
        <v>616</v>
      </c>
    </row>
    <row r="77" spans="1:7" x14ac:dyDescent="0.4">
      <c r="A77" s="8"/>
      <c r="B77" s="14">
        <v>94</v>
      </c>
      <c r="C77" s="14">
        <v>2</v>
      </c>
      <c r="D77" s="11" t="s">
        <v>614</v>
      </c>
      <c r="E77" s="11" t="s">
        <v>166</v>
      </c>
      <c r="F77" s="11" t="s">
        <v>617</v>
      </c>
      <c r="G77" s="11" t="s">
        <v>616</v>
      </c>
    </row>
    <row r="78" spans="1:7" ht="18" customHeight="1" x14ac:dyDescent="0.4">
      <c r="A78" s="8"/>
      <c r="B78" s="14">
        <v>94</v>
      </c>
      <c r="C78" s="14">
        <v>2</v>
      </c>
      <c r="D78" s="11" t="s">
        <v>596</v>
      </c>
      <c r="E78" s="11" t="s">
        <v>158</v>
      </c>
      <c r="F78" s="11" t="s">
        <v>617</v>
      </c>
      <c r="G78" s="11" t="s">
        <v>595</v>
      </c>
    </row>
    <row r="79" spans="1:7" x14ac:dyDescent="0.4">
      <c r="A79" s="8"/>
      <c r="B79" s="14">
        <v>95</v>
      </c>
      <c r="C79" s="14">
        <v>1</v>
      </c>
      <c r="D79" s="11" t="s">
        <v>613</v>
      </c>
      <c r="E79" s="11" t="s">
        <v>163</v>
      </c>
      <c r="F79" s="11" t="s">
        <v>617</v>
      </c>
      <c r="G79" s="11" t="s">
        <v>616</v>
      </c>
    </row>
    <row r="80" spans="1:7" x14ac:dyDescent="0.4">
      <c r="A80" s="8"/>
      <c r="B80" s="14">
        <v>95</v>
      </c>
      <c r="C80" s="14">
        <v>1</v>
      </c>
      <c r="D80" s="11" t="s">
        <v>614</v>
      </c>
      <c r="E80" s="11" t="s">
        <v>164</v>
      </c>
      <c r="F80" s="11" t="s">
        <v>617</v>
      </c>
      <c r="G80" s="11" t="s">
        <v>616</v>
      </c>
    </row>
    <row r="81" spans="1:7" x14ac:dyDescent="0.4">
      <c r="A81" s="8"/>
      <c r="B81" s="14">
        <v>95</v>
      </c>
      <c r="C81" s="14">
        <v>1</v>
      </c>
      <c r="D81" s="11" t="s">
        <v>596</v>
      </c>
      <c r="E81" s="11" t="s">
        <v>166</v>
      </c>
      <c r="F81" s="11" t="s">
        <v>617</v>
      </c>
      <c r="G81" s="11" t="s">
        <v>616</v>
      </c>
    </row>
    <row r="82" spans="1:7" x14ac:dyDescent="0.4">
      <c r="A82" s="8"/>
      <c r="B82" s="14">
        <v>95</v>
      </c>
      <c r="C82" s="14">
        <v>2</v>
      </c>
      <c r="D82" s="11" t="s">
        <v>613</v>
      </c>
      <c r="E82" s="11" t="s">
        <v>163</v>
      </c>
      <c r="F82" s="11" t="s">
        <v>617</v>
      </c>
      <c r="G82" s="11" t="s">
        <v>616</v>
      </c>
    </row>
    <row r="83" spans="1:7" x14ac:dyDescent="0.4">
      <c r="A83" s="8"/>
      <c r="B83" s="14">
        <v>95</v>
      </c>
      <c r="C83" s="14">
        <v>2</v>
      </c>
      <c r="D83" s="11" t="s">
        <v>614</v>
      </c>
      <c r="E83" s="11" t="s">
        <v>164</v>
      </c>
      <c r="F83" s="11" t="s">
        <v>617</v>
      </c>
      <c r="G83" s="11" t="s">
        <v>616</v>
      </c>
    </row>
    <row r="84" spans="1:7" ht="18" customHeight="1" x14ac:dyDescent="0.4">
      <c r="A84" s="8"/>
      <c r="B84" s="14">
        <v>95</v>
      </c>
      <c r="C84" s="14">
        <v>2</v>
      </c>
      <c r="D84" s="11" t="s">
        <v>596</v>
      </c>
      <c r="E84" s="11" t="s">
        <v>166</v>
      </c>
      <c r="F84" s="11" t="s">
        <v>617</v>
      </c>
      <c r="G84" s="11" t="s">
        <v>616</v>
      </c>
    </row>
    <row r="85" spans="1:7" x14ac:dyDescent="0.4">
      <c r="A85" s="8"/>
      <c r="B85" s="14">
        <v>96</v>
      </c>
      <c r="C85" s="14">
        <v>1</v>
      </c>
      <c r="D85" s="11" t="s">
        <v>613</v>
      </c>
      <c r="E85" s="11" t="s">
        <v>162</v>
      </c>
      <c r="F85" s="11" t="s">
        <v>617</v>
      </c>
      <c r="G85" s="11" t="s">
        <v>616</v>
      </c>
    </row>
    <row r="86" spans="1:7" x14ac:dyDescent="0.4">
      <c r="A86" s="8"/>
      <c r="B86" s="14">
        <v>96</v>
      </c>
      <c r="C86" s="14">
        <v>1</v>
      </c>
      <c r="D86" s="11" t="s">
        <v>614</v>
      </c>
      <c r="E86" s="11" t="s">
        <v>165</v>
      </c>
      <c r="F86" s="11" t="s">
        <v>617</v>
      </c>
      <c r="G86" s="11" t="s">
        <v>616</v>
      </c>
    </row>
    <row r="87" spans="1:7" x14ac:dyDescent="0.4">
      <c r="A87" s="8"/>
      <c r="B87" s="14">
        <v>96</v>
      </c>
      <c r="C87" s="14">
        <v>1</v>
      </c>
      <c r="D87" s="11" t="s">
        <v>596</v>
      </c>
      <c r="E87" s="11" t="s">
        <v>166</v>
      </c>
      <c r="F87" s="11" t="s">
        <v>617</v>
      </c>
      <c r="G87" s="11" t="s">
        <v>616</v>
      </c>
    </row>
    <row r="88" spans="1:7" x14ac:dyDescent="0.4">
      <c r="A88" s="8"/>
      <c r="B88" s="14">
        <v>96</v>
      </c>
      <c r="C88" s="14">
        <v>1</v>
      </c>
      <c r="D88" s="11" t="s">
        <v>615</v>
      </c>
      <c r="E88" s="11" t="s">
        <v>157</v>
      </c>
      <c r="F88" s="11" t="s">
        <v>617</v>
      </c>
      <c r="G88" s="11" t="s">
        <v>595</v>
      </c>
    </row>
    <row r="89" spans="1:7" x14ac:dyDescent="0.4">
      <c r="A89" s="8"/>
      <c r="B89" s="14">
        <v>96</v>
      </c>
      <c r="C89" s="14">
        <v>1</v>
      </c>
      <c r="D89" s="11" t="s">
        <v>727</v>
      </c>
      <c r="E89" s="11" t="s">
        <v>158</v>
      </c>
      <c r="F89" s="11" t="s">
        <v>617</v>
      </c>
      <c r="G89" s="11" t="s">
        <v>595</v>
      </c>
    </row>
    <row r="90" spans="1:7" x14ac:dyDescent="0.4">
      <c r="A90" s="8"/>
      <c r="B90" s="14">
        <v>96</v>
      </c>
      <c r="C90" s="14">
        <v>2</v>
      </c>
      <c r="D90" s="11" t="s">
        <v>613</v>
      </c>
      <c r="E90" s="11" t="s">
        <v>162</v>
      </c>
      <c r="F90" s="11" t="s">
        <v>617</v>
      </c>
      <c r="G90" s="11" t="s">
        <v>616</v>
      </c>
    </row>
    <row r="91" spans="1:7" x14ac:dyDescent="0.4">
      <c r="A91" s="8"/>
      <c r="B91" s="14">
        <v>96</v>
      </c>
      <c r="C91" s="14">
        <v>2</v>
      </c>
      <c r="D91" s="11" t="s">
        <v>614</v>
      </c>
      <c r="E91" s="11" t="s">
        <v>165</v>
      </c>
      <c r="F91" s="11" t="s">
        <v>617</v>
      </c>
      <c r="G91" s="11" t="s">
        <v>616</v>
      </c>
    </row>
    <row r="92" spans="1:7" x14ac:dyDescent="0.4">
      <c r="A92" s="8"/>
      <c r="B92" s="14">
        <v>96</v>
      </c>
      <c r="C92" s="14">
        <v>2</v>
      </c>
      <c r="D92" s="11" t="s">
        <v>596</v>
      </c>
      <c r="E92" s="11" t="s">
        <v>166</v>
      </c>
      <c r="F92" s="11" t="s">
        <v>617</v>
      </c>
      <c r="G92" s="11" t="s">
        <v>616</v>
      </c>
    </row>
    <row r="93" spans="1:7" x14ac:dyDescent="0.4">
      <c r="A93" s="8"/>
      <c r="B93" s="14">
        <v>96</v>
      </c>
      <c r="C93" s="14">
        <v>2</v>
      </c>
      <c r="D93" s="11" t="s">
        <v>615</v>
      </c>
      <c r="E93" s="11" t="s">
        <v>157</v>
      </c>
      <c r="F93" s="11" t="s">
        <v>617</v>
      </c>
      <c r="G93" s="11" t="s">
        <v>595</v>
      </c>
    </row>
    <row r="94" spans="1:7" x14ac:dyDescent="0.4">
      <c r="A94" s="8"/>
      <c r="B94" s="14">
        <v>96</v>
      </c>
      <c r="C94" s="14">
        <v>2</v>
      </c>
      <c r="D94" s="11" t="s">
        <v>727</v>
      </c>
      <c r="E94" s="11" t="s">
        <v>158</v>
      </c>
      <c r="F94" s="11" t="s">
        <v>617</v>
      </c>
      <c r="G94" s="11" t="s">
        <v>595</v>
      </c>
    </row>
    <row r="95" spans="1:7" x14ac:dyDescent="0.4">
      <c r="A95" s="8"/>
      <c r="B95" s="14">
        <v>97</v>
      </c>
      <c r="C95" s="14">
        <v>1</v>
      </c>
      <c r="D95" s="11" t="s">
        <v>613</v>
      </c>
      <c r="E95" s="11" t="s">
        <v>162</v>
      </c>
      <c r="F95" s="11" t="s">
        <v>617</v>
      </c>
      <c r="G95" s="11" t="s">
        <v>616</v>
      </c>
    </row>
    <row r="96" spans="1:7" x14ac:dyDescent="0.4">
      <c r="A96" s="8"/>
      <c r="B96" s="14">
        <v>97</v>
      </c>
      <c r="C96" s="14">
        <v>1</v>
      </c>
      <c r="D96" s="11" t="s">
        <v>614</v>
      </c>
      <c r="E96" s="11" t="s">
        <v>165</v>
      </c>
      <c r="F96" s="11" t="s">
        <v>617</v>
      </c>
      <c r="G96" s="11" t="s">
        <v>616</v>
      </c>
    </row>
    <row r="97" spans="1:7" x14ac:dyDescent="0.4">
      <c r="A97" s="8"/>
      <c r="B97" s="14">
        <v>97</v>
      </c>
      <c r="C97" s="14">
        <v>1</v>
      </c>
      <c r="D97" s="11" t="s">
        <v>596</v>
      </c>
      <c r="E97" s="11" t="s">
        <v>166</v>
      </c>
      <c r="F97" s="11" t="s">
        <v>617</v>
      </c>
      <c r="G97" s="11" t="s">
        <v>616</v>
      </c>
    </row>
    <row r="98" spans="1:7" x14ac:dyDescent="0.4">
      <c r="A98" s="8"/>
      <c r="B98" s="14">
        <v>97</v>
      </c>
      <c r="C98" s="14">
        <v>1</v>
      </c>
      <c r="D98" s="11" t="s">
        <v>862</v>
      </c>
      <c r="E98" s="11" t="s">
        <v>158</v>
      </c>
      <c r="F98" s="11" t="s">
        <v>617</v>
      </c>
      <c r="G98" s="11" t="s">
        <v>595</v>
      </c>
    </row>
    <row r="99" spans="1:7" x14ac:dyDescent="0.4">
      <c r="A99" s="8"/>
      <c r="B99" s="14">
        <v>97</v>
      </c>
      <c r="C99" s="14">
        <v>2</v>
      </c>
      <c r="D99" s="11" t="s">
        <v>613</v>
      </c>
      <c r="E99" s="11" t="s">
        <v>162</v>
      </c>
      <c r="F99" s="11" t="s">
        <v>617</v>
      </c>
      <c r="G99" s="11" t="s">
        <v>616</v>
      </c>
    </row>
    <row r="100" spans="1:7" x14ac:dyDescent="0.4">
      <c r="A100" s="8"/>
      <c r="B100" s="14">
        <v>97</v>
      </c>
      <c r="C100" s="14">
        <v>2</v>
      </c>
      <c r="D100" s="11" t="s">
        <v>614</v>
      </c>
      <c r="E100" s="11" t="s">
        <v>165</v>
      </c>
      <c r="F100" s="11" t="s">
        <v>617</v>
      </c>
      <c r="G100" s="11" t="s">
        <v>616</v>
      </c>
    </row>
    <row r="101" spans="1:7" x14ac:dyDescent="0.4">
      <c r="A101" s="8"/>
      <c r="B101" s="14">
        <v>97</v>
      </c>
      <c r="C101" s="14">
        <v>2</v>
      </c>
      <c r="D101" s="11" t="s">
        <v>596</v>
      </c>
      <c r="E101" s="11" t="s">
        <v>166</v>
      </c>
      <c r="F101" s="11" t="s">
        <v>617</v>
      </c>
      <c r="G101" s="11" t="s">
        <v>616</v>
      </c>
    </row>
    <row r="102" spans="1:7" x14ac:dyDescent="0.4">
      <c r="A102" s="8"/>
      <c r="B102" s="14">
        <v>97</v>
      </c>
      <c r="C102" s="14">
        <v>2</v>
      </c>
      <c r="D102" s="11" t="s">
        <v>862</v>
      </c>
      <c r="E102" s="11" t="s">
        <v>158</v>
      </c>
      <c r="F102" s="11" t="s">
        <v>617</v>
      </c>
      <c r="G102" s="11" t="s">
        <v>595</v>
      </c>
    </row>
    <row r="103" spans="1:7" x14ac:dyDescent="0.4">
      <c r="A103" s="8"/>
      <c r="B103" s="14">
        <v>98</v>
      </c>
      <c r="C103" s="14">
        <v>1</v>
      </c>
      <c r="D103" s="11" t="s">
        <v>613</v>
      </c>
      <c r="E103" s="11" t="s">
        <v>162</v>
      </c>
      <c r="F103" s="11" t="s">
        <v>617</v>
      </c>
      <c r="G103" s="11" t="s">
        <v>616</v>
      </c>
    </row>
    <row r="104" spans="1:7" x14ac:dyDescent="0.4">
      <c r="A104" s="8"/>
      <c r="B104" s="14">
        <v>98</v>
      </c>
      <c r="C104" s="14">
        <v>1</v>
      </c>
      <c r="D104" s="11" t="s">
        <v>614</v>
      </c>
      <c r="E104" s="11" t="s">
        <v>166</v>
      </c>
      <c r="F104" s="11" t="s">
        <v>617</v>
      </c>
      <c r="G104" s="11" t="s">
        <v>616</v>
      </c>
    </row>
    <row r="105" spans="1:7" x14ac:dyDescent="0.4">
      <c r="A105" s="8"/>
      <c r="B105" s="14">
        <v>98</v>
      </c>
      <c r="C105" s="14">
        <v>2</v>
      </c>
      <c r="D105" s="11" t="s">
        <v>613</v>
      </c>
      <c r="E105" s="11" t="s">
        <v>162</v>
      </c>
      <c r="F105" s="11" t="s">
        <v>617</v>
      </c>
      <c r="G105" s="11" t="s">
        <v>616</v>
      </c>
    </row>
    <row r="106" spans="1:7" x14ac:dyDescent="0.4">
      <c r="A106" s="8"/>
      <c r="B106" s="14">
        <v>98</v>
      </c>
      <c r="C106" s="14">
        <v>2</v>
      </c>
      <c r="D106" s="11" t="s">
        <v>614</v>
      </c>
      <c r="E106" s="11" t="s">
        <v>166</v>
      </c>
      <c r="F106" s="11" t="s">
        <v>617</v>
      </c>
      <c r="G106" s="11" t="s">
        <v>616</v>
      </c>
    </row>
    <row r="107" spans="1:7" x14ac:dyDescent="0.4">
      <c r="A107" s="8"/>
      <c r="B107" s="14">
        <v>99</v>
      </c>
      <c r="C107" s="14">
        <v>1</v>
      </c>
      <c r="D107" s="11" t="s">
        <v>613</v>
      </c>
      <c r="E107" s="11" t="s">
        <v>162</v>
      </c>
      <c r="F107" s="11" t="s">
        <v>617</v>
      </c>
      <c r="G107" s="11" t="s">
        <v>616</v>
      </c>
    </row>
    <row r="108" spans="1:7" x14ac:dyDescent="0.4">
      <c r="A108" s="8"/>
      <c r="B108" s="14">
        <v>99</v>
      </c>
      <c r="C108" s="14">
        <v>1</v>
      </c>
      <c r="D108" s="11" t="s">
        <v>614</v>
      </c>
      <c r="E108" s="11" t="s">
        <v>692</v>
      </c>
      <c r="F108" s="11" t="s">
        <v>617</v>
      </c>
      <c r="G108" s="11" t="s">
        <v>616</v>
      </c>
    </row>
    <row r="109" spans="1:7" x14ac:dyDescent="0.4">
      <c r="A109" s="8"/>
      <c r="B109" s="14">
        <v>99</v>
      </c>
      <c r="C109" s="14">
        <v>1</v>
      </c>
      <c r="D109" s="11" t="s">
        <v>861</v>
      </c>
      <c r="E109" s="11" t="s">
        <v>696</v>
      </c>
      <c r="F109" s="11" t="s">
        <v>617</v>
      </c>
      <c r="G109" s="11" t="s">
        <v>616</v>
      </c>
    </row>
    <row r="110" spans="1:7" x14ac:dyDescent="0.4">
      <c r="A110" s="8"/>
      <c r="B110" s="14">
        <v>99</v>
      </c>
      <c r="C110" s="14">
        <v>1</v>
      </c>
      <c r="D110" s="11" t="s">
        <v>862</v>
      </c>
      <c r="E110" s="11" t="s">
        <v>594</v>
      </c>
      <c r="F110" s="11" t="s">
        <v>617</v>
      </c>
      <c r="G110" s="11" t="s">
        <v>616</v>
      </c>
    </row>
    <row r="111" spans="1:7" x14ac:dyDescent="0.4">
      <c r="A111" s="8"/>
      <c r="B111" s="14">
        <v>99</v>
      </c>
      <c r="C111" s="14">
        <v>1</v>
      </c>
      <c r="D111" s="11" t="s">
        <v>863</v>
      </c>
      <c r="E111" s="11" t="s">
        <v>711</v>
      </c>
      <c r="F111" s="11" t="s">
        <v>617</v>
      </c>
      <c r="G111" s="11" t="s">
        <v>616</v>
      </c>
    </row>
    <row r="112" spans="1:7" x14ac:dyDescent="0.4">
      <c r="A112" s="8"/>
      <c r="B112" s="14">
        <v>99</v>
      </c>
      <c r="C112" s="14">
        <v>1</v>
      </c>
      <c r="D112" s="11" t="s">
        <v>864</v>
      </c>
      <c r="E112" s="11" t="s">
        <v>157</v>
      </c>
      <c r="F112" s="11" t="s">
        <v>617</v>
      </c>
      <c r="G112" s="11" t="s">
        <v>595</v>
      </c>
    </row>
    <row r="113" spans="1:7" x14ac:dyDescent="0.4">
      <c r="A113" s="8"/>
      <c r="B113" s="14">
        <v>99</v>
      </c>
      <c r="C113" s="14">
        <v>1</v>
      </c>
      <c r="D113" s="11" t="s">
        <v>865</v>
      </c>
      <c r="E113" s="11" t="s">
        <v>158</v>
      </c>
      <c r="F113" s="11" t="s">
        <v>617</v>
      </c>
      <c r="G113" s="11" t="s">
        <v>595</v>
      </c>
    </row>
    <row r="114" spans="1:7" x14ac:dyDescent="0.4">
      <c r="A114" s="8"/>
      <c r="B114" s="14">
        <v>99</v>
      </c>
      <c r="C114" s="14">
        <v>2</v>
      </c>
      <c r="D114" s="11" t="s">
        <v>613</v>
      </c>
      <c r="E114" s="11" t="s">
        <v>162</v>
      </c>
      <c r="F114" s="11" t="s">
        <v>617</v>
      </c>
      <c r="G114" s="11" t="s">
        <v>616</v>
      </c>
    </row>
    <row r="115" spans="1:7" x14ac:dyDescent="0.4">
      <c r="A115" s="8"/>
      <c r="B115" s="14">
        <v>99</v>
      </c>
      <c r="C115" s="14">
        <v>2</v>
      </c>
      <c r="D115" s="11" t="s">
        <v>614</v>
      </c>
      <c r="E115" s="11" t="s">
        <v>692</v>
      </c>
      <c r="F115" s="11" t="s">
        <v>617</v>
      </c>
      <c r="G115" s="11" t="s">
        <v>616</v>
      </c>
    </row>
    <row r="116" spans="1:7" x14ac:dyDescent="0.4">
      <c r="A116" s="8"/>
      <c r="B116" s="14">
        <v>99</v>
      </c>
      <c r="C116" s="14">
        <v>2</v>
      </c>
      <c r="D116" s="11" t="s">
        <v>861</v>
      </c>
      <c r="E116" s="11" t="s">
        <v>696</v>
      </c>
      <c r="F116" s="11" t="s">
        <v>617</v>
      </c>
      <c r="G116" s="11" t="s">
        <v>616</v>
      </c>
    </row>
    <row r="117" spans="1:7" x14ac:dyDescent="0.4">
      <c r="A117" s="8"/>
      <c r="B117" s="14">
        <v>99</v>
      </c>
      <c r="C117" s="14">
        <v>2</v>
      </c>
      <c r="D117" s="11" t="s">
        <v>862</v>
      </c>
      <c r="E117" s="11" t="s">
        <v>594</v>
      </c>
      <c r="F117" s="11" t="s">
        <v>617</v>
      </c>
      <c r="G117" s="11" t="s">
        <v>616</v>
      </c>
    </row>
    <row r="118" spans="1:7" x14ac:dyDescent="0.4">
      <c r="A118" s="8"/>
      <c r="B118" s="14">
        <v>99</v>
      </c>
      <c r="C118" s="14">
        <v>2</v>
      </c>
      <c r="D118" s="11" t="s">
        <v>863</v>
      </c>
      <c r="E118" s="11" t="s">
        <v>711</v>
      </c>
      <c r="F118" s="11" t="s">
        <v>617</v>
      </c>
      <c r="G118" s="11" t="s">
        <v>616</v>
      </c>
    </row>
    <row r="119" spans="1:7" x14ac:dyDescent="0.4">
      <c r="A119" s="8"/>
      <c r="B119" s="14">
        <v>99</v>
      </c>
      <c r="C119" s="14">
        <v>2</v>
      </c>
      <c r="D119" s="11" t="s">
        <v>864</v>
      </c>
      <c r="E119" s="11" t="s">
        <v>157</v>
      </c>
      <c r="F119" s="11" t="s">
        <v>617</v>
      </c>
      <c r="G119" s="11" t="s">
        <v>595</v>
      </c>
    </row>
    <row r="120" spans="1:7" x14ac:dyDescent="0.4">
      <c r="A120" s="8"/>
      <c r="B120" s="14">
        <v>99</v>
      </c>
      <c r="C120" s="14">
        <v>2</v>
      </c>
      <c r="D120" s="11" t="s">
        <v>865</v>
      </c>
      <c r="E120" s="11" t="s">
        <v>158</v>
      </c>
      <c r="F120" s="11" t="s">
        <v>617</v>
      </c>
      <c r="G120" s="11" t="s">
        <v>595</v>
      </c>
    </row>
    <row r="121" spans="1:7" x14ac:dyDescent="0.4">
      <c r="A121" s="8"/>
      <c r="B121" s="14">
        <v>100</v>
      </c>
      <c r="C121" s="14">
        <v>1</v>
      </c>
      <c r="D121" s="11" t="s">
        <v>613</v>
      </c>
      <c r="E121" s="11" t="s">
        <v>162</v>
      </c>
      <c r="F121" s="11" t="s">
        <v>617</v>
      </c>
      <c r="G121" s="11" t="s">
        <v>616</v>
      </c>
    </row>
    <row r="122" spans="1:7" x14ac:dyDescent="0.4">
      <c r="A122" s="8"/>
      <c r="B122" s="14">
        <v>100</v>
      </c>
      <c r="C122" s="14">
        <v>1</v>
      </c>
      <c r="D122" s="11" t="s">
        <v>614</v>
      </c>
      <c r="E122" s="11" t="s">
        <v>692</v>
      </c>
      <c r="F122" s="11" t="s">
        <v>617</v>
      </c>
      <c r="G122" s="11" t="s">
        <v>616</v>
      </c>
    </row>
    <row r="123" spans="1:7" x14ac:dyDescent="0.4">
      <c r="A123" s="8"/>
      <c r="B123" s="14">
        <v>100</v>
      </c>
      <c r="C123" s="14">
        <v>1</v>
      </c>
      <c r="D123" s="11" t="s">
        <v>861</v>
      </c>
      <c r="E123" s="11" t="s">
        <v>696</v>
      </c>
      <c r="F123" s="11" t="s">
        <v>617</v>
      </c>
      <c r="G123" s="11" t="s">
        <v>616</v>
      </c>
    </row>
    <row r="124" spans="1:7" x14ac:dyDescent="0.4">
      <c r="A124" s="8"/>
      <c r="B124" s="14">
        <v>100</v>
      </c>
      <c r="C124" s="14">
        <v>1</v>
      </c>
      <c r="D124" s="11" t="s">
        <v>862</v>
      </c>
      <c r="E124" s="11" t="s">
        <v>594</v>
      </c>
      <c r="F124" s="11" t="s">
        <v>617</v>
      </c>
      <c r="G124" s="11" t="s">
        <v>616</v>
      </c>
    </row>
    <row r="125" spans="1:7" x14ac:dyDescent="0.4">
      <c r="A125" s="8"/>
      <c r="B125" s="14">
        <v>100</v>
      </c>
      <c r="C125" s="14">
        <v>1</v>
      </c>
      <c r="D125" s="11" t="s">
        <v>863</v>
      </c>
      <c r="E125" s="11" t="s">
        <v>711</v>
      </c>
      <c r="F125" s="11" t="s">
        <v>617</v>
      </c>
      <c r="G125" s="11" t="s">
        <v>616</v>
      </c>
    </row>
    <row r="126" spans="1:7" x14ac:dyDescent="0.4">
      <c r="A126" s="8"/>
      <c r="B126" s="14">
        <v>100</v>
      </c>
      <c r="C126" s="14">
        <v>1</v>
      </c>
      <c r="D126" s="11" t="s">
        <v>864</v>
      </c>
      <c r="E126" s="11" t="s">
        <v>156</v>
      </c>
      <c r="F126" s="11" t="s">
        <v>617</v>
      </c>
      <c r="G126" s="11" t="s">
        <v>595</v>
      </c>
    </row>
    <row r="127" spans="1:7" x14ac:dyDescent="0.4">
      <c r="A127" s="8"/>
      <c r="B127" s="14">
        <v>100</v>
      </c>
      <c r="C127" s="14">
        <v>1</v>
      </c>
      <c r="D127" s="11" t="s">
        <v>847</v>
      </c>
      <c r="E127" s="11" t="s">
        <v>157</v>
      </c>
      <c r="F127" s="11" t="s">
        <v>617</v>
      </c>
      <c r="G127" s="11" t="s">
        <v>595</v>
      </c>
    </row>
    <row r="128" spans="1:7" x14ac:dyDescent="0.4">
      <c r="A128" s="8"/>
      <c r="B128" s="14">
        <v>100</v>
      </c>
      <c r="C128" s="14">
        <v>1</v>
      </c>
      <c r="D128" s="11" t="s">
        <v>986</v>
      </c>
      <c r="E128" s="11" t="s">
        <v>158</v>
      </c>
      <c r="F128" s="11" t="s">
        <v>617</v>
      </c>
      <c r="G128" s="11" t="s">
        <v>595</v>
      </c>
    </row>
    <row r="129" spans="1:7" x14ac:dyDescent="0.4">
      <c r="A129" s="8"/>
      <c r="B129" s="14">
        <v>100</v>
      </c>
      <c r="C129" s="14">
        <v>2</v>
      </c>
      <c r="D129" s="11" t="s">
        <v>613</v>
      </c>
      <c r="E129" s="11" t="s">
        <v>162</v>
      </c>
      <c r="F129" s="11" t="s">
        <v>617</v>
      </c>
      <c r="G129" s="11" t="s">
        <v>616</v>
      </c>
    </row>
    <row r="130" spans="1:7" x14ac:dyDescent="0.4">
      <c r="A130" s="8"/>
      <c r="B130" s="14">
        <v>100</v>
      </c>
      <c r="C130" s="14">
        <v>2</v>
      </c>
      <c r="D130" s="11" t="s">
        <v>614</v>
      </c>
      <c r="E130" s="11" t="s">
        <v>692</v>
      </c>
      <c r="F130" s="11" t="s">
        <v>617</v>
      </c>
      <c r="G130" s="11" t="s">
        <v>616</v>
      </c>
    </row>
    <row r="131" spans="1:7" x14ac:dyDescent="0.4">
      <c r="A131" s="8"/>
      <c r="B131" s="14">
        <v>100</v>
      </c>
      <c r="C131" s="14">
        <v>2</v>
      </c>
      <c r="D131" s="11" t="s">
        <v>861</v>
      </c>
      <c r="E131" s="11" t="s">
        <v>696</v>
      </c>
      <c r="F131" s="11" t="s">
        <v>617</v>
      </c>
      <c r="G131" s="11" t="s">
        <v>616</v>
      </c>
    </row>
    <row r="132" spans="1:7" x14ac:dyDescent="0.4">
      <c r="A132" s="8"/>
      <c r="B132" s="14">
        <v>100</v>
      </c>
      <c r="C132" s="14">
        <v>2</v>
      </c>
      <c r="D132" s="11" t="s">
        <v>862</v>
      </c>
      <c r="E132" s="11" t="s">
        <v>594</v>
      </c>
      <c r="F132" s="11" t="s">
        <v>617</v>
      </c>
      <c r="G132" s="11" t="s">
        <v>616</v>
      </c>
    </row>
    <row r="133" spans="1:7" x14ac:dyDescent="0.4">
      <c r="A133" s="8"/>
      <c r="B133" s="14">
        <v>100</v>
      </c>
      <c r="C133" s="14">
        <v>2</v>
      </c>
      <c r="D133" s="11" t="s">
        <v>863</v>
      </c>
      <c r="E133" s="11" t="s">
        <v>711</v>
      </c>
      <c r="F133" s="11" t="s">
        <v>617</v>
      </c>
      <c r="G133" s="11" t="s">
        <v>616</v>
      </c>
    </row>
    <row r="134" spans="1:7" x14ac:dyDescent="0.4">
      <c r="A134" s="8"/>
      <c r="B134" s="14">
        <v>100</v>
      </c>
      <c r="C134" s="14">
        <v>2</v>
      </c>
      <c r="D134" s="11" t="s">
        <v>864</v>
      </c>
      <c r="E134" s="11" t="s">
        <v>156</v>
      </c>
      <c r="F134" s="11" t="s">
        <v>617</v>
      </c>
      <c r="G134" s="11" t="s">
        <v>595</v>
      </c>
    </row>
    <row r="135" spans="1:7" x14ac:dyDescent="0.4">
      <c r="A135" s="8"/>
      <c r="B135" s="14">
        <v>100</v>
      </c>
      <c r="C135" s="14">
        <v>2</v>
      </c>
      <c r="D135" s="11" t="s">
        <v>847</v>
      </c>
      <c r="E135" s="11" t="s">
        <v>157</v>
      </c>
      <c r="F135" s="11" t="s">
        <v>617</v>
      </c>
      <c r="G135" s="11" t="s">
        <v>595</v>
      </c>
    </row>
    <row r="136" spans="1:7" x14ac:dyDescent="0.4">
      <c r="A136" s="8"/>
      <c r="B136" s="14">
        <v>100</v>
      </c>
      <c r="C136" s="14">
        <v>2</v>
      </c>
      <c r="D136" s="11" t="s">
        <v>986</v>
      </c>
      <c r="E136" s="11" t="s">
        <v>158</v>
      </c>
      <c r="F136" s="11" t="s">
        <v>617</v>
      </c>
      <c r="G136" s="11" t="s">
        <v>595</v>
      </c>
    </row>
    <row r="137" spans="1:7" x14ac:dyDescent="0.4">
      <c r="A137" s="8"/>
      <c r="B137" s="14">
        <v>100</v>
      </c>
      <c r="C137" s="14">
        <v>3</v>
      </c>
      <c r="D137" s="11" t="s">
        <v>613</v>
      </c>
      <c r="E137" s="11" t="s">
        <v>162</v>
      </c>
      <c r="F137" s="11" t="s">
        <v>617</v>
      </c>
      <c r="G137" s="11" t="s">
        <v>616</v>
      </c>
    </row>
    <row r="138" spans="1:7" x14ac:dyDescent="0.4">
      <c r="A138" s="8"/>
      <c r="B138" s="14">
        <v>100</v>
      </c>
      <c r="C138" s="14">
        <v>3</v>
      </c>
      <c r="D138" s="11" t="s">
        <v>614</v>
      </c>
      <c r="E138" s="11" t="s">
        <v>692</v>
      </c>
      <c r="F138" s="11" t="s">
        <v>617</v>
      </c>
      <c r="G138" s="11" t="s">
        <v>616</v>
      </c>
    </row>
    <row r="139" spans="1:7" x14ac:dyDescent="0.4">
      <c r="A139" s="8"/>
      <c r="B139" s="14">
        <v>100</v>
      </c>
      <c r="C139" s="14">
        <v>3</v>
      </c>
      <c r="D139" s="11" t="s">
        <v>861</v>
      </c>
      <c r="E139" s="11" t="s">
        <v>696</v>
      </c>
      <c r="F139" s="11" t="s">
        <v>617</v>
      </c>
      <c r="G139" s="11" t="s">
        <v>616</v>
      </c>
    </row>
    <row r="140" spans="1:7" x14ac:dyDescent="0.4">
      <c r="A140" s="8"/>
      <c r="B140" s="14">
        <v>100</v>
      </c>
      <c r="C140" s="14">
        <v>3</v>
      </c>
      <c r="D140" s="11" t="s">
        <v>862</v>
      </c>
      <c r="E140" s="11" t="s">
        <v>594</v>
      </c>
      <c r="F140" s="11" t="s">
        <v>617</v>
      </c>
      <c r="G140" s="11" t="s">
        <v>616</v>
      </c>
    </row>
    <row r="141" spans="1:7" x14ac:dyDescent="0.4">
      <c r="A141" s="8"/>
      <c r="B141" s="14">
        <v>100</v>
      </c>
      <c r="C141" s="14">
        <v>3</v>
      </c>
      <c r="D141" s="11" t="s">
        <v>863</v>
      </c>
      <c r="E141" s="11" t="s">
        <v>711</v>
      </c>
      <c r="F141" s="11" t="s">
        <v>617</v>
      </c>
      <c r="G141" s="11" t="s">
        <v>616</v>
      </c>
    </row>
    <row r="142" spans="1:7" x14ac:dyDescent="0.4">
      <c r="A142" s="8"/>
      <c r="B142" s="14">
        <v>100</v>
      </c>
      <c r="C142" s="14">
        <v>3</v>
      </c>
      <c r="D142" s="11" t="s">
        <v>864</v>
      </c>
      <c r="E142" s="11" t="s">
        <v>156</v>
      </c>
      <c r="F142" s="11" t="s">
        <v>617</v>
      </c>
      <c r="G142" s="11" t="s">
        <v>595</v>
      </c>
    </row>
    <row r="143" spans="1:7" x14ac:dyDescent="0.4">
      <c r="A143" s="8"/>
      <c r="B143" s="14">
        <v>100</v>
      </c>
      <c r="C143" s="14">
        <v>3</v>
      </c>
      <c r="D143" s="11" t="s">
        <v>847</v>
      </c>
      <c r="E143" s="11" t="s">
        <v>157</v>
      </c>
      <c r="F143" s="11" t="s">
        <v>617</v>
      </c>
      <c r="G143" s="11" t="s">
        <v>595</v>
      </c>
    </row>
    <row r="144" spans="1:7" x14ac:dyDescent="0.4">
      <c r="A144" s="8"/>
      <c r="B144" s="14">
        <v>100</v>
      </c>
      <c r="C144" s="14">
        <v>3</v>
      </c>
      <c r="D144" s="11" t="s">
        <v>986</v>
      </c>
      <c r="E144" s="11" t="s">
        <v>158</v>
      </c>
      <c r="F144" s="11" t="s">
        <v>617</v>
      </c>
      <c r="G144" s="11" t="s">
        <v>595</v>
      </c>
    </row>
    <row r="145" spans="1:7" x14ac:dyDescent="0.4">
      <c r="A145" s="8"/>
      <c r="B145" s="14">
        <v>101</v>
      </c>
      <c r="C145" s="14">
        <v>1</v>
      </c>
      <c r="D145" s="11" t="s">
        <v>613</v>
      </c>
      <c r="E145" s="11" t="s">
        <v>162</v>
      </c>
      <c r="F145" s="11" t="s">
        <v>617</v>
      </c>
      <c r="G145" s="11" t="s">
        <v>616</v>
      </c>
    </row>
    <row r="146" spans="1:7" x14ac:dyDescent="0.4">
      <c r="A146" s="8"/>
      <c r="B146" s="14">
        <v>101</v>
      </c>
      <c r="C146" s="14">
        <v>1</v>
      </c>
      <c r="D146" s="11" t="s">
        <v>614</v>
      </c>
      <c r="E146" s="11" t="s">
        <v>692</v>
      </c>
      <c r="F146" s="11" t="s">
        <v>617</v>
      </c>
      <c r="G146" s="11" t="s">
        <v>616</v>
      </c>
    </row>
    <row r="147" spans="1:7" x14ac:dyDescent="0.4">
      <c r="A147" s="8"/>
      <c r="B147" s="14">
        <v>101</v>
      </c>
      <c r="C147" s="14">
        <v>1</v>
      </c>
      <c r="D147" s="11" t="s">
        <v>861</v>
      </c>
      <c r="E147" s="11" t="s">
        <v>696</v>
      </c>
      <c r="F147" s="11" t="s">
        <v>617</v>
      </c>
      <c r="G147" s="11" t="s">
        <v>616</v>
      </c>
    </row>
    <row r="148" spans="1:7" x14ac:dyDescent="0.4">
      <c r="A148" s="8"/>
      <c r="B148" s="14">
        <v>101</v>
      </c>
      <c r="C148" s="14">
        <v>1</v>
      </c>
      <c r="D148" s="11" t="s">
        <v>862</v>
      </c>
      <c r="E148" s="11" t="s">
        <v>594</v>
      </c>
      <c r="F148" s="11" t="s">
        <v>617</v>
      </c>
      <c r="G148" s="11" t="s">
        <v>616</v>
      </c>
    </row>
    <row r="149" spans="1:7" x14ac:dyDescent="0.4">
      <c r="A149" s="8"/>
      <c r="B149" s="14">
        <v>101</v>
      </c>
      <c r="C149" s="14">
        <v>1</v>
      </c>
      <c r="D149" s="11" t="s">
        <v>863</v>
      </c>
      <c r="E149" s="11" t="s">
        <v>711</v>
      </c>
      <c r="F149" s="11" t="s">
        <v>617</v>
      </c>
      <c r="G149" s="11" t="s">
        <v>616</v>
      </c>
    </row>
    <row r="150" spans="1:7" x14ac:dyDescent="0.4">
      <c r="A150" s="8"/>
      <c r="B150" s="14">
        <v>101</v>
      </c>
      <c r="C150" s="14">
        <v>1</v>
      </c>
      <c r="D150" s="11" t="s">
        <v>864</v>
      </c>
      <c r="E150" s="11" t="s">
        <v>156</v>
      </c>
      <c r="F150" s="11" t="s">
        <v>617</v>
      </c>
      <c r="G150" s="11" t="s">
        <v>595</v>
      </c>
    </row>
    <row r="151" spans="1:7" x14ac:dyDescent="0.4">
      <c r="A151" s="8"/>
      <c r="B151" s="14">
        <v>101</v>
      </c>
      <c r="C151" s="14">
        <v>1</v>
      </c>
      <c r="D151" s="11" t="s">
        <v>847</v>
      </c>
      <c r="E151" s="11" t="s">
        <v>157</v>
      </c>
      <c r="F151" s="11" t="s">
        <v>617</v>
      </c>
      <c r="G151" s="11" t="s">
        <v>595</v>
      </c>
    </row>
    <row r="152" spans="1:7" x14ac:dyDescent="0.4">
      <c r="A152" s="8"/>
      <c r="B152" s="14">
        <v>101</v>
      </c>
      <c r="C152" s="14">
        <v>1</v>
      </c>
      <c r="D152" s="11" t="s">
        <v>986</v>
      </c>
      <c r="E152" s="11" t="s">
        <v>158</v>
      </c>
      <c r="F152" s="11" t="s">
        <v>617</v>
      </c>
      <c r="G152" s="11" t="s">
        <v>595</v>
      </c>
    </row>
    <row r="153" spans="1:7" x14ac:dyDescent="0.4">
      <c r="A153" s="8"/>
      <c r="B153" s="14">
        <v>101</v>
      </c>
      <c r="C153" s="14">
        <v>2</v>
      </c>
      <c r="D153" s="11" t="s">
        <v>613</v>
      </c>
      <c r="E153" s="11" t="s">
        <v>162</v>
      </c>
      <c r="F153" s="11" t="s">
        <v>617</v>
      </c>
      <c r="G153" s="11" t="s">
        <v>616</v>
      </c>
    </row>
    <row r="154" spans="1:7" x14ac:dyDescent="0.4">
      <c r="A154" s="8"/>
      <c r="B154" s="14">
        <v>101</v>
      </c>
      <c r="C154" s="14">
        <v>2</v>
      </c>
      <c r="D154" s="11" t="s">
        <v>614</v>
      </c>
      <c r="E154" s="11" t="s">
        <v>692</v>
      </c>
      <c r="F154" s="11" t="s">
        <v>617</v>
      </c>
      <c r="G154" s="11" t="s">
        <v>616</v>
      </c>
    </row>
    <row r="155" spans="1:7" x14ac:dyDescent="0.4">
      <c r="A155" s="8"/>
      <c r="B155" s="14">
        <v>101</v>
      </c>
      <c r="C155" s="14">
        <v>2</v>
      </c>
      <c r="D155" s="11" t="s">
        <v>861</v>
      </c>
      <c r="E155" s="11" t="s">
        <v>696</v>
      </c>
      <c r="F155" s="11" t="s">
        <v>617</v>
      </c>
      <c r="G155" s="11" t="s">
        <v>616</v>
      </c>
    </row>
    <row r="156" spans="1:7" x14ac:dyDescent="0.4">
      <c r="A156" s="8"/>
      <c r="B156" s="14">
        <v>101</v>
      </c>
      <c r="C156" s="14">
        <v>2</v>
      </c>
      <c r="D156" s="11" t="s">
        <v>862</v>
      </c>
      <c r="E156" s="11" t="s">
        <v>594</v>
      </c>
      <c r="F156" s="11" t="s">
        <v>617</v>
      </c>
      <c r="G156" s="11" t="s">
        <v>616</v>
      </c>
    </row>
    <row r="157" spans="1:7" x14ac:dyDescent="0.4">
      <c r="A157" s="8"/>
      <c r="B157" s="14">
        <v>101</v>
      </c>
      <c r="C157" s="14">
        <v>2</v>
      </c>
      <c r="D157" s="11" t="s">
        <v>863</v>
      </c>
      <c r="E157" s="11" t="s">
        <v>711</v>
      </c>
      <c r="F157" s="11" t="s">
        <v>617</v>
      </c>
      <c r="G157" s="11" t="s">
        <v>616</v>
      </c>
    </row>
    <row r="158" spans="1:7" x14ac:dyDescent="0.4">
      <c r="A158" s="8"/>
      <c r="B158" s="14">
        <v>101</v>
      </c>
      <c r="C158" s="14">
        <v>2</v>
      </c>
      <c r="D158" s="11" t="s">
        <v>864</v>
      </c>
      <c r="E158" s="11" t="s">
        <v>156</v>
      </c>
      <c r="F158" s="11" t="s">
        <v>617</v>
      </c>
      <c r="G158" s="11" t="s">
        <v>595</v>
      </c>
    </row>
    <row r="159" spans="1:7" x14ac:dyDescent="0.4">
      <c r="A159" s="8"/>
      <c r="B159" s="14">
        <v>101</v>
      </c>
      <c r="C159" s="14">
        <v>2</v>
      </c>
      <c r="D159" s="11" t="s">
        <v>847</v>
      </c>
      <c r="E159" s="11" t="s">
        <v>157</v>
      </c>
      <c r="F159" s="11" t="s">
        <v>617</v>
      </c>
      <c r="G159" s="11" t="s">
        <v>595</v>
      </c>
    </row>
    <row r="160" spans="1:7" x14ac:dyDescent="0.4">
      <c r="A160" s="8"/>
      <c r="B160" s="14">
        <v>101</v>
      </c>
      <c r="C160" s="14">
        <v>2</v>
      </c>
      <c r="D160" s="11" t="s">
        <v>986</v>
      </c>
      <c r="E160" s="11" t="s">
        <v>158</v>
      </c>
      <c r="F160" s="11" t="s">
        <v>617</v>
      </c>
      <c r="G160" s="11" t="s">
        <v>595</v>
      </c>
    </row>
    <row r="161" spans="1:7" x14ac:dyDescent="0.4">
      <c r="A161" s="8"/>
      <c r="B161" s="14">
        <v>102</v>
      </c>
      <c r="C161" s="14">
        <v>1</v>
      </c>
      <c r="D161" s="11" t="s">
        <v>613</v>
      </c>
      <c r="E161" s="11" t="s">
        <v>162</v>
      </c>
      <c r="F161" s="11" t="s">
        <v>617</v>
      </c>
      <c r="G161" s="11" t="s">
        <v>616</v>
      </c>
    </row>
    <row r="162" spans="1:7" x14ac:dyDescent="0.4">
      <c r="A162" s="8"/>
      <c r="B162" s="14">
        <v>102</v>
      </c>
      <c r="C162" s="14">
        <v>1</v>
      </c>
      <c r="D162" s="11" t="s">
        <v>614</v>
      </c>
      <c r="E162" s="11" t="s">
        <v>692</v>
      </c>
      <c r="F162" s="11" t="s">
        <v>617</v>
      </c>
      <c r="G162" s="11" t="s">
        <v>616</v>
      </c>
    </row>
    <row r="163" spans="1:7" x14ac:dyDescent="0.4">
      <c r="A163" s="8"/>
      <c r="B163" s="14">
        <v>102</v>
      </c>
      <c r="C163" s="14">
        <v>1</v>
      </c>
      <c r="D163" s="11" t="s">
        <v>861</v>
      </c>
      <c r="E163" s="11" t="s">
        <v>696</v>
      </c>
      <c r="F163" s="11" t="s">
        <v>617</v>
      </c>
      <c r="G163" s="11" t="s">
        <v>616</v>
      </c>
    </row>
    <row r="164" spans="1:7" x14ac:dyDescent="0.4">
      <c r="A164" s="8"/>
      <c r="B164" s="14">
        <v>102</v>
      </c>
      <c r="C164" s="14">
        <v>1</v>
      </c>
      <c r="D164" s="11" t="s">
        <v>862</v>
      </c>
      <c r="E164" s="11" t="s">
        <v>594</v>
      </c>
      <c r="F164" s="11" t="s">
        <v>617</v>
      </c>
      <c r="G164" s="11" t="s">
        <v>616</v>
      </c>
    </row>
    <row r="165" spans="1:7" x14ac:dyDescent="0.4">
      <c r="A165" s="8"/>
      <c r="B165" s="14">
        <v>102</v>
      </c>
      <c r="C165" s="14">
        <v>1</v>
      </c>
      <c r="D165" s="11" t="s">
        <v>863</v>
      </c>
      <c r="E165" s="11" t="s">
        <v>711</v>
      </c>
      <c r="F165" s="11" t="s">
        <v>617</v>
      </c>
      <c r="G165" s="11" t="s">
        <v>616</v>
      </c>
    </row>
    <row r="166" spans="1:7" x14ac:dyDescent="0.4">
      <c r="A166" s="8"/>
      <c r="B166" s="14">
        <v>102</v>
      </c>
      <c r="C166" s="14">
        <v>1</v>
      </c>
      <c r="D166" s="11" t="s">
        <v>864</v>
      </c>
      <c r="E166" s="11" t="s">
        <v>156</v>
      </c>
      <c r="F166" s="11" t="s">
        <v>617</v>
      </c>
      <c r="G166" s="11" t="s">
        <v>595</v>
      </c>
    </row>
    <row r="167" spans="1:7" x14ac:dyDescent="0.4">
      <c r="A167" s="8"/>
      <c r="B167" s="14">
        <v>102</v>
      </c>
      <c r="C167" s="14">
        <v>1</v>
      </c>
      <c r="D167" s="11" t="s">
        <v>847</v>
      </c>
      <c r="E167" s="11" t="s">
        <v>157</v>
      </c>
      <c r="F167" s="11" t="s">
        <v>617</v>
      </c>
      <c r="G167" s="11" t="s">
        <v>595</v>
      </c>
    </row>
    <row r="168" spans="1:7" x14ac:dyDescent="0.4">
      <c r="A168" s="8"/>
      <c r="B168" s="14">
        <v>102</v>
      </c>
      <c r="C168" s="14">
        <v>1</v>
      </c>
      <c r="D168" s="11" t="s">
        <v>986</v>
      </c>
      <c r="E168" s="11" t="s">
        <v>158</v>
      </c>
      <c r="F168" s="11" t="s">
        <v>617</v>
      </c>
      <c r="G168" s="11" t="s">
        <v>595</v>
      </c>
    </row>
    <row r="169" spans="1:7" x14ac:dyDescent="0.4">
      <c r="A169" s="8"/>
      <c r="B169" s="14">
        <v>102</v>
      </c>
      <c r="C169" s="14">
        <v>2</v>
      </c>
      <c r="D169" s="11" t="s">
        <v>613</v>
      </c>
      <c r="E169" s="11" t="s">
        <v>162</v>
      </c>
      <c r="F169" s="11" t="s">
        <v>617</v>
      </c>
      <c r="G169" s="11" t="s">
        <v>616</v>
      </c>
    </row>
    <row r="170" spans="1:7" x14ac:dyDescent="0.4">
      <c r="A170" s="8"/>
      <c r="B170" s="14">
        <v>102</v>
      </c>
      <c r="C170" s="14">
        <v>2</v>
      </c>
      <c r="D170" s="11" t="s">
        <v>614</v>
      </c>
      <c r="E170" s="11" t="s">
        <v>692</v>
      </c>
      <c r="F170" s="11" t="s">
        <v>617</v>
      </c>
      <c r="G170" s="11" t="s">
        <v>616</v>
      </c>
    </row>
    <row r="171" spans="1:7" x14ac:dyDescent="0.4">
      <c r="A171" s="8"/>
      <c r="B171" s="14">
        <v>102</v>
      </c>
      <c r="C171" s="14">
        <v>2</v>
      </c>
      <c r="D171" s="11" t="s">
        <v>861</v>
      </c>
      <c r="E171" s="11" t="s">
        <v>696</v>
      </c>
      <c r="F171" s="11" t="s">
        <v>617</v>
      </c>
      <c r="G171" s="11" t="s">
        <v>616</v>
      </c>
    </row>
    <row r="172" spans="1:7" x14ac:dyDescent="0.4">
      <c r="A172" s="8"/>
      <c r="B172" s="14">
        <v>102</v>
      </c>
      <c r="C172" s="14">
        <v>2</v>
      </c>
      <c r="D172" s="11" t="s">
        <v>862</v>
      </c>
      <c r="E172" s="11" t="s">
        <v>594</v>
      </c>
      <c r="F172" s="11" t="s">
        <v>617</v>
      </c>
      <c r="G172" s="11" t="s">
        <v>616</v>
      </c>
    </row>
    <row r="173" spans="1:7" x14ac:dyDescent="0.4">
      <c r="A173" s="8"/>
      <c r="B173" s="14">
        <v>102</v>
      </c>
      <c r="C173" s="14">
        <v>2</v>
      </c>
      <c r="D173" s="11" t="s">
        <v>863</v>
      </c>
      <c r="E173" s="11" t="s">
        <v>711</v>
      </c>
      <c r="F173" s="11" t="s">
        <v>617</v>
      </c>
      <c r="G173" s="11" t="s">
        <v>616</v>
      </c>
    </row>
    <row r="174" spans="1:7" x14ac:dyDescent="0.4">
      <c r="A174" s="8"/>
      <c r="B174" s="14">
        <v>102</v>
      </c>
      <c r="C174" s="14">
        <v>2</v>
      </c>
      <c r="D174" s="11" t="s">
        <v>864</v>
      </c>
      <c r="E174" s="11" t="s">
        <v>156</v>
      </c>
      <c r="F174" s="11" t="s">
        <v>617</v>
      </c>
      <c r="G174" s="11" t="s">
        <v>595</v>
      </c>
    </row>
    <row r="175" spans="1:7" x14ac:dyDescent="0.4">
      <c r="A175" s="8"/>
      <c r="B175" s="14">
        <v>102</v>
      </c>
      <c r="C175" s="14">
        <v>2</v>
      </c>
      <c r="D175" s="11" t="s">
        <v>847</v>
      </c>
      <c r="E175" s="11" t="s">
        <v>157</v>
      </c>
      <c r="F175" s="11" t="s">
        <v>617</v>
      </c>
      <c r="G175" s="11" t="s">
        <v>595</v>
      </c>
    </row>
    <row r="176" spans="1:7" x14ac:dyDescent="0.4">
      <c r="A176" s="8"/>
      <c r="B176" s="14">
        <v>102</v>
      </c>
      <c r="C176" s="14">
        <v>2</v>
      </c>
      <c r="D176" s="11" t="s">
        <v>986</v>
      </c>
      <c r="E176" s="11" t="s">
        <v>158</v>
      </c>
      <c r="F176" s="11" t="s">
        <v>617</v>
      </c>
      <c r="G176" s="11" t="s">
        <v>595</v>
      </c>
    </row>
    <row r="177" spans="1:7" x14ac:dyDescent="0.4">
      <c r="A177" s="8"/>
      <c r="B177" s="14">
        <v>103</v>
      </c>
      <c r="C177" s="14">
        <v>1</v>
      </c>
      <c r="D177" s="11" t="s">
        <v>613</v>
      </c>
      <c r="E177" s="11" t="s">
        <v>162</v>
      </c>
      <c r="F177" s="11" t="s">
        <v>617</v>
      </c>
      <c r="G177" s="11" t="s">
        <v>616</v>
      </c>
    </row>
    <row r="178" spans="1:7" x14ac:dyDescent="0.4">
      <c r="A178" s="8"/>
      <c r="B178" s="14">
        <v>103</v>
      </c>
      <c r="C178" s="14">
        <v>1</v>
      </c>
      <c r="D178" s="11" t="s">
        <v>614</v>
      </c>
      <c r="E178" s="11" t="s">
        <v>692</v>
      </c>
      <c r="F178" s="11" t="s">
        <v>617</v>
      </c>
      <c r="G178" s="11" t="s">
        <v>616</v>
      </c>
    </row>
    <row r="179" spans="1:7" x14ac:dyDescent="0.4">
      <c r="A179" s="8"/>
      <c r="B179" s="14">
        <v>103</v>
      </c>
      <c r="C179" s="14">
        <v>1</v>
      </c>
      <c r="D179" s="11" t="s">
        <v>861</v>
      </c>
      <c r="E179" s="11" t="s">
        <v>696</v>
      </c>
      <c r="F179" s="11" t="s">
        <v>617</v>
      </c>
      <c r="G179" s="11" t="s">
        <v>616</v>
      </c>
    </row>
    <row r="180" spans="1:7" x14ac:dyDescent="0.4">
      <c r="A180" s="8"/>
      <c r="B180" s="14">
        <v>103</v>
      </c>
      <c r="C180" s="14">
        <v>1</v>
      </c>
      <c r="D180" s="11" t="s">
        <v>862</v>
      </c>
      <c r="E180" s="11" t="s">
        <v>594</v>
      </c>
      <c r="F180" s="11" t="s">
        <v>617</v>
      </c>
      <c r="G180" s="11" t="s">
        <v>616</v>
      </c>
    </row>
    <row r="181" spans="1:7" x14ac:dyDescent="0.4">
      <c r="A181" s="8"/>
      <c r="B181" s="14">
        <v>103</v>
      </c>
      <c r="C181" s="14">
        <v>1</v>
      </c>
      <c r="D181" s="11" t="s">
        <v>863</v>
      </c>
      <c r="E181" s="11" t="s">
        <v>711</v>
      </c>
      <c r="F181" s="11" t="s">
        <v>617</v>
      </c>
      <c r="G181" s="11" t="s">
        <v>616</v>
      </c>
    </row>
    <row r="182" spans="1:7" x14ac:dyDescent="0.4">
      <c r="A182" s="8"/>
      <c r="B182" s="14">
        <v>103</v>
      </c>
      <c r="C182" s="14">
        <v>1</v>
      </c>
      <c r="D182" s="11" t="s">
        <v>864</v>
      </c>
      <c r="E182" s="11" t="s">
        <v>156</v>
      </c>
      <c r="F182" s="11" t="s">
        <v>617</v>
      </c>
      <c r="G182" s="11" t="s">
        <v>595</v>
      </c>
    </row>
    <row r="183" spans="1:7" x14ac:dyDescent="0.4">
      <c r="A183" s="8"/>
      <c r="B183" s="14">
        <v>103</v>
      </c>
      <c r="C183" s="14">
        <v>1</v>
      </c>
      <c r="D183" s="11" t="s">
        <v>847</v>
      </c>
      <c r="E183" s="11" t="s">
        <v>157</v>
      </c>
      <c r="F183" s="11" t="s">
        <v>617</v>
      </c>
      <c r="G183" s="11" t="s">
        <v>595</v>
      </c>
    </row>
    <row r="184" spans="1:7" x14ac:dyDescent="0.4">
      <c r="A184" s="8"/>
      <c r="B184" s="14">
        <v>103</v>
      </c>
      <c r="C184" s="14">
        <v>1</v>
      </c>
      <c r="D184" s="11" t="s">
        <v>986</v>
      </c>
      <c r="E184" s="11" t="s">
        <v>158</v>
      </c>
      <c r="F184" s="11" t="s">
        <v>617</v>
      </c>
      <c r="G184" s="11" t="s">
        <v>595</v>
      </c>
    </row>
    <row r="185" spans="1:7" x14ac:dyDescent="0.4">
      <c r="A185" s="8"/>
      <c r="B185" s="14">
        <v>103</v>
      </c>
      <c r="C185" s="14">
        <v>2</v>
      </c>
      <c r="D185" s="11" t="s">
        <v>613</v>
      </c>
      <c r="E185" s="11" t="s">
        <v>162</v>
      </c>
      <c r="F185" s="11" t="s">
        <v>617</v>
      </c>
      <c r="G185" s="11" t="s">
        <v>616</v>
      </c>
    </row>
    <row r="186" spans="1:7" x14ac:dyDescent="0.4">
      <c r="A186" s="8"/>
      <c r="B186" s="14">
        <v>103</v>
      </c>
      <c r="C186" s="14">
        <v>2</v>
      </c>
      <c r="D186" s="11" t="s">
        <v>614</v>
      </c>
      <c r="E186" s="11" t="s">
        <v>692</v>
      </c>
      <c r="F186" s="11" t="s">
        <v>617</v>
      </c>
      <c r="G186" s="11" t="s">
        <v>616</v>
      </c>
    </row>
    <row r="187" spans="1:7" x14ac:dyDescent="0.4">
      <c r="A187" s="8"/>
      <c r="B187" s="14">
        <v>103</v>
      </c>
      <c r="C187" s="14">
        <v>2</v>
      </c>
      <c r="D187" s="11" t="s">
        <v>861</v>
      </c>
      <c r="E187" s="11" t="s">
        <v>696</v>
      </c>
      <c r="F187" s="11" t="s">
        <v>617</v>
      </c>
      <c r="G187" s="11" t="s">
        <v>616</v>
      </c>
    </row>
    <row r="188" spans="1:7" x14ac:dyDescent="0.4">
      <c r="A188" s="8"/>
      <c r="B188" s="14">
        <v>103</v>
      </c>
      <c r="C188" s="14">
        <v>2</v>
      </c>
      <c r="D188" s="11" t="s">
        <v>862</v>
      </c>
      <c r="E188" s="11" t="s">
        <v>594</v>
      </c>
      <c r="F188" s="11" t="s">
        <v>617</v>
      </c>
      <c r="G188" s="11" t="s">
        <v>616</v>
      </c>
    </row>
    <row r="189" spans="1:7" x14ac:dyDescent="0.4">
      <c r="A189" s="8"/>
      <c r="B189" s="14">
        <v>103</v>
      </c>
      <c r="C189" s="14">
        <v>2</v>
      </c>
      <c r="D189" s="11" t="s">
        <v>863</v>
      </c>
      <c r="E189" s="11" t="s">
        <v>711</v>
      </c>
      <c r="F189" s="11" t="s">
        <v>617</v>
      </c>
      <c r="G189" s="11" t="s">
        <v>616</v>
      </c>
    </row>
    <row r="190" spans="1:7" x14ac:dyDescent="0.4">
      <c r="A190" s="8"/>
      <c r="B190" s="14">
        <v>103</v>
      </c>
      <c r="C190" s="14">
        <v>2</v>
      </c>
      <c r="D190" s="11" t="s">
        <v>864</v>
      </c>
      <c r="E190" s="11" t="s">
        <v>156</v>
      </c>
      <c r="F190" s="11" t="s">
        <v>617</v>
      </c>
      <c r="G190" s="11" t="s">
        <v>595</v>
      </c>
    </row>
    <row r="191" spans="1:7" x14ac:dyDescent="0.4">
      <c r="A191" s="8"/>
      <c r="B191" s="14">
        <v>103</v>
      </c>
      <c r="C191" s="14">
        <v>2</v>
      </c>
      <c r="D191" s="11" t="s">
        <v>847</v>
      </c>
      <c r="E191" s="11" t="s">
        <v>157</v>
      </c>
      <c r="F191" s="11" t="s">
        <v>617</v>
      </c>
      <c r="G191" s="11" t="s">
        <v>595</v>
      </c>
    </row>
    <row r="192" spans="1:7" x14ac:dyDescent="0.4">
      <c r="A192" s="8"/>
      <c r="B192" s="14">
        <v>103</v>
      </c>
      <c r="C192" s="14">
        <v>2</v>
      </c>
      <c r="D192" s="11" t="s">
        <v>986</v>
      </c>
      <c r="E192" s="11" t="s">
        <v>158</v>
      </c>
      <c r="F192" s="11" t="s">
        <v>617</v>
      </c>
      <c r="G192" s="11" t="s">
        <v>595</v>
      </c>
    </row>
    <row r="193" spans="1:7" x14ac:dyDescent="0.4">
      <c r="A193" s="8"/>
      <c r="B193" s="14">
        <v>104</v>
      </c>
      <c r="C193" s="14">
        <v>1</v>
      </c>
      <c r="D193" s="11" t="s">
        <v>613</v>
      </c>
      <c r="E193" s="11" t="s">
        <v>162</v>
      </c>
      <c r="F193" s="11" t="s">
        <v>617</v>
      </c>
      <c r="G193" s="11" t="s">
        <v>616</v>
      </c>
    </row>
    <row r="194" spans="1:7" x14ac:dyDescent="0.4">
      <c r="A194" s="8"/>
      <c r="B194" s="14">
        <v>104</v>
      </c>
      <c r="C194" s="14">
        <v>1</v>
      </c>
      <c r="D194" s="11" t="s">
        <v>614</v>
      </c>
      <c r="E194" s="11" t="s">
        <v>692</v>
      </c>
      <c r="F194" s="11" t="s">
        <v>617</v>
      </c>
      <c r="G194" s="11" t="s">
        <v>616</v>
      </c>
    </row>
    <row r="195" spans="1:7" x14ac:dyDescent="0.4">
      <c r="A195" s="8"/>
      <c r="B195" s="14">
        <v>104</v>
      </c>
      <c r="C195" s="14">
        <v>1</v>
      </c>
      <c r="D195" s="11" t="s">
        <v>861</v>
      </c>
      <c r="E195" s="11" t="s">
        <v>696</v>
      </c>
      <c r="F195" s="11" t="s">
        <v>617</v>
      </c>
      <c r="G195" s="11" t="s">
        <v>616</v>
      </c>
    </row>
    <row r="196" spans="1:7" x14ac:dyDescent="0.4">
      <c r="A196" s="8"/>
      <c r="B196" s="14">
        <v>104</v>
      </c>
      <c r="C196" s="14">
        <v>1</v>
      </c>
      <c r="D196" s="11" t="s">
        <v>862</v>
      </c>
      <c r="E196" s="11" t="s">
        <v>594</v>
      </c>
      <c r="F196" s="11" t="s">
        <v>617</v>
      </c>
      <c r="G196" s="11" t="s">
        <v>616</v>
      </c>
    </row>
    <row r="197" spans="1:7" x14ac:dyDescent="0.4">
      <c r="A197" s="8"/>
      <c r="B197" s="14">
        <v>104</v>
      </c>
      <c r="C197" s="14">
        <v>1</v>
      </c>
      <c r="D197" s="11" t="s">
        <v>863</v>
      </c>
      <c r="E197" s="11" t="s">
        <v>711</v>
      </c>
      <c r="F197" s="11" t="s">
        <v>617</v>
      </c>
      <c r="G197" s="11" t="s">
        <v>616</v>
      </c>
    </row>
    <row r="198" spans="1:7" x14ac:dyDescent="0.4">
      <c r="A198" s="8"/>
      <c r="B198" s="14">
        <v>104</v>
      </c>
      <c r="C198" s="14">
        <v>1</v>
      </c>
      <c r="D198" s="11" t="s">
        <v>864</v>
      </c>
      <c r="E198" s="11" t="s">
        <v>156</v>
      </c>
      <c r="F198" s="11" t="s">
        <v>617</v>
      </c>
      <c r="G198" s="11" t="s">
        <v>595</v>
      </c>
    </row>
    <row r="199" spans="1:7" x14ac:dyDescent="0.4">
      <c r="A199" s="8"/>
      <c r="B199" s="14">
        <v>104</v>
      </c>
      <c r="C199" s="14">
        <v>1</v>
      </c>
      <c r="D199" s="11" t="s">
        <v>847</v>
      </c>
      <c r="E199" s="11" t="s">
        <v>157</v>
      </c>
      <c r="F199" s="11" t="s">
        <v>617</v>
      </c>
      <c r="G199" s="11" t="s">
        <v>595</v>
      </c>
    </row>
    <row r="200" spans="1:7" x14ac:dyDescent="0.4">
      <c r="A200" s="8"/>
      <c r="B200" s="14">
        <v>104</v>
      </c>
      <c r="C200" s="14">
        <v>1</v>
      </c>
      <c r="D200" s="11" t="s">
        <v>986</v>
      </c>
      <c r="E200" s="11" t="s">
        <v>158</v>
      </c>
      <c r="F200" s="11" t="s">
        <v>617</v>
      </c>
      <c r="G200" s="11" t="s">
        <v>595</v>
      </c>
    </row>
    <row r="201" spans="1:7" x14ac:dyDescent="0.4">
      <c r="A201" s="8"/>
      <c r="B201" s="14">
        <v>104</v>
      </c>
      <c r="C201" s="14">
        <v>2</v>
      </c>
      <c r="D201" s="11" t="s">
        <v>613</v>
      </c>
      <c r="E201" s="11" t="s">
        <v>162</v>
      </c>
      <c r="F201" s="11" t="s">
        <v>617</v>
      </c>
      <c r="G201" s="11" t="s">
        <v>616</v>
      </c>
    </row>
    <row r="202" spans="1:7" x14ac:dyDescent="0.4">
      <c r="A202" s="8"/>
      <c r="B202" s="14">
        <v>104</v>
      </c>
      <c r="C202" s="14">
        <v>2</v>
      </c>
      <c r="D202" s="11" t="s">
        <v>614</v>
      </c>
      <c r="E202" s="11" t="s">
        <v>692</v>
      </c>
      <c r="F202" s="11" t="s">
        <v>617</v>
      </c>
      <c r="G202" s="11" t="s">
        <v>616</v>
      </c>
    </row>
    <row r="203" spans="1:7" x14ac:dyDescent="0.4">
      <c r="A203" s="8"/>
      <c r="B203" s="14">
        <v>104</v>
      </c>
      <c r="C203" s="14">
        <v>2</v>
      </c>
      <c r="D203" s="11" t="s">
        <v>861</v>
      </c>
      <c r="E203" s="11" t="s">
        <v>696</v>
      </c>
      <c r="F203" s="11" t="s">
        <v>617</v>
      </c>
      <c r="G203" s="11" t="s">
        <v>616</v>
      </c>
    </row>
    <row r="204" spans="1:7" x14ac:dyDescent="0.4">
      <c r="A204" s="8"/>
      <c r="B204" s="14">
        <v>104</v>
      </c>
      <c r="C204" s="14">
        <v>2</v>
      </c>
      <c r="D204" s="11" t="s">
        <v>862</v>
      </c>
      <c r="E204" s="11" t="s">
        <v>594</v>
      </c>
      <c r="F204" s="11" t="s">
        <v>617</v>
      </c>
      <c r="G204" s="11" t="s">
        <v>616</v>
      </c>
    </row>
    <row r="205" spans="1:7" x14ac:dyDescent="0.4">
      <c r="A205" s="8"/>
      <c r="B205" s="14">
        <v>104</v>
      </c>
      <c r="C205" s="14">
        <v>2</v>
      </c>
      <c r="D205" s="11" t="s">
        <v>863</v>
      </c>
      <c r="E205" s="11" t="s">
        <v>711</v>
      </c>
      <c r="F205" s="11" t="s">
        <v>617</v>
      </c>
      <c r="G205" s="11" t="s">
        <v>616</v>
      </c>
    </row>
    <row r="206" spans="1:7" x14ac:dyDescent="0.4">
      <c r="A206" s="8"/>
      <c r="B206" s="14">
        <v>104</v>
      </c>
      <c r="C206" s="14">
        <v>2</v>
      </c>
      <c r="D206" s="11" t="s">
        <v>864</v>
      </c>
      <c r="E206" s="11" t="s">
        <v>156</v>
      </c>
      <c r="F206" s="11" t="s">
        <v>617</v>
      </c>
      <c r="G206" s="11" t="s">
        <v>595</v>
      </c>
    </row>
    <row r="207" spans="1:7" x14ac:dyDescent="0.4">
      <c r="A207" s="8"/>
      <c r="B207" s="14">
        <v>104</v>
      </c>
      <c r="C207" s="14">
        <v>2</v>
      </c>
      <c r="D207" s="11" t="s">
        <v>847</v>
      </c>
      <c r="E207" s="11" t="s">
        <v>157</v>
      </c>
      <c r="F207" s="11" t="s">
        <v>617</v>
      </c>
      <c r="G207" s="11" t="s">
        <v>595</v>
      </c>
    </row>
    <row r="208" spans="1:7" x14ac:dyDescent="0.4">
      <c r="A208" s="8"/>
      <c r="B208" s="14">
        <v>104</v>
      </c>
      <c r="C208" s="14">
        <v>2</v>
      </c>
      <c r="D208" s="11" t="s">
        <v>986</v>
      </c>
      <c r="E208" s="11" t="s">
        <v>158</v>
      </c>
      <c r="F208" s="11" t="s">
        <v>617</v>
      </c>
      <c r="G208" s="11" t="s">
        <v>595</v>
      </c>
    </row>
    <row r="209" spans="1:7" x14ac:dyDescent="0.4">
      <c r="A209" s="8"/>
      <c r="B209" s="14">
        <v>900</v>
      </c>
      <c r="C209" s="14">
        <v>1</v>
      </c>
      <c r="D209" s="11" t="s">
        <v>613</v>
      </c>
      <c r="E209" s="11" t="s">
        <v>162</v>
      </c>
      <c r="F209" s="11" t="s">
        <v>617</v>
      </c>
      <c r="G209" s="11" t="s">
        <v>616</v>
      </c>
    </row>
    <row r="210" spans="1:7" x14ac:dyDescent="0.4">
      <c r="A210" s="8"/>
      <c r="B210" s="14">
        <v>900</v>
      </c>
      <c r="C210" s="14">
        <v>1</v>
      </c>
      <c r="D210" s="11" t="s">
        <v>614</v>
      </c>
      <c r="E210" s="11" t="s">
        <v>692</v>
      </c>
      <c r="F210" s="11" t="s">
        <v>617</v>
      </c>
      <c r="G210" s="11" t="s">
        <v>616</v>
      </c>
    </row>
    <row r="211" spans="1:7" x14ac:dyDescent="0.4">
      <c r="A211" s="8"/>
      <c r="B211" s="14">
        <v>900</v>
      </c>
      <c r="C211" s="14">
        <v>1</v>
      </c>
      <c r="D211" s="11" t="s">
        <v>861</v>
      </c>
      <c r="E211" s="11" t="s">
        <v>696</v>
      </c>
      <c r="F211" s="11" t="s">
        <v>617</v>
      </c>
      <c r="G211" s="11" t="s">
        <v>616</v>
      </c>
    </row>
    <row r="212" spans="1:7" x14ac:dyDescent="0.4">
      <c r="A212" s="8"/>
      <c r="B212" s="14">
        <v>900</v>
      </c>
      <c r="C212" s="14">
        <v>1</v>
      </c>
      <c r="D212" s="11" t="s">
        <v>862</v>
      </c>
      <c r="E212" s="11" t="s">
        <v>594</v>
      </c>
      <c r="F212" s="11" t="s">
        <v>617</v>
      </c>
      <c r="G212" s="11" t="s">
        <v>616</v>
      </c>
    </row>
    <row r="213" spans="1:7" x14ac:dyDescent="0.4">
      <c r="A213" s="8"/>
      <c r="B213" s="14">
        <v>900</v>
      </c>
      <c r="C213" s="14">
        <v>1</v>
      </c>
      <c r="D213" s="11" t="s">
        <v>863</v>
      </c>
      <c r="E213" s="11" t="s">
        <v>711</v>
      </c>
      <c r="F213" s="11" t="s">
        <v>617</v>
      </c>
      <c r="G213" s="11" t="s">
        <v>616</v>
      </c>
    </row>
    <row r="214" spans="1:7" x14ac:dyDescent="0.4">
      <c r="A214" s="8"/>
      <c r="B214" s="14">
        <v>900</v>
      </c>
      <c r="C214" s="14">
        <v>1</v>
      </c>
      <c r="D214" s="11" t="s">
        <v>864</v>
      </c>
      <c r="E214" s="11" t="s">
        <v>156</v>
      </c>
      <c r="F214" s="11" t="s">
        <v>617</v>
      </c>
      <c r="G214" s="11" t="s">
        <v>595</v>
      </c>
    </row>
    <row r="215" spans="1:7" x14ac:dyDescent="0.4">
      <c r="A215" s="8"/>
      <c r="B215" s="14">
        <v>900</v>
      </c>
      <c r="C215" s="14">
        <v>1</v>
      </c>
      <c r="D215" s="11" t="s">
        <v>847</v>
      </c>
      <c r="E215" s="11" t="s">
        <v>157</v>
      </c>
      <c r="F215" s="11" t="s">
        <v>617</v>
      </c>
      <c r="G215" s="11" t="s">
        <v>595</v>
      </c>
    </row>
    <row r="216" spans="1:7" x14ac:dyDescent="0.4">
      <c r="A216" s="8"/>
      <c r="B216" s="14">
        <v>900</v>
      </c>
      <c r="C216" s="14">
        <v>1</v>
      </c>
      <c r="D216" s="11" t="s">
        <v>986</v>
      </c>
      <c r="E216" s="11" t="s">
        <v>158</v>
      </c>
      <c r="F216" s="11" t="s">
        <v>617</v>
      </c>
      <c r="G216" s="11" t="s">
        <v>595</v>
      </c>
    </row>
  </sheetData>
  <phoneticPr fontId="1"/>
  <dataValidations count="1">
    <dataValidation type="list" allowBlank="1" showInputMessage="1" showErrorMessage="1" sqref="A7:A216" xr:uid="{21E732FC-6C67-4F06-9670-231630DD944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 x14ac:dyDescent="0.4"/>
  <cols>
    <col min="2" max="2" width="12.5" customWidth="1"/>
  </cols>
  <sheetData>
    <row r="1" spans="1:2" x14ac:dyDescent="0.4">
      <c r="A1" s="12" t="str">
        <f>MAIN!B1</f>
        <v>ローカル</v>
      </c>
      <c r="B1" s="9" t="s">
        <v>6</v>
      </c>
    </row>
    <row r="2" spans="1:2" x14ac:dyDescent="0.4">
      <c r="B2" s="9" t="s">
        <v>1</v>
      </c>
    </row>
    <row r="3" spans="1:2" x14ac:dyDescent="0.4">
      <c r="B3" s="9" t="s">
        <v>2</v>
      </c>
    </row>
    <row r="4" spans="1:2" x14ac:dyDescent="0.4">
      <c r="B4" s="9" t="s">
        <v>4</v>
      </c>
    </row>
    <row r="5" spans="1:2" x14ac:dyDescent="0.4">
      <c r="B5" s="9" t="s">
        <v>5</v>
      </c>
    </row>
    <row r="6" spans="1:2" x14ac:dyDescent="0.4">
      <c r="B6" s="9" t="s">
        <v>3</v>
      </c>
    </row>
    <row r="7" spans="1:2" x14ac:dyDescent="0.4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Data</vt:lpstr>
      <vt:lpstr>character_name</vt:lpstr>
      <vt:lpstr>enemy_conert</vt:lpstr>
      <vt:lpstr>遭遇戦</vt:lpstr>
      <vt:lpstr>enemy</vt:lpstr>
      <vt:lpstr>Sheet2</vt:lpstr>
      <vt:lpstr>grade</vt:lpstr>
      <vt:lpstr>bonus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り れ</cp:lastModifiedBy>
  <dcterms:created xsi:type="dcterms:W3CDTF">2023-05-19T02:28:04Z</dcterms:created>
  <dcterms:modified xsi:type="dcterms:W3CDTF">2026-10-15T16:31:33Z</dcterms:modified>
</cp:coreProperties>
</file>