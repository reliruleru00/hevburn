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56F616C7-03C4-495A-AD16-6233A7E343CB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MAIN" sheetId="5" r:id="rId1"/>
    <sheet name="event" sheetId="97" r:id="rId2"/>
    <sheet name="calendar_category" sheetId="96" r:id="rId3"/>
    <sheet name="calendar_event" sheetId="93" r:id="rId4"/>
    <sheet name="calendar_event_tag" sheetId="94" r:id="rId5"/>
    <sheet name="calendar_tag" sheetId="95" r:id="rId6"/>
    <sheet name="Data" sheetId="13" state="hidden" r:id="rId7"/>
    <sheet name="character_name" sheetId="61" state="hidden" r:id="rId8"/>
    <sheet name="遭遇戦" sheetId="74" state="hidden" r:id="rId9"/>
    <sheet name="Sheet2" sheetId="90" state="hidden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97" l="1"/>
  <c r="F12" i="97" s="1"/>
  <c r="F7" i="97"/>
  <c r="F8" i="97" s="1"/>
  <c r="D12" i="97"/>
  <c r="C12" i="97"/>
  <c r="B12" i="97"/>
  <c r="D8" i="97"/>
  <c r="C8" i="97"/>
  <c r="B8" i="97"/>
  <c r="F3" i="97"/>
  <c r="F4" i="97" s="1"/>
  <c r="D4" i="97"/>
  <c r="C4" i="97"/>
  <c r="B4" i="97"/>
  <c r="F15" i="97"/>
  <c r="F16" i="97" s="1"/>
  <c r="B16" i="97"/>
  <c r="B20" i="97"/>
  <c r="D16" i="97"/>
  <c r="C16" i="97"/>
  <c r="F20" i="97"/>
  <c r="D20" i="97"/>
  <c r="C20" i="97"/>
  <c r="A1" i="96"/>
  <c r="A1" i="95"/>
  <c r="A1" i="94"/>
  <c r="A1" i="93"/>
  <c r="D224" i="90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1" l="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<sst xmlns="http://schemas.openxmlformats.org/spreadsheetml/2006/main" count="1371" uniqueCount="710">
  <si>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</si>
  <si>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</si>
  <si>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</si>
  <si>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</si>
  <si>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</si>
  <si>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</si>
  <si>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</si>
  <si>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</si>
  <si>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</si>
  <si>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</si>
  <si>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</si>
  <si>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</si>
  <si>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</si>
  <si>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</si>
  <si>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</si>
  <si>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</si>
  <si>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</si>
  <si>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</si>
  <si>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</si>
  <si>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</si>
  <si>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</si>
  <si>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</si>
  <si>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</si>
  <si>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</si>
  <si>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</si>
  <si>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</si>
  <si>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</si>
  <si>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</si>
  <si>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</si>
  <si>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</si>
  <si>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</si>
  <si>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</si>
  <si>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</si>
  <si>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</si>
  <si>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</si>
  <si>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</si>
  <si>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</si>
  <si>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</si>
  <si>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</si>
  <si>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</si>
  <si>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</si>
  <si>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</si>
  <si>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</si>
  <si>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</si>
  <si>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</si>
  <si>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</si>
  <si>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</si>
  <si>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</si>
  <si>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</si>
  <si>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</si>
  <si>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</si>
  <si>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</si>
  <si>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</si>
  <si>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</si>
  <si>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</si>
  <si>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</si>
  <si>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</si>
  <si>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</si>
  <si>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</si>
  <si>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</si>
  <si>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</si>
  <si>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</si>
  <si>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</si>
  <si>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</si>
  <si>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</si>
  <si>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</si>
  <si>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</si>
  <si>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</si>
  <si>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</si>
  <si>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</si>
  <si>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</si>
  <si>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</si>
  <si>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</si>
  <si>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</si>
  <si>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</si>
  <si>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</si>
  <si>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</si>
  <si>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</si>
  <si>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</si>
  <si>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</si>
  <si>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</si>
  <si>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</si>
  <si>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</si>
  <si>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</si>
  <si>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</si>
  <si>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</si>
  <si>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</si>
  <si>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</si>
  <si>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</si>
  <si>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</si>
  <si>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</si>
  <si>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</si>
  <si>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</si>
  <si>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</si>
  <si>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</si>
  <si>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</si>
  <si>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</si>
  <si>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</si>
  <si>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</si>
  <si>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</si>
  <si>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</si>
  <si>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</si>
  <si>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</si>
  <si>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</si>
  <si>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</si>
  <si>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</si>
  <si>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</si>
  <si>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</si>
  <si>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</si>
  <si>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</si>
  <si>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</si>
  <si>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</si>
  <si>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</si>
  <si>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</si>
  <si>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</si>
  <si>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</si>
  <si>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</si>
  <si>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</si>
  <si>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</si>
  <si>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</si>
  <si>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</si>
  <si>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</si>
  <si>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</si>
  <si>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</si>
  <si>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</si>
  <si>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</si>
  <si>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</si>
  <si>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</si>
  <si>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</si>
  <si>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</si>
  <si>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</si>
  <si>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</si>
  <si>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</si>
  <si>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</si>
  <si>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</si>
  <si>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</si>
  <si>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</si>
  <si>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</si>
  <si>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</si>
  <si>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</si>
  <si>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</si>
  <si>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</si>
  <si>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</si>
  <si>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</si>
  <si>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</si>
  <si>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</si>
  <si>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</si>
  <si>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</si>
  <si>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</si>
  <si>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</si>
  <si>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</si>
  <si>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</si>
  <si>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</si>
  <si>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</si>
  <si>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</si>
  <si>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</si>
  <si>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</si>
  <si>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</si>
  <si>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</si>
  <si>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</si>
  <si>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</si>
  <si>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</si>
  <si>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</si>
  <si>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</si>
  <si>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</si>
  <si>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</si>
  <si>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</si>
  <si>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</si>
  <si>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</si>
  <si>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</si>
  <si>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</si>
  <si>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</si>
  <si>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</si>
  <si>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</si>
  <si>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</si>
  <si>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</si>
  <si>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30G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</si>
  <si>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</si>
  <si>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</si>
  <si>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</si>
  <si>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</si>
  <si>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</si>
  <si>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</si>
  <si>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</si>
  <si>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</si>
  <si>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</si>
  <si>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</si>
  <si>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</si>
  <si>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</si>
  <si>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</si>
  <si>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</si>
  <si>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</si>
  <si>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</si>
  <si>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</si>
  <si>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</si>
  <si>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耐性ダウン</t>
    <rPh sb="0" eb="2">
      <t>タイセイ</t>
    </rPh>
    <phoneticPr fontId="1"/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</si>
  <si>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</si>
  <si>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</si>
  <si>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</si>
  <si>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</si>
  <si>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grade</t>
  </si>
  <si>
    <t/>
  </si>
  <si>
    <t>31B</t>
    <phoneticPr fontId="1"/>
  </si>
  <si>
    <t>31E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</si>
  <si>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</si>
  <si>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</si>
  <si>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デススラッグ（第1形態）</t>
    <phoneticPr fontId="1"/>
  </si>
  <si>
    <t>31F</t>
    <phoneticPr fontId="1"/>
  </si>
  <si>
    <t>AB!</t>
    <phoneticPr fontId="1"/>
  </si>
  <si>
    <t>rarity</t>
    <phoneticPr fontId="1"/>
  </si>
  <si>
    <t>skill_list</t>
  </si>
  <si>
    <t>arts_list</t>
  </si>
  <si>
    <t>初回</t>
  </si>
  <si>
    <t>チャージ</t>
  </si>
  <si>
    <t>追加ターン</t>
  </si>
  <si>
    <t>buff_kind</t>
  </si>
  <si>
    <t>physical</t>
    <phoneticPr fontId="1"/>
  </si>
  <si>
    <t>score_attack</t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</si>
  <si>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</si>
  <si>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</si>
  <si>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</si>
  <si>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</si>
  <si>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</si>
  <si>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</si>
  <si>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</si>
  <si>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</si>
  <si>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</si>
  <si>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</si>
  <si>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</si>
  <si>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</si>
  <si>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</si>
  <si>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</si>
  <si>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</si>
  <si>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</si>
  <si>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</si>
  <si>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</si>
  <si>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</si>
  <si>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</si>
  <si>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</si>
  <si>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</si>
  <si>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</si>
  <si>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</si>
  <si>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</si>
  <si>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</si>
  <si>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</si>
  <si>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</si>
  <si>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</si>
  <si>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</si>
  <si>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</si>
  <si>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</si>
  <si>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</si>
  <si>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</si>
  <si>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</si>
  <si>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</si>
  <si>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</si>
  <si>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</si>
  <si>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</si>
  <si>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</si>
  <si>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</si>
  <si>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</si>
  <si>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</si>
  <si>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</si>
  <si>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</si>
  <si>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</si>
  <si>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</si>
  <si>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</si>
  <si>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</si>
  <si>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</si>
  <si>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</si>
  <si>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</si>
  <si>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</si>
  <si>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</si>
  <si>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</si>
  <si>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</si>
  <si>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</si>
  <si>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</si>
  <si>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</si>
  <si>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</si>
  <si>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</si>
  <si>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</si>
  <si>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</si>
  <si>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歌姫の加護</t>
    <rPh sb="0" eb="2">
      <t>ウタヒメ</t>
    </rPh>
    <rPh sb="3" eb="5">
      <t>カゴ</t>
    </rPh>
    <phoneticPr fontId="1"/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</si>
  <si>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</si>
  <si>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</si>
  <si>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</si>
  <si>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</si>
  <si>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</si>
  <si>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</si>
  <si>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</si>
  <si>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</si>
  <si>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</si>
  <si>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</si>
  <si>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</si>
  <si>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</si>
  <si>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</si>
  <si>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</si>
  <si>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</si>
  <si>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</si>
  <si>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</si>
  <si>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</si>
  <si>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</si>
  <si>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</si>
  <si>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</si>
  <si>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</si>
  <si>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</si>
  <si>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</si>
  <si>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</si>
  <si>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</si>
  <si>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</si>
  <si>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</si>
  <si>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3</t>
    <phoneticPr fontId="1"/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</si>
  <si>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</si>
  <si>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</si>
  <si>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</si>
  <si>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</si>
  <si>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</si>
  <si>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</si>
  <si>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</si>
  <si>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</si>
  <si>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</si>
  <si>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4</t>
    <phoneticPr fontId="1"/>
  </si>
  <si>
    <t>30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</si>
  <si>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</si>
  <si>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</si>
  <si>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</si>
  <si>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</si>
  <si>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</si>
  <si>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</si>
  <si>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</si>
  <si>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</si>
  <si>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</si>
  <si>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</si>
  <si>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</si>
  <si>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</si>
  <si>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</si>
  <si>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</si>
  <si>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</si>
  <si>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</si>
  <si>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</si>
  <si>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</si>
  <si>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</si>
  <si>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</si>
  <si>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</si>
  <si>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</si>
  <si>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</si>
  <si>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</si>
  <si>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</si>
  <si>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5</t>
    <phoneticPr fontId="1"/>
  </si>
  <si>
    <t>6</t>
    <phoneticPr fontId="1"/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</si>
  <si>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</si>
  <si>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</si>
  <si>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</si>
  <si>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</si>
  <si>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</si>
  <si>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</si>
  <si>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</si>
  <si>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resonance</t>
  </si>
  <si>
    <t>attack_ref</t>
  </si>
  <si>
    <t>7</t>
    <phoneticPr fontId="1"/>
  </si>
  <si>
    <t>浅見真紀子</t>
  </si>
  <si>
    <t>ability_effect</t>
  </si>
  <si>
    <t>ability_list</t>
  </si>
  <si>
    <t>passive_effect</t>
  </si>
  <si>
    <t>passive_list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</si>
  <si>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</si>
  <si>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</si>
  <si>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</si>
  <si>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</si>
  <si>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</si>
  <si>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</si>
  <si>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</si>
  <si>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ヴァイオレット</t>
    <phoneticPr fontId="1"/>
  </si>
  <si>
    <t>Rapier</t>
    <phoneticPr fontId="1"/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</si>
  <si>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</si>
  <si>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</si>
  <si>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</si>
  <si>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</si>
  <si>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</si>
  <si>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</si>
  <si>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</si>
  <si>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</si>
  <si>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</si>
  <si>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</si>
  <si>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</si>
  <si>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</si>
  <si>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</si>
  <si>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</si>
  <si>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</si>
  <si>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</si>
  <si>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60</t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</si>
  <si>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</si>
  <si>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</si>
  <si>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</si>
  <si>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</si>
  <si>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</si>
  <si>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</si>
  <si>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</si>
  <si>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</si>
  <si>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</si>
  <si>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</si>
  <si>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</si>
  <si>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</si>
  <si>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</si>
  <si>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</si>
  <si>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</si>
  <si>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</si>
  <si>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</si>
  <si>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</si>
  <si>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</si>
  <si>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</si>
  <si>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</si>
  <si>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</si>
  <si>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</si>
  <si>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</si>
  <si>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</si>
  <si>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</si>
  <si>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</si>
  <si>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</si>
  <si>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</si>
  <si>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</si>
  <si>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</si>
  <si>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</si>
  <si>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</si>
  <si>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</si>
  <si>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</si>
  <si>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</si>
  <si>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</si>
  <si>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</si>
  <si>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</si>
  <si>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</si>
  <si>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</si>
  <si>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</si>
  <si>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</si>
  <si>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</si>
  <si>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</si>
  <si>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</si>
  <si>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</si>
  <si>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</si>
  <si>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</si>
  <si>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</si>
  <si>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</si>
  <si>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</si>
  <si>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</si>
  <si>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</si>
  <si>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</si>
  <si>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</si>
  <si>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</si>
  <si>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</si>
  <si>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</si>
  <si>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</si>
  <si>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</si>
  <si>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</si>
  <si>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</si>
  <si>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</si>
  <si>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</si>
  <si>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</si>
  <si>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</si>
  <si>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</si>
  <si>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</si>
  <si>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</si>
  <si>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</si>
  <si>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</si>
  <si>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</si>
  <si>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</si>
  <si>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</si>
  <si>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</si>
  <si>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</si>
  <si>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</si>
  <si>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</si>
  <si>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</si>
  <si>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</si>
  <si>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</si>
  <si>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</si>
  <si>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</si>
  <si>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</si>
  <si>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</si>
  <si>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</si>
  <si>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</si>
  <si>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</si>
  <si>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</si>
  <si>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</si>
  <si>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</si>
  <si>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</si>
  <si>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</si>
  <si>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</si>
  <si>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</si>
  <si>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</si>
  <si>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</si>
  <si>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</si>
  <si>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</si>
  <si>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</si>
  <si>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</si>
  <si>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</si>
  <si>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</si>
  <si>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</si>
  <si>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</si>
  <si>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</si>
  <si>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</si>
  <si>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</si>
  <si>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</si>
  <si>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</si>
  <si>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</si>
  <si>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</si>
  <si>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</si>
  <si>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</si>
  <si>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</si>
  <si>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</si>
  <si>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</si>
  <si>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</si>
  <si>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</si>
  <si>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</si>
  <si>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</si>
  <si>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</si>
  <si>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</si>
  <si>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</si>
  <si>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</si>
  <si>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</si>
  <si>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</si>
  <si>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</si>
  <si>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</si>
  <si>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</si>
  <si>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</si>
  <si>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</si>
  <si>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</si>
  <si>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</si>
  <si>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</si>
  <si>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</si>
  <si>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</si>
  <si>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</si>
  <si>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</si>
  <si>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</si>
  <si>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</si>
  <si>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</si>
  <si>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</si>
  <si>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</si>
  <si>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</si>
  <si>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</si>
  <si>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</si>
  <si>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</si>
  <si>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</si>
  <si>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</si>
  <si>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</si>
  <si>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</si>
  <si>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</si>
  <si>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</si>
  <si>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</si>
  <si>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</si>
  <si>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</si>
  <si>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</si>
  <si>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</si>
  <si>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</si>
  <si>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</si>
  <si>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</si>
  <si>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</si>
  <si>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</si>
  <si>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</si>
  <si>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</si>
  <si>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</si>
  <si>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</si>
  <si>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</si>
  <si>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</si>
  <si>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</si>
  <si>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</si>
  <si>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</si>
  <si>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</si>
  <si>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</si>
  <si>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</si>
  <si>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</si>
  <si>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</si>
  <si>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</si>
  <si>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</si>
  <si>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</si>
  <si>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</si>
  <si>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</si>
  <si>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</si>
  <si>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</si>
  <si>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</si>
  <si>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</si>
  <si>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</si>
  <si>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</si>
  <si>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</si>
  <si>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</si>
  <si>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</si>
  <si>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</si>
  <si>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</si>
  <si>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50</t>
    <phoneticPr fontId="1"/>
  </si>
  <si>
    <t>skill_effect</t>
  </si>
  <si>
    <t>calendar_category</t>
  </si>
  <si>
    <t>calendar_event</t>
  </si>
  <si>
    <t>calendar_event_tag</t>
  </si>
  <si>
    <t>calendar_tag</t>
  </si>
  <si>
    <t>event_id</t>
    <phoneticPr fontId="1"/>
  </si>
  <si>
    <t>bigint</t>
    <phoneticPr fontId="1"/>
  </si>
  <si>
    <t>category_id</t>
    <phoneticPr fontId="1"/>
  </si>
  <si>
    <t>smallint</t>
    <phoneticPr fontId="1"/>
  </si>
  <si>
    <t>event_name</t>
    <phoneticPr fontId="1"/>
  </si>
  <si>
    <t>text</t>
    <phoneticPr fontId="1"/>
  </si>
  <si>
    <t>start_date</t>
    <phoneticPr fontId="1"/>
  </si>
  <si>
    <t>end_date</t>
    <phoneticPr fontId="1"/>
  </si>
  <si>
    <t>description</t>
    <phoneticPr fontId="1"/>
  </si>
  <si>
    <t>url</t>
    <phoneticPr fontId="1"/>
  </si>
  <si>
    <t>icon</t>
    <phoneticPr fontId="1"/>
  </si>
  <si>
    <t>display_order</t>
    <phoneticPr fontId="1"/>
  </si>
  <si>
    <t>integer</t>
    <phoneticPr fontId="1"/>
  </si>
  <si>
    <t>public.calendar_event</t>
  </si>
  <si>
    <t>tag_id</t>
    <phoneticPr fontId="1"/>
  </si>
  <si>
    <t>public.calendar_event_tag</t>
  </si>
  <si>
    <t>tag_name</t>
    <phoneticPr fontId="1"/>
  </si>
  <si>
    <t>public.calendar_tag</t>
  </si>
  <si>
    <t>category_code</t>
    <phoneticPr fontId="1"/>
  </si>
  <si>
    <t>category_name</t>
    <phoneticPr fontId="1"/>
  </si>
  <si>
    <t>color</t>
    <phoneticPr fontId="1"/>
  </si>
  <si>
    <t>public.calendar_category</t>
  </si>
  <si>
    <t>#E57373</t>
  </si>
  <si>
    <t>#64B5F6</t>
  </si>
  <si>
    <t>#81C784</t>
  </si>
  <si>
    <t>2026/10/16 10:59:00</t>
  </si>
  <si>
    <t>timestamp without time zone</t>
    <phoneticPr fontId="1"/>
  </si>
  <si>
    <t>2026/10/12 10:59:00</t>
  </si>
  <si>
    <t>2026/10/30 10:59:00</t>
  </si>
  <si>
    <t>ガチャ</t>
    <phoneticPr fontId="1"/>
  </si>
  <si>
    <t>イベント</t>
    <phoneticPr fontId="1"/>
  </si>
  <si>
    <t>異時層EX</t>
    <rPh sb="0" eb="3">
      <t>イジソウ</t>
    </rPh>
    <phoneticPr fontId="1"/>
  </si>
  <si>
    <t>恒星掃戦線</t>
    <rPh sb="0" eb="2">
      <t>コウセイ</t>
    </rPh>
    <rPh sb="2" eb="3">
      <t>ソウ</t>
    </rPh>
    <rPh sb="3" eb="5">
      <t>センセン</t>
    </rPh>
    <phoneticPr fontId="1"/>
  </si>
  <si>
    <t>ストーリー</t>
    <phoneticPr fontId="1"/>
  </si>
  <si>
    <t>gacha</t>
    <phoneticPr fontId="1"/>
  </si>
  <si>
    <t>story</t>
    <phoneticPr fontId="1"/>
  </si>
  <si>
    <t>hardEX</t>
    <phoneticPr fontId="1"/>
  </si>
  <si>
    <t>dimension</t>
  </si>
  <si>
    <t>other</t>
    <phoneticPr fontId="1"/>
  </si>
  <si>
    <t>scoreAttack</t>
    <phoneticPr fontId="1"/>
  </si>
  <si>
    <t>スコアアタック</t>
    <phoneticPr fontId="1"/>
  </si>
  <si>
    <t>セラフ遭遇戦</t>
    <rPh sb="3" eb="5">
      <t>ソウグウ</t>
    </rPh>
    <rPh sb="5" eb="6">
      <t>セン</t>
    </rPh>
    <phoneticPr fontId="1"/>
  </si>
  <si>
    <t>wavebattle</t>
  </si>
  <si>
    <t>PU[フルール・アンシャンテ]和泉ユキ</t>
  </si>
  <si>
    <t>2026/10/09 11:00:00</t>
  </si>
  <si>
    <t>ストーリーイベント「禁断の知識」</t>
  </si>
  <si>
    <t>2026/09/18 11:00:00</t>
  </si>
  <si>
    <t>#103 Eternal Grief</t>
  </si>
  <si>
    <t>2026/10/02 11:00:00</t>
  </si>
  <si>
    <t>2026/10/23 10:59:00</t>
  </si>
  <si>
    <t>復刻 Angel Beats! コラボガチャⅢ</t>
  </si>
  <si>
    <t>40</t>
    <phoneticPr fontId="1"/>
  </si>
  <si>
    <t>70</t>
    <phoneticPr fontId="1"/>
  </si>
  <si>
    <t>#FFB74D</t>
  </si>
  <si>
    <t>#BA68C8</t>
  </si>
  <si>
    <t>#4DB6AC</t>
  </si>
  <si>
    <t>#90A4AE</t>
  </si>
  <si>
    <t>異時層EX -第三章-</t>
  </si>
  <si>
    <t>Live Fes</t>
  </si>
  <si>
    <t>2026/10/13 10:59:00</t>
  </si>
  <si>
    <t>2026/11/27 10:59:00</t>
  </si>
  <si>
    <t>カテゴリ</t>
    <phoneticPr fontId="1"/>
  </si>
  <si>
    <t>イベント名</t>
    <rPh sb="4" eb="5">
      <t>メイ</t>
    </rPh>
    <phoneticPr fontId="1"/>
  </si>
  <si>
    <t>開始日</t>
    <rPh sb="0" eb="3">
      <t>カイシビ</t>
    </rPh>
    <phoneticPr fontId="1"/>
  </si>
  <si>
    <t>開始時刻</t>
    <rPh sb="0" eb="2">
      <t>カイシ</t>
    </rPh>
    <rPh sb="2" eb="4">
      <t>ジコク</t>
    </rPh>
    <phoneticPr fontId="1"/>
  </si>
  <si>
    <t>終了日</t>
    <rPh sb="0" eb="2">
      <t>シュウリョウ</t>
    </rPh>
    <rPh sb="2" eb="3">
      <t>ビ</t>
    </rPh>
    <phoneticPr fontId="1"/>
  </si>
  <si>
    <t>終了時刻</t>
    <rPh sb="0" eb="2">
      <t>シュウリョウ</t>
    </rPh>
    <rPh sb="2" eb="4">
      <t>ジコク</t>
    </rPh>
    <phoneticPr fontId="1"/>
  </si>
  <si>
    <t>11:00</t>
  </si>
  <si>
    <t>10:59</t>
    <phoneticPr fontId="1"/>
  </si>
  <si>
    <t>復刻 Angel Beats! コラボガチャ</t>
  </si>
  <si>
    <t>復刻 Angel Beats! コラボガチャⅡ</t>
  </si>
  <si>
    <t>コラボ復刻「コスモスが咲き続けた場所」</t>
  </si>
  <si>
    <t>コラボ復刻「Beautiful the Blood」</t>
  </si>
  <si>
    <t>コラボ復刻「唐突にファザー～オカンとアタシと弟と、ずっとアルコール依存～」</t>
  </si>
  <si>
    <t>#15 厄災の担い手&amp;疫災の運び手</t>
  </si>
  <si>
    <t>8</t>
    <phoneticPr fontId="1"/>
  </si>
  <si>
    <t>アーツバトル</t>
    <phoneticPr fontId="1"/>
  </si>
  <si>
    <t>arts</t>
    <phoneticPr fontId="1"/>
  </si>
  <si>
    <t>80</t>
    <phoneticPr fontId="1"/>
  </si>
  <si>
    <t>シーズン11 -2026 Autumn- スコア登録期間</t>
  </si>
  <si>
    <t>シーズン11 -2026 Autumn- スコア集計期間</t>
  </si>
  <si>
    <t>2026/09/25 11:00:00</t>
  </si>
  <si>
    <t>2026/12/04 10:59:00</t>
  </si>
  <si>
    <t>2026/12/04 11:00:00</t>
  </si>
  <si>
    <t>2026/12/11 10:59:00</t>
  </si>
  <si>
    <t>#AED581</t>
    <phoneticPr fontId="1"/>
  </si>
  <si>
    <t>2026/10/30</t>
    <phoneticPr fontId="1"/>
  </si>
  <si>
    <t>PU[禁忌のシンセサイズ]石井 色葉</t>
  </si>
  <si>
    <t>PU[戦慄のナースコール]佐月 マリ</t>
  </si>
  <si>
    <t>#104 The Coming Epicenter</t>
  </si>
  <si>
    <t>シーズン11 -2026 Autumn- リザルト表示期間</t>
  </si>
  <si>
    <t>2026/12/11 11:00:00</t>
  </si>
  <si>
    <t>2026/12/18 10:59:00</t>
  </si>
  <si>
    <t>2026/10/16 11:00:00</t>
  </si>
  <si>
    <t>2026/10/23 11:00:00</t>
    <phoneticPr fontId="1"/>
  </si>
  <si>
    <t>異時層EX -第二章-</t>
  </si>
  <si>
    <t>異時層EX -第二章-</t>
    <rPh sb="8" eb="9">
      <t>ニ</t>
    </rPh>
    <phoneticPr fontId="1"/>
  </si>
  <si>
    <t>ガチャ</t>
  </si>
  <si>
    <t>ストーリー</t>
  </si>
  <si>
    <t>PU[真夜中のソウル・ハーベスト]朝倉 可憐</t>
  </si>
  <si>
    <t>PU[真夜中のソウル・ハーベスト]朝倉 可憐</t>
    <phoneticPr fontId="1"/>
  </si>
  <si>
    <t>SNAP 剣客師弟、目指すは湯けむり山籠もり</t>
    <phoneticPr fontId="1"/>
  </si>
  <si>
    <t>セラフ遭遇戦演習#8</t>
  </si>
  <si>
    <t>異時層EX -第一章-</t>
  </si>
  <si>
    <t>2026/10/23 11:00:00</t>
  </si>
  <si>
    <t>2026/10/26 10:59:00</t>
  </si>
  <si>
    <t>2026/10/30 11:00:00</t>
  </si>
  <si>
    <t>2026/11/13 10:59:00</t>
  </si>
  <si>
    <t>2026/11/6</t>
    <phoneticPr fontId="1"/>
  </si>
  <si>
    <t>2026/11/27</t>
    <phoneticPr fontId="1"/>
  </si>
  <si>
    <t>火・氷属性ウィッシュリストスペシャルガチャ</t>
  </si>
  <si>
    <t>火・氷属性ウィッシュリストスペシャルガチャ</t>
    <phoneticPr fontId="1"/>
  </si>
  <si>
    <t>2026/11/06 11:00:00</t>
  </si>
  <si>
    <t>2026/11/09 10:59:00</t>
    <phoneticPr fontId="1"/>
  </si>
  <si>
    <t>26</t>
    <phoneticPr fontId="1"/>
  </si>
  <si>
    <t>ハロウィン えらべるSS確定3STEPガチャ</t>
    <phoneticPr fontId="1"/>
  </si>
  <si>
    <t>2026/11/06 10:59:00</t>
    <phoneticPr fontId="1"/>
  </si>
  <si>
    <t>SNAPイベント「イベントこのいろは、見えざりて」</t>
    <phoneticPr fontId="1"/>
  </si>
  <si>
    <t>SNAPイベント「剣客師弟、目指すは湯けむり山籠もり」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</si>
</sst>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9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2" fillId="0" borderId="1" xfId="0" applyNumberFormat="1" applyFont="1" applyBorder="1" applyAlignment="1">
      <alignment horizontal="right"/>
    </xf>
    <xf numFmtId="49" fontId="0" fillId="7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left"/>
    </xf>
    <xf numFmtId="14" fontId="0" fillId="7" borderId="1" xfId="0" applyNumberFormat="1" applyFill="1" applyBorder="1" applyAlignment="1">
      <alignment horizont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[calendar.xlsm]Sheet2!ピボットテーブル2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457201</xdr:colOff>
      <xdr:row>18</xdr:row>
      <xdr:rowOff>0</xdr:rowOff>
    </xdr:from>
    <xdr:to>
      <xdr:col>8</xdr:col>
      <xdr:colOff>495301</xdr:colOff>
      <xdr:row>19</xdr:row>
      <xdr:rowOff>114300</xdr:rowOff>
    </xdr:to>
    <xdr:sp macro="[0]!insertAn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2D59838-B25A-37C3-5D80-8E02CEEA0C78}"/>
            </a:ext>
          </a:extLst>
        </xdr:cNvPr>
        <xdr:cNvSpPr/>
      </xdr:nvSpPr>
      <xdr:spPr>
        <a:xfrm>
          <a:off x="8696326" y="476250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  <xdr:twoCellAnchor>
    <xdr:from>
      <xdr:col>7</xdr:col>
      <xdr:colOff>457201</xdr:colOff>
      <xdr:row>13</xdr:row>
      <xdr:rowOff>228600</xdr:rowOff>
    </xdr:from>
    <xdr:to>
      <xdr:col>8</xdr:col>
      <xdr:colOff>495301</xdr:colOff>
      <xdr:row>15</xdr:row>
      <xdr:rowOff>104775</xdr:rowOff>
    </xdr:to>
    <xdr:sp macro="[0]!insertHard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AF7BF9C-48CE-7387-9DA0-A67A00372624}"/>
            </a:ext>
          </a:extLst>
        </xdr:cNvPr>
        <xdr:cNvSpPr/>
      </xdr:nvSpPr>
      <xdr:spPr>
        <a:xfrm>
          <a:off x="10210801" y="1657350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  <xdr:twoCellAnchor>
    <xdr:from>
      <xdr:col>7</xdr:col>
      <xdr:colOff>457201</xdr:colOff>
      <xdr:row>1</xdr:row>
      <xdr:rowOff>180975</xdr:rowOff>
    </xdr:from>
    <xdr:to>
      <xdr:col>8</xdr:col>
      <xdr:colOff>495301</xdr:colOff>
      <xdr:row>3</xdr:row>
      <xdr:rowOff>57150</xdr:rowOff>
    </xdr:to>
    <xdr:sp macro="[0]!insertCacha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BCBA535B-0494-7CA5-BEB6-FE08A129A4F0}"/>
            </a:ext>
          </a:extLst>
        </xdr:cNvPr>
        <xdr:cNvSpPr/>
      </xdr:nvSpPr>
      <xdr:spPr>
        <a:xfrm>
          <a:off x="10210801" y="1371600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  <xdr:twoCellAnchor>
    <xdr:from>
      <xdr:col>7</xdr:col>
      <xdr:colOff>457201</xdr:colOff>
      <xdr:row>5</xdr:row>
      <xdr:rowOff>228600</xdr:rowOff>
    </xdr:from>
    <xdr:to>
      <xdr:col>8</xdr:col>
      <xdr:colOff>495301</xdr:colOff>
      <xdr:row>7</xdr:row>
      <xdr:rowOff>104775</xdr:rowOff>
    </xdr:to>
    <xdr:sp macro="[0]!insertStory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5D5C1946-C12B-424B-8FAB-2EC9753BA4E1}"/>
            </a:ext>
          </a:extLst>
        </xdr:cNvPr>
        <xdr:cNvSpPr/>
      </xdr:nvSpPr>
      <xdr:spPr>
        <a:xfrm>
          <a:off x="10210801" y="3324225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  <xdr:twoCellAnchor>
    <xdr:from>
      <xdr:col>7</xdr:col>
      <xdr:colOff>457201</xdr:colOff>
      <xdr:row>9</xdr:row>
      <xdr:rowOff>228600</xdr:rowOff>
    </xdr:from>
    <xdr:to>
      <xdr:col>8</xdr:col>
      <xdr:colOff>495301</xdr:colOff>
      <xdr:row>11</xdr:row>
      <xdr:rowOff>104775</xdr:rowOff>
    </xdr:to>
    <xdr:sp macro="[0]!insertScore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A522F0B-B062-42A8-A674-E9144AC387C9}"/>
            </a:ext>
          </a:extLst>
        </xdr:cNvPr>
        <xdr:cNvSpPr/>
      </xdr:nvSpPr>
      <xdr:spPr>
        <a:xfrm>
          <a:off x="10210801" y="2371725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FB697-E221-4A8D-AF3F-A2195FC3788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4CF909-9DBF-49FD-AE35-1ED173D4B43B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5C28E9F-0084-4213-8A4D-CF574123011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0C548FA-72C5-4624-8F36-A577A10F88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A2C2CD7-693D-4DCB-A25C-112A7F5924B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6F7F076-2C40-459A-BF66-215BD61DB2B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158D38E-1305-4E1F-9CE2-8A5C37E305A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495A94-3DC5-496B-8291-D63843512C26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67235</xdr:colOff>
      <xdr:row>1</xdr:row>
      <xdr:rowOff>123265</xdr:rowOff>
    </xdr:from>
    <xdr:to>
      <xdr:col>13</xdr:col>
      <xdr:colOff>347383</xdr:colOff>
      <xdr:row>3</xdr:row>
      <xdr:rowOff>56030</xdr:rowOff>
    </xdr:to>
    <xdr:sp macro="[0]!outputEven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C053CF9-AC23-C7B3-C1F1-1DE98B4CF50C}"/>
            </a:ext>
          </a:extLst>
        </xdr:cNvPr>
        <xdr:cNvSpPr/>
      </xdr:nvSpPr>
      <xdr:spPr>
        <a:xfrm>
          <a:off x="12864353" y="358589"/>
          <a:ext cx="963706" cy="40341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298C0E1-E512-4679-9447-128FDF7DB2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A16395E-A378-4283-9361-230AF9BC8CD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E605C89-2D21-4D04-A19E-36B834F744B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DF1B3F-1A58-4C23-9515-689C09A3E6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71DA147-CB2F-4962-88B6-B5CE3656668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34D0D8C-4AF3-4924-90E2-1F78E23F6290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461CA23-C7FA-4A2A-88A5-43EDAEDAE56E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D7A5B6F-8475-42F2-899A-AADCA6F5D7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8"/>
  <sheetViews>
    <sheetView workbookViewId="0">
      <selection activeCell="C6" sqref="C6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173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360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361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211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357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587</v>
      </c>
      <c r="F6" s="10" t="s">
        <v>19</v>
      </c>
      <c r="G6" s="10" t="s">
        <v>319</v>
      </c>
    </row>
    <row r="7" spans="1:14" x14ac:dyDescent="0.4">
      <c r="A7" s="1"/>
      <c r="F7" s="10" t="s">
        <v>19</v>
      </c>
      <c r="G7" s="10" t="s">
        <v>215</v>
      </c>
    </row>
    <row r="8" spans="1:14" x14ac:dyDescent="0.4">
      <c r="F8" s="10" t="s">
        <v>19</v>
      </c>
      <c r="G8" s="10" t="s">
        <v>587</v>
      </c>
    </row>
    <row r="9" spans="1:14" x14ac:dyDescent="0.4">
      <c r="F9" s="10" t="s">
        <v>19</v>
      </c>
      <c r="G9" s="10" t="s">
        <v>588</v>
      </c>
    </row>
    <row r="10" spans="1:14" x14ac:dyDescent="0.4">
      <c r="F10" s="10" t="s">
        <v>19</v>
      </c>
      <c r="G10" s="10" t="s">
        <v>589</v>
      </c>
    </row>
    <row r="11" spans="1:14" x14ac:dyDescent="0.4">
      <c r="B11"/>
      <c r="F11" s="10" t="s">
        <v>19</v>
      </c>
      <c r="G11" s="10" t="s">
        <v>590</v>
      </c>
    </row>
    <row r="12" spans="1:14" x14ac:dyDescent="0.4">
      <c r="F12" s="10" t="s">
        <v>19</v>
      </c>
      <c r="G12" s="10" t="s">
        <v>92</v>
      </c>
    </row>
    <row r="13" spans="1:14" x14ac:dyDescent="0.4">
      <c r="F13" s="10" t="s">
        <v>19</v>
      </c>
      <c r="G13" s="10" t="s">
        <v>22</v>
      </c>
    </row>
    <row r="14" spans="1:14" x14ac:dyDescent="0.4">
      <c r="F14" s="10" t="s">
        <v>19</v>
      </c>
      <c r="G14" s="10" t="s">
        <v>153</v>
      </c>
    </row>
    <row r="15" spans="1:14" x14ac:dyDescent="0.4">
      <c r="F15" s="10" t="s">
        <v>19</v>
      </c>
      <c r="G15" s="10" t="s">
        <v>200</v>
      </c>
    </row>
    <row r="16" spans="1:14" x14ac:dyDescent="0.4">
      <c r="F16" s="10" t="s">
        <v>19</v>
      </c>
      <c r="G16" s="10" t="s">
        <v>362</v>
      </c>
    </row>
    <row r="17" spans="6:7" x14ac:dyDescent="0.4">
      <c r="F17" s="10" t="s">
        <v>19</v>
      </c>
      <c r="G17" s="10" t="s">
        <v>363</v>
      </c>
    </row>
    <row r="18" spans="6:7" x14ac:dyDescent="0.4">
      <c r="F18" s="10" t="s">
        <v>19</v>
      </c>
      <c r="G18" s="10" t="s">
        <v>356</v>
      </c>
    </row>
    <row r="19" spans="6:7" x14ac:dyDescent="0.4">
      <c r="F19" s="10" t="s">
        <v>19</v>
      </c>
      <c r="G19" s="10" t="s">
        <v>217</v>
      </c>
    </row>
    <row r="20" spans="6:7" x14ac:dyDescent="0.4">
      <c r="F20" s="10" t="s">
        <v>19</v>
      </c>
      <c r="G20" s="10" t="s">
        <v>23</v>
      </c>
    </row>
    <row r="21" spans="6:7" x14ac:dyDescent="0.4">
      <c r="F21" s="10" t="s">
        <v>19</v>
      </c>
      <c r="G21" s="10" t="s">
        <v>24</v>
      </c>
    </row>
    <row r="22" spans="6:7" x14ac:dyDescent="0.4">
      <c r="F22" s="10" t="s">
        <v>19</v>
      </c>
      <c r="G22" s="10" t="s">
        <v>586</v>
      </c>
    </row>
    <row r="23" spans="6:7" x14ac:dyDescent="0.4">
      <c r="F23" s="10" t="s">
        <v>19</v>
      </c>
      <c r="G23" s="10" t="s">
        <v>210</v>
      </c>
    </row>
    <row r="24" spans="6:7" x14ac:dyDescent="0.4">
      <c r="F24" s="10" t="s">
        <v>19</v>
      </c>
      <c r="G24" s="10" t="s">
        <v>279</v>
      </c>
    </row>
    <row r="25" spans="6:7" x14ac:dyDescent="0.4">
      <c r="F25" s="10" t="s">
        <v>19</v>
      </c>
      <c r="G25" s="10" t="s">
        <v>93</v>
      </c>
    </row>
    <row r="26" spans="6:7" x14ac:dyDescent="0.4">
      <c r="F26" s="10" t="s">
        <v>19</v>
      </c>
      <c r="G26" s="10" t="s">
        <v>94</v>
      </c>
    </row>
    <row r="27" spans="6:7" x14ac:dyDescent="0.4">
      <c r="F27" s="10" t="s">
        <v>19</v>
      </c>
      <c r="G27" s="10" t="s">
        <v>95</v>
      </c>
    </row>
    <row r="28" spans="6:7" x14ac:dyDescent="0.4">
      <c r="F28" s="10" t="s">
        <v>19</v>
      </c>
      <c r="G28" s="10" t="s">
        <v>96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3E4C8-9113-4686-9C59-2D336A74B783}">
  <sheetPr codeName="Sheet2"/>
  <dimension ref="A2:G39"/>
  <sheetViews>
    <sheetView workbookViewId="0">
      <selection activeCell="C20" sqref="C20"/>
    </sheetView>
  </sheetViews>
  <sheetFormatPr defaultRowHeight="18.75" x14ac:dyDescent="0.4"/>
  <cols>
    <col min="2" max="2" width="16.125" bestFit="1" customWidth="1"/>
    <col min="3" max="3" width="51.125" customWidth="1"/>
    <col min="4" max="4" width="16.875" bestFit="1" customWidth="1"/>
    <col min="6" max="6" width="16.875" bestFit="1" customWidth="1"/>
  </cols>
  <sheetData>
    <row r="2" spans="2:7" x14ac:dyDescent="0.4">
      <c r="B2" s="33" t="s">
        <v>652</v>
      </c>
      <c r="C2" s="33" t="s">
        <v>653</v>
      </c>
      <c r="D2" s="33" t="s">
        <v>654</v>
      </c>
      <c r="E2" s="33" t="s">
        <v>655</v>
      </c>
      <c r="F2" s="33" t="s">
        <v>656</v>
      </c>
      <c r="G2" s="33" t="s">
        <v>657</v>
      </c>
    </row>
    <row r="3" spans="2:7" x14ac:dyDescent="0.4">
      <c r="B3" s="34" t="s">
        <v>688</v>
      </c>
      <c r="C3" s="36" t="s">
        <v>691</v>
      </c>
      <c r="D3" s="34" t="s">
        <v>677</v>
      </c>
      <c r="E3" s="31" t="s">
        <v>658</v>
      </c>
      <c r="F3" s="38">
        <f>D3+14</f>
        <v>46339</v>
      </c>
      <c r="G3" s="31" t="s">
        <v>659</v>
      </c>
    </row>
    <row r="4" spans="2:7" x14ac:dyDescent="0.4">
      <c r="B4" s="30">
        <f>_xlfn.XLOOKUP(B3,$B$32:$B$39,$A$32:$A$39)</f>
        <v>1</v>
      </c>
      <c r="C4" s="37" t="str">
        <f>C3</f>
        <v>PU[真夜中のソウル・ハーベスト]朝倉 可憐</v>
      </c>
      <c r="D4" s="32" t="str">
        <f>D3&amp;" "&amp;E3</f>
        <v>2026/10/30 11:00</v>
      </c>
      <c r="E4" s="30"/>
      <c r="F4" s="32" t="str">
        <f>TEXT(F3,"yyyy/mm/dd")&amp;" "&amp;G3</f>
        <v>2026/11/13 10:59</v>
      </c>
      <c r="G4" s="30"/>
    </row>
    <row r="5" spans="2:7" x14ac:dyDescent="0.4">
      <c r="C5" s="26"/>
    </row>
    <row r="6" spans="2:7" x14ac:dyDescent="0.4">
      <c r="B6" s="33" t="s">
        <v>652</v>
      </c>
      <c r="C6" s="33" t="s">
        <v>653</v>
      </c>
      <c r="D6" s="33" t="s">
        <v>654</v>
      </c>
      <c r="E6" s="33" t="s">
        <v>655</v>
      </c>
      <c r="F6" s="33" t="s">
        <v>656</v>
      </c>
      <c r="G6" s="33" t="s">
        <v>657</v>
      </c>
    </row>
    <row r="7" spans="2:7" x14ac:dyDescent="0.4">
      <c r="B7" s="34" t="s">
        <v>689</v>
      </c>
      <c r="C7" s="36" t="s">
        <v>692</v>
      </c>
      <c r="D7" s="34" t="s">
        <v>677</v>
      </c>
      <c r="E7" s="31" t="s">
        <v>658</v>
      </c>
      <c r="F7" s="38">
        <f>D7+14</f>
        <v>46339</v>
      </c>
      <c r="G7" s="31" t="s">
        <v>659</v>
      </c>
    </row>
    <row r="8" spans="2:7" x14ac:dyDescent="0.4">
      <c r="B8" s="30">
        <f>_xlfn.XLOOKUP(B7,$B$32:$B$39,$A$32:$A$39)</f>
        <v>2</v>
      </c>
      <c r="C8" s="37" t="str">
        <f>C7</f>
        <v>SNAP 剣客師弟、目指すは湯けむり山籠もり</v>
      </c>
      <c r="D8" s="32" t="str">
        <f>D7&amp;" "&amp;E7</f>
        <v>2026/10/30 11:00</v>
      </c>
      <c r="E8" s="30"/>
      <c r="F8" s="32" t="str">
        <f>TEXT(F7,"yyyy/mm/dd")&amp;" "&amp;G7</f>
        <v>2026/11/13 10:59</v>
      </c>
      <c r="G8" s="30"/>
    </row>
    <row r="9" spans="2:7" x14ac:dyDescent="0.4">
      <c r="C9" s="26"/>
    </row>
    <row r="10" spans="2:7" x14ac:dyDescent="0.4">
      <c r="B10" s="33" t="s">
        <v>652</v>
      </c>
      <c r="C10" s="33" t="s">
        <v>653</v>
      </c>
      <c r="D10" s="33" t="s">
        <v>654</v>
      </c>
      <c r="E10" s="33" t="s">
        <v>655</v>
      </c>
      <c r="F10" s="33" t="s">
        <v>656</v>
      </c>
      <c r="G10" s="33" t="s">
        <v>657</v>
      </c>
    </row>
    <row r="11" spans="2:7" x14ac:dyDescent="0.4">
      <c r="B11" s="34" t="s">
        <v>632</v>
      </c>
      <c r="C11" s="36" t="s">
        <v>693</v>
      </c>
      <c r="D11" s="34" t="s">
        <v>677</v>
      </c>
      <c r="E11" s="31" t="s">
        <v>658</v>
      </c>
      <c r="F11" s="38">
        <f>D11+14</f>
        <v>46339</v>
      </c>
      <c r="G11" s="31" t="s">
        <v>659</v>
      </c>
    </row>
    <row r="12" spans="2:7" x14ac:dyDescent="0.4">
      <c r="B12" s="30" t="str">
        <f>_xlfn.XLOOKUP(B11,$B$32:$B$39,$A$32:$A$39)</f>
        <v>4</v>
      </c>
      <c r="C12" s="37" t="str">
        <f>C11</f>
        <v>セラフ遭遇戦演習#8</v>
      </c>
      <c r="D12" s="32" t="str">
        <f>D11&amp;" "&amp;E11</f>
        <v>2026/10/30 11:00</v>
      </c>
      <c r="E12" s="30"/>
      <c r="F12" s="32" t="str">
        <f>TEXT(F11,"yyyy/mm/dd")&amp;" "&amp;G11</f>
        <v>2026/11/13 10:59</v>
      </c>
      <c r="G12" s="30"/>
    </row>
    <row r="13" spans="2:7" x14ac:dyDescent="0.4">
      <c r="C13" s="26"/>
    </row>
    <row r="14" spans="2:7" x14ac:dyDescent="0.4">
      <c r="B14" s="33" t="s">
        <v>652</v>
      </c>
      <c r="C14" s="33" t="s">
        <v>653</v>
      </c>
      <c r="D14" s="33" t="s">
        <v>654</v>
      </c>
      <c r="E14" s="33" t="s">
        <v>655</v>
      </c>
      <c r="F14" s="33" t="s">
        <v>656</v>
      </c>
      <c r="G14" s="33" t="s">
        <v>657</v>
      </c>
    </row>
    <row r="15" spans="2:7" x14ac:dyDescent="0.4">
      <c r="B15" s="34" t="s">
        <v>622</v>
      </c>
      <c r="C15" s="36" t="s">
        <v>687</v>
      </c>
      <c r="D15" s="34" t="s">
        <v>677</v>
      </c>
      <c r="E15" s="31" t="s">
        <v>658</v>
      </c>
      <c r="F15" s="38">
        <f>D15+3</f>
        <v>46328</v>
      </c>
      <c r="G15" s="31" t="s">
        <v>659</v>
      </c>
    </row>
    <row r="16" spans="2:7" x14ac:dyDescent="0.4">
      <c r="B16" s="30" t="str">
        <f>_xlfn.XLOOKUP(B15,$B$32:$B$39,$A$32:$A$39)</f>
        <v>5</v>
      </c>
      <c r="C16" s="37" t="str">
        <f>C15</f>
        <v>異時層EX -第二章-</v>
      </c>
      <c r="D16" s="32" t="str">
        <f>D15&amp;" "&amp;E15</f>
        <v>2026/10/30 11:00</v>
      </c>
      <c r="E16" s="30"/>
      <c r="F16" s="32" t="str">
        <f>TEXT(F15,"yyyy/mm/dd")&amp;" "&amp;G15</f>
        <v>2026/11/02 10:59</v>
      </c>
      <c r="G16" s="30"/>
    </row>
    <row r="17" spans="1:7" x14ac:dyDescent="0.4">
      <c r="C17" s="26"/>
    </row>
    <row r="18" spans="1:7" x14ac:dyDescent="0.4">
      <c r="B18" s="33" t="s">
        <v>652</v>
      </c>
      <c r="C18" s="33" t="s">
        <v>653</v>
      </c>
      <c r="D18" s="33" t="s">
        <v>654</v>
      </c>
      <c r="E18" s="33" t="s">
        <v>655</v>
      </c>
      <c r="F18" s="33" t="s">
        <v>656</v>
      </c>
      <c r="G18" s="33" t="s">
        <v>657</v>
      </c>
    </row>
    <row r="19" spans="1:7" x14ac:dyDescent="0.4">
      <c r="B19" s="34" t="s">
        <v>688</v>
      </c>
      <c r="C19" s="36" t="s">
        <v>702</v>
      </c>
      <c r="D19" s="34" t="s">
        <v>699</v>
      </c>
      <c r="E19" s="31" t="s">
        <v>658</v>
      </c>
      <c r="F19" s="34" t="s">
        <v>700</v>
      </c>
      <c r="G19" s="31" t="s">
        <v>659</v>
      </c>
    </row>
    <row r="20" spans="1:7" x14ac:dyDescent="0.4">
      <c r="B20" s="30">
        <f>_xlfn.XLOOKUP(B19,$B$32:$B$39,$A$32:$A$39)</f>
        <v>1</v>
      </c>
      <c r="C20" s="37" t="str">
        <f>C19</f>
        <v>火・氷属性ウィッシュリストスペシャルガチャ</v>
      </c>
      <c r="D20" s="32" t="str">
        <f>D19&amp;" "&amp;E19</f>
        <v>2026/11/6 11:00</v>
      </c>
      <c r="E20" s="30"/>
      <c r="F20" s="32" t="str">
        <f>F19&amp;" "&amp;G19</f>
        <v>2026/11/27 10:59</v>
      </c>
      <c r="G20" s="30"/>
    </row>
    <row r="21" spans="1:7" x14ac:dyDescent="0.4">
      <c r="C21" s="26"/>
    </row>
    <row r="22" spans="1:7" x14ac:dyDescent="0.4">
      <c r="C22" s="26"/>
    </row>
    <row r="23" spans="1:7" x14ac:dyDescent="0.4">
      <c r="C23" s="26"/>
    </row>
    <row r="24" spans="1:7" x14ac:dyDescent="0.4">
      <c r="C24" s="26"/>
    </row>
    <row r="25" spans="1:7" x14ac:dyDescent="0.4">
      <c r="C25" s="26"/>
    </row>
    <row r="26" spans="1:7" x14ac:dyDescent="0.4">
      <c r="C26" s="26"/>
    </row>
    <row r="27" spans="1:7" x14ac:dyDescent="0.4">
      <c r="C27" s="26"/>
    </row>
    <row r="28" spans="1:7" x14ac:dyDescent="0.4">
      <c r="C28" s="26"/>
    </row>
    <row r="29" spans="1:7" x14ac:dyDescent="0.4">
      <c r="C29" s="26"/>
    </row>
    <row r="30" spans="1:7" x14ac:dyDescent="0.4">
      <c r="C30" s="26"/>
    </row>
    <row r="31" spans="1:7" x14ac:dyDescent="0.4">
      <c r="A31" t="s">
        <v>652</v>
      </c>
    </row>
    <row r="32" spans="1:7" x14ac:dyDescent="0.4">
      <c r="A32" s="35">
        <v>1</v>
      </c>
      <c r="B32" s="11" t="s">
        <v>620</v>
      </c>
    </row>
    <row r="33" spans="1:2" x14ac:dyDescent="0.4">
      <c r="A33" s="35">
        <v>2</v>
      </c>
      <c r="B33" s="11" t="s">
        <v>624</v>
      </c>
    </row>
    <row r="34" spans="1:2" x14ac:dyDescent="0.4">
      <c r="A34" s="35" t="s">
        <v>310</v>
      </c>
      <c r="B34" s="11" t="s">
        <v>631</v>
      </c>
    </row>
    <row r="35" spans="1:2" x14ac:dyDescent="0.4">
      <c r="A35" s="35" t="s">
        <v>320</v>
      </c>
      <c r="B35" s="11" t="s">
        <v>632</v>
      </c>
    </row>
    <row r="36" spans="1:2" x14ac:dyDescent="0.4">
      <c r="A36" s="35" t="s">
        <v>347</v>
      </c>
      <c r="B36" s="11" t="s">
        <v>622</v>
      </c>
    </row>
    <row r="37" spans="1:2" x14ac:dyDescent="0.4">
      <c r="A37" s="35" t="s">
        <v>348</v>
      </c>
      <c r="B37" s="11" t="s">
        <v>623</v>
      </c>
    </row>
    <row r="38" spans="1:2" x14ac:dyDescent="0.4">
      <c r="A38" s="35" t="s">
        <v>358</v>
      </c>
      <c r="B38" s="11" t="s">
        <v>667</v>
      </c>
    </row>
    <row r="39" spans="1:2" x14ac:dyDescent="0.4">
      <c r="A39" s="35" t="s">
        <v>666</v>
      </c>
      <c r="B39" s="11" t="s">
        <v>621</v>
      </c>
    </row>
  </sheetData>
  <phoneticPr fontId="1"/>
  <dataValidations count="3">
    <dataValidation type="list" allowBlank="1" showInputMessage="1" showErrorMessage="1" sqref="E19 E15 E3 E7 E11" xr:uid="{99C4E344-E0CF-4D98-BDF5-704AD5AD8617}">
      <formula1>"11:00,00:00"</formula1>
    </dataValidation>
    <dataValidation type="list" allowBlank="1" showInputMessage="1" showErrorMessage="1" sqref="G19 G15 G3 G7 G11" xr:uid="{52165140-6283-4034-831D-43319CACC92D}">
      <formula1>"10:59,23:59"</formula1>
    </dataValidation>
    <dataValidation type="list" allowBlank="1" showInputMessage="1" showErrorMessage="1" sqref="B19 B3 B15 B7 B11" xr:uid="{8AB3639F-EC44-4434-ADE9-FAD9E93CCA46}">
      <formula1>$B$32:$B$39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19E9-6940-4FD8-9C1A-D735CA3EBA23}">
  <sheetPr codeName="Sheet9"/>
  <dimension ref="A1:F14"/>
  <sheetViews>
    <sheetView topLeftCell="A2" zoomScale="85" zoomScaleNormal="85" workbookViewId="0">
      <selection activeCell="F36" sqref="F35:F36"/>
    </sheetView>
  </sheetViews>
  <sheetFormatPr defaultRowHeight="18.75" x14ac:dyDescent="0.4"/>
  <cols>
    <col min="2" max="3" width="12.5" customWidth="1"/>
    <col min="4" max="4" width="14.875" bestFit="1" customWidth="1"/>
    <col min="5" max="6" width="12.5" customWidth="1"/>
  </cols>
  <sheetData>
    <row r="1" spans="1:6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4">
      <c r="A2" t="s">
        <v>612</v>
      </c>
      <c r="B2" s="9" t="s">
        <v>593</v>
      </c>
      <c r="C2" s="9" t="s">
        <v>609</v>
      </c>
      <c r="D2" s="9" t="s">
        <v>610</v>
      </c>
      <c r="E2" s="9" t="s">
        <v>602</v>
      </c>
      <c r="F2" s="9" t="s">
        <v>611</v>
      </c>
    </row>
    <row r="3" spans="1:6" x14ac:dyDescent="0.4">
      <c r="B3" s="9" t="s">
        <v>594</v>
      </c>
      <c r="C3" s="9" t="s">
        <v>596</v>
      </c>
      <c r="D3" s="9" t="s">
        <v>596</v>
      </c>
      <c r="E3" s="9" t="s">
        <v>603</v>
      </c>
      <c r="F3" s="9" t="s">
        <v>596</v>
      </c>
    </row>
    <row r="4" spans="1:6" x14ac:dyDescent="0.4">
      <c r="B4" s="9" t="s">
        <v>201</v>
      </c>
      <c r="C4" s="9" t="s">
        <v>201</v>
      </c>
      <c r="D4" s="9" t="s">
        <v>201</v>
      </c>
      <c r="E4" s="9" t="s">
        <v>201</v>
      </c>
      <c r="F4" s="9" t="s">
        <v>201</v>
      </c>
    </row>
    <row r="5" spans="1:6" x14ac:dyDescent="0.4">
      <c r="B5" s="9">
        <v>1</v>
      </c>
      <c r="C5" s="9"/>
      <c r="D5" s="9"/>
      <c r="E5" s="9"/>
      <c r="F5" s="9"/>
    </row>
    <row r="6" spans="1:6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152</v>
      </c>
    </row>
    <row r="7" spans="1:6" x14ac:dyDescent="0.4">
      <c r="A7" s="8"/>
      <c r="B7" s="11">
        <v>1</v>
      </c>
      <c r="C7" s="11" t="s">
        <v>625</v>
      </c>
      <c r="D7" s="11" t="s">
        <v>620</v>
      </c>
      <c r="E7" s="11">
        <v>10</v>
      </c>
      <c r="F7" s="11" t="s">
        <v>613</v>
      </c>
    </row>
    <row r="8" spans="1:6" x14ac:dyDescent="0.4">
      <c r="A8" s="8"/>
      <c r="B8" s="11">
        <v>2</v>
      </c>
      <c r="C8" s="11" t="s">
        <v>626</v>
      </c>
      <c r="D8" s="11" t="s">
        <v>624</v>
      </c>
      <c r="E8" s="11">
        <v>20</v>
      </c>
      <c r="F8" s="11" t="s">
        <v>614</v>
      </c>
    </row>
    <row r="9" spans="1:6" x14ac:dyDescent="0.4">
      <c r="A9" s="8"/>
      <c r="B9" s="11" t="s">
        <v>310</v>
      </c>
      <c r="C9" s="11" t="s">
        <v>630</v>
      </c>
      <c r="D9" s="11" t="s">
        <v>631</v>
      </c>
      <c r="E9" s="11" t="s">
        <v>321</v>
      </c>
      <c r="F9" s="11" t="s">
        <v>615</v>
      </c>
    </row>
    <row r="10" spans="1:6" x14ac:dyDescent="0.4">
      <c r="A10" s="8"/>
      <c r="B10" s="11" t="s">
        <v>320</v>
      </c>
      <c r="C10" s="11" t="s">
        <v>633</v>
      </c>
      <c r="D10" s="11" t="s">
        <v>632</v>
      </c>
      <c r="E10" s="11" t="s">
        <v>642</v>
      </c>
      <c r="F10" s="11" t="s">
        <v>644</v>
      </c>
    </row>
    <row r="11" spans="1:6" x14ac:dyDescent="0.4">
      <c r="A11" s="8"/>
      <c r="B11" s="11" t="s">
        <v>347</v>
      </c>
      <c r="C11" s="11" t="s">
        <v>627</v>
      </c>
      <c r="D11" s="11" t="s">
        <v>622</v>
      </c>
      <c r="E11" s="11" t="s">
        <v>585</v>
      </c>
      <c r="F11" s="11" t="s">
        <v>645</v>
      </c>
    </row>
    <row r="12" spans="1:6" x14ac:dyDescent="0.4">
      <c r="A12" s="8"/>
      <c r="B12" s="11" t="s">
        <v>348</v>
      </c>
      <c r="C12" s="11" t="s">
        <v>628</v>
      </c>
      <c r="D12" s="11" t="s">
        <v>623</v>
      </c>
      <c r="E12" s="11" t="s">
        <v>389</v>
      </c>
      <c r="F12" s="11" t="s">
        <v>646</v>
      </c>
    </row>
    <row r="13" spans="1:6" x14ac:dyDescent="0.4">
      <c r="A13" s="8"/>
      <c r="B13" s="11" t="s">
        <v>358</v>
      </c>
      <c r="C13" s="11" t="s">
        <v>668</v>
      </c>
      <c r="D13" s="11" t="s">
        <v>667</v>
      </c>
      <c r="E13" s="11" t="s">
        <v>643</v>
      </c>
      <c r="F13" s="11" t="s">
        <v>676</v>
      </c>
    </row>
    <row r="14" spans="1:6" x14ac:dyDescent="0.4">
      <c r="A14" s="8"/>
      <c r="B14" s="11" t="s">
        <v>666</v>
      </c>
      <c r="C14" s="11" t="s">
        <v>629</v>
      </c>
      <c r="D14" s="11" t="s">
        <v>621</v>
      </c>
      <c r="E14" s="11" t="s">
        <v>669</v>
      </c>
      <c r="F14" s="11" t="s">
        <v>647</v>
      </c>
    </row>
  </sheetData>
  <phoneticPr fontId="1"/>
  <dataValidations count="1">
    <dataValidation type="list" allowBlank="1" showInputMessage="1" showErrorMessage="1" sqref="A7:A14" xr:uid="{035317A5-BBF8-4CEB-A821-37A138DD16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251A-C0F4-480C-86C7-10E08ABC1B43}">
  <sheetPr codeName="Sheet6"/>
  <dimension ref="A1:K32"/>
  <sheetViews>
    <sheetView tabSelected="1" zoomScale="85" zoomScaleNormal="85" workbookViewId="0">
      <selection activeCell="G15" sqref="G15"/>
    </sheetView>
  </sheetViews>
  <sheetFormatPr defaultRowHeight="18.75" x14ac:dyDescent="0.4"/>
  <cols>
    <col min="2" max="3" width="12.5" customWidth="1"/>
    <col min="4" max="4" width="38.25" bestFit="1" customWidth="1"/>
    <col min="5" max="6" width="25.125" bestFit="1" customWidth="1"/>
    <col min="7" max="7" width="25" bestFit="1" customWidth="1"/>
    <col min="8" max="11" width="12.5" customWidth="1"/>
  </cols>
  <sheetData>
    <row r="1" spans="1:11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</row>
    <row r="2" spans="1:11" x14ac:dyDescent="0.4">
      <c r="A2" t="s">
        <v>604</v>
      </c>
      <c r="B2" s="9" t="s">
        <v>591</v>
      </c>
      <c r="C2" s="9" t="s">
        <v>593</v>
      </c>
      <c r="D2" s="9" t="s">
        <v>595</v>
      </c>
      <c r="E2" s="9" t="s">
        <v>597</v>
      </c>
      <c r="F2" s="9" t="s">
        <v>598</v>
      </c>
      <c r="G2" s="9" t="s">
        <v>599</v>
      </c>
      <c r="H2" s="9" t="s">
        <v>600</v>
      </c>
      <c r="I2" s="9" t="s">
        <v>32</v>
      </c>
      <c r="J2" s="9" t="s">
        <v>601</v>
      </c>
      <c r="K2" s="9" t="s">
        <v>602</v>
      </c>
    </row>
    <row r="3" spans="1:11" x14ac:dyDescent="0.4">
      <c r="B3" s="9" t="s">
        <v>592</v>
      </c>
      <c r="C3" s="9" t="s">
        <v>594</v>
      </c>
      <c r="D3" s="9" t="s">
        <v>596</v>
      </c>
      <c r="E3" s="9" t="s">
        <v>617</v>
      </c>
      <c r="F3" s="9" t="s">
        <v>617</v>
      </c>
      <c r="G3" s="9" t="s">
        <v>596</v>
      </c>
      <c r="H3" s="9" t="s">
        <v>596</v>
      </c>
      <c r="I3" s="9" t="s">
        <v>596</v>
      </c>
      <c r="J3" s="9" t="s">
        <v>596</v>
      </c>
      <c r="K3" s="9" t="s">
        <v>603</v>
      </c>
    </row>
    <row r="4" spans="1:11" x14ac:dyDescent="0.4">
      <c r="B4" s="9" t="s">
        <v>201</v>
      </c>
      <c r="C4" s="9" t="s">
        <v>201</v>
      </c>
      <c r="D4" s="9" t="s">
        <v>201</v>
      </c>
      <c r="E4" s="9">
        <v>0</v>
      </c>
      <c r="F4" s="9">
        <v>0</v>
      </c>
      <c r="G4" s="9" t="s">
        <v>201</v>
      </c>
      <c r="H4" s="9" t="s">
        <v>201</v>
      </c>
      <c r="I4" s="9" t="s">
        <v>201</v>
      </c>
      <c r="J4" s="9" t="s">
        <v>201</v>
      </c>
      <c r="K4" s="9" t="s">
        <v>201</v>
      </c>
    </row>
    <row r="5" spans="1:11" x14ac:dyDescent="0.4">
      <c r="B5" s="9">
        <v>1</v>
      </c>
      <c r="C5" s="9"/>
      <c r="D5" s="9"/>
      <c r="E5" s="9"/>
      <c r="F5" s="9"/>
      <c r="G5" s="9"/>
      <c r="H5" s="9"/>
      <c r="I5" s="9"/>
      <c r="J5" s="9"/>
      <c r="K5" s="9"/>
    </row>
    <row r="6" spans="1:11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  <c r="H6" s="9" t="s">
        <v>152</v>
      </c>
      <c r="I6" s="9" t="s">
        <v>152</v>
      </c>
      <c r="J6" s="9" t="s">
        <v>152</v>
      </c>
      <c r="K6" s="9" t="s">
        <v>27</v>
      </c>
    </row>
    <row r="7" spans="1:11" x14ac:dyDescent="0.4">
      <c r="A7" s="8"/>
      <c r="B7" s="11">
        <v>1</v>
      </c>
      <c r="C7" s="11">
        <v>1</v>
      </c>
      <c r="D7" s="11" t="s">
        <v>634</v>
      </c>
      <c r="E7" s="11" t="s">
        <v>635</v>
      </c>
      <c r="F7" s="11" t="s">
        <v>640</v>
      </c>
      <c r="G7" s="11" t="s">
        <v>201</v>
      </c>
      <c r="H7" s="11" t="s">
        <v>201</v>
      </c>
      <c r="I7" s="11" t="s">
        <v>201</v>
      </c>
      <c r="J7" s="11" t="s">
        <v>201</v>
      </c>
      <c r="K7" s="11">
        <v>1</v>
      </c>
    </row>
    <row r="8" spans="1:11" x14ac:dyDescent="0.4">
      <c r="A8" s="8"/>
      <c r="B8" s="11">
        <v>2</v>
      </c>
      <c r="C8" s="11">
        <v>1</v>
      </c>
      <c r="D8" s="11" t="s">
        <v>660</v>
      </c>
      <c r="E8" s="11" t="s">
        <v>635</v>
      </c>
      <c r="F8" s="11" t="s">
        <v>619</v>
      </c>
      <c r="G8" s="11" t="s">
        <v>201</v>
      </c>
      <c r="H8" s="11" t="s">
        <v>201</v>
      </c>
      <c r="I8" s="11" t="s">
        <v>201</v>
      </c>
      <c r="J8" s="11" t="s">
        <v>201</v>
      </c>
      <c r="K8" s="11">
        <v>10</v>
      </c>
    </row>
    <row r="9" spans="1:11" x14ac:dyDescent="0.4">
      <c r="A9" s="8"/>
      <c r="B9" s="11">
        <v>3</v>
      </c>
      <c r="C9" s="11">
        <v>1</v>
      </c>
      <c r="D9" s="11" t="s">
        <v>661</v>
      </c>
      <c r="E9" s="11" t="s">
        <v>635</v>
      </c>
      <c r="F9" s="11" t="s">
        <v>619</v>
      </c>
      <c r="G9" s="11" t="s">
        <v>201</v>
      </c>
      <c r="H9" s="11" t="s">
        <v>201</v>
      </c>
      <c r="I9" s="11" t="s">
        <v>201</v>
      </c>
      <c r="J9" s="11" t="s">
        <v>201</v>
      </c>
      <c r="K9" s="11">
        <v>10</v>
      </c>
    </row>
    <row r="10" spans="1:11" x14ac:dyDescent="0.4">
      <c r="A10" s="8"/>
      <c r="B10" s="11">
        <v>4</v>
      </c>
      <c r="C10" s="11">
        <v>1</v>
      </c>
      <c r="D10" s="11" t="s">
        <v>641</v>
      </c>
      <c r="E10" s="11" t="s">
        <v>635</v>
      </c>
      <c r="F10" s="11" t="s">
        <v>619</v>
      </c>
      <c r="G10" s="11" t="s">
        <v>201</v>
      </c>
      <c r="H10" s="11" t="s">
        <v>201</v>
      </c>
      <c r="I10" s="11" t="s">
        <v>201</v>
      </c>
      <c r="J10" s="11" t="s">
        <v>201</v>
      </c>
      <c r="K10" s="11">
        <v>10</v>
      </c>
    </row>
    <row r="11" spans="1:11" x14ac:dyDescent="0.4">
      <c r="A11" s="8"/>
      <c r="B11" s="11">
        <v>5</v>
      </c>
      <c r="C11" s="11">
        <v>2</v>
      </c>
      <c r="D11" s="11" t="s">
        <v>636</v>
      </c>
      <c r="E11" s="11" t="s">
        <v>637</v>
      </c>
      <c r="F11" s="11" t="s">
        <v>616</v>
      </c>
      <c r="G11" s="11" t="s">
        <v>201</v>
      </c>
      <c r="H11" s="11" t="s">
        <v>201</v>
      </c>
      <c r="I11" s="11" t="s">
        <v>201</v>
      </c>
      <c r="J11" s="11" t="s">
        <v>201</v>
      </c>
      <c r="K11" s="11">
        <v>10</v>
      </c>
    </row>
    <row r="12" spans="1:11" x14ac:dyDescent="0.4">
      <c r="A12" s="8"/>
      <c r="B12" s="11">
        <v>6</v>
      </c>
      <c r="C12" s="11">
        <v>2</v>
      </c>
      <c r="D12" s="11" t="s">
        <v>662</v>
      </c>
      <c r="E12" s="11" t="s">
        <v>635</v>
      </c>
      <c r="F12" s="11" t="s">
        <v>619</v>
      </c>
      <c r="G12" s="11" t="s">
        <v>201</v>
      </c>
      <c r="H12" s="11" t="s">
        <v>201</v>
      </c>
      <c r="I12" s="11" t="s">
        <v>201</v>
      </c>
      <c r="J12" s="11" t="s">
        <v>201</v>
      </c>
      <c r="K12" s="11">
        <v>10</v>
      </c>
    </row>
    <row r="13" spans="1:11" x14ac:dyDescent="0.4">
      <c r="A13" s="8"/>
      <c r="B13" s="11">
        <v>7</v>
      </c>
      <c r="C13" s="11">
        <v>2</v>
      </c>
      <c r="D13" s="11" t="s">
        <v>663</v>
      </c>
      <c r="E13" s="11" t="s">
        <v>635</v>
      </c>
      <c r="F13" s="11" t="s">
        <v>619</v>
      </c>
      <c r="G13" s="11" t="s">
        <v>201</v>
      </c>
      <c r="H13" s="11" t="s">
        <v>201</v>
      </c>
      <c r="I13" s="11" t="s">
        <v>201</v>
      </c>
      <c r="J13" s="11" t="s">
        <v>201</v>
      </c>
      <c r="K13" s="11">
        <v>10</v>
      </c>
    </row>
    <row r="14" spans="1:11" x14ac:dyDescent="0.4">
      <c r="A14" s="8"/>
      <c r="B14" s="11">
        <v>8</v>
      </c>
      <c r="C14" s="11">
        <v>2</v>
      </c>
      <c r="D14" s="11" t="s">
        <v>664</v>
      </c>
      <c r="E14" s="11" t="s">
        <v>635</v>
      </c>
      <c r="F14" s="11" t="s">
        <v>619</v>
      </c>
      <c r="G14" s="11" t="s">
        <v>201</v>
      </c>
      <c r="H14" s="11" t="s">
        <v>201</v>
      </c>
      <c r="I14" s="11" t="s">
        <v>201</v>
      </c>
      <c r="J14" s="11" t="s">
        <v>201</v>
      </c>
      <c r="K14" s="11">
        <v>10</v>
      </c>
    </row>
    <row r="15" spans="1:11" x14ac:dyDescent="0.4">
      <c r="A15" s="8"/>
      <c r="B15" s="11">
        <v>9</v>
      </c>
      <c r="C15" s="11">
        <v>3</v>
      </c>
      <c r="D15" s="11" t="s">
        <v>638</v>
      </c>
      <c r="E15" s="11" t="s">
        <v>639</v>
      </c>
      <c r="F15" s="11" t="s">
        <v>616</v>
      </c>
      <c r="G15" s="11" t="s">
        <v>201</v>
      </c>
      <c r="H15" s="11" t="s">
        <v>201</v>
      </c>
      <c r="I15" s="11" t="s">
        <v>201</v>
      </c>
      <c r="J15" s="11" t="s">
        <v>201</v>
      </c>
      <c r="K15" s="11">
        <v>10</v>
      </c>
    </row>
    <row r="16" spans="1:11" x14ac:dyDescent="0.4">
      <c r="A16" s="8"/>
      <c r="B16" s="11">
        <v>10</v>
      </c>
      <c r="C16" s="11">
        <v>5</v>
      </c>
      <c r="D16" s="11" t="s">
        <v>648</v>
      </c>
      <c r="E16" s="11" t="s">
        <v>635</v>
      </c>
      <c r="F16" s="11" t="s">
        <v>618</v>
      </c>
      <c r="G16" s="11" t="s">
        <v>201</v>
      </c>
      <c r="H16" s="11" t="s">
        <v>201</v>
      </c>
      <c r="I16" s="11" t="s">
        <v>201</v>
      </c>
      <c r="J16" s="11" t="s">
        <v>201</v>
      </c>
      <c r="K16" s="11">
        <v>10</v>
      </c>
    </row>
    <row r="17" spans="1:11" x14ac:dyDescent="0.4">
      <c r="A17" s="8"/>
      <c r="B17" s="11">
        <v>11</v>
      </c>
      <c r="C17" s="11">
        <v>6</v>
      </c>
      <c r="D17" s="11" t="s">
        <v>665</v>
      </c>
      <c r="E17" s="11" t="s">
        <v>639</v>
      </c>
      <c r="F17" s="11" t="s">
        <v>651</v>
      </c>
      <c r="G17" s="11" t="s">
        <v>201</v>
      </c>
      <c r="H17" s="11" t="s">
        <v>201</v>
      </c>
      <c r="I17" s="11" t="s">
        <v>201</v>
      </c>
      <c r="J17" s="11" t="s">
        <v>201</v>
      </c>
      <c r="K17" s="11">
        <v>10</v>
      </c>
    </row>
    <row r="18" spans="1:11" x14ac:dyDescent="0.4">
      <c r="A18" s="8"/>
      <c r="B18" s="11">
        <v>12</v>
      </c>
      <c r="C18" s="11">
        <v>7</v>
      </c>
      <c r="D18" s="11" t="s">
        <v>670</v>
      </c>
      <c r="E18" s="11" t="s">
        <v>672</v>
      </c>
      <c r="F18" s="11" t="s">
        <v>673</v>
      </c>
      <c r="G18" s="11" t="s">
        <v>201</v>
      </c>
      <c r="H18" s="11" t="s">
        <v>201</v>
      </c>
      <c r="I18" s="11" t="s">
        <v>201</v>
      </c>
      <c r="J18" s="11" t="s">
        <v>201</v>
      </c>
      <c r="K18" s="11">
        <v>0</v>
      </c>
    </row>
    <row r="19" spans="1:11" x14ac:dyDescent="0.4">
      <c r="A19" s="8"/>
      <c r="B19" s="11">
        <v>13</v>
      </c>
      <c r="C19" s="11">
        <v>7</v>
      </c>
      <c r="D19" s="11" t="s">
        <v>671</v>
      </c>
      <c r="E19" s="11" t="s">
        <v>674</v>
      </c>
      <c r="F19" s="11" t="s">
        <v>675</v>
      </c>
      <c r="G19" s="11" t="s">
        <v>201</v>
      </c>
      <c r="H19" s="11" t="s">
        <v>201</v>
      </c>
      <c r="I19" s="11" t="s">
        <v>201</v>
      </c>
      <c r="J19" s="11" t="s">
        <v>201</v>
      </c>
      <c r="K19" s="11">
        <v>0</v>
      </c>
    </row>
    <row r="20" spans="1:11" x14ac:dyDescent="0.4">
      <c r="A20" s="8"/>
      <c r="B20" s="11">
        <v>14</v>
      </c>
      <c r="C20" s="11">
        <v>7</v>
      </c>
      <c r="D20" s="11" t="s">
        <v>681</v>
      </c>
      <c r="E20" s="11" t="s">
        <v>682</v>
      </c>
      <c r="F20" s="11" t="s">
        <v>683</v>
      </c>
      <c r="G20" s="11" t="s">
        <v>201</v>
      </c>
      <c r="H20" s="11" t="s">
        <v>201</v>
      </c>
      <c r="I20" s="11" t="s">
        <v>201</v>
      </c>
      <c r="J20" s="11" t="s">
        <v>201</v>
      </c>
      <c r="K20" s="11">
        <v>0</v>
      </c>
    </row>
    <row r="21" spans="1:11" x14ac:dyDescent="0.4">
      <c r="A21" s="8"/>
      <c r="B21" s="11">
        <v>15</v>
      </c>
      <c r="C21" s="11">
        <v>8</v>
      </c>
      <c r="D21" s="11" t="s">
        <v>649</v>
      </c>
      <c r="E21" s="11" t="s">
        <v>639</v>
      </c>
      <c r="F21" s="11" t="s">
        <v>650</v>
      </c>
      <c r="G21" s="11" t="s">
        <v>201</v>
      </c>
      <c r="H21" s="11" t="s">
        <v>201</v>
      </c>
      <c r="I21" s="11" t="s">
        <v>201</v>
      </c>
      <c r="J21" s="11" t="s">
        <v>201</v>
      </c>
      <c r="K21" s="11">
        <v>10</v>
      </c>
    </row>
    <row r="22" spans="1:11" x14ac:dyDescent="0.4">
      <c r="A22" s="8"/>
      <c r="B22" s="11">
        <v>16</v>
      </c>
      <c r="C22" s="11">
        <v>1</v>
      </c>
      <c r="D22" s="11" t="s">
        <v>678</v>
      </c>
      <c r="E22" s="11" t="s">
        <v>684</v>
      </c>
      <c r="F22" s="11" t="s">
        <v>619</v>
      </c>
      <c r="G22" s="11" t="s">
        <v>201</v>
      </c>
      <c r="H22" s="11" t="s">
        <v>201</v>
      </c>
      <c r="I22" s="11" t="s">
        <v>201</v>
      </c>
      <c r="J22" s="11" t="s">
        <v>201</v>
      </c>
      <c r="K22" s="11">
        <v>1</v>
      </c>
    </row>
    <row r="23" spans="1:11" x14ac:dyDescent="0.4">
      <c r="A23" s="8"/>
      <c r="B23" s="11">
        <v>17</v>
      </c>
      <c r="C23" s="11">
        <v>1</v>
      </c>
      <c r="D23" s="11" t="s">
        <v>679</v>
      </c>
      <c r="E23" s="11" t="s">
        <v>684</v>
      </c>
      <c r="F23" s="11" t="s">
        <v>619</v>
      </c>
      <c r="G23" s="11" t="s">
        <v>201</v>
      </c>
      <c r="H23" s="11" t="s">
        <v>201</v>
      </c>
      <c r="I23" s="11" t="s">
        <v>201</v>
      </c>
      <c r="J23" s="11" t="s">
        <v>201</v>
      </c>
      <c r="K23" s="11">
        <v>1</v>
      </c>
    </row>
    <row r="24" spans="1:11" x14ac:dyDescent="0.4">
      <c r="A24" s="8"/>
      <c r="B24" s="11">
        <v>18</v>
      </c>
      <c r="C24" s="11">
        <v>2</v>
      </c>
      <c r="D24" s="11" t="s">
        <v>708</v>
      </c>
      <c r="E24" s="11" t="s">
        <v>684</v>
      </c>
      <c r="F24" s="11" t="s">
        <v>619</v>
      </c>
      <c r="G24" s="11" t="s">
        <v>201</v>
      </c>
      <c r="H24" s="11" t="s">
        <v>201</v>
      </c>
      <c r="I24" s="11" t="s">
        <v>201</v>
      </c>
      <c r="J24" s="11" t="s">
        <v>201</v>
      </c>
      <c r="K24" s="11">
        <v>0</v>
      </c>
    </row>
    <row r="25" spans="1:11" x14ac:dyDescent="0.4">
      <c r="A25" s="8"/>
      <c r="B25" s="11">
        <v>19</v>
      </c>
      <c r="C25" s="11">
        <v>3</v>
      </c>
      <c r="D25" s="11" t="s">
        <v>680</v>
      </c>
      <c r="E25" s="11" t="s">
        <v>684</v>
      </c>
      <c r="F25" s="11" t="s">
        <v>619</v>
      </c>
      <c r="G25" s="11" t="s">
        <v>201</v>
      </c>
      <c r="H25" s="11" t="s">
        <v>201</v>
      </c>
      <c r="I25" s="11" t="s">
        <v>201</v>
      </c>
      <c r="J25" s="11" t="s">
        <v>201</v>
      </c>
      <c r="K25" s="11">
        <v>0</v>
      </c>
    </row>
    <row r="26" spans="1:11" x14ac:dyDescent="0.4">
      <c r="A26" s="8"/>
      <c r="B26" s="11">
        <v>20</v>
      </c>
      <c r="C26" s="11">
        <v>5</v>
      </c>
      <c r="D26" s="11" t="s">
        <v>694</v>
      </c>
      <c r="E26" s="11" t="s">
        <v>695</v>
      </c>
      <c r="F26" s="11" t="s">
        <v>696</v>
      </c>
      <c r="G26" s="11" t="s">
        <v>201</v>
      </c>
      <c r="H26" s="11" t="s">
        <v>201</v>
      </c>
      <c r="I26" s="11" t="s">
        <v>201</v>
      </c>
      <c r="J26" s="11" t="s">
        <v>201</v>
      </c>
      <c r="K26" s="11">
        <v>10</v>
      </c>
    </row>
    <row r="27" spans="1:11" x14ac:dyDescent="0.4">
      <c r="A27" s="8"/>
      <c r="B27" s="11">
        <v>21</v>
      </c>
      <c r="C27" s="11">
        <v>1</v>
      </c>
      <c r="D27" s="11" t="s">
        <v>690</v>
      </c>
      <c r="E27" s="11" t="s">
        <v>697</v>
      </c>
      <c r="F27" s="11" t="s">
        <v>698</v>
      </c>
      <c r="G27" s="11" t="s">
        <v>201</v>
      </c>
      <c r="H27" s="11" t="s">
        <v>201</v>
      </c>
      <c r="I27" s="11" t="s">
        <v>201</v>
      </c>
      <c r="J27" s="11" t="s">
        <v>201</v>
      </c>
      <c r="K27" s="11">
        <v>0</v>
      </c>
    </row>
    <row r="28" spans="1:11" x14ac:dyDescent="0.4">
      <c r="A28" s="8"/>
      <c r="B28" s="11">
        <v>22</v>
      </c>
      <c r="C28" s="11">
        <v>2</v>
      </c>
      <c r="D28" s="11" t="s">
        <v>709</v>
      </c>
      <c r="E28" s="11" t="s">
        <v>697</v>
      </c>
      <c r="F28" s="11" t="s">
        <v>698</v>
      </c>
      <c r="G28" s="11" t="s">
        <v>201</v>
      </c>
      <c r="H28" s="11" t="s">
        <v>201</v>
      </c>
      <c r="I28" s="11" t="s">
        <v>201</v>
      </c>
      <c r="J28" s="11" t="s">
        <v>201</v>
      </c>
      <c r="K28" s="11">
        <v>0</v>
      </c>
    </row>
    <row r="29" spans="1:11" x14ac:dyDescent="0.4">
      <c r="A29" s="8"/>
      <c r="B29" s="11">
        <v>23</v>
      </c>
      <c r="C29" s="11">
        <v>4</v>
      </c>
      <c r="D29" s="11" t="s">
        <v>693</v>
      </c>
      <c r="E29" s="11" t="s">
        <v>697</v>
      </c>
      <c r="F29" s="11" t="s">
        <v>698</v>
      </c>
      <c r="G29" s="11" t="s">
        <v>201</v>
      </c>
      <c r="H29" s="11" t="s">
        <v>201</v>
      </c>
      <c r="I29" s="11" t="s">
        <v>201</v>
      </c>
      <c r="J29" s="11" t="s">
        <v>201</v>
      </c>
      <c r="K29" s="11">
        <v>0</v>
      </c>
    </row>
    <row r="30" spans="1:11" x14ac:dyDescent="0.4">
      <c r="A30" s="8"/>
      <c r="B30" s="11">
        <v>24</v>
      </c>
      <c r="C30" s="11">
        <v>5</v>
      </c>
      <c r="D30" s="11" t="s">
        <v>686</v>
      </c>
      <c r="E30" s="11" t="s">
        <v>703</v>
      </c>
      <c r="F30" s="11" t="s">
        <v>704</v>
      </c>
      <c r="G30" s="11" t="s">
        <v>201</v>
      </c>
      <c r="H30" s="11" t="s">
        <v>201</v>
      </c>
      <c r="I30" s="11" t="s">
        <v>201</v>
      </c>
      <c r="J30" s="11" t="s">
        <v>201</v>
      </c>
      <c r="K30" s="11">
        <v>0</v>
      </c>
    </row>
    <row r="31" spans="1:11" x14ac:dyDescent="0.4">
      <c r="A31" s="8"/>
      <c r="B31" s="11">
        <v>25</v>
      </c>
      <c r="C31" s="11">
        <v>1</v>
      </c>
      <c r="D31" s="11" t="s">
        <v>706</v>
      </c>
      <c r="E31" s="11" t="s">
        <v>685</v>
      </c>
      <c r="F31" s="11" t="s">
        <v>707</v>
      </c>
      <c r="G31" s="11"/>
      <c r="H31" s="11"/>
      <c r="I31" s="11"/>
      <c r="J31" s="11"/>
      <c r="K31" s="11">
        <v>0</v>
      </c>
    </row>
    <row r="32" spans="1:11" x14ac:dyDescent="0.4">
      <c r="A32" s="8"/>
      <c r="B32" s="11" t="s">
        <v>705</v>
      </c>
      <c r="C32" s="11">
        <v>1</v>
      </c>
      <c r="D32" s="11" t="s">
        <v>701</v>
      </c>
      <c r="E32" s="11" t="s">
        <v>703</v>
      </c>
      <c r="F32" s="11" t="s">
        <v>651</v>
      </c>
      <c r="G32" s="11"/>
      <c r="H32" s="11"/>
      <c r="I32" s="11"/>
      <c r="J32" s="11"/>
      <c r="K32" s="11">
        <v>0</v>
      </c>
    </row>
  </sheetData>
  <phoneticPr fontId="1"/>
  <dataValidations count="1">
    <dataValidation type="list" allowBlank="1" showInputMessage="1" showErrorMessage="1" sqref="A7:A32" xr:uid="{3E82D78C-0479-48D6-B3CE-939DD23878E2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826B-AA80-488F-AC87-98638834A38A}">
  <sheetPr codeName="Sheet7"/>
  <dimension ref="A1:C7"/>
  <sheetViews>
    <sheetView zoomScale="85" zoomScaleNormal="85" workbookViewId="0"/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606</v>
      </c>
      <c r="B2" s="9" t="s">
        <v>591</v>
      </c>
      <c r="C2" s="9" t="s">
        <v>605</v>
      </c>
    </row>
    <row r="3" spans="1:3" x14ac:dyDescent="0.4">
      <c r="B3" s="9" t="s">
        <v>592</v>
      </c>
      <c r="C3" s="9" t="s">
        <v>603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>
        <v>2</v>
      </c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4151E774-F719-4D30-8F81-AE568986502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1684-B7B7-44F5-BC9B-056DD87EA797}">
  <sheetPr codeName="Sheet8"/>
  <dimension ref="A1:C7"/>
  <sheetViews>
    <sheetView zoomScale="85" zoomScaleNormal="85" workbookViewId="0">
      <selection activeCell="X9" sqref="X9"/>
    </sheetView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608</v>
      </c>
      <c r="B2" s="9" t="s">
        <v>605</v>
      </c>
      <c r="C2" s="9" t="s">
        <v>607</v>
      </c>
    </row>
    <row r="3" spans="1:3" x14ac:dyDescent="0.4">
      <c r="B3" s="9" t="s">
        <v>603</v>
      </c>
      <c r="C3" s="9" t="s">
        <v>596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/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66755EB3-1FC8-45C3-8F40-3BBC4DA00E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37</v>
      </c>
      <c r="C1">
        <v>1</v>
      </c>
      <c r="D1" t="s">
        <v>38</v>
      </c>
      <c r="E1">
        <v>0</v>
      </c>
      <c r="F1" t="s">
        <v>174</v>
      </c>
      <c r="G1">
        <v>1</v>
      </c>
      <c r="H1" t="s">
        <v>225</v>
      </c>
      <c r="I1">
        <v>1</v>
      </c>
      <c r="J1" t="s">
        <v>232</v>
      </c>
      <c r="K1">
        <v>0</v>
      </c>
      <c r="L1" t="s">
        <v>240</v>
      </c>
      <c r="O1">
        <v>1</v>
      </c>
      <c r="P1" t="s">
        <v>272</v>
      </c>
    </row>
    <row r="2" spans="1:16" x14ac:dyDescent="0.4">
      <c r="A2">
        <v>1</v>
      </c>
      <c r="B2" t="s">
        <v>39</v>
      </c>
      <c r="C2">
        <v>2</v>
      </c>
      <c r="D2" t="s">
        <v>40</v>
      </c>
      <c r="E2">
        <v>1</v>
      </c>
      <c r="F2" t="s">
        <v>177</v>
      </c>
      <c r="G2">
        <v>2</v>
      </c>
      <c r="H2" t="s">
        <v>226</v>
      </c>
      <c r="I2">
        <v>2</v>
      </c>
      <c r="J2" t="s">
        <v>349</v>
      </c>
      <c r="K2">
        <v>1</v>
      </c>
      <c r="L2" t="s">
        <v>241</v>
      </c>
      <c r="O2">
        <v>2</v>
      </c>
      <c r="P2" t="s">
        <v>212</v>
      </c>
    </row>
    <row r="3" spans="1:16" x14ac:dyDescent="0.4">
      <c r="A3">
        <v>2</v>
      </c>
      <c r="B3" t="s">
        <v>41</v>
      </c>
      <c r="C3">
        <v>3</v>
      </c>
      <c r="D3" t="s">
        <v>42</v>
      </c>
      <c r="E3">
        <v>2</v>
      </c>
      <c r="F3" t="s">
        <v>178</v>
      </c>
      <c r="G3">
        <v>3</v>
      </c>
      <c r="H3" t="s">
        <v>227</v>
      </c>
      <c r="I3">
        <v>3</v>
      </c>
      <c r="J3" t="s">
        <v>350</v>
      </c>
      <c r="K3">
        <v>2</v>
      </c>
      <c r="L3" t="s">
        <v>242</v>
      </c>
      <c r="O3">
        <v>3</v>
      </c>
      <c r="P3" t="s">
        <v>214</v>
      </c>
    </row>
    <row r="4" spans="1:16" x14ac:dyDescent="0.4">
      <c r="A4">
        <v>3</v>
      </c>
      <c r="B4" t="s">
        <v>43</v>
      </c>
      <c r="C4">
        <v>4</v>
      </c>
      <c r="D4" t="s">
        <v>44</v>
      </c>
      <c r="E4">
        <v>3</v>
      </c>
      <c r="F4" t="s">
        <v>179</v>
      </c>
      <c r="G4">
        <v>4</v>
      </c>
      <c r="H4" t="s">
        <v>228</v>
      </c>
      <c r="I4">
        <v>4</v>
      </c>
      <c r="J4" t="s">
        <v>351</v>
      </c>
      <c r="K4">
        <v>3</v>
      </c>
      <c r="L4" t="s">
        <v>243</v>
      </c>
      <c r="O4">
        <v>4</v>
      </c>
      <c r="P4" t="s">
        <v>309</v>
      </c>
    </row>
    <row r="5" spans="1:16" x14ac:dyDescent="0.4">
      <c r="A5">
        <v>4</v>
      </c>
      <c r="B5" t="s">
        <v>45</v>
      </c>
      <c r="C5">
        <v>5</v>
      </c>
      <c r="D5" t="s">
        <v>46</v>
      </c>
      <c r="E5">
        <v>4</v>
      </c>
      <c r="F5" t="s">
        <v>180</v>
      </c>
      <c r="G5">
        <v>5</v>
      </c>
      <c r="H5" t="s">
        <v>229</v>
      </c>
      <c r="I5">
        <v>5</v>
      </c>
      <c r="J5" t="s">
        <v>352</v>
      </c>
      <c r="K5">
        <v>4</v>
      </c>
      <c r="L5" t="s">
        <v>244</v>
      </c>
      <c r="O5">
        <v>5</v>
      </c>
      <c r="P5" t="s">
        <v>275</v>
      </c>
    </row>
    <row r="6" spans="1:16" x14ac:dyDescent="0.4">
      <c r="A6">
        <v>5</v>
      </c>
      <c r="B6" t="s">
        <v>47</v>
      </c>
      <c r="C6">
        <v>6</v>
      </c>
      <c r="D6" t="s">
        <v>48</v>
      </c>
      <c r="E6">
        <v>5</v>
      </c>
      <c r="F6" t="s">
        <v>181</v>
      </c>
      <c r="G6">
        <v>6</v>
      </c>
      <c r="H6" t="s">
        <v>230</v>
      </c>
      <c r="I6">
        <v>6</v>
      </c>
      <c r="J6" t="s">
        <v>353</v>
      </c>
      <c r="K6">
        <v>5</v>
      </c>
      <c r="L6" t="s">
        <v>245</v>
      </c>
      <c r="O6">
        <v>6</v>
      </c>
      <c r="P6" t="s">
        <v>300</v>
      </c>
    </row>
    <row r="7" spans="1:16" x14ac:dyDescent="0.4">
      <c r="A7">
        <v>6</v>
      </c>
      <c r="B7" t="s">
        <v>49</v>
      </c>
      <c r="C7">
        <v>7</v>
      </c>
      <c r="D7" t="s">
        <v>50</v>
      </c>
      <c r="E7">
        <v>6</v>
      </c>
      <c r="F7" t="s">
        <v>182</v>
      </c>
      <c r="G7">
        <v>7</v>
      </c>
      <c r="H7" t="s">
        <v>231</v>
      </c>
      <c r="I7">
        <v>7</v>
      </c>
      <c r="J7" t="s">
        <v>354</v>
      </c>
      <c r="K7">
        <v>6</v>
      </c>
      <c r="L7" t="s">
        <v>246</v>
      </c>
      <c r="O7">
        <v>7</v>
      </c>
      <c r="P7" t="s">
        <v>306</v>
      </c>
    </row>
    <row r="8" spans="1:16" x14ac:dyDescent="0.4">
      <c r="C8">
        <v>8</v>
      </c>
      <c r="D8" t="s">
        <v>51</v>
      </c>
      <c r="E8">
        <v>7</v>
      </c>
      <c r="F8" t="s">
        <v>183</v>
      </c>
      <c r="G8">
        <v>8</v>
      </c>
      <c r="H8" t="s">
        <v>280</v>
      </c>
      <c r="K8">
        <v>7</v>
      </c>
      <c r="L8" t="s">
        <v>247</v>
      </c>
      <c r="O8">
        <v>8</v>
      </c>
      <c r="P8" t="s">
        <v>307</v>
      </c>
    </row>
    <row r="9" spans="1:16" x14ac:dyDescent="0.4">
      <c r="A9">
        <v>0</v>
      </c>
      <c r="B9" t="s">
        <v>233</v>
      </c>
      <c r="C9">
        <v>9</v>
      </c>
      <c r="D9" t="s">
        <v>52</v>
      </c>
      <c r="E9">
        <v>8</v>
      </c>
      <c r="F9" t="s">
        <v>184</v>
      </c>
      <c r="G9">
        <v>9</v>
      </c>
      <c r="H9" t="s">
        <v>314</v>
      </c>
      <c r="K9">
        <v>8</v>
      </c>
      <c r="L9" t="s">
        <v>248</v>
      </c>
      <c r="O9">
        <v>9</v>
      </c>
      <c r="P9" t="s">
        <v>305</v>
      </c>
    </row>
    <row r="10" spans="1:16" x14ac:dyDescent="0.4">
      <c r="A10">
        <v>1</v>
      </c>
      <c r="B10" t="s">
        <v>234</v>
      </c>
      <c r="C10">
        <v>10</v>
      </c>
      <c r="D10" t="s">
        <v>53</v>
      </c>
      <c r="E10">
        <v>9</v>
      </c>
      <c r="F10" t="s">
        <v>185</v>
      </c>
      <c r="K10">
        <v>9</v>
      </c>
      <c r="L10" t="s">
        <v>249</v>
      </c>
    </row>
    <row r="11" spans="1:16" x14ac:dyDescent="0.4">
      <c r="A11">
        <v>2</v>
      </c>
      <c r="B11" t="s">
        <v>235</v>
      </c>
      <c r="C11">
        <v>11</v>
      </c>
      <c r="D11" t="s">
        <v>54</v>
      </c>
      <c r="E11">
        <v>10</v>
      </c>
      <c r="F11" t="s">
        <v>190</v>
      </c>
      <c r="K11">
        <v>10</v>
      </c>
      <c r="L11" t="s">
        <v>213</v>
      </c>
      <c r="O11">
        <v>11</v>
      </c>
      <c r="P11" t="s">
        <v>243</v>
      </c>
    </row>
    <row r="12" spans="1:16" x14ac:dyDescent="0.4">
      <c r="A12">
        <v>3</v>
      </c>
      <c r="B12" t="s">
        <v>236</v>
      </c>
      <c r="C12">
        <v>12</v>
      </c>
      <c r="D12" t="s">
        <v>55</v>
      </c>
      <c r="E12">
        <v>11</v>
      </c>
      <c r="F12" t="s">
        <v>186</v>
      </c>
      <c r="K12">
        <v>11</v>
      </c>
      <c r="L12" t="s">
        <v>250</v>
      </c>
      <c r="O12">
        <v>12</v>
      </c>
      <c r="P12" t="s">
        <v>245</v>
      </c>
    </row>
    <row r="13" spans="1:16" x14ac:dyDescent="0.4">
      <c r="A13">
        <v>4</v>
      </c>
      <c r="B13" t="s">
        <v>237</v>
      </c>
      <c r="C13">
        <v>13</v>
      </c>
      <c r="D13" t="s">
        <v>56</v>
      </c>
      <c r="E13">
        <v>12</v>
      </c>
      <c r="F13" t="s">
        <v>188</v>
      </c>
      <c r="K13">
        <v>12</v>
      </c>
      <c r="L13" t="s">
        <v>251</v>
      </c>
      <c r="O13">
        <v>13</v>
      </c>
      <c r="P13" t="s">
        <v>301</v>
      </c>
    </row>
    <row r="14" spans="1:16" x14ac:dyDescent="0.4">
      <c r="A14">
        <v>5</v>
      </c>
      <c r="B14" t="s">
        <v>238</v>
      </c>
      <c r="C14">
        <v>14</v>
      </c>
      <c r="D14" t="s">
        <v>57</v>
      </c>
      <c r="E14">
        <v>13</v>
      </c>
      <c r="K14">
        <v>13</v>
      </c>
      <c r="L14" t="s">
        <v>252</v>
      </c>
    </row>
    <row r="15" spans="1:16" x14ac:dyDescent="0.4">
      <c r="A15">
        <v>6</v>
      </c>
      <c r="B15" t="s">
        <v>388</v>
      </c>
      <c r="C15">
        <v>15</v>
      </c>
      <c r="D15" t="s">
        <v>58</v>
      </c>
      <c r="E15">
        <v>14</v>
      </c>
      <c r="F15" t="s">
        <v>191</v>
      </c>
      <c r="K15">
        <v>14</v>
      </c>
      <c r="L15" t="s">
        <v>253</v>
      </c>
      <c r="O15">
        <v>21</v>
      </c>
      <c r="P15" t="s">
        <v>213</v>
      </c>
    </row>
    <row r="16" spans="1:16" x14ac:dyDescent="0.4">
      <c r="C16">
        <v>16</v>
      </c>
      <c r="D16" t="s">
        <v>59</v>
      </c>
      <c r="E16">
        <v>15</v>
      </c>
      <c r="F16" t="s">
        <v>192</v>
      </c>
      <c r="K16">
        <v>15</v>
      </c>
      <c r="L16" t="s">
        <v>254</v>
      </c>
      <c r="O16">
        <v>22</v>
      </c>
      <c r="P16" t="s">
        <v>302</v>
      </c>
    </row>
    <row r="17" spans="1:16" x14ac:dyDescent="0.4">
      <c r="A17">
        <v>0</v>
      </c>
      <c r="B17" t="s">
        <v>355</v>
      </c>
      <c r="C17">
        <v>17</v>
      </c>
      <c r="D17" t="s">
        <v>60</v>
      </c>
      <c r="E17">
        <v>16</v>
      </c>
      <c r="F17" t="s">
        <v>193</v>
      </c>
      <c r="K17">
        <v>16</v>
      </c>
      <c r="L17" t="s">
        <v>255</v>
      </c>
    </row>
    <row r="18" spans="1:16" x14ac:dyDescent="0.4">
      <c r="A18">
        <v>1</v>
      </c>
      <c r="B18" t="s">
        <v>270</v>
      </c>
      <c r="C18">
        <v>18</v>
      </c>
      <c r="D18" t="s">
        <v>61</v>
      </c>
      <c r="E18">
        <v>17</v>
      </c>
      <c r="F18" t="s">
        <v>175</v>
      </c>
      <c r="K18">
        <v>17</v>
      </c>
      <c r="L18" t="s">
        <v>256</v>
      </c>
      <c r="O18">
        <v>31</v>
      </c>
      <c r="P18" t="s">
        <v>273</v>
      </c>
    </row>
    <row r="19" spans="1:16" x14ac:dyDescent="0.4">
      <c r="A19">
        <v>2</v>
      </c>
      <c r="B19" t="s">
        <v>239</v>
      </c>
      <c r="C19">
        <v>19</v>
      </c>
      <c r="D19" t="s">
        <v>62</v>
      </c>
      <c r="E19">
        <v>18</v>
      </c>
      <c r="F19" t="s">
        <v>187</v>
      </c>
      <c r="K19">
        <v>18</v>
      </c>
      <c r="L19" t="s">
        <v>257</v>
      </c>
      <c r="O19">
        <v>35</v>
      </c>
      <c r="P19" t="s">
        <v>274</v>
      </c>
    </row>
    <row r="20" spans="1:16" x14ac:dyDescent="0.4">
      <c r="A20">
        <v>3</v>
      </c>
      <c r="B20" t="s">
        <v>271</v>
      </c>
      <c r="C20">
        <v>20</v>
      </c>
      <c r="D20" t="s">
        <v>63</v>
      </c>
      <c r="E20">
        <v>19</v>
      </c>
      <c r="F20" t="s">
        <v>189</v>
      </c>
      <c r="K20">
        <v>19</v>
      </c>
      <c r="L20" t="s">
        <v>258</v>
      </c>
    </row>
    <row r="21" spans="1:16" x14ac:dyDescent="0.4">
      <c r="C21">
        <v>21</v>
      </c>
      <c r="D21" t="s">
        <v>64</v>
      </c>
      <c r="E21">
        <v>20</v>
      </c>
      <c r="F21" t="s">
        <v>195</v>
      </c>
      <c r="K21">
        <v>20</v>
      </c>
      <c r="L21" t="s">
        <v>259</v>
      </c>
      <c r="O21">
        <v>41</v>
      </c>
      <c r="P21" t="s">
        <v>303</v>
      </c>
    </row>
    <row r="22" spans="1:16" x14ac:dyDescent="0.4">
      <c r="C22">
        <v>22</v>
      </c>
      <c r="D22" t="s">
        <v>65</v>
      </c>
      <c r="E22">
        <v>21</v>
      </c>
      <c r="F22" t="s">
        <v>198</v>
      </c>
      <c r="K22">
        <v>21</v>
      </c>
      <c r="L22" t="s">
        <v>260</v>
      </c>
      <c r="O22">
        <v>42</v>
      </c>
      <c r="P22" t="s">
        <v>281</v>
      </c>
    </row>
    <row r="23" spans="1:16" x14ac:dyDescent="0.4">
      <c r="C23">
        <v>23</v>
      </c>
      <c r="D23" t="s">
        <v>66</v>
      </c>
      <c r="E23">
        <v>22</v>
      </c>
      <c r="F23" t="s">
        <v>199</v>
      </c>
      <c r="K23">
        <v>22</v>
      </c>
      <c r="L23" t="s">
        <v>261</v>
      </c>
      <c r="O23">
        <v>43</v>
      </c>
      <c r="P23" t="s">
        <v>304</v>
      </c>
    </row>
    <row r="24" spans="1:16" x14ac:dyDescent="0.4">
      <c r="C24">
        <v>24</v>
      </c>
      <c r="D24" t="s">
        <v>67</v>
      </c>
      <c r="K24">
        <v>23</v>
      </c>
      <c r="L24" t="s">
        <v>262</v>
      </c>
      <c r="O24">
        <v>44</v>
      </c>
      <c r="P24" t="s">
        <v>308</v>
      </c>
    </row>
    <row r="25" spans="1:16" x14ac:dyDescent="0.4">
      <c r="C25">
        <v>25</v>
      </c>
      <c r="D25" t="s">
        <v>68</v>
      </c>
      <c r="K25">
        <v>24</v>
      </c>
      <c r="L25" t="s">
        <v>263</v>
      </c>
    </row>
    <row r="26" spans="1:16" x14ac:dyDescent="0.4">
      <c r="C26">
        <v>26</v>
      </c>
      <c r="D26" t="s">
        <v>69</v>
      </c>
      <c r="K26">
        <v>25</v>
      </c>
      <c r="L26" t="s">
        <v>264</v>
      </c>
      <c r="O26">
        <v>51</v>
      </c>
      <c r="P26" t="s">
        <v>276</v>
      </c>
    </row>
    <row r="27" spans="1:16" x14ac:dyDescent="0.4">
      <c r="C27">
        <v>27</v>
      </c>
      <c r="D27" t="s">
        <v>70</v>
      </c>
      <c r="K27">
        <v>26</v>
      </c>
      <c r="L27" t="s">
        <v>265</v>
      </c>
      <c r="O27">
        <v>52</v>
      </c>
      <c r="P27" t="s">
        <v>277</v>
      </c>
    </row>
    <row r="28" spans="1:16" x14ac:dyDescent="0.4">
      <c r="C28">
        <v>28</v>
      </c>
      <c r="D28" t="s">
        <v>71</v>
      </c>
      <c r="K28">
        <v>27</v>
      </c>
      <c r="L28" t="s">
        <v>266</v>
      </c>
      <c r="O28">
        <v>53</v>
      </c>
      <c r="P28" t="s">
        <v>278</v>
      </c>
    </row>
    <row r="29" spans="1:16" x14ac:dyDescent="0.4">
      <c r="C29">
        <v>29</v>
      </c>
      <c r="D29" t="s">
        <v>72</v>
      </c>
      <c r="K29">
        <v>28</v>
      </c>
      <c r="L29" t="s">
        <v>267</v>
      </c>
    </row>
    <row r="30" spans="1:16" x14ac:dyDescent="0.4">
      <c r="C30">
        <v>30</v>
      </c>
      <c r="D30" t="s">
        <v>73</v>
      </c>
      <c r="K30">
        <v>29</v>
      </c>
      <c r="L30" t="s">
        <v>268</v>
      </c>
    </row>
    <row r="31" spans="1:16" x14ac:dyDescent="0.4">
      <c r="C31">
        <v>31</v>
      </c>
      <c r="D31" t="s">
        <v>74</v>
      </c>
      <c r="K31">
        <v>30</v>
      </c>
      <c r="L31" t="s">
        <v>269</v>
      </c>
    </row>
    <row r="32" spans="1:16" x14ac:dyDescent="0.4">
      <c r="C32">
        <v>32</v>
      </c>
      <c r="D32" t="s">
        <v>75</v>
      </c>
      <c r="K32">
        <v>31</v>
      </c>
      <c r="L32" t="s">
        <v>220</v>
      </c>
    </row>
    <row r="33" spans="3:4" x14ac:dyDescent="0.4">
      <c r="C33">
        <v>33</v>
      </c>
      <c r="D33" t="s">
        <v>76</v>
      </c>
    </row>
    <row r="34" spans="3:4" x14ac:dyDescent="0.4">
      <c r="C34">
        <v>34</v>
      </c>
      <c r="D34" t="s">
        <v>77</v>
      </c>
    </row>
    <row r="35" spans="3:4" x14ac:dyDescent="0.4">
      <c r="C35">
        <v>35</v>
      </c>
      <c r="D35" t="s">
        <v>78</v>
      </c>
    </row>
    <row r="36" spans="3:4" x14ac:dyDescent="0.4">
      <c r="C36">
        <v>36</v>
      </c>
      <c r="D36" t="s">
        <v>79</v>
      </c>
    </row>
    <row r="37" spans="3:4" x14ac:dyDescent="0.4">
      <c r="C37">
        <v>37</v>
      </c>
      <c r="D37" t="s">
        <v>80</v>
      </c>
    </row>
    <row r="38" spans="3:4" x14ac:dyDescent="0.4">
      <c r="C38">
        <v>38</v>
      </c>
      <c r="D38" t="s">
        <v>81</v>
      </c>
    </row>
    <row r="39" spans="3:4" x14ac:dyDescent="0.4">
      <c r="C39">
        <v>39</v>
      </c>
      <c r="D39" t="s">
        <v>82</v>
      </c>
    </row>
    <row r="40" spans="3:4" x14ac:dyDescent="0.4">
      <c r="C40">
        <v>40</v>
      </c>
      <c r="D40" t="s">
        <v>83</v>
      </c>
    </row>
    <row r="41" spans="3:4" x14ac:dyDescent="0.4">
      <c r="C41">
        <v>41</v>
      </c>
      <c r="D41" t="s">
        <v>84</v>
      </c>
    </row>
    <row r="42" spans="3:4" x14ac:dyDescent="0.4">
      <c r="C42">
        <v>42</v>
      </c>
      <c r="D42" t="s">
        <v>85</v>
      </c>
    </row>
    <row r="43" spans="3:4" x14ac:dyDescent="0.4">
      <c r="C43">
        <v>43</v>
      </c>
      <c r="D43" t="s">
        <v>86</v>
      </c>
    </row>
    <row r="44" spans="3:4" x14ac:dyDescent="0.4">
      <c r="C44">
        <v>44</v>
      </c>
      <c r="D44" t="s">
        <v>87</v>
      </c>
    </row>
    <row r="45" spans="3:4" x14ac:dyDescent="0.4">
      <c r="C45">
        <v>45</v>
      </c>
      <c r="D45" t="s">
        <v>88</v>
      </c>
    </row>
    <row r="46" spans="3:4" x14ac:dyDescent="0.4">
      <c r="C46">
        <v>46</v>
      </c>
      <c r="D46" t="s">
        <v>89</v>
      </c>
    </row>
    <row r="47" spans="3:4" x14ac:dyDescent="0.4">
      <c r="C47">
        <v>47</v>
      </c>
      <c r="D47" t="s">
        <v>90</v>
      </c>
    </row>
    <row r="48" spans="3:4" x14ac:dyDescent="0.4">
      <c r="C48">
        <v>48</v>
      </c>
      <c r="D48" t="s">
        <v>91</v>
      </c>
    </row>
    <row r="49" spans="3:4" x14ac:dyDescent="0.4">
      <c r="C49">
        <v>49</v>
      </c>
      <c r="D49" t="s">
        <v>375</v>
      </c>
    </row>
    <row r="50" spans="3:4" x14ac:dyDescent="0.4">
      <c r="C50">
        <v>50</v>
      </c>
      <c r="D50" t="s">
        <v>378</v>
      </c>
    </row>
    <row r="51" spans="3:4" x14ac:dyDescent="0.4">
      <c r="C51">
        <v>51</v>
      </c>
      <c r="D51" t="s">
        <v>379</v>
      </c>
    </row>
    <row r="52" spans="3:4" x14ac:dyDescent="0.4">
      <c r="C52">
        <v>52</v>
      </c>
      <c r="D52" t="s">
        <v>382</v>
      </c>
    </row>
    <row r="53" spans="3:4" x14ac:dyDescent="0.4">
      <c r="C53">
        <v>53</v>
      </c>
      <c r="D53" t="s">
        <v>385</v>
      </c>
    </row>
    <row r="54" spans="3:4" x14ac:dyDescent="0.4">
      <c r="C54">
        <v>91</v>
      </c>
      <c r="D54" t="s">
        <v>313</v>
      </c>
    </row>
    <row r="55" spans="3:4" x14ac:dyDescent="0.4">
      <c r="C55">
        <v>92</v>
      </c>
      <c r="D55" t="s">
        <v>315</v>
      </c>
    </row>
    <row r="56" spans="3:4" x14ac:dyDescent="0.4">
      <c r="C56">
        <v>93</v>
      </c>
      <c r="D56" t="s">
        <v>359</v>
      </c>
    </row>
    <row r="57" spans="3:4" x14ac:dyDescent="0.4">
      <c r="C57">
        <v>101</v>
      </c>
      <c r="D57" t="s">
        <v>148</v>
      </c>
    </row>
    <row r="58" spans="3:4" x14ac:dyDescent="0.4">
      <c r="C58">
        <v>102</v>
      </c>
      <c r="D58" t="s">
        <v>146</v>
      </c>
    </row>
    <row r="59" spans="3:4" x14ac:dyDescent="0.4">
      <c r="C59">
        <v>103</v>
      </c>
      <c r="D59" t="s">
        <v>150</v>
      </c>
    </row>
    <row r="60" spans="3:4" x14ac:dyDescent="0.4">
      <c r="C60">
        <v>104</v>
      </c>
      <c r="D60" t="s">
        <v>204</v>
      </c>
    </row>
    <row r="61" spans="3:4" x14ac:dyDescent="0.4">
      <c r="C61">
        <v>105</v>
      </c>
      <c r="D61" t="s">
        <v>282</v>
      </c>
    </row>
    <row r="62" spans="3:4" x14ac:dyDescent="0.4">
      <c r="C62">
        <v>106</v>
      </c>
      <c r="D62" t="s">
        <v>286</v>
      </c>
    </row>
    <row r="63" spans="3:4" x14ac:dyDescent="0.4">
      <c r="C63">
        <v>107</v>
      </c>
      <c r="D63" t="s">
        <v>289</v>
      </c>
    </row>
    <row r="64" spans="3:4" x14ac:dyDescent="0.4">
      <c r="C64">
        <v>111</v>
      </c>
      <c r="D64" t="s">
        <v>365</v>
      </c>
    </row>
    <row r="65" spans="3:4" x14ac:dyDescent="0.4">
      <c r="C65">
        <v>112</v>
      </c>
      <c r="D65" t="s">
        <v>367</v>
      </c>
    </row>
    <row r="66" spans="3:4" x14ac:dyDescent="0.4">
      <c r="C66">
        <v>113</v>
      </c>
      <c r="D66" t="s">
        <v>371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98</v>
      </c>
      <c r="B2" s="9" t="s">
        <v>29</v>
      </c>
      <c r="C2" s="9" t="s">
        <v>31</v>
      </c>
      <c r="D2" s="9" t="s">
        <v>97</v>
      </c>
      <c r="E2" s="9" t="s">
        <v>33</v>
      </c>
      <c r="F2" s="9" t="s">
        <v>216</v>
      </c>
      <c r="G2" s="9" t="s">
        <v>218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34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</row>
    <row r="7" spans="1:20" x14ac:dyDescent="0.4">
      <c r="A7" s="8"/>
      <c r="B7" s="13">
        <v>1</v>
      </c>
      <c r="C7" s="11" t="s">
        <v>38</v>
      </c>
      <c r="D7" s="11" t="s">
        <v>99</v>
      </c>
      <c r="E7" s="11" t="s">
        <v>197</v>
      </c>
      <c r="F7" s="13">
        <v>1</v>
      </c>
      <c r="G7" s="13">
        <v>2</v>
      </c>
      <c r="H7" t="s">
        <v>292</v>
      </c>
      <c r="T7" s="16"/>
    </row>
    <row r="8" spans="1:20" x14ac:dyDescent="0.4">
      <c r="A8" s="8"/>
      <c r="B8" s="13">
        <v>2</v>
      </c>
      <c r="C8" s="11" t="s">
        <v>40</v>
      </c>
      <c r="D8" s="11" t="s">
        <v>100</v>
      </c>
      <c r="E8" s="11" t="s">
        <v>197</v>
      </c>
      <c r="F8" s="13">
        <v>2</v>
      </c>
      <c r="G8" s="13">
        <v>3</v>
      </c>
      <c r="H8" t="s">
        <v>222</v>
      </c>
      <c r="O8" s="15"/>
    </row>
    <row r="9" spans="1:20" x14ac:dyDescent="0.4">
      <c r="A9" s="8"/>
      <c r="B9" s="13">
        <v>3</v>
      </c>
      <c r="C9" s="11" t="s">
        <v>42</v>
      </c>
      <c r="D9" s="11" t="s">
        <v>101</v>
      </c>
      <c r="E9" s="11" t="s">
        <v>197</v>
      </c>
      <c r="F9" s="13">
        <v>3</v>
      </c>
      <c r="G9" s="13">
        <v>2</v>
      </c>
      <c r="H9" t="s">
        <v>224</v>
      </c>
    </row>
    <row r="10" spans="1:20" x14ac:dyDescent="0.4">
      <c r="A10" s="8"/>
      <c r="B10" s="13">
        <v>4</v>
      </c>
      <c r="C10" s="11" t="s">
        <v>44</v>
      </c>
      <c r="D10" s="11" t="s">
        <v>102</v>
      </c>
      <c r="E10" s="11" t="s">
        <v>197</v>
      </c>
      <c r="F10" s="13">
        <v>2</v>
      </c>
      <c r="G10" s="13">
        <v>1</v>
      </c>
      <c r="H10" t="s">
        <v>293</v>
      </c>
    </row>
    <row r="11" spans="1:20" x14ac:dyDescent="0.4">
      <c r="A11" s="8"/>
      <c r="B11" s="13">
        <v>5</v>
      </c>
      <c r="C11" s="11" t="s">
        <v>46</v>
      </c>
      <c r="D11" s="11" t="s">
        <v>103</v>
      </c>
      <c r="E11" s="11" t="s">
        <v>197</v>
      </c>
      <c r="F11" s="13">
        <v>1</v>
      </c>
      <c r="G11" s="13">
        <v>4</v>
      </c>
      <c r="H11" t="s">
        <v>285</v>
      </c>
      <c r="T11" s="16"/>
    </row>
    <row r="12" spans="1:20" x14ac:dyDescent="0.4">
      <c r="A12" s="8"/>
      <c r="B12" s="13">
        <v>6</v>
      </c>
      <c r="C12" s="11" t="s">
        <v>48</v>
      </c>
      <c r="D12" s="11" t="s">
        <v>104</v>
      </c>
      <c r="E12" s="11" t="s">
        <v>197</v>
      </c>
      <c r="F12" s="13">
        <v>1</v>
      </c>
      <c r="G12" s="13">
        <v>4</v>
      </c>
      <c r="H12" t="s">
        <v>288</v>
      </c>
      <c r="O12" s="15"/>
    </row>
    <row r="13" spans="1:20" x14ac:dyDescent="0.4">
      <c r="A13" s="8"/>
      <c r="B13" s="13">
        <v>7</v>
      </c>
      <c r="C13" s="11" t="s">
        <v>50</v>
      </c>
      <c r="D13" s="11" t="s">
        <v>105</v>
      </c>
      <c r="E13" s="11" t="s">
        <v>202</v>
      </c>
      <c r="F13" s="13">
        <v>3</v>
      </c>
      <c r="G13" s="13">
        <v>3</v>
      </c>
      <c r="H13" t="s">
        <v>221</v>
      </c>
    </row>
    <row r="14" spans="1:20" x14ac:dyDescent="0.4">
      <c r="A14" s="8"/>
      <c r="B14" s="13">
        <v>8</v>
      </c>
      <c r="C14" s="11" t="s">
        <v>51</v>
      </c>
      <c r="D14" s="11" t="s">
        <v>106</v>
      </c>
      <c r="E14" s="11" t="s">
        <v>202</v>
      </c>
      <c r="F14" s="13">
        <v>2</v>
      </c>
      <c r="G14" s="13">
        <v>2</v>
      </c>
      <c r="H14" t="s">
        <v>293</v>
      </c>
    </row>
    <row r="15" spans="1:20" x14ac:dyDescent="0.4">
      <c r="A15" s="8"/>
      <c r="B15" s="13">
        <v>9</v>
      </c>
      <c r="C15" s="11" t="s">
        <v>52</v>
      </c>
      <c r="D15" s="11" t="s">
        <v>107</v>
      </c>
      <c r="E15" s="11" t="s">
        <v>202</v>
      </c>
      <c r="F15" s="13">
        <v>1</v>
      </c>
      <c r="G15" s="13">
        <v>4</v>
      </c>
      <c r="H15" t="s">
        <v>288</v>
      </c>
      <c r="T15" s="16"/>
    </row>
    <row r="16" spans="1:20" x14ac:dyDescent="0.4">
      <c r="A16" s="8"/>
      <c r="B16" s="13">
        <v>10</v>
      </c>
      <c r="C16" s="11" t="s">
        <v>53</v>
      </c>
      <c r="D16" s="11" t="s">
        <v>108</v>
      </c>
      <c r="E16" s="11" t="s">
        <v>202</v>
      </c>
      <c r="F16" s="13">
        <v>2</v>
      </c>
      <c r="G16" s="13">
        <v>3</v>
      </c>
      <c r="H16" t="s">
        <v>222</v>
      </c>
      <c r="O16" s="15"/>
    </row>
    <row r="17" spans="1:20" x14ac:dyDescent="0.4">
      <c r="A17" s="8"/>
      <c r="B17" s="13">
        <v>11</v>
      </c>
      <c r="C17" s="11" t="s">
        <v>54</v>
      </c>
      <c r="D17" s="11" t="s">
        <v>109</v>
      </c>
      <c r="E17" s="11" t="s">
        <v>202</v>
      </c>
      <c r="F17" s="13">
        <v>1</v>
      </c>
      <c r="G17" s="13">
        <v>4</v>
      </c>
      <c r="H17" t="s">
        <v>285</v>
      </c>
    </row>
    <row r="18" spans="1:20" x14ac:dyDescent="0.4">
      <c r="A18" s="8"/>
      <c r="B18" s="13">
        <v>12</v>
      </c>
      <c r="C18" s="11" t="s">
        <v>55</v>
      </c>
      <c r="D18" s="11" t="s">
        <v>55</v>
      </c>
      <c r="E18" s="11" t="s">
        <v>202</v>
      </c>
      <c r="F18" s="13">
        <v>2</v>
      </c>
      <c r="G18" s="13">
        <v>3</v>
      </c>
      <c r="H18" t="s">
        <v>296</v>
      </c>
    </row>
    <row r="19" spans="1:20" x14ac:dyDescent="0.4">
      <c r="A19" s="8"/>
      <c r="B19" s="13">
        <v>13</v>
      </c>
      <c r="C19" s="11" t="s">
        <v>56</v>
      </c>
      <c r="D19" s="11" t="s">
        <v>110</v>
      </c>
      <c r="E19" s="11" t="s">
        <v>171</v>
      </c>
      <c r="F19" s="13">
        <v>1</v>
      </c>
      <c r="G19" s="13">
        <v>3</v>
      </c>
      <c r="H19" t="s">
        <v>285</v>
      </c>
      <c r="T19" s="16"/>
    </row>
    <row r="20" spans="1:20" x14ac:dyDescent="0.4">
      <c r="A20" s="8"/>
      <c r="B20" s="13">
        <v>14</v>
      </c>
      <c r="C20" s="11" t="s">
        <v>57</v>
      </c>
      <c r="D20" s="11" t="s">
        <v>111</v>
      </c>
      <c r="E20" s="11" t="s">
        <v>171</v>
      </c>
      <c r="F20" s="13">
        <v>3</v>
      </c>
      <c r="G20" s="13">
        <v>3</v>
      </c>
      <c r="H20" t="s">
        <v>221</v>
      </c>
      <c r="O20" s="15"/>
    </row>
    <row r="21" spans="1:20" x14ac:dyDescent="0.4">
      <c r="A21" s="8"/>
      <c r="B21" s="13">
        <v>15</v>
      </c>
      <c r="C21" s="11" t="s">
        <v>58</v>
      </c>
      <c r="D21" s="11" t="s">
        <v>112</v>
      </c>
      <c r="E21" s="11" t="s">
        <v>171</v>
      </c>
      <c r="F21" s="13">
        <v>2</v>
      </c>
      <c r="G21" s="13">
        <v>1</v>
      </c>
      <c r="H21" t="s">
        <v>223</v>
      </c>
    </row>
    <row r="22" spans="1:20" x14ac:dyDescent="0.4">
      <c r="A22" s="8"/>
      <c r="B22" s="13">
        <v>16</v>
      </c>
      <c r="C22" s="11" t="s">
        <v>59</v>
      </c>
      <c r="D22" s="11" t="s">
        <v>113</v>
      </c>
      <c r="E22" s="11" t="s">
        <v>171</v>
      </c>
      <c r="F22" s="13">
        <v>2</v>
      </c>
      <c r="G22" s="13">
        <v>1</v>
      </c>
      <c r="H22" t="s">
        <v>223</v>
      </c>
    </row>
    <row r="23" spans="1:20" x14ac:dyDescent="0.4">
      <c r="A23" s="8"/>
      <c r="B23" s="13">
        <v>17</v>
      </c>
      <c r="C23" s="11" t="s">
        <v>60</v>
      </c>
      <c r="D23" s="11" t="s">
        <v>114</v>
      </c>
      <c r="E23" s="11" t="s">
        <v>171</v>
      </c>
      <c r="F23" s="13">
        <v>1</v>
      </c>
      <c r="G23" s="13">
        <v>4</v>
      </c>
      <c r="H23" t="s">
        <v>288</v>
      </c>
      <c r="T23" s="16"/>
    </row>
    <row r="24" spans="1:20" x14ac:dyDescent="0.4">
      <c r="A24" s="8"/>
      <c r="B24" s="13">
        <v>18</v>
      </c>
      <c r="C24" s="11" t="s">
        <v>61</v>
      </c>
      <c r="D24" s="11" t="s">
        <v>115</v>
      </c>
      <c r="E24" s="11" t="s">
        <v>171</v>
      </c>
      <c r="F24" s="13">
        <v>2</v>
      </c>
      <c r="G24" s="13">
        <v>3</v>
      </c>
      <c r="H24" t="s">
        <v>222</v>
      </c>
      <c r="O24" s="15"/>
    </row>
    <row r="25" spans="1:20" x14ac:dyDescent="0.4">
      <c r="A25" s="8"/>
      <c r="B25" s="13">
        <v>19</v>
      </c>
      <c r="C25" s="11" t="s">
        <v>62</v>
      </c>
      <c r="D25" s="11" t="s">
        <v>116</v>
      </c>
      <c r="E25" s="11" t="s">
        <v>196</v>
      </c>
      <c r="F25" s="13">
        <v>3</v>
      </c>
      <c r="G25" s="13">
        <v>3</v>
      </c>
      <c r="H25" t="s">
        <v>221</v>
      </c>
    </row>
    <row r="26" spans="1:20" x14ac:dyDescent="0.4">
      <c r="A26" s="8"/>
      <c r="B26" s="13">
        <v>20</v>
      </c>
      <c r="C26" s="11" t="s">
        <v>63</v>
      </c>
      <c r="D26" s="11" t="s">
        <v>117</v>
      </c>
      <c r="E26" s="11" t="s">
        <v>196</v>
      </c>
      <c r="F26" s="13">
        <v>2</v>
      </c>
      <c r="G26" s="13">
        <v>1</v>
      </c>
      <c r="H26" t="s">
        <v>293</v>
      </c>
    </row>
    <row r="27" spans="1:20" x14ac:dyDescent="0.4">
      <c r="A27" s="8"/>
      <c r="B27" s="13">
        <v>21</v>
      </c>
      <c r="C27" s="11" t="s">
        <v>64</v>
      </c>
      <c r="D27" s="11" t="s">
        <v>118</v>
      </c>
      <c r="E27" s="11" t="s">
        <v>196</v>
      </c>
      <c r="F27" s="13">
        <v>1</v>
      </c>
      <c r="G27" s="13">
        <v>4</v>
      </c>
      <c r="H27" t="s">
        <v>288</v>
      </c>
      <c r="T27" s="16"/>
    </row>
    <row r="28" spans="1:20" x14ac:dyDescent="0.4">
      <c r="A28" s="8"/>
      <c r="B28" s="13">
        <v>22</v>
      </c>
      <c r="C28" s="11" t="s">
        <v>65</v>
      </c>
      <c r="D28" s="11" t="s">
        <v>119</v>
      </c>
      <c r="E28" s="11" t="s">
        <v>196</v>
      </c>
      <c r="F28" s="13">
        <v>2</v>
      </c>
      <c r="G28" s="13">
        <v>3</v>
      </c>
      <c r="H28" t="s">
        <v>222</v>
      </c>
      <c r="O28" s="15"/>
    </row>
    <row r="29" spans="1:20" x14ac:dyDescent="0.4">
      <c r="A29" s="8"/>
      <c r="B29" s="13">
        <v>23</v>
      </c>
      <c r="C29" s="11" t="s">
        <v>66</v>
      </c>
      <c r="D29" s="11" t="s">
        <v>120</v>
      </c>
      <c r="E29" s="11" t="s">
        <v>196</v>
      </c>
      <c r="F29" s="13">
        <v>3</v>
      </c>
      <c r="G29" s="13">
        <v>2</v>
      </c>
      <c r="H29" t="s">
        <v>224</v>
      </c>
    </row>
    <row r="30" spans="1:20" x14ac:dyDescent="0.4">
      <c r="A30" s="8"/>
      <c r="B30" s="13">
        <v>24</v>
      </c>
      <c r="C30" s="11" t="s">
        <v>219</v>
      </c>
      <c r="D30" s="11" t="s">
        <v>121</v>
      </c>
      <c r="E30" s="11" t="s">
        <v>196</v>
      </c>
      <c r="F30" s="13">
        <v>3</v>
      </c>
      <c r="G30" s="13">
        <v>2</v>
      </c>
      <c r="H30" t="s">
        <v>224</v>
      </c>
    </row>
    <row r="31" spans="1:20" x14ac:dyDescent="0.4">
      <c r="A31" s="8"/>
      <c r="B31" s="13">
        <v>25</v>
      </c>
      <c r="C31" s="11" t="s">
        <v>68</v>
      </c>
      <c r="D31" s="11" t="s">
        <v>122</v>
      </c>
      <c r="E31" s="11" t="s">
        <v>203</v>
      </c>
      <c r="F31" s="13">
        <v>3</v>
      </c>
      <c r="G31" s="14">
        <v>3</v>
      </c>
      <c r="H31" t="s">
        <v>221</v>
      </c>
      <c r="T31" s="16"/>
    </row>
    <row r="32" spans="1:20" x14ac:dyDescent="0.4">
      <c r="A32" s="8"/>
      <c r="B32" s="13">
        <v>26</v>
      </c>
      <c r="C32" s="11" t="s">
        <v>69</v>
      </c>
      <c r="D32" s="11" t="s">
        <v>123</v>
      </c>
      <c r="E32" s="11" t="s">
        <v>203</v>
      </c>
      <c r="F32" s="13">
        <v>1</v>
      </c>
      <c r="G32" s="14">
        <v>4</v>
      </c>
      <c r="H32" t="s">
        <v>294</v>
      </c>
      <c r="O32" s="15"/>
    </row>
    <row r="33" spans="1:20" x14ac:dyDescent="0.4">
      <c r="A33" s="8"/>
      <c r="B33" s="13">
        <v>27</v>
      </c>
      <c r="C33" s="11" t="s">
        <v>70</v>
      </c>
      <c r="D33" s="11" t="s">
        <v>124</v>
      </c>
      <c r="E33" s="11" t="s">
        <v>203</v>
      </c>
      <c r="F33" s="13">
        <v>3</v>
      </c>
      <c r="G33" s="14">
        <v>2</v>
      </c>
      <c r="H33" t="s">
        <v>224</v>
      </c>
    </row>
    <row r="34" spans="1:20" x14ac:dyDescent="0.4">
      <c r="A34" s="8"/>
      <c r="B34" s="13">
        <v>28</v>
      </c>
      <c r="C34" s="11" t="s">
        <v>71</v>
      </c>
      <c r="D34" s="11" t="s">
        <v>125</v>
      </c>
      <c r="E34" s="11" t="s">
        <v>203</v>
      </c>
      <c r="F34" s="13">
        <v>2</v>
      </c>
      <c r="G34" s="14">
        <v>1</v>
      </c>
      <c r="H34" t="s">
        <v>223</v>
      </c>
    </row>
    <row r="35" spans="1:20" x14ac:dyDescent="0.4">
      <c r="A35" s="8"/>
      <c r="B35" s="13">
        <v>29</v>
      </c>
      <c r="C35" s="11" t="s">
        <v>72</v>
      </c>
      <c r="D35" s="11" t="s">
        <v>126</v>
      </c>
      <c r="E35" s="11" t="s">
        <v>203</v>
      </c>
      <c r="F35" s="13">
        <v>1</v>
      </c>
      <c r="G35" s="14">
        <v>4</v>
      </c>
      <c r="H35" t="s">
        <v>285</v>
      </c>
      <c r="T35" s="16"/>
    </row>
    <row r="36" spans="1:20" x14ac:dyDescent="0.4">
      <c r="A36" s="8"/>
      <c r="B36" s="13">
        <v>30</v>
      </c>
      <c r="C36" s="11" t="s">
        <v>73</v>
      </c>
      <c r="D36" s="11" t="s">
        <v>127</v>
      </c>
      <c r="E36" s="11" t="s">
        <v>203</v>
      </c>
      <c r="F36" s="13">
        <v>2</v>
      </c>
      <c r="G36" s="14">
        <v>3</v>
      </c>
      <c r="H36" t="s">
        <v>222</v>
      </c>
      <c r="O36" s="15"/>
    </row>
    <row r="37" spans="1:20" x14ac:dyDescent="0.4">
      <c r="A37" s="8"/>
      <c r="B37" s="13">
        <v>31</v>
      </c>
      <c r="C37" s="11" t="s">
        <v>74</v>
      </c>
      <c r="D37" s="11" t="s">
        <v>128</v>
      </c>
      <c r="E37" s="11" t="s">
        <v>207</v>
      </c>
      <c r="F37" s="13">
        <v>2</v>
      </c>
      <c r="G37" s="14">
        <v>1</v>
      </c>
      <c r="H37" t="s">
        <v>293</v>
      </c>
    </row>
    <row r="38" spans="1:20" x14ac:dyDescent="0.4">
      <c r="A38" s="8"/>
      <c r="B38" s="13">
        <v>32</v>
      </c>
      <c r="C38" s="11" t="s">
        <v>75</v>
      </c>
      <c r="D38" s="11" t="s">
        <v>129</v>
      </c>
      <c r="E38" s="11" t="s">
        <v>207</v>
      </c>
      <c r="F38" s="13">
        <v>2</v>
      </c>
      <c r="G38" s="14">
        <v>3</v>
      </c>
      <c r="H38" t="s">
        <v>222</v>
      </c>
    </row>
    <row r="39" spans="1:20" x14ac:dyDescent="0.4">
      <c r="A39" s="8"/>
      <c r="B39" s="13">
        <v>33</v>
      </c>
      <c r="C39" s="11" t="s">
        <v>76</v>
      </c>
      <c r="D39" s="11" t="s">
        <v>130</v>
      </c>
      <c r="E39" s="11" t="s">
        <v>207</v>
      </c>
      <c r="F39" s="13">
        <v>1</v>
      </c>
      <c r="G39" s="14">
        <v>4</v>
      </c>
      <c r="H39" t="s">
        <v>285</v>
      </c>
      <c r="T39" s="16"/>
    </row>
    <row r="40" spans="1:20" x14ac:dyDescent="0.4">
      <c r="A40" s="8"/>
      <c r="B40" s="13">
        <v>34</v>
      </c>
      <c r="C40" s="11" t="s">
        <v>77</v>
      </c>
      <c r="D40" s="11" t="s">
        <v>131</v>
      </c>
      <c r="E40" s="11" t="s">
        <v>207</v>
      </c>
      <c r="F40" s="13">
        <v>3</v>
      </c>
      <c r="G40" s="14">
        <v>3</v>
      </c>
      <c r="H40" t="s">
        <v>221</v>
      </c>
      <c r="O40" s="15"/>
    </row>
    <row r="41" spans="1:20" x14ac:dyDescent="0.4">
      <c r="A41" s="8"/>
      <c r="B41" s="13">
        <v>35</v>
      </c>
      <c r="C41" s="11" t="s">
        <v>78</v>
      </c>
      <c r="D41" s="11" t="s">
        <v>132</v>
      </c>
      <c r="E41" s="11" t="s">
        <v>207</v>
      </c>
      <c r="F41" s="13">
        <v>1</v>
      </c>
      <c r="G41" s="14">
        <v>4</v>
      </c>
      <c r="H41" t="s">
        <v>294</v>
      </c>
    </row>
    <row r="42" spans="1:20" x14ac:dyDescent="0.4">
      <c r="A42" s="8"/>
      <c r="B42" s="13">
        <v>36</v>
      </c>
      <c r="C42" s="11" t="s">
        <v>79</v>
      </c>
      <c r="D42" s="11" t="s">
        <v>133</v>
      </c>
      <c r="E42" s="11" t="s">
        <v>207</v>
      </c>
      <c r="F42" s="13">
        <v>3</v>
      </c>
      <c r="G42" s="14">
        <v>2</v>
      </c>
      <c r="H42" t="s">
        <v>224</v>
      </c>
    </row>
    <row r="43" spans="1:20" x14ac:dyDescent="0.4">
      <c r="A43" s="8"/>
      <c r="B43" s="13">
        <v>37</v>
      </c>
      <c r="C43" s="11" t="s">
        <v>80</v>
      </c>
      <c r="D43" s="11" t="s">
        <v>134</v>
      </c>
      <c r="E43" s="11" t="s">
        <v>172</v>
      </c>
      <c r="F43" s="13">
        <v>1</v>
      </c>
      <c r="G43" s="13">
        <v>4</v>
      </c>
      <c r="H43" t="s">
        <v>285</v>
      </c>
      <c r="T43" s="16"/>
    </row>
    <row r="44" spans="1:20" x14ac:dyDescent="0.4">
      <c r="A44" s="8"/>
      <c r="B44" s="13">
        <v>38</v>
      </c>
      <c r="C44" s="11" t="s">
        <v>81</v>
      </c>
      <c r="D44" s="11" t="s">
        <v>135</v>
      </c>
      <c r="E44" s="11" t="s">
        <v>172</v>
      </c>
      <c r="F44" s="13">
        <v>1</v>
      </c>
      <c r="G44" s="13">
        <v>4</v>
      </c>
      <c r="H44" t="s">
        <v>288</v>
      </c>
      <c r="O44" s="15"/>
    </row>
    <row r="45" spans="1:20" x14ac:dyDescent="0.4">
      <c r="A45" s="8"/>
      <c r="B45" s="13">
        <v>39</v>
      </c>
      <c r="C45" s="11" t="s">
        <v>82</v>
      </c>
      <c r="D45" s="11" t="s">
        <v>136</v>
      </c>
      <c r="E45" s="11" t="s">
        <v>172</v>
      </c>
      <c r="F45" s="13">
        <v>2</v>
      </c>
      <c r="G45" s="13">
        <v>1</v>
      </c>
      <c r="H45" t="s">
        <v>293</v>
      </c>
    </row>
    <row r="46" spans="1:20" x14ac:dyDescent="0.4">
      <c r="A46" s="8"/>
      <c r="B46" s="13">
        <v>40</v>
      </c>
      <c r="C46" s="11" t="s">
        <v>83</v>
      </c>
      <c r="D46" s="11" t="s">
        <v>137</v>
      </c>
      <c r="E46" s="11" t="s">
        <v>172</v>
      </c>
      <c r="F46" s="13">
        <v>3</v>
      </c>
      <c r="G46" s="13">
        <v>3</v>
      </c>
      <c r="H46" t="s">
        <v>221</v>
      </c>
    </row>
    <row r="47" spans="1:20" x14ac:dyDescent="0.4">
      <c r="A47" s="8"/>
      <c r="B47" s="13">
        <v>41</v>
      </c>
      <c r="C47" s="11" t="s">
        <v>84</v>
      </c>
      <c r="D47" s="11" t="s">
        <v>138</v>
      </c>
      <c r="E47" s="11" t="s">
        <v>172</v>
      </c>
      <c r="F47" s="13">
        <v>3</v>
      </c>
      <c r="G47" s="13">
        <v>2</v>
      </c>
      <c r="H47" t="s">
        <v>224</v>
      </c>
      <c r="T47" s="16"/>
    </row>
    <row r="48" spans="1:20" x14ac:dyDescent="0.4">
      <c r="A48" s="8"/>
      <c r="B48" s="13">
        <v>42</v>
      </c>
      <c r="C48" s="11" t="s">
        <v>85</v>
      </c>
      <c r="D48" s="11" t="s">
        <v>139</v>
      </c>
      <c r="E48" s="11" t="s">
        <v>172</v>
      </c>
      <c r="F48" s="13">
        <v>2</v>
      </c>
      <c r="G48" s="13">
        <v>3</v>
      </c>
      <c r="H48" t="s">
        <v>222</v>
      </c>
      <c r="O48" s="15"/>
    </row>
    <row r="49" spans="1:20" x14ac:dyDescent="0.4">
      <c r="A49" s="8"/>
      <c r="B49" s="13">
        <v>43</v>
      </c>
      <c r="C49" s="11" t="s">
        <v>86</v>
      </c>
      <c r="D49" s="11" t="s">
        <v>140</v>
      </c>
      <c r="E49" s="11" t="s">
        <v>176</v>
      </c>
      <c r="F49" s="13">
        <v>1</v>
      </c>
      <c r="G49" s="13">
        <v>4</v>
      </c>
      <c r="H49" t="s">
        <v>288</v>
      </c>
    </row>
    <row r="50" spans="1:20" x14ac:dyDescent="0.4">
      <c r="A50" s="8"/>
      <c r="B50" s="13">
        <v>44</v>
      </c>
      <c r="C50" s="11" t="s">
        <v>87</v>
      </c>
      <c r="D50" s="11" t="s">
        <v>141</v>
      </c>
      <c r="E50" s="11" t="s">
        <v>176</v>
      </c>
      <c r="F50" s="13">
        <v>3</v>
      </c>
      <c r="G50" s="13">
        <v>2</v>
      </c>
      <c r="H50" t="s">
        <v>224</v>
      </c>
    </row>
    <row r="51" spans="1:20" x14ac:dyDescent="0.4">
      <c r="A51" s="8"/>
      <c r="B51" s="13">
        <v>45</v>
      </c>
      <c r="C51" s="11" t="s">
        <v>88</v>
      </c>
      <c r="D51" s="11" t="s">
        <v>142</v>
      </c>
      <c r="E51" s="11" t="s">
        <v>176</v>
      </c>
      <c r="F51" s="13">
        <v>2</v>
      </c>
      <c r="G51" s="13">
        <v>1</v>
      </c>
      <c r="H51" t="s">
        <v>223</v>
      </c>
      <c r="T51" s="16"/>
    </row>
    <row r="52" spans="1:20" x14ac:dyDescent="0.4">
      <c r="A52" s="8"/>
      <c r="B52" s="13">
        <v>46</v>
      </c>
      <c r="C52" s="11" t="s">
        <v>89</v>
      </c>
      <c r="D52" s="11" t="s">
        <v>143</v>
      </c>
      <c r="E52" s="11" t="s">
        <v>176</v>
      </c>
      <c r="F52" s="13">
        <v>3</v>
      </c>
      <c r="G52" s="13">
        <v>3</v>
      </c>
      <c r="H52" t="s">
        <v>221</v>
      </c>
      <c r="O52" s="15"/>
    </row>
    <row r="53" spans="1:20" x14ac:dyDescent="0.4">
      <c r="A53" s="8"/>
      <c r="B53" s="13">
        <v>47</v>
      </c>
      <c r="C53" s="11" t="s">
        <v>90</v>
      </c>
      <c r="D53" s="11" t="s">
        <v>144</v>
      </c>
      <c r="E53" s="11" t="s">
        <v>176</v>
      </c>
      <c r="F53" s="13">
        <v>2</v>
      </c>
      <c r="G53" s="13">
        <v>1</v>
      </c>
      <c r="H53" t="s">
        <v>293</v>
      </c>
    </row>
    <row r="54" spans="1:20" x14ac:dyDescent="0.4">
      <c r="A54" s="8"/>
      <c r="B54" s="13">
        <v>48</v>
      </c>
      <c r="C54" s="11" t="s">
        <v>91</v>
      </c>
      <c r="D54" s="11" t="s">
        <v>145</v>
      </c>
      <c r="E54" s="11" t="s">
        <v>176</v>
      </c>
      <c r="F54" s="13">
        <v>1</v>
      </c>
      <c r="G54" s="13">
        <v>4</v>
      </c>
      <c r="H54" t="s">
        <v>295</v>
      </c>
    </row>
    <row r="55" spans="1:20" x14ac:dyDescent="0.4">
      <c r="A55" s="8"/>
      <c r="B55" s="13">
        <v>49</v>
      </c>
      <c r="C55" s="11" t="s">
        <v>376</v>
      </c>
      <c r="D55" s="11" t="s">
        <v>377</v>
      </c>
      <c r="E55" s="11" t="s">
        <v>374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378</v>
      </c>
      <c r="D56" s="11" t="s">
        <v>373</v>
      </c>
      <c r="E56" s="11" t="s">
        <v>374</v>
      </c>
      <c r="F56" s="13">
        <v>2</v>
      </c>
      <c r="G56" s="13">
        <v>3</v>
      </c>
      <c r="H56" t="s">
        <v>222</v>
      </c>
    </row>
    <row r="57" spans="1:20" x14ac:dyDescent="0.4">
      <c r="A57" s="8"/>
      <c r="B57" s="13">
        <v>51</v>
      </c>
      <c r="C57" s="11" t="s">
        <v>380</v>
      </c>
      <c r="D57" s="11" t="s">
        <v>381</v>
      </c>
      <c r="E57" s="11" t="s">
        <v>374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383</v>
      </c>
      <c r="D58" s="11" t="s">
        <v>384</v>
      </c>
      <c r="E58" s="11" t="s">
        <v>374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386</v>
      </c>
      <c r="D59" s="11" t="s">
        <v>387</v>
      </c>
      <c r="E59" s="11" t="s">
        <v>374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297</v>
      </c>
      <c r="D60" s="11" t="s">
        <v>298</v>
      </c>
      <c r="E60" s="11" t="s">
        <v>311</v>
      </c>
      <c r="F60" s="13">
        <v>2</v>
      </c>
      <c r="G60" s="14">
        <v>1</v>
      </c>
      <c r="H60" t="s">
        <v>312</v>
      </c>
    </row>
    <row r="61" spans="1:20" x14ac:dyDescent="0.4">
      <c r="A61" s="8"/>
      <c r="B61" s="13">
        <v>92</v>
      </c>
      <c r="C61" s="11" t="s">
        <v>315</v>
      </c>
      <c r="D61" s="11" t="s">
        <v>316</v>
      </c>
      <c r="E61" s="11" t="s">
        <v>311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317</v>
      </c>
      <c r="D62" s="11" t="s">
        <v>318</v>
      </c>
      <c r="E62" s="11" t="s">
        <v>311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148</v>
      </c>
      <c r="D63" s="11" t="s">
        <v>149</v>
      </c>
      <c r="E63" s="11" t="s">
        <v>208</v>
      </c>
      <c r="F63" s="13">
        <v>1</v>
      </c>
      <c r="G63" s="14">
        <v>2</v>
      </c>
      <c r="H63" t="s">
        <v>288</v>
      </c>
      <c r="T63" s="16"/>
    </row>
    <row r="64" spans="1:20" x14ac:dyDescent="0.4">
      <c r="A64" s="8"/>
      <c r="B64" s="13">
        <v>102</v>
      </c>
      <c r="C64" s="11" t="s">
        <v>146</v>
      </c>
      <c r="D64" s="11" t="s">
        <v>147</v>
      </c>
      <c r="E64" s="11" t="s">
        <v>208</v>
      </c>
      <c r="F64" s="13">
        <v>2</v>
      </c>
      <c r="G64" s="14">
        <v>1</v>
      </c>
      <c r="H64" t="s">
        <v>223</v>
      </c>
      <c r="O64" s="15"/>
    </row>
    <row r="65" spans="1:20" x14ac:dyDescent="0.4">
      <c r="A65" s="8"/>
      <c r="B65" s="13">
        <v>103</v>
      </c>
      <c r="C65" s="11" t="s">
        <v>150</v>
      </c>
      <c r="D65" s="11" t="s">
        <v>151</v>
      </c>
      <c r="E65" s="11" t="s">
        <v>208</v>
      </c>
      <c r="F65" s="13">
        <v>3</v>
      </c>
      <c r="G65" s="14">
        <v>3</v>
      </c>
      <c r="H65" t="s">
        <v>221</v>
      </c>
    </row>
    <row r="66" spans="1:20" x14ac:dyDescent="0.4">
      <c r="A66" s="8"/>
      <c r="B66" s="13">
        <v>104</v>
      </c>
      <c r="C66" s="11" t="s">
        <v>204</v>
      </c>
      <c r="D66" s="11" t="s">
        <v>205</v>
      </c>
      <c r="E66" s="11" t="s">
        <v>208</v>
      </c>
      <c r="F66" s="13">
        <v>3</v>
      </c>
      <c r="G66" s="14">
        <v>2</v>
      </c>
      <c r="H66" t="s">
        <v>224</v>
      </c>
    </row>
    <row r="67" spans="1:20" x14ac:dyDescent="0.4">
      <c r="A67" s="8"/>
      <c r="B67" s="13">
        <v>105</v>
      </c>
      <c r="C67" s="11" t="s">
        <v>283</v>
      </c>
      <c r="D67" s="11" t="s">
        <v>284</v>
      </c>
      <c r="E67" s="11" t="s">
        <v>208</v>
      </c>
      <c r="F67" s="13">
        <v>1</v>
      </c>
      <c r="G67" s="14">
        <v>4</v>
      </c>
      <c r="H67" t="s">
        <v>295</v>
      </c>
    </row>
    <row r="68" spans="1:20" x14ac:dyDescent="0.4">
      <c r="A68" s="8"/>
      <c r="B68" s="13">
        <v>106</v>
      </c>
      <c r="C68" s="11" t="s">
        <v>286</v>
      </c>
      <c r="D68" s="11" t="s">
        <v>287</v>
      </c>
      <c r="E68" s="11" t="s">
        <v>208</v>
      </c>
      <c r="F68" s="13">
        <v>1</v>
      </c>
      <c r="G68" s="14">
        <v>4</v>
      </c>
      <c r="H68" t="s">
        <v>288</v>
      </c>
    </row>
    <row r="69" spans="1:20" x14ac:dyDescent="0.4">
      <c r="A69" s="8"/>
      <c r="B69" s="13">
        <v>107</v>
      </c>
      <c r="C69" s="11" t="s">
        <v>290</v>
      </c>
      <c r="D69" s="11" t="s">
        <v>291</v>
      </c>
      <c r="E69" s="11" t="s">
        <v>208</v>
      </c>
      <c r="F69" s="13">
        <v>2</v>
      </c>
      <c r="G69" s="14">
        <v>3</v>
      </c>
      <c r="H69" t="s">
        <v>222</v>
      </c>
    </row>
    <row r="70" spans="1:20" x14ac:dyDescent="0.4">
      <c r="A70" s="8"/>
      <c r="B70" s="13">
        <v>111</v>
      </c>
      <c r="C70" s="11" t="s">
        <v>366</v>
      </c>
      <c r="D70" s="11" t="s">
        <v>366</v>
      </c>
      <c r="E70" s="11" t="s">
        <v>364</v>
      </c>
      <c r="F70" s="13">
        <v>1</v>
      </c>
      <c r="G70" s="14">
        <v>2</v>
      </c>
      <c r="H70" t="s">
        <v>370</v>
      </c>
    </row>
    <row r="71" spans="1:20" x14ac:dyDescent="0.4">
      <c r="A71" s="8"/>
      <c r="B71" s="13">
        <v>112</v>
      </c>
      <c r="C71" s="11" t="s">
        <v>368</v>
      </c>
      <c r="D71" s="11" t="s">
        <v>368</v>
      </c>
      <c r="E71" s="11" t="s">
        <v>364</v>
      </c>
      <c r="F71" s="13">
        <v>3</v>
      </c>
      <c r="G71" s="14">
        <v>2</v>
      </c>
      <c r="H71" t="s">
        <v>369</v>
      </c>
    </row>
    <row r="72" spans="1:20" x14ac:dyDescent="0.4">
      <c r="A72" s="8"/>
      <c r="B72" s="13">
        <v>113</v>
      </c>
      <c r="C72" s="11" t="s">
        <v>371</v>
      </c>
      <c r="D72" s="11" t="s">
        <v>371</v>
      </c>
      <c r="E72" s="11" t="s">
        <v>364</v>
      </c>
      <c r="F72" s="13">
        <v>1</v>
      </c>
      <c r="G72" s="14">
        <v>2</v>
      </c>
      <c r="H72" t="s">
        <v>372</v>
      </c>
    </row>
    <row r="73" spans="1:20" x14ac:dyDescent="0.4">
      <c r="A73" s="8"/>
      <c r="B73" s="13">
        <v>501</v>
      </c>
      <c r="C73" s="11" t="s">
        <v>297</v>
      </c>
      <c r="D73" s="11" t="s">
        <v>298</v>
      </c>
      <c r="E73" s="11" t="s">
        <v>299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168</v>
      </c>
      <c r="B1" s="18" t="s">
        <v>154</v>
      </c>
      <c r="C1" s="18" t="s">
        <v>155</v>
      </c>
      <c r="D1" s="18" t="s">
        <v>156</v>
      </c>
      <c r="E1" s="18" t="s">
        <v>160</v>
      </c>
      <c r="F1" s="18" t="s">
        <v>169</v>
      </c>
      <c r="G1" s="18" t="s">
        <v>170</v>
      </c>
      <c r="H1" s="18" t="s">
        <v>36</v>
      </c>
      <c r="I1" s="18" t="s">
        <v>161</v>
      </c>
      <c r="J1" s="18" t="s">
        <v>163</v>
      </c>
      <c r="K1" s="18" t="s">
        <v>164</v>
      </c>
      <c r="L1" s="18" t="s">
        <v>165</v>
      </c>
      <c r="M1" s="18" t="s">
        <v>166</v>
      </c>
      <c r="N1" s="18" t="s">
        <v>167</v>
      </c>
      <c r="O1" s="18" t="s">
        <v>157</v>
      </c>
      <c r="P1" s="18" t="s">
        <v>158</v>
      </c>
      <c r="Q1" s="18" t="s">
        <v>159</v>
      </c>
      <c r="R1" s="18" t="s">
        <v>162</v>
      </c>
      <c r="S1" s="21"/>
    </row>
    <row r="2" spans="1:19" x14ac:dyDescent="0.35">
      <c r="A2" s="17" t="s">
        <v>194</v>
      </c>
      <c r="B2" s="19">
        <v>1</v>
      </c>
      <c r="C2" s="19">
        <v>1</v>
      </c>
      <c r="D2" s="19" t="s">
        <v>206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343</v>
      </c>
      <c r="B3" s="20" t="s">
        <v>337</v>
      </c>
      <c r="C3" s="24">
        <v>1</v>
      </c>
      <c r="D3" s="20" t="s">
        <v>329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341</v>
      </c>
    </row>
    <row r="4" spans="1:19" x14ac:dyDescent="0.35">
      <c r="A4" s="17" t="s">
        <v>343</v>
      </c>
      <c r="B4" s="20" t="s">
        <v>336</v>
      </c>
      <c r="C4" s="24">
        <v>1</v>
      </c>
      <c r="D4" s="20" t="s">
        <v>329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341</v>
      </c>
    </row>
    <row r="5" spans="1:19" x14ac:dyDescent="0.35">
      <c r="A5" s="17" t="s">
        <v>343</v>
      </c>
      <c r="B5" s="20" t="s">
        <v>338</v>
      </c>
      <c r="C5" s="24">
        <v>1</v>
      </c>
      <c r="D5" s="20" t="s">
        <v>329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341</v>
      </c>
    </row>
    <row r="6" spans="1:19" x14ac:dyDescent="0.35">
      <c r="A6" s="17" t="s">
        <v>343</v>
      </c>
      <c r="B6" s="20" t="s">
        <v>337</v>
      </c>
      <c r="C6" s="24">
        <v>2</v>
      </c>
      <c r="D6" s="20" t="s">
        <v>325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342</v>
      </c>
    </row>
    <row r="7" spans="1:19" x14ac:dyDescent="0.35">
      <c r="A7" s="17" t="s">
        <v>343</v>
      </c>
      <c r="B7" s="20" t="s">
        <v>336</v>
      </c>
      <c r="C7" s="24">
        <v>2</v>
      </c>
      <c r="D7" s="20" t="s">
        <v>325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342</v>
      </c>
    </row>
    <row r="8" spans="1:19" x14ac:dyDescent="0.35">
      <c r="A8" s="17" t="s">
        <v>343</v>
      </c>
      <c r="B8" s="20" t="s">
        <v>338</v>
      </c>
      <c r="C8" s="24">
        <v>2</v>
      </c>
      <c r="D8" s="20" t="s">
        <v>325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342</v>
      </c>
    </row>
    <row r="9" spans="1:19" x14ac:dyDescent="0.35">
      <c r="A9" s="17" t="s">
        <v>343</v>
      </c>
      <c r="B9" s="20" t="s">
        <v>336</v>
      </c>
      <c r="C9" s="24" t="s">
        <v>339</v>
      </c>
      <c r="D9" s="20" t="s">
        <v>334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342</v>
      </c>
    </row>
    <row r="10" spans="1:19" x14ac:dyDescent="0.35">
      <c r="A10" s="17" t="s">
        <v>343</v>
      </c>
      <c r="B10" s="20" t="s">
        <v>338</v>
      </c>
      <c r="C10" s="24" t="s">
        <v>339</v>
      </c>
      <c r="D10" s="20" t="s">
        <v>334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342</v>
      </c>
    </row>
    <row r="11" spans="1:19" x14ac:dyDescent="0.35">
      <c r="A11" s="17" t="s">
        <v>343</v>
      </c>
      <c r="B11" s="20" t="s">
        <v>338</v>
      </c>
      <c r="C11" s="24" t="s">
        <v>340</v>
      </c>
      <c r="D11" s="20" t="s">
        <v>335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342</v>
      </c>
    </row>
    <row r="12" spans="1:19" x14ac:dyDescent="0.35">
      <c r="A12" s="17" t="s">
        <v>344</v>
      </c>
      <c r="B12" s="20" t="s">
        <v>337</v>
      </c>
      <c r="C12" s="24">
        <v>1</v>
      </c>
      <c r="D12" s="20" t="s">
        <v>327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341</v>
      </c>
    </row>
    <row r="13" spans="1:19" x14ac:dyDescent="0.35">
      <c r="A13" s="17" t="s">
        <v>344</v>
      </c>
      <c r="B13" s="20" t="s">
        <v>336</v>
      </c>
      <c r="C13" s="24">
        <v>1</v>
      </c>
      <c r="D13" s="20" t="s">
        <v>327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341</v>
      </c>
    </row>
    <row r="14" spans="1:19" x14ac:dyDescent="0.35">
      <c r="A14" s="17" t="s">
        <v>344</v>
      </c>
      <c r="B14" s="20" t="s">
        <v>338</v>
      </c>
      <c r="C14" s="24">
        <v>1</v>
      </c>
      <c r="D14" s="20" t="s">
        <v>327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341</v>
      </c>
    </row>
    <row r="15" spans="1:19" x14ac:dyDescent="0.35">
      <c r="A15" s="17" t="s">
        <v>322</v>
      </c>
      <c r="B15" s="20" t="s">
        <v>337</v>
      </c>
      <c r="C15" s="24" t="s">
        <v>339</v>
      </c>
      <c r="D15" s="20" t="s">
        <v>323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324</v>
      </c>
      <c r="B16" s="20" t="s">
        <v>336</v>
      </c>
      <c r="C16" s="24" t="s">
        <v>339</v>
      </c>
      <c r="D16" s="20" t="s">
        <v>323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326</v>
      </c>
      <c r="B17" s="20" t="s">
        <v>338</v>
      </c>
      <c r="C17" s="24" t="s">
        <v>339</v>
      </c>
      <c r="D17" s="20" t="s">
        <v>323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331</v>
      </c>
      <c r="B18" s="20" t="s">
        <v>336</v>
      </c>
      <c r="C18" s="24" t="s">
        <v>339</v>
      </c>
      <c r="D18" s="20" t="s">
        <v>333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331</v>
      </c>
      <c r="B19" s="20" t="s">
        <v>338</v>
      </c>
      <c r="C19" s="24" t="s">
        <v>339</v>
      </c>
      <c r="D19" s="20" t="s">
        <v>333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322</v>
      </c>
      <c r="B20" s="20" t="s">
        <v>338</v>
      </c>
      <c r="C20" s="24" t="s">
        <v>340</v>
      </c>
      <c r="D20" s="20" t="s">
        <v>345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328</v>
      </c>
      <c r="B21" s="20" t="s">
        <v>336</v>
      </c>
      <c r="C21" s="24" t="s">
        <v>340</v>
      </c>
      <c r="D21" s="20" t="s">
        <v>332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330</v>
      </c>
      <c r="B22" s="20" t="s">
        <v>338</v>
      </c>
      <c r="C22" s="24" t="s">
        <v>340</v>
      </c>
      <c r="D22" s="20" t="s">
        <v>346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197</v>
      </c>
    </row>
    <row r="2" spans="1:22" x14ac:dyDescent="0.4">
      <c r="A2" s="9" t="s">
        <v>29</v>
      </c>
      <c r="B2" s="9" t="s">
        <v>209</v>
      </c>
      <c r="C2" s="9" t="s">
        <v>390</v>
      </c>
      <c r="D2" s="4"/>
      <c r="E2" s="1"/>
      <c r="F2">
        <v>2</v>
      </c>
      <c r="G2" t="s">
        <v>197</v>
      </c>
    </row>
    <row r="3" spans="1:22" x14ac:dyDescent="0.4">
      <c r="A3" s="9" t="s">
        <v>25</v>
      </c>
      <c r="B3" s="9" t="s">
        <v>25</v>
      </c>
      <c r="C3" s="9" t="s">
        <v>391</v>
      </c>
      <c r="D3" s="4"/>
      <c r="E3" s="1"/>
      <c r="F3">
        <v>3</v>
      </c>
      <c r="G3" t="s">
        <v>197</v>
      </c>
      <c r="I3" s="25" t="s">
        <v>529</v>
      </c>
      <c r="J3" s="25" t="s">
        <v>513</v>
      </c>
    </row>
    <row r="4" spans="1:22" x14ac:dyDescent="0.4">
      <c r="A4" s="9" t="s">
        <v>35</v>
      </c>
      <c r="B4" s="9" t="s">
        <v>34</v>
      </c>
      <c r="C4" s="9">
        <v>0</v>
      </c>
      <c r="D4" s="4"/>
      <c r="E4" s="1"/>
      <c r="F4">
        <v>4</v>
      </c>
      <c r="G4" t="s">
        <v>197</v>
      </c>
      <c r="I4" s="25" t="s">
        <v>515</v>
      </c>
      <c r="J4" t="s">
        <v>524</v>
      </c>
      <c r="K4" t="s">
        <v>523</v>
      </c>
      <c r="L4" t="s">
        <v>516</v>
      </c>
      <c r="M4" t="s">
        <v>517</v>
      </c>
      <c r="N4" t="s">
        <v>518</v>
      </c>
      <c r="O4" t="s">
        <v>519</v>
      </c>
      <c r="P4" t="s">
        <v>520</v>
      </c>
      <c r="Q4" t="s">
        <v>521</v>
      </c>
      <c r="R4" t="s">
        <v>522</v>
      </c>
      <c r="S4" t="s">
        <v>526</v>
      </c>
      <c r="T4" t="s">
        <v>528</v>
      </c>
      <c r="U4" t="s">
        <v>525</v>
      </c>
      <c r="V4" t="s">
        <v>514</v>
      </c>
    </row>
    <row r="5" spans="1:22" x14ac:dyDescent="0.4">
      <c r="A5" s="9"/>
      <c r="B5" s="9"/>
      <c r="C5" s="9"/>
      <c r="D5" s="4"/>
      <c r="E5" s="1"/>
      <c r="F5">
        <v>5</v>
      </c>
      <c r="G5" t="s">
        <v>197</v>
      </c>
      <c r="I5" s="26" t="s">
        <v>530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197</v>
      </c>
      <c r="I6" s="26" t="s">
        <v>531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414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202</v>
      </c>
      <c r="H7" s="28"/>
      <c r="I7" s="26" t="s">
        <v>532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414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202</v>
      </c>
      <c r="H8" s="28"/>
      <c r="I8" s="26" t="s">
        <v>533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414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202</v>
      </c>
      <c r="H9" s="28"/>
      <c r="I9" s="26" t="s">
        <v>534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414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202</v>
      </c>
      <c r="H10" s="28"/>
      <c r="I10" s="26" t="s">
        <v>535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414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202</v>
      </c>
      <c r="H11" s="28"/>
      <c r="I11" s="26" t="s">
        <v>536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414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202</v>
      </c>
      <c r="H12" s="28"/>
      <c r="I12" s="26" t="s">
        <v>537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414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171</v>
      </c>
      <c r="H13" s="28"/>
      <c r="I13" s="26" t="s">
        <v>538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414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171</v>
      </c>
      <c r="H14" s="28"/>
      <c r="I14" s="26" t="s">
        <v>539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414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171</v>
      </c>
      <c r="H15" s="28"/>
      <c r="I15" s="26" t="s">
        <v>540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414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171</v>
      </c>
      <c r="H16" s="28"/>
      <c r="I16" s="26" t="s">
        <v>541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414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171</v>
      </c>
      <c r="H17" s="28"/>
      <c r="I17" s="26" t="s">
        <v>542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414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171</v>
      </c>
      <c r="H18" s="28"/>
      <c r="I18" s="26" t="s">
        <v>543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414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196</v>
      </c>
      <c r="H19" s="28"/>
      <c r="I19" s="26" t="s">
        <v>544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415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196</v>
      </c>
      <c r="H20" s="28"/>
      <c r="I20" s="26" t="s">
        <v>545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416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196</v>
      </c>
      <c r="H21" s="28"/>
      <c r="I21" s="26" t="s">
        <v>546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417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196</v>
      </c>
      <c r="H22" s="28"/>
      <c r="I22" s="26" t="s">
        <v>547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417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196</v>
      </c>
      <c r="H23" s="28"/>
      <c r="I23" s="26" t="s">
        <v>548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418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196</v>
      </c>
      <c r="H24" s="28"/>
      <c r="I24" s="26" t="s">
        <v>549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418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203</v>
      </c>
      <c r="H25" s="28"/>
      <c r="I25" s="26" t="s">
        <v>550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419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203</v>
      </c>
      <c r="H26" s="28"/>
      <c r="I26" s="26" t="s">
        <v>551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420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203</v>
      </c>
      <c r="H27" s="28"/>
      <c r="I27" s="26" t="s">
        <v>552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421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203</v>
      </c>
      <c r="H28" s="28"/>
      <c r="I28" s="26" t="s">
        <v>553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422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203</v>
      </c>
      <c r="H29" s="28"/>
      <c r="I29" s="26" t="s">
        <v>554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422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203</v>
      </c>
      <c r="H30" s="28"/>
      <c r="I30" s="26" t="s">
        <v>555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423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207</v>
      </c>
      <c r="H31" s="28"/>
      <c r="I31" s="26" t="s">
        <v>556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424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207</v>
      </c>
      <c r="H32" s="28"/>
      <c r="I32" s="26" t="s">
        <v>557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424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207</v>
      </c>
      <c r="H33" s="28"/>
      <c r="I33" s="26" t="s">
        <v>558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425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207</v>
      </c>
      <c r="H34" s="28"/>
      <c r="I34" s="26" t="s">
        <v>559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425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207</v>
      </c>
      <c r="H35" s="28"/>
      <c r="I35" s="26" t="s">
        <v>560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426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207</v>
      </c>
      <c r="H36" s="28"/>
      <c r="I36" s="26" t="s">
        <v>561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426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172</v>
      </c>
      <c r="H37" s="28"/>
      <c r="I37" s="26" t="s">
        <v>562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427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172</v>
      </c>
      <c r="H38" s="28"/>
      <c r="I38" s="26" t="s">
        <v>563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428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172</v>
      </c>
      <c r="H39" s="28"/>
      <c r="I39" s="26" t="s">
        <v>564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428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172</v>
      </c>
      <c r="H40" s="28"/>
      <c r="I40" s="26" t="s">
        <v>565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429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172</v>
      </c>
      <c r="H41" s="28"/>
      <c r="I41" s="26" t="s">
        <v>566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429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172</v>
      </c>
      <c r="H42" s="28"/>
      <c r="I42" s="26" t="s">
        <v>567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430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176</v>
      </c>
      <c r="H43" s="28"/>
      <c r="I43" s="26" t="s">
        <v>568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430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176</v>
      </c>
      <c r="H44" s="28"/>
      <c r="I44" s="26" t="s">
        <v>569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431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176</v>
      </c>
      <c r="H45" s="28"/>
      <c r="I45" s="26" t="s">
        <v>570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431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176</v>
      </c>
      <c r="H46" s="28"/>
      <c r="I46" s="26" t="s">
        <v>571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432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176</v>
      </c>
      <c r="H47" s="28"/>
      <c r="I47" s="26" t="s">
        <v>572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432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176</v>
      </c>
      <c r="H48" s="28"/>
      <c r="I48" s="26" t="s">
        <v>573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392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374</v>
      </c>
      <c r="H49" s="28"/>
      <c r="I49" s="26" t="s">
        <v>574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392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374</v>
      </c>
      <c r="H50" s="28"/>
      <c r="I50" s="26" t="s">
        <v>575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393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374</v>
      </c>
      <c r="H51" s="28"/>
      <c r="I51" s="26" t="s">
        <v>576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393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374</v>
      </c>
      <c r="H52" s="28"/>
      <c r="I52" s="26" t="s">
        <v>577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394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374</v>
      </c>
      <c r="H53" s="28"/>
      <c r="I53" s="26" t="s">
        <v>578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394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311</v>
      </c>
      <c r="H54" s="28"/>
      <c r="I54" s="26" t="s">
        <v>579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395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311</v>
      </c>
      <c r="H55" s="28"/>
      <c r="I55" s="26" t="s">
        <v>580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395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311</v>
      </c>
      <c r="H56" s="28"/>
      <c r="I56" s="26" t="s">
        <v>581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396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527</v>
      </c>
      <c r="H57" s="28"/>
      <c r="I57" s="26" t="s">
        <v>582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396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527</v>
      </c>
      <c r="H58" s="28"/>
      <c r="I58" s="26" t="s">
        <v>583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397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527</v>
      </c>
      <c r="H59" s="28"/>
      <c r="I59" s="26" t="s">
        <v>584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433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527</v>
      </c>
      <c r="H60" s="28"/>
      <c r="I60" s="26" t="s">
        <v>514</v>
      </c>
    </row>
    <row r="61" spans="1:22" x14ac:dyDescent="0.4">
      <c r="A61" s="14">
        <v>38</v>
      </c>
      <c r="B61" s="14">
        <v>1</v>
      </c>
      <c r="C61" s="11" t="s">
        <v>434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527</v>
      </c>
      <c r="H61" s="28"/>
    </row>
    <row r="62" spans="1:22" x14ac:dyDescent="0.4">
      <c r="A62" s="14">
        <v>41</v>
      </c>
      <c r="B62" s="14">
        <v>1</v>
      </c>
      <c r="C62" s="11" t="s">
        <v>434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527</v>
      </c>
      <c r="H62" s="28"/>
    </row>
    <row r="63" spans="1:22" x14ac:dyDescent="0.4">
      <c r="A63" s="14">
        <v>1</v>
      </c>
      <c r="B63" s="14">
        <v>1</v>
      </c>
      <c r="C63" s="11" t="s">
        <v>435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527</v>
      </c>
      <c r="H63" s="28"/>
    </row>
    <row r="64" spans="1:22" x14ac:dyDescent="0.4">
      <c r="A64" s="14">
        <v>2</v>
      </c>
      <c r="B64" s="14">
        <v>1</v>
      </c>
      <c r="C64" s="11" t="s">
        <v>435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364</v>
      </c>
      <c r="H64" s="28"/>
    </row>
    <row r="65" spans="1:8" x14ac:dyDescent="0.4">
      <c r="A65" s="14">
        <v>101</v>
      </c>
      <c r="B65" s="14">
        <v>1</v>
      </c>
      <c r="C65" s="11" t="s">
        <v>436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364</v>
      </c>
      <c r="H65" s="28"/>
    </row>
    <row r="66" spans="1:8" x14ac:dyDescent="0.4">
      <c r="A66" s="14">
        <v>102</v>
      </c>
      <c r="B66" s="14">
        <v>1</v>
      </c>
      <c r="C66" s="11" t="s">
        <v>436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364</v>
      </c>
      <c r="H66" s="28"/>
    </row>
    <row r="67" spans="1:8" x14ac:dyDescent="0.4">
      <c r="A67" s="14">
        <v>28</v>
      </c>
      <c r="B67" s="14">
        <v>1</v>
      </c>
      <c r="C67" s="11" t="s">
        <v>437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437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438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438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439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439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440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440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441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441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442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442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443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443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444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444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445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445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446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447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447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448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448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449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450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450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451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452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452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398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398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453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453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399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399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454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454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400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400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401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401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455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455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456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457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457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458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458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459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460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460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461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462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462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463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463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464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464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465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465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466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466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467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468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468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469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469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470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470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471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471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472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472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473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402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403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403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474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474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404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404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475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475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405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406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406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476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476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477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477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478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479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479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479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480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480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481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482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482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483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484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484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485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486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486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487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487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488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488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489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489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490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491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491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492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492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493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493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494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494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495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496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407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408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408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409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409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410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411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411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412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413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413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497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498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499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500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500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501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501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502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503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503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504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504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505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506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506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506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507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507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508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508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509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510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510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511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512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event</vt:lpstr>
      <vt:lpstr>calendar_category</vt:lpstr>
      <vt:lpstr>calendar_event</vt:lpstr>
      <vt:lpstr>calendar_event_tag</vt:lpstr>
      <vt:lpstr>calendar_tag</vt:lpstr>
      <vt:lpstr>Data</vt:lpstr>
      <vt:lpstr>character_name</vt:lpstr>
      <vt:lpstr>遭遇戦</vt:lpstr>
      <vt:lpstr>Sheet2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2026-10-29T12:17:35Z</dcterms:modified>
</cp:coreProperties>
</file>