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CCF7CE6-7ABE-4D95-897F-48FCE3D28386}" xr6:coauthVersionLast="47" xr6:coauthVersionMax="47" xr10:uidLastSave="{00000000-0000-0000-0000-000000000000}"/>
  <bookViews>
    <workbookView xWindow="28680" yWindow="-120" windowWidth="29040" windowHeight="15840" firstSheet="6" activeTab="14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list" sheetId="55" r:id="rId6"/>
    <sheet name="attack_conert" sheetId="4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ability!$B$6:$N$132</definedName>
    <definedName name="_xlnm._FilterDatabase" localSheetId="10" hidden="1">character_style!$B$6:$O$245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skill_buff!$B$6:$P$235</definedName>
    <definedName name="_xlnm._FilterDatabase" localSheetId="5" hidden="1">skill_list!$B$6:$J$498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7" i="59" l="1"/>
  <c r="F163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5" i="59"/>
  <c r="F234" i="59"/>
  <c r="F233" i="59"/>
  <c r="F232" i="59"/>
  <c r="F231" i="59"/>
  <c r="F130" i="59"/>
  <c r="F131" i="59"/>
  <c r="F132" i="59"/>
  <c r="F230" i="59"/>
  <c r="F133" i="59"/>
  <c r="F134" i="59"/>
  <c r="F129" i="59"/>
  <c r="F217" i="59"/>
  <c r="A1" i="60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6" i="59"/>
  <c r="F215" i="59"/>
  <c r="F214" i="59"/>
  <c r="F213" i="59"/>
  <c r="F212" i="59"/>
  <c r="F211" i="59"/>
  <c r="F210" i="59"/>
  <c r="F209" i="59"/>
  <c r="F208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<sst xmlns="http://schemas.openxmlformats.org/spreadsheetml/2006/main" count="3316" uniqueCount="1900">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</sst>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1868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4"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55" activePane="bottomLeft" state="frozen"/>
      <selection activeCell="C1" sqref="C1"/>
      <selection pane="bottomLeft" activeCell="A7" sqref="A7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8"/>
  <sheetViews>
    <sheetView topLeftCell="A458" zoomScale="85" zoomScaleNormal="85" workbookViewId="0">
      <selection activeCell="B482" sqref="B48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473</v>
      </c>
      <c r="C479" s="15" t="s">
        <v>1882</v>
      </c>
      <c r="D479" s="15">
        <v>39</v>
      </c>
      <c r="E479" s="15">
        <v>120</v>
      </c>
      <c r="F479" s="15">
        <v>15</v>
      </c>
      <c r="G479" s="15">
        <v>146</v>
      </c>
      <c r="H479" s="15">
        <v>10</v>
      </c>
      <c r="I479" s="15">
        <v>475</v>
      </c>
    </row>
    <row r="480" spans="1:9">
      <c r="A480" s="8"/>
      <c r="B480" s="15">
        <v>474</v>
      </c>
      <c r="C480" s="15" t="s">
        <v>1883</v>
      </c>
      <c r="D480" s="15">
        <v>39</v>
      </c>
      <c r="E480" s="15">
        <v>0</v>
      </c>
      <c r="F480" s="15">
        <v>8</v>
      </c>
      <c r="G480" s="15">
        <v>224</v>
      </c>
      <c r="H480" s="15">
        <v>10</v>
      </c>
      <c r="I480" s="15">
        <v>476</v>
      </c>
    </row>
    <row r="481" spans="1:9">
      <c r="A481" s="8"/>
      <c r="B481" s="15">
        <v>475</v>
      </c>
      <c r="C481" s="15" t="s">
        <v>1880</v>
      </c>
      <c r="D481" s="15">
        <v>40</v>
      </c>
      <c r="E481" s="15">
        <v>121</v>
      </c>
      <c r="F481" s="15">
        <v>11</v>
      </c>
      <c r="G481" s="15">
        <v>216</v>
      </c>
      <c r="H481" s="15">
        <v>10</v>
      </c>
      <c r="I481" s="15">
        <v>473</v>
      </c>
    </row>
    <row r="482" spans="1:9">
      <c r="A482" s="8"/>
      <c r="B482" s="15">
        <v>476</v>
      </c>
      <c r="C482" s="15" t="s">
        <v>1881</v>
      </c>
      <c r="D482" s="15">
        <v>40</v>
      </c>
      <c r="E482" s="15">
        <v>0</v>
      </c>
      <c r="F482" s="15">
        <v>8</v>
      </c>
      <c r="G482" s="15">
        <v>137</v>
      </c>
      <c r="H482" s="15">
        <v>10</v>
      </c>
      <c r="I482" s="15">
        <v>474</v>
      </c>
    </row>
    <row r="483" spans="1:9">
      <c r="A483" s="8"/>
      <c r="B483" s="15">
        <v>477</v>
      </c>
      <c r="C483" s="15" t="s">
        <v>1884</v>
      </c>
      <c r="D483" s="15">
        <v>37</v>
      </c>
      <c r="E483" s="15">
        <v>0</v>
      </c>
      <c r="F483" s="15">
        <v>10</v>
      </c>
      <c r="G483" s="15">
        <v>134</v>
      </c>
      <c r="H483" s="15">
        <v>10</v>
      </c>
      <c r="I483" s="15">
        <v>477</v>
      </c>
    </row>
    <row r="484" spans="1:9">
      <c r="A484" s="8"/>
      <c r="B484" s="15">
        <v>1001</v>
      </c>
      <c r="C484" s="15" t="s">
        <v>1640</v>
      </c>
      <c r="D484" s="15">
        <v>0</v>
      </c>
      <c r="E484" s="15">
        <v>0</v>
      </c>
      <c r="F484" s="15">
        <v>5</v>
      </c>
      <c r="G484" s="15">
        <v>450</v>
      </c>
      <c r="H484" s="15">
        <v>1</v>
      </c>
      <c r="I484" s="15">
        <v>1001</v>
      </c>
    </row>
    <row r="485" spans="1:9">
      <c r="A485" s="8"/>
      <c r="B485" s="15">
        <v>1002</v>
      </c>
      <c r="C485" s="15" t="s">
        <v>1678</v>
      </c>
      <c r="D485" s="15">
        <v>0</v>
      </c>
      <c r="E485" s="15">
        <v>0</v>
      </c>
      <c r="F485" s="15">
        <v>11</v>
      </c>
      <c r="G485" s="15">
        <v>450</v>
      </c>
      <c r="H485" s="15">
        <v>1</v>
      </c>
      <c r="I485" s="15">
        <v>1002</v>
      </c>
    </row>
    <row r="486" spans="1:9">
      <c r="A486" s="8"/>
      <c r="B486" s="15">
        <v>1003</v>
      </c>
      <c r="C486" s="15" t="s">
        <v>1673</v>
      </c>
      <c r="D486" s="15">
        <v>0</v>
      </c>
      <c r="E486" s="15">
        <v>0</v>
      </c>
      <c r="F486" s="15">
        <v>5</v>
      </c>
      <c r="G486" s="15">
        <v>0</v>
      </c>
      <c r="H486" s="15">
        <v>1</v>
      </c>
      <c r="I486" s="15">
        <v>1003</v>
      </c>
    </row>
    <row r="487" spans="1:9">
      <c r="A487" s="8"/>
      <c r="B487" s="15">
        <v>1004</v>
      </c>
      <c r="C487" s="15" t="s">
        <v>1676</v>
      </c>
      <c r="D487" s="15">
        <v>0</v>
      </c>
      <c r="E487" s="15">
        <v>0</v>
      </c>
      <c r="F487" s="15">
        <v>3</v>
      </c>
      <c r="G487" s="15">
        <v>450</v>
      </c>
      <c r="H487" s="15">
        <v>1</v>
      </c>
      <c r="I487" s="15">
        <v>1004</v>
      </c>
    </row>
    <row r="488" spans="1:9">
      <c r="A488" s="8"/>
      <c r="B488" s="15">
        <v>1005</v>
      </c>
      <c r="C488" s="15" t="s">
        <v>593</v>
      </c>
      <c r="D488" s="15">
        <v>0</v>
      </c>
      <c r="E488" s="15">
        <v>0</v>
      </c>
      <c r="F488" s="15">
        <v>4</v>
      </c>
      <c r="G488" s="15">
        <v>450</v>
      </c>
      <c r="H488" s="15">
        <v>1</v>
      </c>
      <c r="I488" s="15">
        <v>1005</v>
      </c>
    </row>
    <row r="489" spans="1:9">
      <c r="A489" s="8"/>
      <c r="B489" s="15">
        <v>1006</v>
      </c>
      <c r="C489" s="15" t="s">
        <v>533</v>
      </c>
      <c r="D489" s="15">
        <v>0</v>
      </c>
      <c r="E489" s="15">
        <v>0</v>
      </c>
      <c r="F489" s="15">
        <v>4</v>
      </c>
      <c r="G489" s="15">
        <v>450</v>
      </c>
      <c r="H489" s="15">
        <v>1</v>
      </c>
      <c r="I489" s="15">
        <v>1006</v>
      </c>
    </row>
    <row r="490" spans="1:9">
      <c r="A490" s="8"/>
      <c r="B490" s="15">
        <v>1007</v>
      </c>
      <c r="C490" s="15" t="s">
        <v>1674</v>
      </c>
      <c r="D490" s="15">
        <v>0</v>
      </c>
      <c r="E490" s="15">
        <v>0</v>
      </c>
      <c r="F490" s="15">
        <v>1</v>
      </c>
      <c r="G490" s="15">
        <v>0</v>
      </c>
      <c r="H490" s="15">
        <v>1</v>
      </c>
      <c r="I490" s="15">
        <v>1007</v>
      </c>
    </row>
    <row r="491" spans="1:9">
      <c r="A491" s="8"/>
      <c r="B491" s="15">
        <v>1008</v>
      </c>
      <c r="C491" s="15" t="s">
        <v>1677</v>
      </c>
      <c r="D491" s="15">
        <v>0</v>
      </c>
      <c r="E491" s="15">
        <v>0</v>
      </c>
      <c r="F491" s="15">
        <v>4</v>
      </c>
      <c r="G491" s="15">
        <v>450</v>
      </c>
      <c r="H491" s="15">
        <v>1</v>
      </c>
      <c r="I491" s="15">
        <v>1008</v>
      </c>
    </row>
    <row r="492" spans="1:9">
      <c r="A492" s="8"/>
      <c r="B492" s="15">
        <v>1009</v>
      </c>
      <c r="C492" s="15" t="s">
        <v>589</v>
      </c>
      <c r="D492" s="15">
        <v>0</v>
      </c>
      <c r="E492" s="15">
        <v>0</v>
      </c>
      <c r="F492" s="15">
        <v>9</v>
      </c>
      <c r="G492" s="15">
        <v>200</v>
      </c>
      <c r="H492" s="15">
        <v>1</v>
      </c>
      <c r="I492" s="15">
        <v>1009</v>
      </c>
    </row>
    <row r="493" spans="1:9">
      <c r="A493" s="8"/>
      <c r="B493" s="15">
        <v>1010</v>
      </c>
      <c r="C493" s="15" t="s">
        <v>1675</v>
      </c>
      <c r="D493" s="15">
        <v>0</v>
      </c>
      <c r="E493" s="15">
        <v>0</v>
      </c>
      <c r="F493" s="15">
        <v>6</v>
      </c>
      <c r="G493" s="15">
        <v>200</v>
      </c>
      <c r="H493" s="15">
        <v>1</v>
      </c>
      <c r="I493" s="15">
        <v>1010</v>
      </c>
    </row>
    <row r="494" spans="1:9">
      <c r="A494" s="8"/>
      <c r="B494" s="15">
        <v>1011</v>
      </c>
      <c r="C494" s="15" t="s">
        <v>1679</v>
      </c>
      <c r="D494" s="15">
        <v>0</v>
      </c>
      <c r="E494" s="15">
        <v>0</v>
      </c>
      <c r="F494" s="15">
        <v>6</v>
      </c>
      <c r="G494" s="15">
        <v>0</v>
      </c>
      <c r="H494" s="15">
        <v>1</v>
      </c>
      <c r="I494" s="15">
        <v>1011</v>
      </c>
    </row>
    <row r="495" spans="1:9">
      <c r="A495" s="8"/>
      <c r="B495" s="15">
        <v>1012</v>
      </c>
      <c r="C495" s="15" t="s">
        <v>1681</v>
      </c>
      <c r="D495" s="15">
        <v>0</v>
      </c>
      <c r="E495" s="15">
        <v>0</v>
      </c>
      <c r="F495" s="15">
        <v>6</v>
      </c>
      <c r="G495" s="15">
        <v>0</v>
      </c>
      <c r="H495" s="15">
        <v>1</v>
      </c>
      <c r="I495" s="15">
        <v>1012</v>
      </c>
    </row>
    <row r="496" spans="1:9">
      <c r="A496" s="8"/>
      <c r="B496" s="15">
        <v>1013</v>
      </c>
      <c r="C496" s="15" t="s">
        <v>1680</v>
      </c>
      <c r="D496" s="15">
        <v>0</v>
      </c>
      <c r="E496" s="15">
        <v>0</v>
      </c>
      <c r="F496" s="15">
        <v>6</v>
      </c>
      <c r="G496" s="15">
        <v>0</v>
      </c>
      <c r="H496" s="15">
        <v>1</v>
      </c>
      <c r="I496" s="15">
        <v>1013</v>
      </c>
    </row>
    <row r="497" spans="1:9">
      <c r="A497" s="8"/>
      <c r="B497" s="15">
        <v>1014</v>
      </c>
      <c r="C497" s="15" t="s">
        <v>1682</v>
      </c>
      <c r="D497" s="15">
        <v>0</v>
      </c>
      <c r="E497" s="15">
        <v>0</v>
      </c>
      <c r="F497" s="15">
        <v>6</v>
      </c>
      <c r="G497" s="15">
        <v>0</v>
      </c>
      <c r="H497" s="15">
        <v>1</v>
      </c>
      <c r="I497" s="15">
        <v>1014</v>
      </c>
    </row>
    <row r="498" spans="1:9">
      <c r="A498" s="8"/>
      <c r="B498" s="15">
        <v>1015</v>
      </c>
      <c r="C498" s="15" t="s">
        <v>1683</v>
      </c>
      <c r="D498" s="15">
        <v>0</v>
      </c>
      <c r="E498" s="15">
        <v>0</v>
      </c>
      <c r="F498" s="15">
        <v>6</v>
      </c>
      <c r="G498" s="15">
        <v>0</v>
      </c>
      <c r="H498" s="15">
        <v>1</v>
      </c>
      <c r="I498" s="15">
        <v>1015</v>
      </c>
    </row>
  </sheetData>
  <autoFilter ref="B6:J498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17" sqref="D17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116" activePane="bottomLeft" state="frozen"/>
      <selection pane="bottomLeft" activeCell="M122" sqref="M12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VLOOKUP(C7,skill_list!$B$7:$C$1012,2)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VLOOKUP(C8,skill_list!$B$7:$C$1012,2)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VLOOKUP(C9,skill_list!$B$7:$C$1012,2)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VLOOKUP(C10,skill_list!$B$7:$C$1012,2)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VLOOKUP(C11,skill_list!$B$7:$C$1012,2)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VLOOKUP(C12,skill_list!$B$7:$C$1012,2)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VLOOKUP(C13,skill_list!$B$7:$C$1012,2)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VLOOKUP(C14,skill_list!$B$7:$C$1012,2)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VLOOKUP(C15,skill_list!$B$7:$C$1012,2)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VLOOKUP(C16,skill_list!$B$7:$C$1012,2)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VLOOKUP(C17,skill_list!$B$7:$C$1012,2)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VLOOKUP(C18,skill_list!$B$7:$C$1012,2)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VLOOKUP(C19,skill_list!$B$7:$C$1012,2)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VLOOKUP(C20,skill_list!$B$7:$C$1012,2)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VLOOKUP(C21,skill_list!$B$7:$C$1012,2)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VLOOKUP(C22,skill_list!$B$7:$C$1012,2)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VLOOKUP(C23,skill_list!$B$7:$C$1012,2)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VLOOKUP(C24,skill_list!$B$7:$C$1012,2)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VLOOKUP(C25,skill_list!$B$7:$C$1012,2)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VLOOKUP(C26,skill_list!$B$7:$C$1012,2)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VLOOKUP(C27,skill_list!$B$7:$C$1012,2)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VLOOKUP(C28,skill_list!$B$7:$C$1012,2)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VLOOKUP(C29,skill_list!$B$7:$C$1012,2)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VLOOKUP(C30,skill_list!$B$7:$C$1012,2)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VLOOKUP(C31,skill_list!$B$7:$C$1012,2)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VLOOKUP(C32,skill_list!$B$7:$C$1012,2)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VLOOKUP(C33,skill_list!$B$7:$C$1012,2)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VLOOKUP(C34,skill_list!$B$7:$C$1012,2)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VLOOKUP(C35,skill_list!$B$7:$C$1012,2)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VLOOKUP(C36,skill_list!$B$7:$C$1012,2)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VLOOKUP(C37,skill_list!$B$7:$C$1012,2)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VLOOKUP(C38,skill_list!$B$7:$C$1012,2)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VLOOKUP(C39,skill_list!$B$7:$C$1012,2)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VLOOKUP(C40,skill_list!$B$7:$C$1012,2)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VLOOKUP(C41,skill_list!$B$7:$C$1012,2)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VLOOKUP(C42,skill_list!$B$7:$C$1012,2)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VLOOKUP(C43,skill_list!$B$7:$C$1012,2)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VLOOKUP(C44,skill_list!$B$7:$C$1012,2)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VLOOKUP(C45,skill_list!$B$7:$C$1012,2)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VLOOKUP(C46,skill_list!$B$7:$C$1012,2)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VLOOKUP(C47,skill_list!$B$7:$C$1012,2)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VLOOKUP(C48,skill_list!$B$7:$C$1012,2)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VLOOKUP(C49,skill_list!$B$7:$C$1012,2)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VLOOKUP(C50,skill_list!$B$7:$C$1012,2)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VLOOKUP(C51,skill_list!$B$7:$C$1012,2)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VLOOKUP(C52,skill_list!$B$7:$C$1012,2)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VLOOKUP(C53,skill_list!$B$7:$C$1012,2)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VLOOKUP(C54,skill_list!$B$7:$C$1012,2)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VLOOKUP(C55,skill_list!$B$7:$C$1012,2)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VLOOKUP(C56,skill_list!$B$7:$C$1012,2)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VLOOKUP(C57,skill_list!$B$7:$C$1012,2)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VLOOKUP(C58,skill_list!$B$7:$C$1012,2)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VLOOKUP(C59,skill_list!$B$7:$C$1012,2)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VLOOKUP(C60,skill_list!$B$7:$C$1012,2)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VLOOKUP(C61,skill_list!$B$7:$C$1012,2)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VLOOKUP(C62,skill_list!$B$7:$C$1012,2)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VLOOKUP(C63,skill_list!$B$7:$C$1012,2)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VLOOKUP(C64,skill_list!$B$7:$C$1012,2)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VLOOKUP(C65,skill_list!$B$7:$C$1012,2)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VLOOKUP(C66,skill_list!$B$7:$C$1012,2)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VLOOKUP(C67,skill_list!$B$7:$C$1012,2)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VLOOKUP(C68,skill_list!$B$7:$C$1012,2)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VLOOKUP(C69,skill_list!$B$7:$C$1012,2)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VLOOKUP(C70,skill_list!$B$7:$C$1012,2)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VLOOKUP(C71,skill_list!$B$7:$C$1012,2)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VLOOKUP(C72,skill_list!$B$7:$C$1012,2)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VLOOKUP(C73,skill_list!$B$7:$C$1012,2)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VLOOKUP(C74,skill_list!$B$7:$C$1012,2)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VLOOKUP(C75,skill_list!$B$7:$C$1012,2)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VLOOKUP(C76,skill_list!$B$7:$C$1012,2)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VLOOKUP(C77,skill_list!$B$7:$C$1012,2)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VLOOKUP(C78,skill_list!$B$7:$C$1012,2)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VLOOKUP(C79,skill_list!$B$7:$C$1012,2)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VLOOKUP(C80,skill_list!$B$7:$C$1012,2)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VLOOKUP(C81,skill_list!$B$7:$C$1012,2)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VLOOKUP(C82,skill_list!$B$7:$C$1012,2)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VLOOKUP(C83,skill_list!$B$7:$C$1012,2)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VLOOKUP(C84,skill_list!$B$7:$C$1012,2)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VLOOKUP(C85,skill_list!$B$7:$C$1012,2)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VLOOKUP(C86,skill_list!$B$7:$C$1012,2)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VLOOKUP(C87,skill_list!$B$7:$C$1012,2)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VLOOKUP(C88,skill_list!$B$7:$C$1012,2)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VLOOKUP(C89,skill_list!$B$7:$C$1012,2)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VLOOKUP(C90,skill_list!$B$7:$C$1012,2)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VLOOKUP(C91,skill_list!$B$7:$C$1012,2)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VLOOKUP(C92,skill_list!$B$7:$C$1012,2)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VLOOKUP(C93,skill_list!$B$7:$C$1012,2)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VLOOKUP(C94,skill_list!$B$7:$C$1012,2)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VLOOKUP(C95,skill_list!$B$7:$C$1012,2)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VLOOKUP(C96,skill_list!$B$7:$C$1012,2)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VLOOKUP(C97,skill_list!$B$7:$C$1012,2)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VLOOKUP(C98,skill_list!$B$7:$C$1012,2)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VLOOKUP(C99,skill_list!$B$7:$C$1012,2)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VLOOKUP(C100,skill_list!$B$7:$C$1012,2)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VLOOKUP(C101,skill_list!$B$7:$C$1012,2)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VLOOKUP(C102,skill_list!$B$7:$C$1012,2)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VLOOKUP(C103,skill_list!$B$7:$C$1012,2)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VLOOKUP(C104,skill_list!$B$7:$C$1012,2)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VLOOKUP(C105,skill_list!$B$7:$C$1012,2)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VLOOKUP(C106,skill_list!$B$7:$C$1012,2)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VLOOKUP(C107,skill_list!$B$7:$C$1012,2)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VLOOKUP(C108,skill_list!$B$7:$C$1012,2)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VLOOKUP(C109,skill_list!$B$7:$C$1012,2)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VLOOKUP(C110,skill_list!$B$7:$C$1012,2)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VLOOKUP(C111,skill_list!$B$7:$C$1012,2)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VLOOKUP(C112,skill_list!$B$7:$C$1012,2)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VLOOKUP(C113,skill_list!$B$7:$C$1012,2)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VLOOKUP(C114,skill_list!$B$7:$C$1012,2)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VLOOKUP(C115,skill_list!$B$7:$C$1012,2)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VLOOKUP(C116,skill_list!$B$7:$C$1012,2)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VLOOKUP(C117,skill_list!$B$7:$C$1012,2)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VLOOKUP(C118,skill_list!$B$7:$C$1012,2)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VLOOKUP(C119,skill_list!$B$7:$C$1012,2)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VLOOKUP(C120,skill_list!$B$7:$C$1012,2)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VLOOKUP(C121,skill_list!$B$7:$C$1012,2)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VLOOKUP(C122,skill_list!$B$7:$C$1012,2)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VLOOKUP(C123,skill_list!$B$7:$C$1012,2)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VLOOKUP(C124,skill_list!$B$7:$C$1012,2)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VLOOKUP(C125,skill_list!$B$7:$C$1012,2)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VLOOKUP(C126,skill_list!$B$7:$C$1012,2)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VLOOKUP(C127,skill_list!$B$7:$C$1012,2)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VLOOKUP(C128,skill_list!$B$7:$C$1012,2)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VLOOKUP(C129,skill_list!$B$7:$C$1012,2)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VLOOKUP(C130,skill_list!$B$7:$C$1012,2)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VLOOKUP(C131,skill_list!$B$7:$C$1012,2)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VLOOKUP(C132,skill_list!$B$7:$C$1012,2)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VLOOKUP(C133,skill_list!$B$7:$C$1012,2)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VLOOKUP(C134,skill_list!$B$7:$C$1012,2)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VLOOKUP(C135,skill_list!$B$7:$C$1012,2)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VLOOKUP(C136,skill_list!$B$7:$C$1012,2)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VLOOKUP(C137,skill_list!$B$7:$C$1012,2)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VLOOKUP(C138,skill_list!$B$7:$C$1012,2)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VLOOKUP(C139,skill_list!$B$7:$C$1012,2)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VLOOKUP(C140,skill_list!$B$7:$C$1012,2)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VLOOKUP(C141,skill_list!$B$7:$C$1012,2)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VLOOKUP(C142,skill_list!$B$7:$C$1012,2)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VLOOKUP(C143,skill_list!$B$7:$C$1012,2)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VLOOKUP(C144,skill_list!$B$7:$C$1012,2)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VLOOKUP(C145,skill_list!$B$7:$C$1012,2)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VLOOKUP(C146,skill_list!$B$7:$C$1012,2)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VLOOKUP(C147,skill_list!$B$7:$C$1012,2)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VLOOKUP(C148,skill_list!$B$7:$C$1012,2)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VLOOKUP(C149,skill_list!$B$7:$C$1012,2)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VLOOKUP(C150,skill_list!$B$7:$C$1012,2)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VLOOKUP(C151,skill_list!$B$7:$C$1012,2)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VLOOKUP(C152,skill_list!$B$7:$C$1012,2)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VLOOKUP(C153,skill_list!$B$7:$C$1012,2)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VLOOKUP(C154,skill_list!$B$7:$C$1012,2)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VLOOKUP(C155,skill_list!$B$7:$C$1012,2)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VLOOKUP(C156,skill_list!$B$7:$C$1012,2)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VLOOKUP(C157,skill_list!$B$7:$C$1012,2)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VLOOKUP(C158,skill_list!$B$7:$C$1012,2)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VLOOKUP(C159,skill_list!$B$7:$C$1012,2)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VLOOKUP(C160,skill_list!$B$7:$C$1012,2)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VLOOKUP(C161,skill_list!$B$7:$C$1012,2)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VLOOKUP(C162,skill_list!$B$7:$C$1012,2)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VLOOKUP(C163,skill_list!$B$7:$C$1012,2)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VLOOKUP(C164,skill_list!$B$7:$C$1012,2)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VLOOKUP(C165,skill_list!$B$7:$C$1012,2)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VLOOKUP(C166,skill_list!$B$7:$C$1012,2)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VLOOKUP(C167,skill_list!$B$7:$C$1012,2)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VLOOKUP(C168,skill_list!$B$7:$C$1012,2)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VLOOKUP(C169,skill_list!$B$7:$C$1012,2)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VLOOKUP(C170,skill_list!$B$7:$C$1012,2)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VLOOKUP(C171,skill_list!$B$7:$C$1012,2)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VLOOKUP(C172,skill_list!$B$7:$C$1012,2)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VLOOKUP(C173,skill_list!$B$7:$C$1012,2)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VLOOKUP(C174,skill_list!$B$7:$C$1012,2)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VLOOKUP(C175,skill_list!$B$7:$C$1012,2)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VLOOKUP(C176,skill_list!$B$7:$C$1012,2)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VLOOKUP(C177,skill_list!$B$7:$C$1012,2)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VLOOKUP(C178,skill_list!$B$7:$C$1012,2)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VLOOKUP(C179,skill_list!$B$7:$C$1012,2)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VLOOKUP(C180,skill_list!$B$7:$C$1012,2)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VLOOKUP(C181,skill_list!$B$7:$C$1012,2)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VLOOKUP(C182,skill_list!$B$7:$C$1012,2)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VLOOKUP(C183,skill_list!$B$7:$C$1012,2)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VLOOKUP(C184,skill_list!$B$7:$C$1012,2)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VLOOKUP(C185,skill_list!$B$7:$C$1012,2)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VLOOKUP(C186,skill_list!$B$7:$C$1012,2)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VLOOKUP(C187,skill_list!$B$7:$C$1012,2)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VLOOKUP(C188,skill_list!$B$7:$C$1012,2)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VLOOKUP(C189,skill_list!$B$7:$C$1012,2)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VLOOKUP(C190,skill_list!$B$7:$C$1012,2)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VLOOKUP(C191,skill_list!$B$7:$C$1012,2)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VLOOKUP(C192,skill_list!$B$7:$C$1012,2)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VLOOKUP(C193,skill_list!$B$7:$C$1012,2)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VLOOKUP(C194,skill_list!$B$7:$C$1012,2)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VLOOKUP(C195,skill_list!$B$7:$C$1012,2)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VLOOKUP(C196,skill_list!$B$7:$C$1012,2)</f>
        <v>アイドルスマイル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VLOOKUP(C197,skill_list!$B$7:$C$1012,2)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VLOOKUP(C198,skill_list!$B$7:$C$1012,2)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VLOOKUP(C199,skill_list!$B$7:$C$1012,2)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VLOOKUP(C200,skill_list!$B$7:$C$1012,2)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VLOOKUP(C201,skill_list!$B$7:$C$1012,2)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VLOOKUP(C202,skill_list!$B$7:$C$1012,2)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VLOOKUP(C203,skill_list!$B$7:$C$1012,2)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VLOOKUP(C204,skill_list!$B$7:$C$1012,2)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VLOOKUP(C205,skill_list!$B$7:$C$1012,2)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VLOOKUP(C206,skill_list!$B$7:$C$1012,2)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VLOOKUP(C207,skill_list!$B$7:$C$1012,2)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VLOOKUP(C208,skill_list!$B$7:$C$1012,2)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VLOOKUP(C209,skill_list!$B$7:$C$1012,2)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VLOOKUP(C210,skill_list!$B$7:$C$1012,2)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VLOOKUP(C211,skill_list!$B$7:$C$1012,2)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VLOOKUP(C212,skill_list!$B$7:$C$1012,2)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VLOOKUP(C213,skill_list!$B$7:$C$1012,2)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VLOOKUP(C214,skill_list!$B$7:$C$1012,2)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VLOOKUP(C215,skill_list!$B$7:$C$1012,2)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VLOOKUP(C216,skill_list!$B$7:$C$1012,2)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VLOOKUP(C217,skill_list!$B$7:$C$1012,2)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VLOOKUP(C218,skill_list!$B$7:$C$1012,2)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VLOOKUP(C219,skill_list!$B$7:$C$1012,2)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VLOOKUP(C220,skill_list!$B$7:$C$1012,2)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VLOOKUP(C221,skill_list!$B$7:$C$1012,2)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VLOOKUP(C222,skill_list!$B$7:$C$1012,2)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VLOOKUP(C223,skill_list!$B$7:$C$1012,2)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VLOOKUP(C224,skill_list!$B$7:$C$1012,2)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VLOOKUP(C225,skill_list!$B$7:$C$1012,2)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VLOOKUP(C226,skill_list!$B$7:$C$1012,2)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VLOOKUP(C227,skill_list!$B$7:$C$1012,2)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VLOOKUP(C228,skill_list!$B$7:$C$1012,2)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VLOOKUP(C229,skill_list!$B$7:$C$1012,2)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VLOOKUP(C230,skill_list!$B$7:$C$1012,2)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VLOOKUP(C231,skill_list!$B$7:$C$1012,2)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VLOOKUP(C232,skill_list!$B$7:$C$1012,2)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VLOOKUP(C233,skill_list!$B$7:$C$1012,2)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VLOOKUP(C234,skill_list!$B$7:$C$1012,2)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VLOOKUP(C235,skill_list!$B$7:$C$1012,2)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VLOOKUP(C236,skill_list!$B$7:$C$1012,2)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VLOOKUP(C237,skill_list!$B$7:$C$1012,2)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VLOOKUP(C238,skill_list!$B$7:$C$1012,2)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VLOOKUP(C239,skill_list!$B$7:$C$1012,2)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VLOOKUP(C240,skill_list!$B$7:$C$1012,2)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VLOOKUP(C241,skill_list!$B$7:$C$1012,2)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VLOOKUP(C242,skill_list!$B$7:$C$1012,2)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VLOOKUP(C243,skill_list!$B$7:$C$1012,2)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VLOOKUP(C244,skill_list!$B$7:$C$1012,2)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VLOOKUP(C245,skill_list!$B$7:$C$1012,2)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VLOOKUP(C246,skill_list!$B$7:$C$1012,2)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VLOOKUP(C247,skill_list!$B$7:$C$1012,2)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VLOOKUP(C248,skill_list!$B$7:$C$1012,2)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VLOOKUP(C249,skill_list!$B$7:$C$1012,2)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VLOOKUP(C250,skill_list!$B$7:$C$1012,2)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VLOOKUP(C251,skill_list!$B$7:$C$1012,2)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VLOOKUP(C252,skill_list!$B$7:$C$1012,2)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VLOOKUP(C253,skill_list!$B$7:$C$1012,2)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VLOOKUP(C254,skill_list!$B$7:$C$1012,2)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VLOOKUP(C255,skill_list!$B$7:$C$1012,2)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VLOOKUP(C256,skill_list!$B$7:$C$1012,2)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VLOOKUP(C257,skill_list!$B$7:$C$1012,2)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VLOOKUP(C258,skill_list!$B$7:$C$1012,2)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VLOOKUP(C259,skill_list!$B$7:$C$1012,2)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VLOOKUP(C260,skill_list!$B$7:$C$1012,2)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VLOOKUP(C261,skill_list!$B$7:$C$1012,2)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VLOOKUP(C262,skill_list!$B$7:$C$1012,2)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VLOOKUP(C263,skill_list!$B$7:$C$1012,2)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VLOOKUP(C264,skill_list!$B$7:$C$1012,2)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VLOOKUP(C265,skill_list!$B$7:$C$1012,2)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VLOOKUP(C266,skill_list!$B$7:$C$1012,2)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VLOOKUP(C267,skill_list!$B$7:$C$1012,2)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VLOOKUP(C268,skill_list!$B$7:$C$1012,2)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VLOOKUP(C269,skill_list!$B$7:$C$1012,2)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VLOOKUP(C270,skill_list!$B$7:$C$1012,2)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VLOOKUP(C271,skill_list!$B$7:$C$1012,2)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VLOOKUP(C272,skill_list!$B$7:$C$1012,2)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VLOOKUP(C273,skill_list!$B$7:$C$1012,2)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VLOOKUP(C274,skill_list!$B$7:$C$1012,2)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VLOOKUP(C275,skill_list!$B$7:$C$1012,2)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VLOOKUP(C276,skill_list!$B$7:$C$1012,2)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VLOOKUP(C277,skill_list!$B$7:$C$1012,2)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VLOOKUP(C278,skill_list!$B$7:$C$1012,2)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VLOOKUP(C279,skill_list!$B$7:$C$1012,2)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VLOOKUP(C280,skill_list!$B$7:$C$1012,2)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VLOOKUP(C281,skill_list!$B$7:$C$1012,2)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VLOOKUP(C282,skill_list!$B$7:$C$1012,2)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VLOOKUP(C283,skill_list!$B$7:$C$1012,2)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VLOOKUP(C284,skill_list!$B$7:$C$1012,2)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VLOOKUP(C285,skill_list!$B$7:$C$1012,2)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VLOOKUP(C286,skill_list!$B$7:$C$1012,2)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VLOOKUP(C287,skill_list!$B$7:$C$1012,2)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VLOOKUP(C288,skill_list!$B$7:$C$1012,2)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VLOOKUP(C289,skill_list!$B$7:$C$1012,2)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VLOOKUP(C290,skill_list!$B$7:$C$1012,2)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VLOOKUP(C291,skill_list!$B$7:$C$1012,2)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VLOOKUP(C292,skill_list!$B$7:$C$1012,2)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VLOOKUP(C293,skill_list!$B$7:$C$1012,2)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VLOOKUP(C294,skill_list!$B$7:$C$1012,2)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VLOOKUP(C295,skill_list!$B$7:$C$1012,2)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VLOOKUP(C296,skill_list!$B$7:$C$1012,2)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VLOOKUP(C297,skill_list!$B$7:$C$1012,2)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VLOOKUP(C298,skill_list!$B$7:$C$1012,2)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VLOOKUP(C299,skill_list!$B$7:$C$1012,2)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VLOOKUP(C300,skill_list!$B$7:$C$1012,2)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VLOOKUP(C301,skill_list!$B$7:$C$1012,2)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VLOOKUP(C302,skill_list!$B$7:$C$1012,2)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VLOOKUP(C303,skill_list!$B$7:$C$1012,2)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VLOOKUP(C304,skill_list!$B$7:$C$1012,2)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VLOOKUP(C305,skill_list!$B$7:$C$1012,2)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VLOOKUP(C306,skill_list!$B$7:$C$1012,2)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35"/>
  <sheetViews>
    <sheetView zoomScale="85" zoomScaleNormal="85" workbookViewId="0">
      <pane ySplit="6" topLeftCell="A163" activePane="bottomLeft" state="frozen"/>
      <selection pane="bottomLeft" activeCell="C236" sqref="C236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2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2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2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2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2</v>
      </c>
      <c r="O134" s="15">
        <v>107</v>
      </c>
      <c r="P134" s="15"/>
    </row>
    <row r="135" spans="1:16">
      <c r="A135" s="8"/>
      <c r="B135" s="15">
        <v>1000</v>
      </c>
      <c r="C135" s="15">
        <v>1005</v>
      </c>
      <c r="D135" s="15">
        <v>0</v>
      </c>
      <c r="E135" s="15">
        <v>0</v>
      </c>
      <c r="F135" s="14" t="str">
        <f>VLOOKUP(C135,skill_list!B:C,2)</f>
        <v>アタックライズ</v>
      </c>
      <c r="G135" s="11"/>
      <c r="H135" s="15">
        <v>50</v>
      </c>
      <c r="I135" s="15">
        <v>65</v>
      </c>
      <c r="J135" s="15">
        <v>450</v>
      </c>
      <c r="K135" s="15">
        <v>1</v>
      </c>
      <c r="L135" s="15">
        <v>7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1001</v>
      </c>
      <c r="C136" s="15">
        <v>21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1002</v>
      </c>
      <c r="C137" s="15">
        <v>48</v>
      </c>
      <c r="D137" s="15">
        <v>0</v>
      </c>
      <c r="E137" s="15">
        <v>0</v>
      </c>
      <c r="F137" s="14" t="str">
        <f>VLOOKUP(C137,skill_list!B:C,2)</f>
        <v>エンハンス</v>
      </c>
      <c r="G137" s="11"/>
      <c r="H137" s="15">
        <v>50</v>
      </c>
      <c r="I137" s="15">
        <v>65</v>
      </c>
      <c r="J137" s="15">
        <v>208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1003</v>
      </c>
      <c r="C138" s="15">
        <v>84</v>
      </c>
      <c r="D138" s="15">
        <v>0</v>
      </c>
      <c r="E138" s="15">
        <v>0</v>
      </c>
      <c r="F138" s="14" t="str">
        <f>VLOOKUP(C138,skill_list!B:C,2)</f>
        <v>エンハンス</v>
      </c>
      <c r="G138" s="11"/>
      <c r="H138" s="15">
        <v>50</v>
      </c>
      <c r="I138" s="15">
        <v>65</v>
      </c>
      <c r="J138" s="15">
        <v>208</v>
      </c>
      <c r="K138" s="15">
        <v>10</v>
      </c>
      <c r="L138" s="15">
        <v>4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1004</v>
      </c>
      <c r="C139" s="15">
        <v>112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1005</v>
      </c>
      <c r="C140" s="15">
        <v>140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1006</v>
      </c>
      <c r="C141" s="15">
        <v>156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1007</v>
      </c>
      <c r="C142" s="15">
        <v>172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1008</v>
      </c>
      <c r="C143" s="15">
        <v>88</v>
      </c>
      <c r="D143" s="15">
        <v>0</v>
      </c>
      <c r="E143" s="15">
        <v>0</v>
      </c>
      <c r="F143" s="14" t="str">
        <f>VLOOKUP(C143,skill_list!B:C,2)</f>
        <v>導きの号令</v>
      </c>
      <c r="G143" s="11"/>
      <c r="H143" s="15">
        <v>50</v>
      </c>
      <c r="I143" s="15">
        <v>65</v>
      </c>
      <c r="J143" s="15">
        <v>224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1009</v>
      </c>
      <c r="C144" s="15">
        <v>221</v>
      </c>
      <c r="D144" s="15">
        <v>0</v>
      </c>
      <c r="E144" s="15">
        <v>0</v>
      </c>
      <c r="F144" s="14" t="str">
        <f>VLOOKUP(C144,skill_list!B:C,2)</f>
        <v>クールダウン</v>
      </c>
      <c r="G144" s="11"/>
      <c r="H144" s="15">
        <v>75</v>
      </c>
      <c r="I144" s="15">
        <v>90</v>
      </c>
      <c r="J144" s="15">
        <v>200</v>
      </c>
      <c r="K144" s="15">
        <v>10</v>
      </c>
      <c r="L144" s="15">
        <v>7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1010</v>
      </c>
      <c r="C145" s="15">
        <v>240</v>
      </c>
      <c r="D145" s="15">
        <v>0</v>
      </c>
      <c r="E145" s="15">
        <v>0</v>
      </c>
      <c r="F145" s="14" t="str">
        <f>VLOOKUP(C145,skill_list!B:C,2)</f>
        <v>クールダウン</v>
      </c>
      <c r="G145" s="11"/>
      <c r="H145" s="15">
        <v>75</v>
      </c>
      <c r="I145" s="15">
        <v>90</v>
      </c>
      <c r="J145" s="15">
        <v>200</v>
      </c>
      <c r="K145" s="15">
        <v>10</v>
      </c>
      <c r="L145" s="15">
        <v>7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1011</v>
      </c>
      <c r="C146" s="15">
        <v>284</v>
      </c>
      <c r="D146" s="15">
        <v>0</v>
      </c>
      <c r="E146" s="15">
        <v>0</v>
      </c>
      <c r="F146" s="14" t="str">
        <f>VLOOKUP(C146,skill_list!B:C,2)</f>
        <v>クールダウン</v>
      </c>
      <c r="G146" s="11"/>
      <c r="H146" s="15">
        <v>75</v>
      </c>
      <c r="I146" s="15">
        <v>90</v>
      </c>
      <c r="J146" s="15">
        <v>200</v>
      </c>
      <c r="K146" s="15">
        <v>10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1012</v>
      </c>
      <c r="C147" s="15">
        <v>330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1013</v>
      </c>
      <c r="C148" s="15">
        <v>49</v>
      </c>
      <c r="D148" s="15">
        <v>0</v>
      </c>
      <c r="E148" s="15">
        <v>0</v>
      </c>
      <c r="F148" s="14" t="str">
        <f>VLOOKUP(C148,skill_list!B:C,2)</f>
        <v>ドーピング</v>
      </c>
      <c r="G148" s="11"/>
      <c r="H148" s="15">
        <v>75</v>
      </c>
      <c r="I148" s="15">
        <v>90</v>
      </c>
      <c r="J148" s="15">
        <v>216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1014</v>
      </c>
      <c r="C149" s="15">
        <v>299</v>
      </c>
      <c r="D149" s="15">
        <v>0</v>
      </c>
      <c r="E149" s="15">
        <v>0</v>
      </c>
      <c r="F149" s="14" t="str">
        <f>VLOOKUP(C149,skill_list!B:C,2)</f>
        <v>臥龍天命</v>
      </c>
      <c r="G149" s="11"/>
      <c r="H149" s="15">
        <v>75</v>
      </c>
      <c r="I149" s="15">
        <v>90</v>
      </c>
      <c r="J149" s="15">
        <v>216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1015</v>
      </c>
      <c r="C150" s="15">
        <v>316</v>
      </c>
      <c r="D150" s="15">
        <v>0</v>
      </c>
      <c r="E150" s="15">
        <v>0</v>
      </c>
      <c r="F150" s="14" t="str">
        <f>VLOOKUP(C150,skill_list!B:C,2)</f>
        <v>決戦前夜</v>
      </c>
      <c r="G150" s="11"/>
      <c r="H150" s="15">
        <v>75</v>
      </c>
      <c r="I150" s="15">
        <v>90</v>
      </c>
      <c r="J150" s="15">
        <v>216</v>
      </c>
      <c r="K150" s="15">
        <v>10</v>
      </c>
      <c r="L150" s="15">
        <v>5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1016</v>
      </c>
      <c r="C151" s="15">
        <v>188</v>
      </c>
      <c r="D151" s="15">
        <v>0</v>
      </c>
      <c r="E151" s="15">
        <v>0</v>
      </c>
      <c r="F151" s="14" t="str">
        <f>VLOOKUP(C151,skill_list!B:C,2)</f>
        <v>フィルエンハンス</v>
      </c>
      <c r="G151" s="11"/>
      <c r="H151" s="15">
        <v>50</v>
      </c>
      <c r="I151" s="15">
        <v>65</v>
      </c>
      <c r="J151" s="15">
        <v>232</v>
      </c>
      <c r="K151" s="15">
        <v>10</v>
      </c>
      <c r="L151" s="15">
        <v>6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1017</v>
      </c>
      <c r="C152" s="15">
        <v>268</v>
      </c>
      <c r="D152" s="15">
        <v>0</v>
      </c>
      <c r="E152" s="15">
        <v>0</v>
      </c>
      <c r="F152" s="14" t="str">
        <f>VLOOKUP(C152,skill_list!B:C,2)</f>
        <v>フィルエンハンス</v>
      </c>
      <c r="G152" s="11"/>
      <c r="H152" s="15">
        <v>50</v>
      </c>
      <c r="I152" s="15">
        <v>65</v>
      </c>
      <c r="J152" s="15">
        <v>232</v>
      </c>
      <c r="K152" s="15">
        <v>10</v>
      </c>
      <c r="L152" s="15">
        <v>6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1018</v>
      </c>
      <c r="C153" s="15">
        <v>273</v>
      </c>
      <c r="D153" s="15">
        <v>0</v>
      </c>
      <c r="E153" s="15">
        <v>0</v>
      </c>
      <c r="F153" s="14" t="str">
        <f>VLOOKUP(C153,skill_list!B:C,2)</f>
        <v>フィルエンハンス</v>
      </c>
      <c r="G153" s="11"/>
      <c r="H153" s="15">
        <v>50</v>
      </c>
      <c r="I153" s="15">
        <v>65</v>
      </c>
      <c r="J153" s="15">
        <v>232</v>
      </c>
      <c r="K153" s="15">
        <v>10</v>
      </c>
      <c r="L153" s="15">
        <v>6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1019</v>
      </c>
      <c r="C154" s="15">
        <v>295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1020</v>
      </c>
      <c r="C155" s="15">
        <v>62</v>
      </c>
      <c r="D155" s="15">
        <v>0</v>
      </c>
      <c r="E155" s="15">
        <v>0</v>
      </c>
      <c r="F155" s="14" t="str">
        <f>VLOOKUP(C155,skill_list!B:C,2)</f>
        <v>キリングエッジ</v>
      </c>
      <c r="G155" s="11"/>
      <c r="H155" s="15">
        <v>35</v>
      </c>
      <c r="I155" s="15">
        <v>50</v>
      </c>
      <c r="J155" s="15">
        <v>129</v>
      </c>
      <c r="K155" s="15">
        <v>1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1021</v>
      </c>
      <c r="C156" s="15">
        <v>109</v>
      </c>
      <c r="D156" s="15">
        <v>0</v>
      </c>
      <c r="E156" s="15">
        <v>0</v>
      </c>
      <c r="F156" s="14" t="str">
        <f>VLOOKUP(C156,skill_list!B:C,2)</f>
        <v>ハネ殺し</v>
      </c>
      <c r="G156" s="11"/>
      <c r="H156" s="15">
        <v>35</v>
      </c>
      <c r="I156" s="15">
        <v>50</v>
      </c>
      <c r="J156" s="15">
        <v>120</v>
      </c>
      <c r="K156" s="15">
        <v>1</v>
      </c>
      <c r="L156" s="15">
        <v>7</v>
      </c>
      <c r="M156" s="15">
        <v>0</v>
      </c>
      <c r="N156" s="15">
        <v>1</v>
      </c>
      <c r="O156" s="15">
        <v>999</v>
      </c>
      <c r="P156" s="15"/>
    </row>
    <row r="157" spans="1:16">
      <c r="A157" s="8"/>
      <c r="B157" s="15">
        <v>1022</v>
      </c>
      <c r="C157" s="15">
        <v>288</v>
      </c>
      <c r="D157" s="15">
        <v>0</v>
      </c>
      <c r="E157" s="15">
        <v>0</v>
      </c>
      <c r="F157" s="14" t="str">
        <f>VLOOKUP(C157,skill_list!B:C,2)</f>
        <v>デディケイトギフト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3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1023</v>
      </c>
      <c r="C158" s="15">
        <v>217</v>
      </c>
      <c r="D158" s="15">
        <v>0</v>
      </c>
      <c r="E158" s="15">
        <v>0</v>
      </c>
      <c r="F158" s="14" t="str">
        <f>VLOOKUP(C158,skill_list!B:C,2)</f>
        <v>空</v>
      </c>
      <c r="G158" s="11"/>
      <c r="H158" s="15">
        <v>50</v>
      </c>
      <c r="I158" s="15">
        <v>65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1024</v>
      </c>
      <c r="C159" s="15">
        <v>267</v>
      </c>
      <c r="D159" s="15">
        <v>0</v>
      </c>
      <c r="E159" s="15">
        <v>0</v>
      </c>
      <c r="F159" s="14" t="str">
        <f>VLOOKUP(C159,skill_list!B:C,2)</f>
        <v>細雪</v>
      </c>
      <c r="G159" s="11"/>
      <c r="H159" s="15">
        <v>75</v>
      </c>
      <c r="I159" s="15">
        <v>90</v>
      </c>
      <c r="J159" s="15">
        <v>208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1025</v>
      </c>
      <c r="C160" s="15">
        <v>45</v>
      </c>
      <c r="D160" s="15">
        <v>0</v>
      </c>
      <c r="E160" s="15">
        <v>0</v>
      </c>
      <c r="F160" s="14" t="str">
        <f>VLOOKUP(C160,skill_list!B:C,2)</f>
        <v>残心撃</v>
      </c>
      <c r="G160" s="11"/>
      <c r="H160" s="15">
        <v>35</v>
      </c>
      <c r="I160" s="15">
        <v>50</v>
      </c>
      <c r="J160" s="15">
        <v>126</v>
      </c>
      <c r="K160" s="15">
        <v>1</v>
      </c>
      <c r="L160" s="15">
        <v>7</v>
      </c>
      <c r="M160" s="15">
        <v>0</v>
      </c>
      <c r="N160" s="15">
        <v>1</v>
      </c>
      <c r="O160" s="15">
        <v>999</v>
      </c>
      <c r="P160" s="15"/>
    </row>
    <row r="161" spans="1:16">
      <c r="A161" s="8"/>
      <c r="B161" s="15">
        <v>1026</v>
      </c>
      <c r="C161" s="15">
        <v>414</v>
      </c>
      <c r="D161" s="15">
        <v>0</v>
      </c>
      <c r="E161" s="15">
        <v>0</v>
      </c>
      <c r="F161" s="14" t="str">
        <f>VLOOKUP(C161,skill_list!B:C,2)</f>
        <v>デヴォーション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1027</v>
      </c>
      <c r="C162" s="15">
        <v>419</v>
      </c>
      <c r="D162" s="15">
        <v>0</v>
      </c>
      <c r="E162" s="15">
        <v>0</v>
      </c>
      <c r="F162" s="14" t="str">
        <f>VLOOKUP(C162,skill_list!B:C,2)</f>
        <v>セルフパッション</v>
      </c>
      <c r="G162" s="11"/>
      <c r="H162" s="15">
        <v>75</v>
      </c>
      <c r="I162" s="15">
        <v>90</v>
      </c>
      <c r="J162" s="15">
        <v>224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1028</v>
      </c>
      <c r="C163" s="15">
        <v>474</v>
      </c>
      <c r="D163" s="15">
        <v>0</v>
      </c>
      <c r="E163" s="15">
        <v>0</v>
      </c>
      <c r="F163" s="14" t="str">
        <f>VLOOKUP(C163,skill_list!B:C,2)</f>
        <v>解けない謎はない</v>
      </c>
      <c r="G163" s="11"/>
      <c r="H163" s="15">
        <v>50</v>
      </c>
      <c r="I163" s="15">
        <v>65</v>
      </c>
      <c r="J163" s="15">
        <v>224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1101</v>
      </c>
      <c r="C164" s="15">
        <v>367</v>
      </c>
      <c r="D164" s="15">
        <v>1</v>
      </c>
      <c r="E164" s="15">
        <v>4</v>
      </c>
      <c r="F164" s="14" t="str">
        <f>VLOOKUP(C164,skill_list!B:C,2)</f>
        <v>ホーリーエンハンス</v>
      </c>
      <c r="G164" s="11"/>
      <c r="H164" s="15">
        <v>65</v>
      </c>
      <c r="I164" s="15">
        <v>80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1102</v>
      </c>
      <c r="C165" s="15">
        <v>365</v>
      </c>
      <c r="D165" s="15">
        <v>1</v>
      </c>
      <c r="E165" s="15">
        <v>5</v>
      </c>
      <c r="F165" s="14" t="str">
        <f>VLOOKUP(C165,skill_list!B:C,2)</f>
        <v>赤面スティグマ</v>
      </c>
      <c r="G165" s="11"/>
      <c r="H165" s="15">
        <v>65</v>
      </c>
      <c r="I165" s="15">
        <v>80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1103</v>
      </c>
      <c r="C166" s="15">
        <v>326</v>
      </c>
      <c r="D166" s="15">
        <v>1</v>
      </c>
      <c r="E166" s="15">
        <v>2</v>
      </c>
      <c r="F166" s="14" t="str">
        <f>VLOOKUP(C166,skill_list!B:C,2)</f>
        <v>淡雪</v>
      </c>
      <c r="G166" s="11"/>
      <c r="H166" s="15">
        <v>65</v>
      </c>
      <c r="I166" s="15">
        <v>80</v>
      </c>
      <c r="J166" s="15">
        <v>192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1104</v>
      </c>
      <c r="C167" s="15">
        <v>360</v>
      </c>
      <c r="D167" s="15">
        <v>1</v>
      </c>
      <c r="E167" s="15">
        <v>5</v>
      </c>
      <c r="F167" s="14" t="str">
        <f>VLOOKUP(C167,skill_list!B:C,2)</f>
        <v>被害妄想</v>
      </c>
      <c r="G167" s="11"/>
      <c r="H167" s="15">
        <v>65</v>
      </c>
      <c r="I167" s="15">
        <v>80</v>
      </c>
      <c r="J167" s="15">
        <v>192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1105</v>
      </c>
      <c r="C168" s="15">
        <v>253</v>
      </c>
      <c r="D168" s="15">
        <v>1</v>
      </c>
      <c r="E168" s="15">
        <v>3</v>
      </c>
      <c r="F168" s="14" t="str">
        <f>VLOOKUP(C168,skill_list!B:C,2)</f>
        <v>ライトニングロア</v>
      </c>
      <c r="G168" s="11"/>
      <c r="H168" s="15">
        <v>40</v>
      </c>
      <c r="I168" s="15">
        <v>55</v>
      </c>
      <c r="J168" s="15">
        <v>129</v>
      </c>
      <c r="K168" s="15">
        <v>1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1106</v>
      </c>
      <c r="C169" s="15">
        <v>219</v>
      </c>
      <c r="D169" s="15">
        <v>1</v>
      </c>
      <c r="E169" s="15">
        <v>4</v>
      </c>
      <c r="F169" s="14" t="str">
        <f>VLOOKUP(C169,skill_list!B:C,2)</f>
        <v>夢十夜</v>
      </c>
      <c r="G169" s="11"/>
      <c r="H169" s="15">
        <v>40</v>
      </c>
      <c r="I169" s="15">
        <v>55</v>
      </c>
      <c r="J169" s="15">
        <v>132</v>
      </c>
      <c r="K169" s="15">
        <v>1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1107</v>
      </c>
      <c r="C170" s="15">
        <v>333</v>
      </c>
      <c r="D170" s="15">
        <v>1</v>
      </c>
      <c r="E170" s="15">
        <v>5</v>
      </c>
      <c r="F170" s="14" t="str">
        <f>VLOOKUP(C170,skill_list!B:C,2)</f>
        <v>大切り盛り</v>
      </c>
      <c r="G170" s="11"/>
      <c r="H170" s="15">
        <v>40</v>
      </c>
      <c r="I170" s="15">
        <v>55</v>
      </c>
      <c r="J170" s="15">
        <v>123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1108</v>
      </c>
      <c r="C171" s="15">
        <v>398</v>
      </c>
      <c r="D171" s="15">
        <v>1</v>
      </c>
      <c r="E171" s="15">
        <v>3</v>
      </c>
      <c r="F171" s="14" t="str">
        <f>VLOOKUP(C171,skill_list!B:C,2)</f>
        <v>とある衝撃</v>
      </c>
      <c r="G171" s="11"/>
      <c r="H171" s="15">
        <v>65</v>
      </c>
      <c r="I171" s="15">
        <v>80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1109</v>
      </c>
      <c r="C172" s="15">
        <v>406</v>
      </c>
      <c r="D172" s="15">
        <v>1</v>
      </c>
      <c r="E172" s="15">
        <v>2</v>
      </c>
      <c r="F172" s="14" t="str">
        <f>VLOOKUP(C172,skill_list!B:C,2)</f>
        <v>北風のスバル</v>
      </c>
      <c r="G172" s="11"/>
      <c r="H172" s="15">
        <v>65</v>
      </c>
      <c r="I172" s="15">
        <v>80</v>
      </c>
      <c r="J172" s="15">
        <v>192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1110</v>
      </c>
      <c r="C173" s="15">
        <v>453</v>
      </c>
      <c r="D173" s="15">
        <v>1</v>
      </c>
      <c r="E173" s="15">
        <v>3</v>
      </c>
      <c r="F173" s="14" t="str">
        <f>VLOOKUP(C173,skill_list!B:C,2)</f>
        <v>ねこじゃらし</v>
      </c>
      <c r="G173" s="11"/>
      <c r="H173" s="15">
        <v>65</v>
      </c>
      <c r="I173" s="15">
        <v>80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1111</v>
      </c>
      <c r="C174" s="15">
        <v>457</v>
      </c>
      <c r="D174" s="15">
        <v>1</v>
      </c>
      <c r="E174" s="15">
        <v>5</v>
      </c>
      <c r="F174" s="14" t="str">
        <f>VLOOKUP(C174,skill_list!B:C,2)</f>
        <v>ピクシースマイル</v>
      </c>
      <c r="G174" s="11"/>
      <c r="H174" s="15">
        <v>65</v>
      </c>
      <c r="I174" s="15">
        <v>80</v>
      </c>
      <c r="J174" s="15">
        <v>208</v>
      </c>
      <c r="K174" s="15">
        <v>10</v>
      </c>
      <c r="L174" s="15">
        <v>4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1201</v>
      </c>
      <c r="C175" s="15">
        <v>308</v>
      </c>
      <c r="D175" s="15">
        <v>2</v>
      </c>
      <c r="E175" s="15">
        <v>0</v>
      </c>
      <c r="F175" s="14" t="str">
        <f>VLOOKUP(C175,skill_list!B:C,2)</f>
        <v>インサイト</v>
      </c>
      <c r="G175" s="11"/>
      <c r="H175" s="15">
        <v>35</v>
      </c>
      <c r="I175" s="15">
        <v>50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1202</v>
      </c>
      <c r="C176" s="15">
        <v>443</v>
      </c>
      <c r="D176" s="15">
        <v>2</v>
      </c>
      <c r="E176" s="15">
        <v>0</v>
      </c>
      <c r="F176" s="14" t="str">
        <f>VLOOKUP(C176,skill_list!B:C,2)</f>
        <v>炯眼の構え</v>
      </c>
      <c r="G176" s="11"/>
      <c r="H176" s="15">
        <v>35</v>
      </c>
      <c r="I176" s="15">
        <v>50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1300</v>
      </c>
      <c r="C177" s="15">
        <v>1009</v>
      </c>
      <c r="D177" s="15">
        <v>3</v>
      </c>
      <c r="E177" s="15">
        <v>0</v>
      </c>
      <c r="F177" s="14" t="str">
        <f>VLOOKUP(C177,skill_list!B:C,2)</f>
        <v>ソフニング</v>
      </c>
      <c r="G177" s="11"/>
      <c r="H177" s="15">
        <v>30</v>
      </c>
      <c r="I177" s="15">
        <v>45</v>
      </c>
      <c r="J177" s="15">
        <v>200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1301</v>
      </c>
      <c r="C178" s="15">
        <v>173</v>
      </c>
      <c r="D178" s="15">
        <v>3</v>
      </c>
      <c r="E178" s="15">
        <v>0</v>
      </c>
      <c r="F178" s="14" t="str">
        <f>VLOOKUP(C178,skill_list!B:C,2)</f>
        <v>臥龍演舞斬</v>
      </c>
      <c r="G178" s="11"/>
      <c r="H178" s="15">
        <v>30</v>
      </c>
      <c r="I178" s="15">
        <v>45</v>
      </c>
      <c r="J178" s="15">
        <v>123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1302</v>
      </c>
      <c r="C179" s="15">
        <v>16</v>
      </c>
      <c r="D179" s="15">
        <v>3</v>
      </c>
      <c r="E179" s="15">
        <v>0</v>
      </c>
      <c r="F179" s="14" t="str">
        <f>VLOOKUP(C179,skill_list!B:C,2)</f>
        <v>ハードブレード</v>
      </c>
      <c r="G179" s="11"/>
      <c r="H179" s="15">
        <v>30</v>
      </c>
      <c r="I179" s="15">
        <v>45</v>
      </c>
      <c r="J179" s="15">
        <v>129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1303</v>
      </c>
      <c r="C180" s="15">
        <v>70</v>
      </c>
      <c r="D180" s="15">
        <v>3</v>
      </c>
      <c r="E180" s="15">
        <v>0</v>
      </c>
      <c r="F180" s="14" t="str">
        <f>VLOOKUP(C180,skill_list!B:C,2)</f>
        <v>ウィザードショット</v>
      </c>
      <c r="G180" s="11"/>
      <c r="H180" s="15">
        <v>30</v>
      </c>
      <c r="I180" s="15">
        <v>45</v>
      </c>
      <c r="J180" s="15">
        <v>117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1304</v>
      </c>
      <c r="C181" s="15">
        <v>459</v>
      </c>
      <c r="D181" s="15">
        <v>3</v>
      </c>
      <c r="E181" s="15">
        <v>0</v>
      </c>
      <c r="F181" s="14" t="str">
        <f>VLOOKUP(C181,skill_list!B:C,2)</f>
        <v>螳螂之斧</v>
      </c>
      <c r="G181" s="11"/>
      <c r="H181" s="15">
        <v>20</v>
      </c>
      <c r="I181" s="15">
        <v>30</v>
      </c>
      <c r="J181" s="15">
        <v>134</v>
      </c>
      <c r="K181" s="15">
        <v>1</v>
      </c>
      <c r="L181" s="15">
        <v>2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1351</v>
      </c>
      <c r="C182" s="15">
        <v>116</v>
      </c>
      <c r="D182" s="15">
        <v>3</v>
      </c>
      <c r="E182" s="15">
        <v>0</v>
      </c>
      <c r="F182" s="14" t="str">
        <f>VLOOKUP(C182,skill_list!B:C,2)</f>
        <v>レイジングシャウト</v>
      </c>
      <c r="G182" s="11"/>
      <c r="H182" s="15">
        <v>20</v>
      </c>
      <c r="I182" s="15">
        <v>30</v>
      </c>
      <c r="J182" s="15">
        <v>120</v>
      </c>
      <c r="K182" s="15">
        <v>1</v>
      </c>
      <c r="L182" s="15">
        <v>2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1352</v>
      </c>
      <c r="C183" s="15">
        <v>126</v>
      </c>
      <c r="D183" s="15">
        <v>3</v>
      </c>
      <c r="E183" s="15">
        <v>0</v>
      </c>
      <c r="F183" s="14" t="str">
        <f>VLOOKUP(C183,skill_list!B:C,2)</f>
        <v>ラブカ・ブレード</v>
      </c>
      <c r="G183" s="11"/>
      <c r="H183" s="15">
        <v>20</v>
      </c>
      <c r="I183" s="15">
        <v>30</v>
      </c>
      <c r="J183" s="15">
        <v>123</v>
      </c>
      <c r="K183" s="15">
        <v>1</v>
      </c>
      <c r="L183" s="15">
        <v>2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1401</v>
      </c>
      <c r="C184" s="15">
        <v>204</v>
      </c>
      <c r="D184" s="15">
        <v>4</v>
      </c>
      <c r="E184" s="15">
        <v>3</v>
      </c>
      <c r="F184" s="14" t="str">
        <f>VLOOKUP(C184,skill_list!B:C,2)</f>
        <v>ミストイングレイブ</v>
      </c>
      <c r="G184" s="11"/>
      <c r="H184" s="15">
        <v>45</v>
      </c>
      <c r="I184" s="15">
        <v>60</v>
      </c>
      <c r="J184" s="15">
        <v>126</v>
      </c>
      <c r="K184" s="15">
        <v>1</v>
      </c>
      <c r="L184" s="15">
        <v>1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1402</v>
      </c>
      <c r="C185" s="15">
        <v>322</v>
      </c>
      <c r="D185" s="15">
        <v>4</v>
      </c>
      <c r="E185" s="15">
        <v>5</v>
      </c>
      <c r="F185" s="14" t="str">
        <f>VLOOKUP(C185,skill_list!B:C,2)</f>
        <v>先に逝くなよ</v>
      </c>
      <c r="G185" s="11"/>
      <c r="H185" s="15">
        <v>45</v>
      </c>
      <c r="I185" s="15">
        <v>60</v>
      </c>
      <c r="J185" s="15">
        <v>123</v>
      </c>
      <c r="K185" s="15">
        <v>1</v>
      </c>
      <c r="L185" s="15">
        <v>1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1403</v>
      </c>
      <c r="C186" s="15">
        <v>282</v>
      </c>
      <c r="D186" s="15">
        <v>4</v>
      </c>
      <c r="E186" s="15">
        <v>1</v>
      </c>
      <c r="F186" s="14" t="str">
        <f>VLOOKUP(C186,skill_list!B:C,2)</f>
        <v>ヴィクタープラクティス</v>
      </c>
      <c r="G186" s="11"/>
      <c r="H186" s="15">
        <v>45</v>
      </c>
      <c r="I186" s="15">
        <v>60</v>
      </c>
      <c r="J186" s="15">
        <v>123</v>
      </c>
      <c r="K186" s="15">
        <v>1</v>
      </c>
      <c r="L186" s="15">
        <v>1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1404</v>
      </c>
      <c r="C187" s="15">
        <v>222</v>
      </c>
      <c r="D187" s="15">
        <v>4</v>
      </c>
      <c r="E187" s="15">
        <v>4</v>
      </c>
      <c r="F187" s="14" t="str">
        <f>VLOOKUP(C187,skill_list!B:C,2)</f>
        <v>夜雨</v>
      </c>
      <c r="G187" s="11"/>
      <c r="H187" s="15">
        <v>45</v>
      </c>
      <c r="I187" s="15">
        <v>60</v>
      </c>
      <c r="J187" s="15">
        <v>131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1405</v>
      </c>
      <c r="C188" s="15">
        <v>222</v>
      </c>
      <c r="D188" s="15">
        <v>4</v>
      </c>
      <c r="E188" s="15">
        <v>5</v>
      </c>
      <c r="F188" s="14" t="str">
        <f>VLOOKUP(C188,skill_list!B:C,2)</f>
        <v>夜雨</v>
      </c>
      <c r="G188" s="11"/>
      <c r="H188" s="15">
        <v>45</v>
      </c>
      <c r="I188" s="15">
        <v>60</v>
      </c>
      <c r="J188" s="15">
        <v>131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1406</v>
      </c>
      <c r="C189" s="15">
        <v>438</v>
      </c>
      <c r="D189" s="15">
        <v>4</v>
      </c>
      <c r="E189" s="15">
        <v>2</v>
      </c>
      <c r="F189" s="14" t="str">
        <f>VLOOKUP(C189,skill_list!B:C,2)</f>
        <v>コールドクラッシュ</v>
      </c>
      <c r="G189" s="11"/>
      <c r="H189" s="15">
        <v>45</v>
      </c>
      <c r="I189" s="15">
        <v>60</v>
      </c>
      <c r="J189" s="15">
        <v>132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1451</v>
      </c>
      <c r="C190" s="15">
        <v>241</v>
      </c>
      <c r="D190" s="15">
        <v>4</v>
      </c>
      <c r="E190" s="15">
        <v>1</v>
      </c>
      <c r="F190" s="14" t="str">
        <f>VLOOKUP(C190,skill_list!B:C,2)</f>
        <v>怒裂昂</v>
      </c>
      <c r="G190" s="11"/>
      <c r="H190" s="15">
        <v>30</v>
      </c>
      <c r="I190" s="15">
        <v>45</v>
      </c>
      <c r="J190" s="15">
        <v>129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1452</v>
      </c>
      <c r="C191" s="15">
        <v>77</v>
      </c>
      <c r="D191" s="15">
        <v>4</v>
      </c>
      <c r="E191" s="15">
        <v>2</v>
      </c>
      <c r="F191" s="14" t="str">
        <f>VLOOKUP(C191,skill_list!B:C,2)</f>
        <v>ビスコッティ</v>
      </c>
      <c r="G191" s="11"/>
      <c r="H191" s="15">
        <v>30</v>
      </c>
      <c r="I191" s="15">
        <v>45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1453</v>
      </c>
      <c r="C192" s="15">
        <v>404</v>
      </c>
      <c r="D192" s="15">
        <v>4</v>
      </c>
      <c r="E192" s="15">
        <v>3</v>
      </c>
      <c r="F192" s="14" t="str">
        <f>VLOOKUP(C192,skill_list!B:C,2)</f>
        <v>ザヴィーシマスチ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2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1454</v>
      </c>
      <c r="C193" s="15">
        <v>468</v>
      </c>
      <c r="D193" s="15">
        <v>4</v>
      </c>
      <c r="E193" s="15">
        <v>5</v>
      </c>
      <c r="F193" s="14" t="str">
        <f>VLOOKUP(C193,skill_list!B:C,2)</f>
        <v>ヌラルジャ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999</v>
      </c>
      <c r="P193" s="15"/>
    </row>
    <row r="194" spans="1:16">
      <c r="A194" s="8"/>
      <c r="B194" s="15">
        <v>1501</v>
      </c>
      <c r="C194" s="15">
        <v>94</v>
      </c>
      <c r="D194" s="15">
        <v>5</v>
      </c>
      <c r="E194" s="15">
        <v>0</v>
      </c>
      <c r="F194" s="14" t="str">
        <f>VLOOKUP(C194,skill_list!B:C,2)</f>
        <v>呪怨の矢</v>
      </c>
      <c r="G194" s="11"/>
      <c r="H194" s="15">
        <v>35</v>
      </c>
      <c r="I194" s="15">
        <v>50</v>
      </c>
      <c r="J194" s="15">
        <v>120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1502</v>
      </c>
      <c r="C195" s="15">
        <v>272</v>
      </c>
      <c r="D195" s="15">
        <v>5</v>
      </c>
      <c r="E195" s="15">
        <v>0</v>
      </c>
      <c r="F195" s="14" t="str">
        <f>VLOOKUP(C195,skill_list!B:C,2)</f>
        <v>ディープブロー</v>
      </c>
      <c r="G195" s="11"/>
      <c r="H195" s="15">
        <v>35</v>
      </c>
      <c r="I195" s="15">
        <v>50</v>
      </c>
      <c r="J195" s="15">
        <v>120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1551</v>
      </c>
      <c r="C196" s="15">
        <v>195</v>
      </c>
      <c r="D196" s="15">
        <v>5</v>
      </c>
      <c r="E196" s="15">
        <v>0</v>
      </c>
      <c r="F196" s="14" t="str">
        <f>VLOOKUP(C196,skill_list!B:C,2)</f>
        <v>ネイキッドイレイザー</v>
      </c>
      <c r="G196" s="11"/>
      <c r="H196" s="15">
        <v>35</v>
      </c>
      <c r="I196" s="15">
        <v>50</v>
      </c>
      <c r="J196" s="15">
        <v>132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1552</v>
      </c>
      <c r="C197" s="15">
        <v>218</v>
      </c>
      <c r="D197" s="15">
        <v>5</v>
      </c>
      <c r="E197" s="15">
        <v>0</v>
      </c>
      <c r="F197" s="14" t="str">
        <f>VLOOKUP(C197,skill_list!B:C,2)</f>
        <v>薙の矢</v>
      </c>
      <c r="G197" s="11"/>
      <c r="H197" s="15">
        <v>35</v>
      </c>
      <c r="I197" s="15">
        <v>50</v>
      </c>
      <c r="J197" s="15">
        <v>126</v>
      </c>
      <c r="K197" s="15">
        <v>1</v>
      </c>
      <c r="L197" s="15">
        <v>2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1553</v>
      </c>
      <c r="C198" s="15">
        <v>343</v>
      </c>
      <c r="D198" s="15">
        <v>5</v>
      </c>
      <c r="E198" s="15">
        <v>0</v>
      </c>
      <c r="F198" s="14" t="str">
        <f>VLOOKUP(C198,skill_list!B:C,2)</f>
        <v>大海原</v>
      </c>
      <c r="G198" s="11"/>
      <c r="H198" s="15">
        <v>35</v>
      </c>
      <c r="I198" s="15">
        <v>50</v>
      </c>
      <c r="J198" s="15">
        <v>129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1600</v>
      </c>
      <c r="C199" s="15">
        <v>1001</v>
      </c>
      <c r="D199" s="15">
        <v>6</v>
      </c>
      <c r="E199" s="15">
        <v>0</v>
      </c>
      <c r="F199" s="14" t="str">
        <f>VLOOKUP(C199,skill_list!B:C,2)</f>
        <v>クリティカルシンキング</v>
      </c>
      <c r="G199" s="11"/>
      <c r="H199" s="15">
        <v>40</v>
      </c>
      <c r="I199" s="15">
        <v>70</v>
      </c>
      <c r="J199" s="15">
        <v>450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1601</v>
      </c>
      <c r="C200" s="15">
        <v>71</v>
      </c>
      <c r="D200" s="15">
        <v>6</v>
      </c>
      <c r="E200" s="15">
        <v>0</v>
      </c>
      <c r="F200" s="14" t="str">
        <f>VLOOKUP(C200,skill_list!B:C,2)</f>
        <v>ルーンバースト</v>
      </c>
      <c r="G200" s="11"/>
      <c r="H200" s="15">
        <v>35</v>
      </c>
      <c r="I200" s="15">
        <v>45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999</v>
      </c>
      <c r="P200" s="15"/>
    </row>
    <row r="201" spans="1:16">
      <c r="A201" s="8"/>
      <c r="B201" s="15">
        <v>1602</v>
      </c>
      <c r="C201" s="15">
        <v>255</v>
      </c>
      <c r="D201" s="15">
        <v>6</v>
      </c>
      <c r="E201" s="15">
        <v>0</v>
      </c>
      <c r="F201" s="14" t="str">
        <f>VLOOKUP(C201,skill_list!B:C,2)</f>
        <v>ホールドアップマインド</v>
      </c>
      <c r="G201" s="11"/>
      <c r="H201" s="15">
        <v>35</v>
      </c>
      <c r="I201" s="15">
        <v>45</v>
      </c>
      <c r="J201" s="15">
        <v>224</v>
      </c>
      <c r="K201" s="15">
        <v>10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1603</v>
      </c>
      <c r="C202" s="15">
        <v>372</v>
      </c>
      <c r="D202" s="15">
        <v>6</v>
      </c>
      <c r="E202" s="15">
        <v>0</v>
      </c>
      <c r="F202" s="14" t="str">
        <f>VLOOKUP(C202,skill_list!B:C,2)</f>
        <v>冀望</v>
      </c>
      <c r="G202" s="11"/>
      <c r="H202" s="15">
        <v>40</v>
      </c>
      <c r="I202" s="15">
        <v>70</v>
      </c>
      <c r="J202" s="15">
        <v>216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1604</v>
      </c>
      <c r="C203" s="15">
        <v>454</v>
      </c>
      <c r="D203" s="15">
        <v>6</v>
      </c>
      <c r="E203" s="15">
        <v>0</v>
      </c>
      <c r="F203" s="14" t="str">
        <f>VLOOKUP(C203,skill_list!B:C,2)</f>
        <v>一途なスマイル</v>
      </c>
      <c r="G203" s="11"/>
      <c r="H203" s="15">
        <v>40</v>
      </c>
      <c r="I203" s="15">
        <v>70</v>
      </c>
      <c r="J203" s="15">
        <v>232</v>
      </c>
      <c r="K203" s="15">
        <v>10</v>
      </c>
      <c r="L203" s="15">
        <v>3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1605</v>
      </c>
      <c r="C204" s="15">
        <v>463</v>
      </c>
      <c r="D204" s="15">
        <v>6</v>
      </c>
      <c r="E204" s="15">
        <v>0</v>
      </c>
      <c r="F204" s="14" t="str">
        <f>VLOOKUP(C204,skill_list!B:C,2)</f>
        <v>おしおき</v>
      </c>
      <c r="G204" s="11"/>
      <c r="H204" s="15">
        <v>40</v>
      </c>
      <c r="I204" s="15">
        <v>70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1700</v>
      </c>
      <c r="C205" s="15">
        <v>1006</v>
      </c>
      <c r="D205" s="15">
        <v>7</v>
      </c>
      <c r="E205" s="15">
        <v>0</v>
      </c>
      <c r="F205" s="14" t="str">
        <f>VLOOKUP(C205,skill_list!B:C,2)</f>
        <v>コンセントレーション</v>
      </c>
      <c r="G205" s="11"/>
      <c r="H205" s="15">
        <v>10</v>
      </c>
      <c r="I205" s="15">
        <v>20</v>
      </c>
      <c r="J205" s="15">
        <v>450</v>
      </c>
      <c r="K205" s="15">
        <v>1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1701</v>
      </c>
      <c r="C206" s="15">
        <v>454</v>
      </c>
      <c r="D206" s="15">
        <v>7</v>
      </c>
      <c r="E206" s="15">
        <v>0</v>
      </c>
      <c r="F206" s="14" t="str">
        <f>VLOOKUP(C206,skill_list!B:C,2)</f>
        <v>一途なスマイル</v>
      </c>
      <c r="G206" s="11"/>
      <c r="H206" s="15">
        <v>30</v>
      </c>
      <c r="I206" s="15">
        <v>30</v>
      </c>
      <c r="J206" s="15">
        <v>0</v>
      </c>
      <c r="K206" s="15">
        <v>1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1702</v>
      </c>
      <c r="C207" s="15">
        <v>474</v>
      </c>
      <c r="D207" s="15">
        <v>7</v>
      </c>
      <c r="E207" s="15">
        <v>0</v>
      </c>
      <c r="F207" s="14" t="str">
        <f>VLOOKUP(C207,skill_list!B:C,2)</f>
        <v>解けない謎はない</v>
      </c>
      <c r="G207" s="11"/>
      <c r="H207" s="15">
        <v>30</v>
      </c>
      <c r="I207" s="15">
        <v>30</v>
      </c>
      <c r="J207" s="15">
        <v>0</v>
      </c>
      <c r="K207" s="15">
        <v>1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2001</v>
      </c>
      <c r="C208" s="15">
        <v>372</v>
      </c>
      <c r="D208" s="15">
        <v>10</v>
      </c>
      <c r="E208" s="15">
        <v>0</v>
      </c>
      <c r="F208" s="14" t="str">
        <f>VLOOKUP(C208,skill_list!B:C,2)</f>
        <v>冀望</v>
      </c>
      <c r="G208" s="11"/>
      <c r="H208" s="15">
        <v>20</v>
      </c>
      <c r="I208" s="15">
        <v>30</v>
      </c>
      <c r="J208" s="15">
        <v>216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2002</v>
      </c>
      <c r="C209" s="15">
        <v>157</v>
      </c>
      <c r="D209" s="15">
        <v>10</v>
      </c>
      <c r="E209" s="15">
        <v>0</v>
      </c>
      <c r="F209" s="14" t="str">
        <f>VLOOKUP(C209,skill_list!B:C,2)</f>
        <v>聖域のカンタータ</v>
      </c>
      <c r="G209" s="11"/>
      <c r="H209" s="15">
        <v>20</v>
      </c>
      <c r="I209" s="15">
        <v>30</v>
      </c>
      <c r="J209" s="15">
        <v>216</v>
      </c>
      <c r="K209" s="15">
        <v>10</v>
      </c>
      <c r="L209" s="15">
        <v>6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2003</v>
      </c>
      <c r="C210" s="15">
        <v>340</v>
      </c>
      <c r="D210" s="15">
        <v>10</v>
      </c>
      <c r="E210" s="15">
        <v>0</v>
      </c>
      <c r="F210" s="14" t="str">
        <f>VLOOKUP(C210,skill_list!B:C,2)</f>
        <v>メイドの嗜み</v>
      </c>
      <c r="G210" s="11"/>
      <c r="H210" s="15">
        <v>20</v>
      </c>
      <c r="I210" s="15">
        <v>30</v>
      </c>
      <c r="J210" s="15">
        <v>200</v>
      </c>
      <c r="K210" s="15">
        <v>10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2004</v>
      </c>
      <c r="C211" s="15">
        <v>470</v>
      </c>
      <c r="D211" s="15">
        <v>10</v>
      </c>
      <c r="E211" s="15">
        <v>0</v>
      </c>
      <c r="F211" s="14" t="str">
        <f>VLOOKUP(C211,skill_list!B:C,2)</f>
        <v>春爛漫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2051</v>
      </c>
      <c r="C212" s="15">
        <v>226</v>
      </c>
      <c r="D212" s="15">
        <v>10</v>
      </c>
      <c r="E212" s="15">
        <v>0</v>
      </c>
      <c r="F212" s="14" t="str">
        <f>VLOOKUP(C212,skill_list!B:C,2)</f>
        <v>ハイセンス・ショット</v>
      </c>
      <c r="G212" s="11"/>
      <c r="H212" s="15">
        <v>20</v>
      </c>
      <c r="I212" s="15">
        <v>30</v>
      </c>
      <c r="J212" s="15">
        <v>123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2052</v>
      </c>
      <c r="C213" s="15">
        <v>163</v>
      </c>
      <c r="D213" s="15">
        <v>10</v>
      </c>
      <c r="E213" s="15">
        <v>0</v>
      </c>
      <c r="F213" s="14" t="str">
        <f>VLOOKUP(C213,skill_list!B:C,2)</f>
        <v>残心</v>
      </c>
      <c r="G213" s="11"/>
      <c r="H213" s="15">
        <v>20</v>
      </c>
      <c r="I213" s="15">
        <v>30</v>
      </c>
      <c r="J213" s="15">
        <v>123</v>
      </c>
      <c r="K213" s="15">
        <v>1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2053</v>
      </c>
      <c r="C214" s="15">
        <v>228</v>
      </c>
      <c r="D214" s="15">
        <v>10</v>
      </c>
      <c r="E214" s="15">
        <v>0</v>
      </c>
      <c r="F214" s="14" t="str">
        <f>VLOOKUP(C214,skill_list!B:C,2)</f>
        <v>喧嘩上等！！</v>
      </c>
      <c r="G214" s="11"/>
      <c r="H214" s="15">
        <v>20</v>
      </c>
      <c r="I214" s="15">
        <v>30</v>
      </c>
      <c r="J214" s="15">
        <v>132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2201</v>
      </c>
      <c r="C215" s="15">
        <v>315</v>
      </c>
      <c r="D215" s="15">
        <v>12</v>
      </c>
      <c r="E215" s="15">
        <v>0</v>
      </c>
      <c r="F215" s="14" t="str">
        <f>VLOOKUP(C215,skill_list!B:C,2)</f>
        <v>ファーストラヴ</v>
      </c>
      <c r="G215" s="11"/>
      <c r="H215" s="15">
        <v>50</v>
      </c>
      <c r="I215" s="15">
        <v>50</v>
      </c>
      <c r="J215" s="15">
        <v>0</v>
      </c>
      <c r="K215" s="15">
        <v>1</v>
      </c>
      <c r="L215" s="15">
        <v>7</v>
      </c>
      <c r="M215" s="15">
        <v>0</v>
      </c>
      <c r="N215" s="15">
        <v>1</v>
      </c>
      <c r="O215" s="15">
        <v>999</v>
      </c>
      <c r="P215" s="15"/>
    </row>
    <row r="216" spans="1:16">
      <c r="A216" s="8"/>
      <c r="B216" s="15">
        <v>2300</v>
      </c>
      <c r="C216" s="15">
        <v>1003</v>
      </c>
      <c r="D216" s="15">
        <v>13</v>
      </c>
      <c r="E216" s="15">
        <v>0</v>
      </c>
      <c r="F216" s="14" t="str">
        <f>VLOOKUP(C216,skill_list!B:C,2)</f>
        <v>ドライブゲイン</v>
      </c>
      <c r="G216" s="11"/>
      <c r="H216" s="15">
        <v>15</v>
      </c>
      <c r="I216" s="15">
        <v>15</v>
      </c>
      <c r="J216" s="15">
        <v>0</v>
      </c>
      <c r="K216" s="15">
        <v>1</v>
      </c>
      <c r="L216" s="15">
        <v>0</v>
      </c>
      <c r="M216" s="15">
        <v>0</v>
      </c>
      <c r="N216" s="15">
        <v>0</v>
      </c>
      <c r="O216" s="15">
        <v>0</v>
      </c>
      <c r="P216" s="15"/>
    </row>
    <row r="217" spans="1:16">
      <c r="A217" s="8"/>
      <c r="B217" s="15">
        <v>2301</v>
      </c>
      <c r="C217" s="15">
        <v>123</v>
      </c>
      <c r="D217" s="15">
        <v>13</v>
      </c>
      <c r="E217" s="15">
        <v>0</v>
      </c>
      <c r="F217" s="14" t="str">
        <f>VLOOKUP(C217,skill_list!B:C,2)</f>
        <v>サービス・エース</v>
      </c>
      <c r="G217" s="11"/>
      <c r="H217" s="15">
        <v>10</v>
      </c>
      <c r="I217" s="15">
        <v>15</v>
      </c>
      <c r="J217" s="15">
        <v>117</v>
      </c>
      <c r="K217" s="15">
        <v>1</v>
      </c>
      <c r="L217" s="15">
        <v>0</v>
      </c>
      <c r="M217" s="15">
        <v>0</v>
      </c>
      <c r="N217" s="15">
        <v>0</v>
      </c>
      <c r="O217" s="15">
        <v>0</v>
      </c>
      <c r="P217" s="15"/>
    </row>
    <row r="218" spans="1:16">
      <c r="A218" s="8"/>
      <c r="B218" s="15">
        <v>2401</v>
      </c>
      <c r="C218" s="15">
        <v>293</v>
      </c>
      <c r="D218" s="15">
        <v>14</v>
      </c>
      <c r="E218" s="15">
        <v>0</v>
      </c>
      <c r="F218" s="14" t="str">
        <f>VLOOKUP(C218,skill_list!B:C,2)</f>
        <v>きらめきのエール</v>
      </c>
      <c r="G218" s="11"/>
      <c r="H218" s="15">
        <v>0</v>
      </c>
      <c r="I218" s="15">
        <v>0</v>
      </c>
      <c r="J218" s="15">
        <v>0</v>
      </c>
      <c r="K218" s="15">
        <v>1</v>
      </c>
      <c r="L218" s="15">
        <v>4</v>
      </c>
      <c r="M218" s="15">
        <v>0</v>
      </c>
      <c r="N218" s="15">
        <v>2</v>
      </c>
      <c r="O218" s="15">
        <v>0</v>
      </c>
      <c r="P218" s="15"/>
    </row>
    <row r="219" spans="1:16">
      <c r="A219" s="8"/>
      <c r="B219" s="15">
        <v>2501</v>
      </c>
      <c r="C219" s="15">
        <v>275</v>
      </c>
      <c r="D219" s="15">
        <v>15</v>
      </c>
      <c r="E219" s="15">
        <v>0</v>
      </c>
      <c r="F219" s="14" t="str">
        <f>VLOOKUP(C219,skill_list!B:C,2)</f>
        <v>カースサイス</v>
      </c>
      <c r="G219" s="11"/>
      <c r="H219" s="15">
        <v>0</v>
      </c>
      <c r="I219" s="15">
        <v>0</v>
      </c>
      <c r="J219" s="15">
        <v>0</v>
      </c>
      <c r="K219" s="15">
        <v>1</v>
      </c>
      <c r="L219" s="15">
        <v>1</v>
      </c>
      <c r="M219" s="15">
        <v>0</v>
      </c>
      <c r="N219" s="15">
        <v>2</v>
      </c>
      <c r="O219" s="15">
        <v>0</v>
      </c>
      <c r="P219" s="15"/>
    </row>
    <row r="220" spans="1:16">
      <c r="A220" s="8"/>
      <c r="B220" s="15">
        <v>2502</v>
      </c>
      <c r="C220" s="15">
        <v>374</v>
      </c>
      <c r="D220" s="15">
        <v>15</v>
      </c>
      <c r="E220" s="15">
        <v>0</v>
      </c>
      <c r="F220" s="14" t="str">
        <f>VLOOKUP(C220,skill_list!B:C,2)</f>
        <v>天変の相</v>
      </c>
      <c r="G220" s="11"/>
      <c r="H220" s="15">
        <v>0</v>
      </c>
      <c r="I220" s="15">
        <v>0</v>
      </c>
      <c r="J220" s="15">
        <v>0</v>
      </c>
      <c r="K220" s="15">
        <v>1</v>
      </c>
      <c r="L220" s="15">
        <v>1</v>
      </c>
      <c r="M220" s="15">
        <v>0</v>
      </c>
      <c r="N220" s="15">
        <v>2</v>
      </c>
      <c r="O220" s="15">
        <v>0</v>
      </c>
      <c r="P220" s="15"/>
    </row>
    <row r="221" spans="1:16">
      <c r="A221" s="8"/>
      <c r="B221" s="15">
        <v>2503</v>
      </c>
      <c r="C221" s="15">
        <v>265</v>
      </c>
      <c r="D221" s="15">
        <v>15</v>
      </c>
      <c r="E221" s="15">
        <v>0</v>
      </c>
      <c r="F221" s="14" t="str">
        <f>VLOOKUP(C221,skill_list!B:C,2)</f>
        <v>神妙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2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2504</v>
      </c>
      <c r="C222" s="15">
        <v>411</v>
      </c>
      <c r="D222" s="15">
        <v>15</v>
      </c>
      <c r="E222" s="15">
        <v>0</v>
      </c>
      <c r="F222" s="14" t="str">
        <f>VLOOKUP(C222,skill_list!B:C,2)</f>
        <v>ナイトフォール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2601</v>
      </c>
      <c r="C223" s="15">
        <v>325</v>
      </c>
      <c r="D223" s="15">
        <v>16</v>
      </c>
      <c r="E223" s="15">
        <v>0</v>
      </c>
      <c r="F223" s="14" t="str">
        <f>VLOOKUP(C223,skill_list!B:C,2)</f>
        <v>イチコロスマイル</v>
      </c>
      <c r="G223" s="11"/>
      <c r="H223" s="15">
        <v>5</v>
      </c>
      <c r="I223" s="15">
        <v>5</v>
      </c>
      <c r="J223" s="15">
        <v>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2602</v>
      </c>
      <c r="C224" s="15">
        <v>378</v>
      </c>
      <c r="D224" s="15">
        <v>16</v>
      </c>
      <c r="E224" s="15">
        <v>0</v>
      </c>
      <c r="F224" s="14" t="str">
        <f>VLOOKUP(C224,skill_list!B:C,2)</f>
        <v>バックラッシュ</v>
      </c>
      <c r="G224" s="11"/>
      <c r="H224" s="15">
        <v>5</v>
      </c>
      <c r="I224" s="15">
        <v>5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2603</v>
      </c>
      <c r="C225" s="15">
        <v>419</v>
      </c>
      <c r="D225" s="15">
        <v>16</v>
      </c>
      <c r="E225" s="15">
        <v>0</v>
      </c>
      <c r="F225" s="14" t="str">
        <f>VLOOKUP(C225,skill_list!B:C,2)</f>
        <v>セルフパッション</v>
      </c>
      <c r="G225" s="11"/>
      <c r="H225" s="15">
        <v>5</v>
      </c>
      <c r="I225" s="15">
        <v>5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2701</v>
      </c>
      <c r="C226" s="15">
        <v>189</v>
      </c>
      <c r="D226" s="15">
        <v>17</v>
      </c>
      <c r="E226" s="15">
        <v>0</v>
      </c>
      <c r="F226" s="14" t="str">
        <f>VLOOKUP(C226,skill_list!B:C,2)</f>
        <v>心意活性</v>
      </c>
      <c r="G226" s="11"/>
      <c r="H226" s="15">
        <v>2</v>
      </c>
      <c r="I226" s="15">
        <v>3</v>
      </c>
      <c r="J226" s="15">
        <v>129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2702</v>
      </c>
      <c r="C227" s="15">
        <v>255</v>
      </c>
      <c r="D227" s="15">
        <v>17</v>
      </c>
      <c r="E227" s="15">
        <v>0</v>
      </c>
      <c r="F227" s="14" t="str">
        <f>VLOOKUP(C227,skill_list!B:C,2)</f>
        <v>ホールドアップマインド</v>
      </c>
      <c r="G227" s="11"/>
      <c r="H227" s="15">
        <v>2</v>
      </c>
      <c r="I227" s="15">
        <v>2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2703</v>
      </c>
      <c r="C228" s="15">
        <v>236</v>
      </c>
      <c r="D228" s="15">
        <v>17</v>
      </c>
      <c r="E228" s="15">
        <v>0</v>
      </c>
      <c r="F228" s="14" t="str">
        <f>VLOOKUP(C228,skill_list!B:C,2)</f>
        <v>ブリリアント・グローリー</v>
      </c>
      <c r="G228" s="11"/>
      <c r="H228" s="15">
        <v>2</v>
      </c>
      <c r="I228" s="15">
        <v>3</v>
      </c>
      <c r="J228" s="15">
        <v>208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3300</v>
      </c>
      <c r="C229" s="15">
        <v>1007</v>
      </c>
      <c r="D229" s="15">
        <v>23</v>
      </c>
      <c r="E229" s="15">
        <v>0</v>
      </c>
      <c r="F229" s="14" t="str">
        <f>VLOOKUP(C229,skill_list!B:C,2)</f>
        <v>ポイントケア</v>
      </c>
      <c r="G229" s="11"/>
      <c r="H229" s="15">
        <v>3</v>
      </c>
      <c r="I229" s="15">
        <v>3</v>
      </c>
      <c r="J229" s="15">
        <v>0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3401</v>
      </c>
      <c r="C230" s="15">
        <v>137</v>
      </c>
      <c r="D230" s="15">
        <v>24</v>
      </c>
      <c r="E230" s="15">
        <v>0</v>
      </c>
      <c r="F230" s="14" t="str">
        <f>VLOOKUP(C230,skill_list!B:C,2)</f>
        <v>サイクロンブレード</v>
      </c>
      <c r="G230" s="11"/>
      <c r="H230" s="15">
        <v>0</v>
      </c>
      <c r="I230" s="15">
        <v>0</v>
      </c>
      <c r="J230" s="15">
        <v>0</v>
      </c>
      <c r="K230" s="15">
        <v>0</v>
      </c>
      <c r="L230" s="15">
        <v>7</v>
      </c>
      <c r="M230" s="15">
        <v>0</v>
      </c>
      <c r="N230" s="15">
        <v>1</v>
      </c>
      <c r="O230" s="15">
        <v>999</v>
      </c>
      <c r="P230" s="15"/>
    </row>
    <row r="231" spans="1:16">
      <c r="A231" s="8"/>
      <c r="B231" s="15">
        <v>3402</v>
      </c>
      <c r="C231" s="15">
        <v>211</v>
      </c>
      <c r="D231" s="15">
        <v>24</v>
      </c>
      <c r="E231" s="15">
        <v>0</v>
      </c>
      <c r="F231" s="14" t="str">
        <f>VLOOKUP(C231,skill_list!B:C,2)</f>
        <v>我忘恍惚</v>
      </c>
      <c r="G231" s="11"/>
      <c r="H231" s="15">
        <v>0</v>
      </c>
      <c r="I231" s="15">
        <v>0</v>
      </c>
      <c r="J231" s="15">
        <v>0</v>
      </c>
      <c r="K231" s="15">
        <v>0</v>
      </c>
      <c r="L231" s="15">
        <v>7</v>
      </c>
      <c r="M231" s="15">
        <v>0</v>
      </c>
      <c r="N231" s="15">
        <v>1</v>
      </c>
      <c r="O231" s="15">
        <v>1</v>
      </c>
      <c r="P231" s="15"/>
    </row>
    <row r="232" spans="1:16">
      <c r="A232" s="8"/>
      <c r="B232" s="15">
        <v>3403</v>
      </c>
      <c r="C232" s="15">
        <v>229</v>
      </c>
      <c r="D232" s="15">
        <v>24</v>
      </c>
      <c r="E232" s="15">
        <v>0</v>
      </c>
      <c r="F232" s="14" t="str">
        <f>VLOOKUP(C232,skill_list!B:C,2)</f>
        <v>フューリーインパルス</v>
      </c>
      <c r="G232" s="11"/>
      <c r="H232" s="15">
        <v>0</v>
      </c>
      <c r="I232" s="15">
        <v>0</v>
      </c>
      <c r="J232" s="15">
        <v>0</v>
      </c>
      <c r="K232" s="15">
        <v>0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3404</v>
      </c>
      <c r="C233" s="15">
        <v>243</v>
      </c>
      <c r="D233" s="15">
        <v>24</v>
      </c>
      <c r="E233" s="15">
        <v>0</v>
      </c>
      <c r="F233" s="14" t="str">
        <f>VLOOKUP(C233,skill_list!B:C,2)</f>
        <v>銀蜂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3405</v>
      </c>
      <c r="C234" s="15">
        <v>316</v>
      </c>
      <c r="D234" s="15">
        <v>24</v>
      </c>
      <c r="E234" s="15">
        <v>0</v>
      </c>
      <c r="F234" s="14" t="str">
        <f>VLOOKUP(C234,skill_list!B:C,2)</f>
        <v>決戦前夜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3406</v>
      </c>
      <c r="C235" s="15">
        <v>465</v>
      </c>
      <c r="D235" s="15">
        <v>24</v>
      </c>
      <c r="E235" s="15">
        <v>0</v>
      </c>
      <c r="F235" s="14" t="str">
        <f>VLOOKUP(C235,skill_list!B:C,2)</f>
        <v>朝霜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1</v>
      </c>
      <c r="O235" s="15">
        <v>999</v>
      </c>
      <c r="P235" s="15"/>
    </row>
  </sheetData>
  <autoFilter ref="B6:P235" xr:uid="{401BDCFC-C7C7-426C-A276-7FBF75833C9C}"/>
  <phoneticPr fontId="1"/>
  <dataValidations count="1">
    <dataValidation type="list" allowBlank="1" showInputMessage="1" showErrorMessage="1" sqref="A7:A235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1"/>
  <sheetViews>
    <sheetView zoomScale="85" zoomScaleNormal="85" workbookViewId="0">
      <selection activeCell="F32" sqref="F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1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3"/>
  <sheetViews>
    <sheetView zoomScale="85" zoomScaleNormal="85" workbookViewId="0">
      <pane ySplit="6" topLeftCell="A60" activePane="bottomLeft" state="frozen"/>
      <selection pane="bottomLeft" activeCell="G72" sqref="G72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3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tabSelected="1" zoomScale="85" zoomScaleNormal="85" workbookViewId="0">
      <selection activeCell="N30" sqref="N30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2024-05-30T16:53:19Z</dcterms:modified>
</cp:coreProperties>
</file>