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D142BA3-64B3-49DF-A0F3-ED53D6108E85}"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skill_buff!$A$6:$T$505</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59" i="67" l="1"/>
  <c r="T491" i="67"/>
  <c r="T505" i="67"/>
  <c r="T504" i="67"/>
  <c r="T503" i="67"/>
  <c r="T502" i="67"/>
  <c r="T501" i="67"/>
  <c r="T500" i="67"/>
  <c r="T499" i="67"/>
  <c r="T498" i="67"/>
  <c r="T497" i="67"/>
  <c r="T496" i="67"/>
  <c r="T495" i="67"/>
  <c r="T494" i="67"/>
  <c r="T493" i="67"/>
  <c r="T492"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6" i="67"/>
  <c r="T465" i="67"/>
  <c r="T464" i="67"/>
  <c r="T463" i="67"/>
  <c r="T462" i="67"/>
  <c r="T461" i="67"/>
  <c r="T460"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4" i="67"/>
  <c r="T413"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5" i="67"/>
  <c r="T274" i="67"/>
  <c r="T273" i="67"/>
  <c r="T272" i="67"/>
  <c r="T271"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<sst xmlns="http://schemas.openxmlformats.org/spreadsheetml/2006/main" count="6613" uniqueCount="2936">
  <si>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</si>
  <si>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</si>
  <si>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</si>
  <si>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</si>
  <si>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</si>
  <si>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</si>
  <si>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</si>
  <si>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</si>
  <si>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</si>
  <si>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</si>
  <si>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</si>
  <si>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</si>
  <si>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</si>
  <si>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</si>
  <si>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</si>
  <si>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</si>
  <si>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</si>
  <si>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</si>
  <si>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</si>
  <si>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</si>
  <si>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</si>
  <si>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</si>
  <si>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</si>
  <si>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</si>
  <si>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</si>
  <si>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</si>
  <si>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</si>
  <si>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</si>
  <si>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</si>
  <si>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</si>
  <si>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</si>
  <si>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</si>
  <si>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</si>
  <si>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</si>
  <si>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</si>
  <si>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</si>
  <si>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</si>
  <si>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</si>
  <si>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</si>
  <si>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</si>
  <si>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</si>
  <si>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</si>
  <si>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</si>
  <si>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</si>
  <si>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</si>
  <si>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</si>
  <si>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</si>
  <si>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</si>
  <si>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</si>
  <si>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</si>
  <si>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</si>
  <si>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</si>
  <si>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</si>
  <si>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</si>
  <si>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</si>
  <si>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</si>
  <si>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</si>
  <si>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</si>
  <si>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</si>
  <si>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</si>
  <si>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</si>
  <si>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</si>
  <si>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</si>
  <si>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</si>
  <si>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</si>
  <si>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</si>
  <si>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</si>
  <si>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</si>
  <si>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</si>
  <si>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</si>
  <si>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</si>
  <si>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</si>
  <si>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</si>
  <si>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</si>
  <si>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</si>
  <si>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</si>
  <si>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</si>
  <si>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</si>
  <si>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</si>
  <si>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</si>
  <si>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</si>
  <si>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</si>
  <si>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</si>
  <si>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</si>
  <si>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</si>
  <si>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</si>
  <si>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</si>
  <si>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</si>
  <si>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</si>
  <si>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</si>
  <si>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</si>
  <si>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</si>
  <si>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</si>
  <si>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</si>
  <si>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</si>
  <si>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</si>
  <si>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</si>
  <si>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</si>
  <si>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</si>
  <si>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</si>
  <si>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</si>
  <si>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</si>
  <si>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</si>
  <si>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</si>
  <si>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</si>
  <si>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</si>
  <si>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</si>
  <si>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</si>
  <si>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</si>
  <si>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</si>
  <si>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</si>
  <si>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</si>
  <si>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</si>
  <si>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</si>
  <si>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</si>
  <si>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</si>
  <si>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</si>
  <si>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</si>
  <si>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</si>
  <si>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</si>
  <si>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</si>
  <si>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</si>
  <si>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</si>
  <si>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</si>
  <si>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</si>
  <si>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</si>
  <si>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</si>
  <si>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</si>
  <si>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</si>
  <si>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</si>
  <si>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</si>
  <si>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</si>
  <si>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</si>
  <si>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</si>
  <si>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</si>
  <si>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</si>
  <si>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</si>
  <si>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</si>
  <si>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</si>
  <si>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</si>
  <si>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</si>
  <si>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</si>
  <si>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</si>
  <si>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</si>
  <si>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</si>
  <si>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</si>
  <si>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</si>
  <si>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</si>
  <si>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</si>
  <si>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</si>
  <si>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</si>
  <si>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</si>
  <si>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</si>
  <si>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</si>
  <si>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</si>
  <si>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</si>
  <si>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</si>
  <si>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</si>
  <si>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</si>
  <si>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</si>
  <si>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</si>
  <si>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</si>
  <si>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</si>
  <si>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</si>
  <si>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</si>
  <si>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</si>
  <si>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</si>
  <si>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</si>
  <si>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</si>
  <si>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</si>
  <si>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</si>
  <si>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</si>
  <si>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</si>
  <si>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</si>
  <si>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</si>
  <si>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</si>
  <si>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</si>
  <si>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</si>
  <si>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</si>
  <si>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</si>
  <si>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</si>
  <si>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</si>
  <si>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</si>
  <si>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</si>
  <si>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</si>
  <si>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</si>
  <si>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</si>
  <si>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</si>
  <si>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</si>
  <si>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</si>
  <si>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</si>
  <si>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</si>
  <si>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</si>
  <si>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</si>
  <si>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</si>
  <si>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</si>
  <si>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</si>
  <si>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</si>
  <si>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</si>
  <si>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</si>
  <si>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</si>
  <si>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</si>
  <si>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</si>
  <si>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</si>
  <si>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</si>
  <si>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</si>
  <si>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</si>
  <si>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</si>
  <si>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</si>
  <si>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</si>
  <si>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</si>
  <si>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</si>
  <si>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</si>
  <si>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</si>
  <si>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</si>
  <si>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</si>
  <si>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</si>
  <si>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</si>
  <si>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</si>
  <si>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</si>
  <si>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</si>
  <si>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</si>
  <si>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</si>
  <si>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</si>
  <si>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</si>
  <si>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</si>
  <si>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</si>
  <si>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</si>
  <si>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</si>
  <si>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</si>
  <si>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</si>
  <si>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</si>
  <si>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</si>
  <si>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</si>
  <si>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</si>
  <si>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</si>
  <si>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</si>
  <si>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</si>
  <si>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</si>
  <si>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</si>
  <si>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</si>
  <si>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</si>
  <si>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</si>
  <si>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</si>
  <si>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</si>
  <si>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</si>
  <si>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</si>
  <si>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</si>
  <si>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</si>
  <si>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</si>
  <si>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</si>
  <si>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</si>
  <si>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</si>
  <si>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</si>
  <si>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</si>
  <si>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</si>
  <si>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</si>
  <si>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</si>
  <si>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</si>
  <si>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</si>
  <si>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</si>
  <si>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</si>
  <si>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</si>
  <si>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</si>
  <si>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</si>
  <si>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</si>
  <si>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</si>
  <si>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</si>
  <si>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</si>
  <si>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</si>
  <si>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</si>
  <si>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</si>
  <si>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</si>
  <si>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</si>
  <si>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</si>
  <si>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</si>
  <si>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</si>
  <si>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</si>
  <si>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</si>
  <si>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</si>
  <si>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</si>
  <si>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</si>
  <si>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</si>
  <si>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</si>
  <si>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</si>
  <si>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</si>
  <si>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</si>
  <si>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</si>
  <si>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</si>
  <si>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</si>
  <si>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</si>
  <si>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</si>
  <si>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</si>
  <si>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</si>
  <si>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</si>
  <si>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</si>
  <si>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</si>
  <si>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</si>
  <si>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</si>
  <si>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</si>
  <si>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</si>
  <si>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</si>
  <si>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</si>
  <si>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</si>
  <si>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</si>
  <si>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</si>
  <si>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</si>
  <si>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</si>
  <si>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</si>
  <si>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</si>
  <si>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</si>
  <si>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</si>
  <si>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</si>
  <si>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</si>
  <si>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</si>
  <si>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</si>
  <si>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</si>
  <si>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</si>
  <si>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</si>
  <si>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</si>
  <si>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</si>
  <si>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</si>
  <si>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</si>
  <si>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</si>
  <si>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</si>
  <si>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</si>
  <si>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</si>
  <si>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</si>
  <si>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</si>
  <si>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</si>
  <si>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</si>
  <si>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</si>
  <si>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</si>
  <si>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</si>
  <si>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</si>
  <si>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</si>
  <si>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</si>
  <si>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</si>
  <si>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</si>
  <si>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</si>
  <si>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</si>
  <si>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</si>
  <si>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</si>
  <si>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</si>
  <si>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</si>
  <si>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</si>
  <si>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</si>
  <si>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</si>
  <si>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</si>
  <si>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</si>
  <si>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</si>
  <si>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</si>
  <si>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</si>
  <si>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</si>
  <si>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</si>
  <si>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</si>
  <si>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</si>
  <si>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</si>
  <si>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</si>
  <si>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</si>
  <si>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</si>
  <si>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</si>
  <si>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</si>
  <si>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</si>
  <si>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</si>
  <si>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</si>
  <si>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</si>
  <si>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</si>
  <si>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</si>
  <si>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</si>
  <si>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</si>
  <si>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</si>
  <si>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</si>
  <si>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</si>
  <si>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</si>
  <si>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</si>
  <si>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</si>
  <si>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</si>
  <si>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</si>
  <si>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</si>
  <si>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</si>
  <si>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</si>
  <si>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</si>
  <si>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</si>
  <si>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</si>
  <si>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</si>
  <si>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</si>
  <si>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</si>
  <si>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</si>
  <si>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</si>
  <si>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</si>
  <si>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</si>
  <si>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</si>
  <si>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</si>
  <si>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</si>
  <si>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</si>
  <si>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</si>
  <si>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</si>
  <si>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</si>
  <si>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</si>
  <si>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</si>
  <si>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</si>
  <si>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</si>
  <si>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</si>
  <si>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</si>
  <si>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</si>
  <si>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</si>
  <si>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</si>
  <si>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</si>
  <si>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</si>
  <si>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</si>
  <si>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</si>
  <si>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</si>
  <si>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</si>
  <si>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</si>
  <si>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</si>
  <si>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</si>
  <si>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</si>
  <si>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</si>
  <si>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</si>
  <si>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</si>
  <si>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</si>
  <si>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</si>
  <si>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</si>
  <si>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</si>
  <si>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</si>
  <si>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</si>
  <si>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</si>
  <si>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</si>
  <si>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</si>
  <si>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</si>
  <si>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</si>
  <si>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</si>
  <si>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</si>
  <si>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</si>
  <si>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</si>
  <si>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</si>
  <si>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</si>
  <si>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</si>
  <si>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</si>
  <si>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</si>
  <si>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</si>
  <si>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</si>
  <si>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</si>
  <si>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</si>
  <si>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</si>
  <si>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</si>
  <si>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</si>
  <si>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</si>
  <si>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</si>
  <si>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</si>
  <si>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</si>
  <si>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</si>
  <si>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</si>
  <si>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</si>
  <si>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</si>
  <si>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</si>
  <si>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</si>
  <si>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</si>
  <si>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</si>
  <si>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</si>
  <si>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</si>
  <si>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</si>
  <si>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</si>
  <si>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</si>
  <si>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</si>
  <si>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</si>
  <si>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</si>
  <si>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</si>
  <si>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</si>
  <si>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</si>
  <si>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</si>
  <si>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</si>
  <si>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</si>
  <si>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</si>
  <si>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</si>
  <si>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</si>
  <si>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</si>
  <si>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</si>
  <si>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</si>
  <si>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</si>
  <si>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</si>
  <si>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</si>
  <si>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</si>
  <si>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</si>
  <si>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</si>
  <si>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</si>
  <si>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</si>
  <si>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</si>
  <si>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</si>
  <si>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</si>
  <si>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</si>
  <si>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</si>
  <si>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</si>
  <si>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</si>
  <si>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</si>
  <si>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</si>
  <si>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</si>
  <si>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</si>
  <si>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</si>
  <si>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</si>
  <si>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</si>
  <si>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</si>
  <si>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</si>
  <si>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</si>
  <si>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</si>
  <si>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</si>
  <si>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</si>
  <si>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</si>
  <si>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</si>
  <si>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</si>
  <si>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</si>
  <si>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</si>
  <si>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</si>
  <si>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</si>
  <si>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</si>
  <si>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</si>
  <si>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</si>
  <si>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</si>
  <si>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</si>
  <si>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</si>
  <si>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</si>
  <si>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</si>
  <si>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</si>
  <si>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</si>
  <si>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</si>
  <si>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</si>
  <si>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</si>
  <si>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</si>
  <si>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</si>
  <si>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</si>
  <si>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</si>
  <si>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</si>
  <si>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</si>
  <si>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</si>
  <si>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</si>
  <si>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</si>
  <si>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</si>
  <si>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</si>
  <si>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</si>
  <si>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</si>
  <si>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</si>
  <si>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</si>
  <si>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</si>
  <si>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</si>
  <si>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</si>
  <si>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</si>
  <si>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</si>
  <si>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</si>
  <si>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</si>
  <si>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</si>
  <si>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</si>
  <si>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</si>
  <si>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</si>
  <si>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</si>
  <si>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</si>
  <si>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</si>
  <si>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</si>
  <si>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</si>
  <si>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</si>
  <si>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</si>
  <si>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</si>
  <si>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</si>
  <si>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</si>
  <si>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</si>
  <si>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</si>
  <si>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</si>
  <si>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</si>
  <si>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</si>
  <si>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</si>
  <si>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</si>
  <si>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</si>
  <si>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</si>
  <si>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</si>
  <si>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</si>
  <si>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</si>
  <si>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</si>
  <si>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</si>
  <si>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</si>
  <si>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</si>
  <si>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</si>
  <si>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</si>
  <si>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</si>
  <si>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</si>
  <si>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</si>
  <si>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</si>
  <si>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</si>
  <si>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</si>
  <si>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</si>
  <si>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</si>
  <si>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</si>
  <si>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</si>
  <si>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</si>
  <si>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</si>
  <si>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</si>
  <si>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</si>
  <si>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</si>
  <si>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</si>
  <si>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</si>
  <si>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</si>
  <si>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</si>
  <si>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</si>
  <si>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</si>
  <si>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</si>
  <si>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</si>
  <si>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</si>
  <si>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</si>
  <si>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</si>
  <si>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</si>
  <si>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</si>
  <si>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</si>
  <si>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</si>
  <si>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</si>
  <si>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</si>
  <si>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</si>
  <si>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</si>
  <si>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</si>
  <si>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</si>
  <si>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</si>
  <si>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</si>
  <si>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</si>
  <si>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</si>
  <si>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</si>
  <si>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</si>
  <si>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</si>
  <si>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</si>
  <si>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</si>
  <si>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</si>
  <si>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</si>
  <si>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</si>
  <si>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</si>
  <si>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</si>
  <si>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</si>
  <si>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</si>
  <si>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</si>
  <si>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</si>
  <si>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</si>
  <si>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</si>
  <si>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</si>
  <si>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</si>
  <si>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</si>
  <si>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</si>
  <si>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</si>
  <si>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</si>
  <si>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</si>
  <si>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</si>
  <si>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</si>
  <si>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</si>
  <si>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</si>
  <si>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</si>
  <si>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</si>
  <si>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</si>
  <si>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</si>
  <si>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</si>
  <si>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</si>
  <si>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</si>
  <si>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</si>
  <si>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</si>
  <si>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</si>
  <si>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</si>
  <si>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</si>
  <si>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</si>
  <si>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</si>
  <si>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</si>
  <si>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</si>
  <si>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</si>
  <si>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</si>
  <si>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</si>
  <si>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</si>
  <si>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</si>
  <si>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</si>
  <si>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</si>
  <si>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</si>
  <si>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</si>
  <si>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</si>
  <si>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</si>
  <si>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</si>
  <si>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</si>
  <si>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</si>
  <si>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</si>
  <si>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</si>
  <si>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</si>
  <si>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</si>
  <si>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</si>
  <si>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</si>
  <si>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</si>
  <si>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</si>
  <si>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</si>
  <si>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</si>
  <si>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</si>
  <si>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</si>
  <si>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</si>
  <si>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</si>
  <si>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</si>
  <si>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</si>
  <si>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</si>
  <si>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</si>
  <si>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</si>
  <si>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</si>
  <si>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</si>
  <si>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</si>
  <si>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</si>
  <si>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</si>
  <si>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</si>
  <si>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</si>
  <si>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</si>
  <si>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</si>
  <si>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</si>
  <si>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</si>
  <si>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</si>
  <si>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</si>
  <si>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</si>
  <si>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</si>
  <si>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</si>
  <si>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</si>
  <si>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</si>
  <si>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</si>
  <si>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</si>
  <si>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</si>
  <si>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</si>
  <si>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</si>
  <si>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</si>
  <si>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</si>
  <si>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</si>
  <si>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</si>
  <si>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</si>
  <si>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</si>
  <si>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</si>
  <si>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</si>
  <si>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</si>
  <si>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</si>
  <si>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</si>
  <si>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</si>
  <si>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</si>
  <si>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</si>
  <si>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</si>
  <si>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</si>
  <si>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</si>
  <si>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</si>
  <si>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</si>
  <si>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</si>
  <si>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</si>
  <si>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</si>
  <si>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</si>
  <si>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</si>
  <si>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</si>
  <si>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</si>
  <si>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</si>
  <si>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</si>
  <si>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</si>
  <si>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</si>
  <si>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</si>
  <si>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</si>
  <si>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</si>
  <si>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</si>
  <si>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</si>
  <si>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</si>
  <si>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</si>
  <si>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</si>
  <si>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</si>
  <si>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</si>
  <si>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</si>
  <si>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</si>
  <si>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</si>
  <si>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</si>
  <si>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</si>
  <si>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</si>
  <si>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</si>
  <si>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</si>
  <si>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</si>
  <si>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</si>
  <si>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</si>
  <si>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</si>
  <si>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</si>
  <si>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</si>
  <si>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</si>
  <si>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</si>
  <si>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</si>
  <si>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</si>
  <si>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</si>
  <si>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</si>
  <si>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</si>
  <si>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</si>
  <si>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</si>
  <si>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</si>
  <si>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</si>
  <si>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</si>
  <si>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</si>
  <si>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</si>
  <si>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</si>
  <si>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</si>
  <si>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</si>
  <si>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</si>
  <si>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</si>
  <si>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</si>
  <si>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</si>
  <si>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</si>
  <si>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</si>
  <si>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</si>
  <si>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</si>
  <si>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</si>
  <si>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</si>
  <si>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</si>
  <si>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</si>
  <si>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</si>
  <si>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</si>
  <si>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</si>
  <si>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</si>
  <si>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</si>
  <si>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</si>
  <si>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</si>
  <si>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</si>
  <si>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</si>
  <si>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</si>
  <si>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</si>
  <si>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</si>
  <si>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</si>
  <si>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</si>
  <si>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</si>
  <si>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</si>
  <si>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</si>
  <si>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</si>
  <si>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</si>
  <si>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</si>
  <si>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</si>
  <si>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</si>
  <si>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</si>
  <si>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</si>
  <si>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</si>
  <si>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</si>
  <si>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</si>
  <si>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</si>
  <si>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</si>
  <si>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</si>
  <si>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</si>
  <si>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</si>
  <si>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</si>
  <si>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</si>
  <si>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</si>
  <si>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</si>
  <si>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</si>
  <si>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</si>
  <si>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</si>
  <si>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</si>
  <si>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</si>
  <si>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</si>
  <si>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</si>
  <si>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</si>
  <si>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</si>
  <si>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</si>
  <si>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</si>
  <si>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</si>
  <si>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</si>
  <si>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</si>
  <si>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</si>
  <si>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</si>
  <si>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</si>
  <si>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</si>
  <si>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</si>
  <si>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</si>
  <si>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</si>
  <si>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</si>
  <si>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</si>
  <si>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</si>
  <si>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</si>
  <si>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</si>
  <si>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</si>
  <si>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</si>
  <si>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</si>
  <si>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</si>
  <si>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</si>
  <si>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</si>
  <si>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</si>
  <si>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</si>
  <si>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</si>
  <si>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</si>
  <si>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</si>
  <si>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</si>
  <si>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</si>
  <si>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</si>
  <si>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</si>
  <si>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</si>
  <si>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</si>
  <si>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</si>
  <si>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</si>
  <si>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</si>
  <si>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</si>
  <si>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</si>
  <si>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</si>
  <si>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</si>
  <si>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</si>
  <si>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</si>
  <si>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</si>
  <si>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</si>
  <si>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</si>
  <si>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</si>
  <si>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</si>
  <si>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</si>
  <si>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</si>
  <si>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</si>
  <si>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</si>
  <si>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</si>
  <si>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</si>
  <si>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</si>
  <si>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</si>
  <si>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</si>
  <si>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</si>
  <si>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</si>
  <si>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</si>
  <si>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</si>
  <si>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</si>
  <si>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</si>
  <si>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</si>
  <si>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</si>
  <si>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</si>
  <si>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</si>
  <si>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</si>
  <si>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</si>
  <si>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</si>
  <si>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</si>
  <si>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</si>
  <si>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</si>
  <si>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</si>
  <si>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</si>
  <si>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</si>
  <si>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</si>
  <si>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</si>
  <si>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</si>
  <si>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</si>
  <si>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</si>
  <si>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</si>
  <si>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</si>
  <si>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</si>
  <si>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</si>
  <si>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</si>
  <si>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</si>
  <si>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</si>
  <si>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</si>
  <si>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</si>
  <si>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</si>
  <si>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</si>
  <si>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</si>
  <si>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</si>
  <si>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</si>
  <si>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</si>
  <si>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</si>
  <si>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</si>
  <si>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</si>
  <si>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</si>
  <si>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</si>
  <si>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</si>
  <si>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</si>
  <si>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</si>
  <si>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</si>
  <si>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</si>
  <si>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</si>
  <si>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</si>
  <si>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</si>
  <si>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</si>
  <si>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</si>
  <si>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</si>
  <si>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</si>
  <si>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</si>
  <si>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</si>
  <si>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</si>
  <si>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</si>
  <si>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</si>
  <si>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</si>
  <si>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</si>
  <si>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</si>
  <si>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</si>
  <si>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</si>
  <si>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</si>
  <si>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</si>
  <si>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</si>
  <si>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</si>
  <si>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</si>
  <si>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</si>
  <si>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</si>
  <si>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</si>
  <si>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</si>
  <si>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</si>
  <si>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</si>
  <si>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</si>
  <si>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</si>
  <si>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</si>
  <si>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</si>
  <si>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</si>
  <si>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</si>
  <si>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</si>
  <si>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</si>
  <si>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</si>
  <si>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</si>
  <si>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</si>
  <si>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</si>
  <si>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</si>
  <si>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</si>
  <si>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</si>
  <si>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</si>
  <si>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</si>
  <si>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</si>
  <si>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</si>
  <si>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</si>
  <si>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</si>
  <si>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</si>
  <si>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</si>
  <si>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</si>
  <si>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</si>
  <si>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</si>
  <si>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</si>
  <si>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</si>
  <si>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</si>
  <si>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</si>
  <si>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</si>
  <si>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</si>
  <si>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</si>
  <si>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</si>
  <si>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</si>
  <si>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</si>
  <si>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</si>
  <si>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</si>
  <si>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</si>
  <si>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</si>
  <si>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</si>
  <si>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</si>
  <si>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</si>
  <si>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</si>
  <si>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</si>
  <si>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</si>
  <si>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</si>
  <si>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</si>
  <si>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</si>
  <si>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</si>
  <si>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</si>
  <si>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</si>
  <si>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</si>
  <si>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</si>
  <si>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</si>
  <si>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</si>
  <si>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</si>
  <si>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</si>
  <si>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</si>
  <si>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</si>
  <si>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</si>
  <si>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</si>
  <si>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</si>
  <si>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</si>
  <si>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</si>
  <si>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</si>
  <si>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</si>
  <si>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</si>
  <si>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</si>
  <si>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</si>
  <si>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</si>
  <si>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</si>
  <si>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</si>
  <si>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</si>
  <si>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</si>
  <si>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</si>
  <si>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</si>
  <si>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</si>
  <si>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</si>
  <si>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</si>
  <si>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</si>
  <si>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</si>
  <si>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</si>
  <si>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</si>
  <si>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</si>
  <si>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</si>
  <si>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</si>
  <si>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</si>
  <si>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</si>
  <si>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</si>
  <si>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</si>
  <si>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</si>
  <si>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</si>
  <si>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</si>
  <si>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</si>
  <si>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</si>
  <si>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</si>
  <si>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</si>
  <si>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</si>
  <si>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</si>
  <si>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</si>
  <si>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</si>
  <si>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</si>
  <si>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</si>
  <si>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</si>
  <si>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</si>
  <si>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</si>
  <si>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</si>
  <si>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</si>
  <si>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</si>
  <si>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</si>
  <si>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</si>
  <si>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</si>
  <si>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</si>
  <si>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</si>
  <si>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</si>
  <si>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</si>
  <si>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</si>
  <si>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</si>
  <si>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</si>
  <si>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</si>
  <si>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</si>
  <si>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</si>
  <si>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</si>
  <si>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</si>
  <si>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</si>
  <si>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</si>
  <si>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</si>
  <si>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</si>
  <si>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</si>
  <si>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</si>
  <si>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</si>
  <si>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</si>
  <si>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</si>
  <si>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</si>
  <si>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</si>
  <si>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</si>
  <si>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</si>
  <si>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</si>
  <si>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</si>
  <si>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</si>
  <si>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</si>
  <si>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</si>
  <si>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</si>
  <si>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</si>
  <si>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</si>
  <si>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</si>
  <si>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</si>
  <si>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</si>
  <si>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</si>
  <si>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</si>
  <si>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</si>
  <si>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</si>
  <si>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</si>
  <si>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</si>
  <si>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</si>
  <si>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</si>
  <si>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</si>
  <si>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</si>
  <si>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</si>
  <si>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</si>
  <si>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</si>
  <si>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</si>
  <si>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</si>
  <si>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</si>
  <si>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</si>
  <si>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</si>
  <si>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</si>
  <si>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</si>
  <si>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</si>
  <si>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</si>
  <si>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</si>
  <si>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</si>
  <si>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</si>
  <si>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</si>
  <si>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</si>
  <si>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</si>
  <si>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</si>
  <si>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</si>
  <si>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</si>
  <si>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</si>
  <si>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</si>
  <si>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</si>
  <si>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</si>
  <si>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</si>
  <si>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</si>
  <si>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</si>
  <si>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</si>
  <si>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</si>
  <si>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</si>
  <si>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</si>
  <si>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</si>
  <si>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</si>
  <si>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</si>
  <si>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</si>
  <si>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</si>
  <si>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</si>
  <si>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</si>
  <si>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</si>
  <si>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</si>
  <si>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</si>
  <si>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</si>
  <si>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</si>
  <si>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</si>
  <si>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</si>
  <si>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</si>
  <si>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</si>
  <si>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</si>
  <si>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</si>
  <si>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</si>
  <si>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</si>
  <si>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</si>
  <si>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</si>
  <si>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</si>
  <si>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</si>
  <si>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</si>
  <si>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</si>
  <si>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</si>
  <si>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</si>
  <si>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</si>
  <si>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</si>
  <si>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</si>
  <si>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</si>
  <si>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</si>
  <si>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</si>
  <si>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</si>
  <si>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</si>
  <si>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</si>
  <si>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</si>
  <si>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</si>
  <si>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</si>
  <si>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</si>
  <si>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</si>
  <si>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</si>
  <si>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</si>
  <si>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</si>
  <si>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</si>
  <si>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</si>
  <si>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</si>
  <si>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</si>
  <si>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</si>
  <si>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</si>
  <si>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</si>
  <si>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</si>
  <si>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</si>
  <si>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</si>
  <si>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</si>
  <si>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</si>
  <si>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</si>
  <si>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</si>
  <si>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</si>
  <si>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</si>
  <si>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</si>
  <si>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</si>
  <si>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</si>
  <si>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</si>
  <si>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</si>
  <si>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</si>
  <si>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</si>
  <si>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</si>
  <si>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</si>
  <si>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</si>
  <si>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</si>
  <si>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</si>
  <si>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</si>
  <si>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</si>
  <si>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</si>
  <si>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</si>
  <si>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</si>
  <si>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</si>
  <si>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</si>
  <si>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</si>
  <si>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</si>
  <si>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</si>
  <si>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</si>
  <si>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</si>
  <si>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</si>
  <si>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</si>
  <si>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</si>
  <si>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</si>
  <si>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</si>
  <si>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</si>
  <si>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</si>
  <si>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</si>
  <si>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</si>
  <si>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</si>
  <si>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</si>
  <si>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</si>
  <si>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</si>
  <si>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</si>
  <si>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</si>
  <si>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</si>
  <si>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</si>
  <si>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</si>
  <si>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</si>
  <si>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</si>
  <si>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</si>
  <si>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</si>
  <si>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</si>
  <si>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</si>
  <si>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</si>
  <si>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</si>
  <si>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</si>
  <si>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</si>
  <si>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</si>
  <si>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</si>
  <si>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</si>
  <si>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</si>
  <si>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</si>
  <si>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</si>
  <si>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</si>
  <si>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</si>
  <si>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</si>
  <si>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</si>
  <si>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</si>
  <si>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</si>
  <si>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</si>
  <si>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</si>
  <si>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</si>
  <si>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</si>
  <si>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</si>
  <si>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</si>
  <si>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</si>
  <si>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</si>
  <si>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</si>
  <si>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</si>
  <si>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</si>
  <si>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</si>
  <si>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</si>
  <si>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</si>
  <si>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</si>
  <si>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</si>
  <si>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</si>
  <si>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</si>
  <si>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</si>
  <si>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</si>
  <si>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</si>
  <si>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</si>
  <si>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</si>
  <si>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</si>
  <si>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</si>
  <si>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</si>
  <si>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</si>
  <si>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</si>
  <si>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</si>
  <si>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</si>
  <si>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</si>
  <si>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</si>
  <si>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</si>
  <si>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</si>
  <si>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</si>
  <si>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</si>
  <si>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</si>
  <si>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</si>
  <si>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</si>
  <si>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</si>
  <si>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</si>
  <si>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</si>
  <si>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</si>
  <si>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</si>
  <si>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</si>
  <si>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</si>
  <si>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</si>
  <si>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</si>
  <si>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</si>
  <si>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</si>
  <si>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</si>
  <si>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</si>
  <si>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</si>
  <si>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</si>
  <si>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</si>
  <si>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</si>
  <si>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</si>
  <si>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</si>
  <si>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</si>
  <si>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</si>
  <si>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</si>
  <si>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</si>
  <si>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</si>
  <si>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</si>
  <si>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</si>
  <si>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</si>
  <si>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</si>
  <si>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</si>
  <si>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</si>
  <si>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</si>
  <si>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</si>
  <si>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</si>
  <si>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</si>
  <si>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</si>
  <si>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</si>
  <si>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</si>
  <si>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</si>
  <si>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</si>
  <si>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</si>
  <si>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</si>
  <si>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</si>
  <si>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</si>
  <si>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</si>
  <si>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</si>
  <si>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</si>
  <si>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</si>
  <si>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</si>
  <si>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</si>
  <si>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</si>
  <si>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</si>
  <si>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</si>
  <si>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</si>
  <si>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</si>
  <si>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</si>
  <si>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</si>
  <si>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</si>
  <si>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</si>
  <si>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</si>
  <si>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</si>
  <si>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</si>
  <si>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</si>
  <si>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</si>
  <si>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</si>
  <si>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</si>
  <si>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</si>
  <si>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</si>
  <si>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</si>
  <si>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</si>
  <si>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</si>
  <si>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</si>
  <si>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</si>
  <si>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</si>
  <si>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</si>
  <si>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</si>
  <si>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</si>
  <si>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</si>
  <si>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</si>
  <si>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</si>
  <si>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</si>
  <si>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</si>
  <si>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</si>
  <si>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</si>
  <si>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</si>
  <si>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</si>
  <si>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</si>
  <si>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</si>
  <si>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</si>
  <si>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</si>
  <si>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</si>
  <si>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</si>
  <si>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</si>
  <si>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</si>
  <si>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</si>
  <si>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</si>
  <si>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</si>
  <si>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</si>
  <si>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</si>
  <si>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</si>
  <si>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</si>
  <si>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</si>
  <si>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</si>
  <si>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</si>
  <si>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</si>
  <si>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</si>
  <si>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</si>
  <si>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</si>
  <si>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</si>
  <si>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</si>
  <si>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</si>
  <si>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</si>
  <si>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</si>
  <si>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</si>
  <si>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</si>
  <si>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</si>
  <si>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</si>
  <si>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</si>
  <si>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</si>
  <si>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</si>
  <si>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</si>
  <si>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</si>
  <si>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</si>
  <si>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</si>
  <si>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</si>
  <si>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</si>
  <si>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</si>
  <si>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</si>
  <si>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</si>
  <si>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</si>
  <si>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</si>
  <si>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</si>
  <si>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</si>
  <si>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</si>
  <si>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</si>
  <si>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</si>
  <si>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</si>
  <si>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</si>
  <si>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</si>
  <si>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</si>
  <si>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</si>
  <si>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</si>
  <si>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</si>
  <si>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</si>
  <si>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</si>
  <si>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</si>
  <si>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</si>
  <si>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</si>
  <si>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</si>
  <si>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</si>
  <si>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</si>
  <si>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</si>
  <si>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</si>
  <si>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</si>
  <si>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</si>
  <si>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</si>
  <si>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</si>
  <si>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</si>
  <si>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</si>
  <si>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</si>
  <si>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</si>
  <si>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</si>
  <si>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</si>
  <si>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</si>
  <si>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</si>
  <si>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</si>
  <si>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</si>
  <si>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</si>
  <si>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</si>
  <si>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</si>
  <si>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</si>
  <si>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</si>
  <si>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</si>
  <si>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</si>
  <si>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</si>
  <si>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</si>
  <si>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</si>
  <si>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</si>
  <si>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</si>
  <si>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</si>
  <si>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</si>
  <si>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</si>
  <si>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</si>
  <si>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</si>
  <si>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</si>
  <si>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</si>
  <si>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</si>
  <si>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</si>
  <si>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</si>
  <si>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</si>
  <si>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</si>
  <si>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</si>
  <si>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</si>
  <si>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</si>
  <si>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</si>
  <si>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</si>
  <si>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</si>
  <si>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</si>
  <si>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</si>
  <si>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</si>
  <si>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</si>
  <si>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</si>
  <si>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</si>
  <si>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</si>
  <si>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</si>
  <si>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</si>
  <si>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</si>
  <si>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</si>
  <si>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</si>
  <si>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</si>
  <si>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</si>
  <si>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</si>
  <si>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</si>
  <si>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</si>
  <si>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</si>
  <si>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</si>
  <si>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</si>
  <si>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</si>
  <si>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</si>
  <si>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</si>
  <si>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</si>
  <si>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</si>
  <si>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</si>
  <si>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</si>
  <si>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</si>
  <si>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</si>
  <si>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</si>
  <si>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</si>
  <si>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</si>
  <si>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</si>
  <si>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</si>
  <si>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</si>
  <si>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</si>
  <si>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</si>
  <si>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</si>
  <si>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</si>
  <si>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</si>
  <si>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</si>
  <si>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</si>
  <si>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</si>
  <si>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</si>
  <si>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</si>
  <si>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</si>
  <si>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</si>
  <si>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</si>
  <si>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</si>
  <si>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</si>
  <si>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</si>
  <si>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</si>
  <si>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</si>
  <si>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</si>
  <si>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</si>
  <si>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</si>
  <si>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</si>
  <si>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</si>
  <si>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</si>
  <si>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</si>
  <si>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</si>
  <si>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</si>
  <si>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</si>
  <si>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</si>
  <si>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</si>
  <si>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</si>
  <si>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</si>
  <si>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</si>
  <si>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</si>
  <si>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</si>
  <si>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</si>
  <si>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</si>
  <si>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</si>
  <si>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</si>
  <si>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</si>
  <si>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</si>
  <si>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</si>
  <si>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</si>
  <si>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</si>
  <si>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</si>
  <si>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</si>
  <si>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</si>
  <si>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</si>
  <si>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</si>
  <si>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</si>
  <si>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</si>
  <si>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</si>
  <si>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</si>
  <si>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</si>
  <si>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</si>
  <si>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</si>
  <si>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</si>
  <si>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</si>
  <si>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</si>
  <si>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</si>
  <si>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</si>
  <si>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</si>
  <si>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</si>
  <si>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</si>
  <si>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</si>
  <si>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</si>
  <si>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</si>
  <si>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</si>
  <si>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</si>
  <si>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</si>
  <si>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</si>
  <si>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</si>
  <si>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</si>
  <si>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</si>
  <si>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</si>
  <si>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</si>
  <si>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</si>
  <si>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</si>
  <si>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</si>
  <si>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</si>
  <si>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</si>
  <si>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</si>
  <si>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</si>
  <si>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</si>
  <si>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</si>
  <si>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</si>
  <si>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</si>
  <si>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</si>
  <si>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</si>
  <si>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</si>
  <si>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</si>
  <si>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</si>
  <si>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</si>
  <si>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</si>
  <si>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</si>
  <si>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</si>
  <si>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</si>
  <si>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</si>
  <si>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</si>
  <si>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</si>
  <si>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</si>
  <si>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</si>
  <si>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</si>
  <si>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</si>
  <si>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</si>
  <si>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</si>
  <si>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</si>
  <si>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</si>
  <si>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</si>
  <si>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</si>
  <si>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</si>
  <si>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</si>
  <si>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</si>
  <si>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</si>
  <si>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</si>
  <si>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</si>
  <si>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</si>
  <si>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</si>
  <si>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</si>
  <si>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</si>
  <si>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</si>
  <si>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</si>
  <si>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</si>
  <si>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</si>
  <si>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</si>
  <si>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</si>
  <si>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</si>
  <si>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</si>
  <si>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</si>
  <si>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</si>
  <si>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</si>
  <si>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</si>
  <si>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</si>
  <si>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</si>
  <si>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</si>
  <si>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</si>
  <si>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</si>
  <si>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</si>
  <si>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</si>
  <si>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</si>
  <si>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</si>
  <si>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</si>
  <si>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</si>
  <si>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</si>
  <si>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</si>
  <si>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</si>
  <si>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</si>
  <si>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</si>
  <si>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</si>
  <si>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</si>
  <si>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</si>
  <si>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</si>
  <si>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</si>
  <si>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</si>
  <si>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</si>
  <si>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</si>
  <si>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</si>
  <si>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</si>
  <si>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</si>
  <si>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</si>
  <si>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</si>
  <si>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</si>
  <si>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</si>
  <si>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</si>
  <si>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</si>
  <si>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</si>
  <si>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</si>
  <si>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</si>
  <si>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</si>
  <si>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</si>
  <si>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</si>
  <si>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</si>
  <si>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</si>
  <si>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</si>
  <si>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</si>
  <si>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</si>
  <si>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</si>
  <si>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</si>
  <si>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</si>
  <si>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</si>
  <si>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</si>
  <si>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</si>
  <si>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</si>
  <si>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</si>
  <si>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</si>
  <si>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</si>
  <si>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</si>
  <si>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</si>
  <si>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</si>
  <si>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</si>
  <si>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</si>
  <si>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</si>
  <si>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</si>
  <si>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</si>
  <si>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</si>
  <si>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</si>
  <si>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</si>
  <si>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</si>
  <si>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</si>
  <si>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</si>
  <si>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</si>
  <si>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</si>
  <si>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</si>
  <si>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</si>
  <si>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</si>
  <si>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</si>
  <si>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</si>
  <si>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</si>
  <si>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</si>
  <si>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</si>
  <si>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</si>
  <si>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</si>
  <si>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</si>
  <si>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</si>
  <si>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</si>
  <si>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</si>
  <si>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</si>
  <si>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</si>
  <si>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</si>
  <si>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</si>
  <si>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</si>
  <si>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</si>
  <si>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</si>
  <si>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</si>
  <si>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</si>
  <si>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</si>
  <si>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</si>
  <si>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</si>
  <si>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</si>
  <si>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</si>
  <si>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</si>
  <si>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</si>
  <si>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</si>
  <si>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</si>
  <si>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</si>
  <si>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</si>
  <si>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</si>
  <si>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</si>
  <si>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</si>
  <si>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</si>
  <si>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</si>
  <si>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</si>
  <si>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</si>
  <si>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</si>
  <si>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</si>
  <si>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</si>
  <si>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</si>
  <si>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</si>
  <si>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</si>
  <si>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</si>
  <si>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</si>
  <si>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</si>
  <si>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</si>
  <si>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</si>
  <si>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</si>
  <si>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</si>
  <si>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</si>
  <si>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</si>
  <si>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</si>
  <si>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</si>
  <si>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</si>
  <si>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</si>
  <si>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</si>
  <si>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</si>
  <si>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</si>
  <si>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</si>
  <si>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</si>
  <si>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</si>
  <si>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</si>
  <si>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</si>
  <si>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</si>
  <si>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</si>
  <si>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</si>
  <si>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</si>
  <si>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</si>
  <si>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</si>
  <si>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</si>
  <si>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</si>
  <si>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</si>
  <si>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</si>
  <si>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</si>
  <si>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</si>
  <si>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</si>
  <si>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</si>
  <si>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</si>
  <si>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</si>
  <si>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</si>
  <si>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</si>
  <si>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</si>
  <si>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</si>
  <si>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</si>
  <si>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</si>
  <si>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</si>
  <si>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</si>
  <si>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</si>
  <si>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</si>
  <si>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</si>
  <si>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</si>
  <si>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</si>
  <si>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</si>
  <si>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</si>
  <si>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</si>
  <si>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</si>
  <si>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</si>
  <si>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</si>
  <si>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</si>
  <si>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</si>
  <si>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</si>
  <si>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</si>
  <si>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</si>
  <si>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</si>
  <si>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</si>
  <si>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</si>
  <si>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</si>
  <si>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</si>
  <si>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</si>
  <si>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</si>
  <si>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</si>
  <si>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</si>
  <si>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</si>
  <si>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</si>
  <si>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</si>
  <si>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</si>
  <si>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</si>
  <si>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</si>
  <si>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</si>
  <si>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</si>
  <si>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</si>
  <si>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</si>
  <si>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</si>
  <si>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</si>
  <si>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</si>
  <si>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</si>
  <si>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</si>
  <si>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</si>
  <si>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</si>
  <si>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</si>
  <si>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</si>
  <si>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</si>
  <si>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</si>
  <si>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</si>
  <si>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</si>
  <si>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</si>
  <si>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</si>
  <si>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</si>
  <si>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</si>
  <si>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</si>
  <si>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</si>
  <si>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</si>
  <si>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</si>
  <si>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</si>
  <si>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</si>
  <si>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</si>
  <si>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</si>
  <si>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</si>
  <si>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</si>
  <si>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</si>
  <si>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</si>
  <si>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</si>
  <si>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</si>
  <si>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</si>
  <si>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</si>
  <si>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</si>
  <si>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</si>
  <si>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</si>
  <si>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</si>
  <si>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</si>
  <si>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</si>
  <si>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</si>
  <si>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</si>
  <si>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</si>
  <si>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</si>
  <si>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</si>
  <si>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</si>
  <si>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</si>
  <si>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</si>
  <si>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</si>
  <si>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</si>
  <si>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</si>
  <si>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</si>
  <si>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</si>
  <si>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</si>
  <si>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</si>
  <si>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</si>
  <si>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</si>
  <si>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</si>
  <si>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</si>
  <si>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</si>
  <si>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</si>
  <si>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</si>
  <si>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</si>
  <si>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</si>
  <si>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</si>
  <si>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</si>
  <si>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</si>
  <si>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</si>
  <si>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</si>
  <si>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</si>
  <si>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</si>
  <si>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</si>
  <si>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</si>
  <si>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</si>
  <si>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</si>
  <si>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</si>
  <si>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</si>
  <si>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</si>
  <si>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</si>
  <si>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</si>
  <si>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</si>
  <si>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</si>
  <si>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</si>
  <si>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</si>
  <si>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</si>
  <si>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</si>
  <si>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</si>
  <si>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</si>
  <si>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</si>
  <si>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</si>
  <si>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</si>
  <si>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</si>
  <si>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</si>
  <si>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</si>
  <si>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</si>
  <si>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</si>
  <si>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</si>
  <si>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</si>
  <si>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</si>
  <si>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</si>
  <si>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</si>
  <si>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</si>
  <si>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</si>
  <si>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</si>
  <si>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</si>
  <si>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</si>
  <si>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</si>
  <si>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</si>
  <si>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</si>
  <si>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</si>
  <si>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</si>
  <si>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</si>
  <si>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</si>
  <si>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</si>
  <si>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</si>
  <si>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</si>
  <si>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</si>
  <si>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</si>
  <si>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</si>
  <si>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</si>
  <si>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</si>
  <si>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</si>
  <si>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</si>
  <si>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</si>
  <si>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</si>
  <si>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</si>
  <si>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</si>
  <si>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</si>
  <si>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</si>
  <si>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</si>
  <si>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</si>
  <si>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</si>
  <si>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</si>
  <si>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</si>
  <si>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</si>
  <si>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</si>
  <si>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</si>
  <si>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</si>
  <si>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</si>
  <si>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</si>
  <si>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</si>
  <si>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</si>
  <si>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</si>
  <si>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</si>
  <si>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</si>
  <si>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</si>
  <si>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</si>
  <si>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</si>
  <si>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</si>
  <si>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</si>
  <si>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</si>
  <si>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</si>
  <si>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</si>
  <si>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</si>
  <si>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</si>
  <si>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</si>
  <si>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</si>
  <si>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</si>
  <si>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</si>
  <si>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</si>
  <si>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</si>
  <si>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</si>
  <si>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</si>
  <si>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</si>
  <si>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</si>
  <si>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</si>
  <si>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</si>
  <si>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</si>
  <si>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</si>
  <si>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</si>
  <si>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</si>
  <si>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</si>
  <si>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</si>
  <si>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</si>
  <si>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</si>
  <si>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</si>
  <si>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</si>
  <si>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</si>
  <si>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</si>
  <si>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</si>
  <si>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</si>
  <si>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</si>
  <si>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</si>
  <si>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</si>
  <si>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</si>
  <si>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</si>
  <si>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</si>
  <si>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</si>
  <si>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</si>
  <si>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</si>
  <si>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</si>
  <si>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</si>
  <si>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</si>
  <si>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</si>
  <si>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</si>
  <si>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</si>
  <si>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</si>
  <si>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</si>
  <si>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</si>
  <si>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</si>
  <si>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</si>
  <si>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</si>
  <si>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</si>
  <si>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</si>
  <si>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</si>
  <si>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</si>
  <si>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</si>
  <si>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</si>
  <si>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</si>
  <si>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</si>
  <si>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</si>
  <si>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</si>
  <si>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</si>
  <si>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</si>
  <si>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</si>
  <si>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</si>
  <si>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</si>
  <si>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</si>
  <si>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</si>
  <si>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</si>
  <si>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</si>
  <si>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</si>
  <si>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</si>
  <si>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</si>
  <si>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</si>
  <si>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</si>
  <si>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</si>
  <si>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</si>
  <si>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</si>
  <si>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</si>
  <si>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</si>
  <si>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</si>
  <si>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</si>
  <si>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</si>
  <si>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</si>
  <si>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</si>
  <si>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</si>
  <si>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</si>
  <si>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</si>
  <si>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</si>
  <si>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</si>
  <si>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</si>
  <si>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</si>
  <si>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</si>
  <si>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</si>
  <si>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</si>
  <si>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</si>
  <si>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</si>
  <si>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</si>
  <si>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</si>
  <si>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</si>
  <si>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</si>
  <si>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</si>
  <si>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</si>
  <si>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</si>
  <si>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</si>
  <si>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</si>
  <si>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</si>
  <si>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</si>
  <si>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</si>
  <si>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</si>
  <si>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</si>
  <si>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</si>
  <si>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</si>
  <si>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</si>
  <si>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</si>
  <si>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</si>
  <si>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</si>
  <si>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</si>
  <si>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</si>
  <si>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</si>
  <si>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</si>
  <si>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</si>
  <si>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</si>
  <si>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</si>
  <si>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</si>
  <si>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</si>
  <si>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</si>
  <si>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</si>
  <si>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</si>
  <si>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</si>
  <si>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</si>
  <si>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</si>
  <si>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</si>
  <si>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</si>
  <si>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</si>
  <si>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</si>
  <si>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</si>
  <si>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</si>
  <si>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</si>
  <si>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</si>
  <si>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</si>
  <si>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</si>
  <si>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</si>
  <si>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</si>
  <si>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</si>
  <si>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</si>
  <si>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</si>
  <si>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</si>
  <si>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</si>
  <si>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</si>
  <si>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</si>
  <si>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</si>
  <si>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</si>
  <si>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</si>
  <si>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</si>
  <si>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</si>
  <si>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</si>
  <si>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</si>
  <si>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</si>
  <si>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</si>
  <si>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</si>
  <si>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</si>
  <si>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</si>
  <si>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</si>
  <si>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</si>
  <si>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</si>
  <si>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</si>
  <si>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</si>
  <si>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</si>
  <si>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</si>
  <si>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</si>
  <si>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</si>
  <si>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</si>
  <si>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</si>
  <si>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</si>
  <si>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</si>
  <si>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</si>
  <si>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</si>
  <si>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</si>
  <si>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</si>
  <si>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</si>
  <si>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</si>
  <si>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</si>
  <si>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</si>
  <si>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</si>
  <si>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</si>
  <si>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</si>
  <si>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</si>
  <si>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</si>
  <si>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</si>
  <si>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</si>
  <si>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</si>
  <si>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</si>
  <si>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</si>
  <si>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</si>
  <si>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</si>
  <si>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</si>
  <si>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</si>
  <si>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</si>
  <si>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</si>
  <si>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</si>
  <si>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</si>
  <si>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</si>
  <si>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</si>
  <si>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</si>
  <si>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</si>
  <si>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</si>
  <si>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</si>
  <si>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</si>
  <si>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</si>
  <si>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</si>
  <si>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</si>
  <si>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</si>
  <si>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</si>
  <si>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</si>
  <si>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</si>
  <si>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</si>
  <si>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</si>
  <si>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</si>
  <si>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</si>
  <si>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</si>
  <si>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</si>
  <si>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</si>
  <si>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</si>
  <si>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</si>
  <si>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</si>
  <si>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</si>
  <si>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</si>
  <si>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</si>
  <si>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</si>
  <si>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</si>
  <si>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</si>
  <si>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</si>
  <si>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</si>
  <si>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</si>
  <si>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</si>
  <si>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</si>
  <si>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</si>
  <si>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</si>
  <si>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</si>
  <si>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</si>
  <si>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</si>
  <si>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</si>
  <si>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</si>
  <si>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</si>
  <si>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</si>
  <si>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</si>
  <si>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</si>
  <si>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</si>
  <si>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</si>
  <si>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</si>
  <si>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</si>
  <si>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</si>
  <si>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</si>
  <si>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</si>
  <si>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</si>
  <si>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</si>
  <si>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</si>
  <si>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</si>
  <si>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</si>
  <si>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</si>
  <si>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</si>
  <si>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</si>
  <si>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</si>
  <si>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</si>
  <si>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</si>
  <si>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</si>
  <si>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</si>
  <si>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</si>
  <si>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</si>
  <si>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</si>
  <si>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</si>
  <si>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</si>
  <si>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</si>
  <si>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</si>
  <si>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</si>
  <si>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</si>
  <si>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</si>
  <si>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</si>
  <si>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</si>
  <si>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</si>
  <si>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</si>
  <si>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</si>
  <si>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</si>
  <si>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</si>
  <si>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</si>
  <si>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</si>
  <si>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</si>
  <si>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</si>
  <si>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</si>
  <si>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</si>
  <si>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</si>
  <si>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</si>
  <si>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</si>
  <si>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</si>
  <si>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</si>
  <si>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</si>
  <si>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</si>
  <si>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</si>
  <si>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</si>
  <si>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</si>
  <si>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</si>
  <si>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</si>
  <si>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</si>
  <si>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</si>
  <si>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</si>
  <si>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</si>
  <si>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</si>
  <si>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</si>
  <si>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</si>
  <si>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</si>
  <si>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</si>
  <si>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</si>
  <si>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</si>
  <si>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</si>
  <si>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</si>
  <si>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</si>
  <si>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</si>
  <si>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</si>
  <si>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</si>
  <si>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</si>
  <si>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</si>
  <si>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</si>
  <si>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</si>
  <si>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</si>
  <si>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</si>
  <si>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</si>
  <si>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</si>
  <si>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</si>
  <si>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</si>
  <si>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</si>
  <si>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</si>
  <si>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</si>
  <si>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</si>
  <si>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</si>
  <si>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</si>
  <si>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</si>
  <si>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</si>
  <si>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</si>
  <si>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</si>
  <si>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</si>
  <si>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</si>
  <si>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</si>
  <si>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</si>
  <si>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</si>
  <si>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</si>
  <si>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</si>
  <si>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</si>
  <si>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</si>
  <si>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</si>
  <si>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</si>
  <si>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</si>
  <si>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</si>
  <si>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</si>
  <si>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</si>
  <si>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</si>
  <si>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</si>
  <si>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</si>
  <si>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</si>
  <si>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</si>
  <si>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</si>
  <si>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</si>
  <si>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</si>
  <si>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</si>
  <si>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</si>
  <si>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</si>
  <si>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</si>
  <si>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</si>
  <si>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</si>
  <si>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</si>
  <si>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</si>
  <si>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</si>
  <si>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</si>
  <si>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</si>
  <si>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</si>
  <si>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</si>
  <si>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</si>
  <si>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</si>
  <si>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</si>
  <si>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</si>
  <si>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</si>
  <si>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</si>
  <si>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</si>
  <si>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</si>
  <si>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</si>
  <si>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</si>
  <si>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</si>
  <si>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</si>
  <si>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</si>
  <si>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</si>
  <si>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</si>
  <si>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</si>
  <si>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</si>
  <si>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</si>
  <si>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</si>
  <si>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</si>
  <si>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</si>
  <si>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</si>
  <si>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</si>
  <si>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</si>
  <si>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</si>
  <si>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</si>
  <si>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</si>
  <si>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</si>
  <si>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</si>
  <si>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</si>
  <si>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</si>
  <si>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</si>
  <si>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</si>
  <si>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</si>
  <si>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</si>
  <si>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</si>
  <si>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</si>
  <si>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</si>
  <si>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</si>
  <si>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</si>
  <si>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</si>
  <si>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</si>
  <si>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</si>
  <si>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</si>
  <si>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</si>
  <si>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</si>
  <si>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</si>
  <si>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</si>
  <si>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</si>
  <si>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</si>
  <si>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</si>
  <si>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</si>
  <si>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</si>
  <si>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</si>
  <si>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</si>
  <si>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</si>
  <si>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</si>
  <si>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</si>
  <si>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</si>
  <si>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</si>
  <si>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</si>
  <si>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</si>
  <si>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</si>
  <si>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</si>
  <si>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</si>
  <si>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</si>
  <si>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</si>
  <si>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</si>
  <si>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</si>
  <si>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</si>
  <si>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</si>
  <si>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</si>
  <si>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</si>
  <si>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</si>
  <si>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</si>
  <si>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</si>
  <si>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</si>
  <si>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</si>
  <si>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</si>
  <si>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</si>
  <si>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</si>
  <si>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</si>
  <si>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</si>
  <si>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</si>
  <si>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</si>
  <si>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</si>
  <si>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</si>
  <si>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</si>
  <si>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</si>
  <si>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</si>
  <si>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</si>
  <si>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</si>
  <si>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</si>
  <si>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</si>
  <si>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</si>
  <si>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</si>
  <si>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</si>
  <si>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</si>
  <si>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</si>
  <si>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</si>
  <si>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</si>
  <si>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</si>
  <si>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</si>
  <si>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</si>
  <si>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</si>
  <si>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</si>
  <si>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</si>
  <si>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</si>
  <si>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</si>
  <si>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</si>
  <si>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</si>
  <si>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</si>
  <si>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</si>
  <si>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</si>
  <si>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</si>
  <si>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</si>
  <si>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</si>
  <si>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</si>
  <si>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</si>
  <si>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</si>
  <si>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</si>
  <si>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</si>
  <si>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</si>
  <si>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</si>
  <si>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</si>
  <si>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</si>
  <si>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</si>
  <si>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</si>
  <si>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</si>
  <si>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</si>
  <si>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</si>
  <si>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</si>
  <si>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</si>
  <si>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</si>
  <si>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</si>
  <si>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</si>
  <si>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</si>
  <si>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</si>
  <si>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</si>
  <si>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</si>
  <si>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</si>
  <si>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</si>
  <si>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</si>
  <si>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</si>
  <si>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</si>
  <si>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</si>
  <si>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</si>
  <si>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</si>
  <si>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</si>
  <si>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</si>
  <si>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</si>
  <si>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</si>
  <si>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</si>
  <si>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</si>
  <si>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</si>
  <si>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</si>
  <si>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</si>
  <si>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</si>
  <si>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</si>
  <si>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</si>
  <si>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</si>
  <si>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</si>
  <si>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</si>
  <si>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</si>
  <si>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</si>
  <si>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</si>
  <si>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</si>
  <si>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</si>
  <si>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</si>
  <si>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</si>
  <si>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</si>
  <si>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</si>
  <si>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</si>
  <si>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</si>
  <si>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</si>
  <si>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</si>
  <si>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</si>
  <si>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</si>
  <si>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</si>
  <si>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</si>
  <si>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</si>
  <si>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</si>
  <si>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</si>
  <si>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</si>
  <si>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</si>
  <si>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</si>
  <si>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</si>
  <si>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</si>
  <si>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</si>
  <si>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</si>
  <si>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</si>
  <si>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</si>
  <si>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</si>
  <si>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</si>
  <si>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</si>
  <si>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</si>
  <si>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</si>
  <si>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</si>
  <si>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</si>
  <si>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</si>
  <si>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</si>
  <si>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</si>
  <si>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</si>
  <si>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</si>
  <si>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</si>
  <si>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</si>
  <si>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</si>
  <si>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</si>
  <si>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</si>
  <si>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</si>
  <si>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</si>
  <si>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</si>
  <si>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</si>
  <si>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</si>
  <si>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</si>
  <si>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</si>
  <si>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</si>
  <si>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</si>
  <si>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</si>
  <si>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</si>
  <si>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</si>
  <si>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</si>
  <si>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</si>
  <si>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</si>
  <si>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</si>
  <si>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</si>
  <si>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</si>
  <si>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</si>
  <si>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</si>
  <si>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</si>
  <si>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</si>
  <si>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</si>
  <si>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</si>
  <si>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</si>
  <si>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</si>
  <si>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</si>
  <si>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</si>
  <si>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</si>
  <si>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</si>
  <si>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</si>
  <si>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</si>
  <si>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</si>
  <si>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</si>
  <si>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</si>
  <si>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</si>
  <si>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</si>
  <si>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</si>
  <si>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</si>
  <si>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</si>
  <si>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</si>
  <si>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</si>
  <si>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</si>
  <si>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</si>
  <si>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</si>
  <si>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</si>
  <si>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</si>
  <si>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</si>
  <si>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</si>
  <si>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</si>
  <si>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</si>
  <si>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</si>
  <si>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</si>
  <si>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</si>
  <si>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</si>
  <si>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</si>
  <si>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</si>
  <si>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</si>
  <si>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</si>
  <si>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</si>
  <si>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</si>
  <si>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</si>
  <si>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</si>
  <si>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</si>
  <si>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</si>
  <si>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</si>
  <si>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</si>
  <si>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</si>
  <si>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</si>
  <si>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</si>
  <si>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</si>
  <si>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</si>
  <si>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</si>
  <si>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</si>
  <si>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</si>
  <si>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</si>
  <si>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</si>
  <si>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</si>
  <si>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</si>
  <si>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</si>
  <si>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</si>
  <si>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</si>
  <si>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</si>
  <si>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</si>
  <si>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</si>
  <si>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</si>
  <si>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</si>
  <si>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</si>
  <si>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</si>
  <si>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</si>
  <si>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</si>
  <si>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</si>
  <si>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</si>
  <si>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</si>
  <si>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</si>
  <si>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</si>
  <si>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</si>
  <si>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</si>
  <si>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</si>
  <si>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</si>
  <si>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</si>
  <si>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</si>
  <si>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</si>
  <si>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</si>
  <si>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</si>
  <si>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</si>
  <si>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</si>
  <si>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</si>
  <si>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</si>
  <si>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</si>
  <si>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</si>
  <si>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</si>
  <si>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</si>
  <si>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</si>
  <si>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</si>
  <si>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</si>
  <si>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</si>
  <si>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</si>
  <si>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</si>
  <si>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</si>
  <si>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</si>
  <si>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</si>
  <si>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</si>
  <si>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</si>
  <si>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</si>
  <si>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</si>
  <si>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</si>
  <si>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</si>
  <si>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</si>
  <si>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</si>
  <si>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</si>
  <si>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</si>
  <si>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</si>
  <si>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</si>
  <si>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</si>
  <si>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</si>
  <si>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</si>
  <si>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</si>
  <si>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</si>
  <si>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</si>
  <si>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</si>
  <si>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</si>
  <si>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</si>
  <si>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</si>
  <si>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</si>
  <si>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</si>
  <si>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</si>
  <si>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</si>
  <si>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</si>
  <si>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</si>
  <si>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</si>
  <si>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</si>
  <si>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</si>
  <si>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</si>
  <si>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</si>
  <si>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</si>
  <si>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</si>
  <si>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</si>
  <si>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</si>
  <si>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</si>
  <si>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</si>
  <si>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</si>
  <si>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</si>
  <si>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</si>
  <si>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</si>
  <si>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</si>
  <si>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</si>
  <si>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</si>
  <si>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</si>
  <si>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</si>
  <si>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</si>
  <si>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</si>
  <si>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</si>
  <si>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</si>
  <si>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</si>
  <si>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</si>
  <si>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</si>
  <si>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</si>
  <si>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</si>
  <si>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</si>
  <si>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</si>
  <si>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</si>
  <si>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</si>
  <si>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</si>
  <si>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</si>
  <si>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</si>
  <si>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</si>
  <si>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</si>
  <si>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</si>
  <si>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</si>
  <si>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</si>
  <si>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</si>
  <si>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</si>
  <si>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</si>
  <si>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</si>
  <si>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</si>
  <si>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</si>
  <si>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</si>
  <si>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</si>
  <si>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</si>
  <si>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</si>
  <si>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</si>
  <si>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</si>
  <si>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</si>
  <si>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</si>
  <si>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</si>
  <si>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</si>
  <si>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</si>
  <si>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</si>
  <si>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</si>
  <si>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</si>
  <si>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</si>
  <si>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</si>
  <si>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</si>
  <si>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</si>
  <si>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</si>
  <si>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</si>
  <si>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</si>
  <si>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</si>
  <si>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</si>
  <si>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</si>
  <si>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</si>
  <si>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</si>
  <si>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</si>
  <si>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</si>
  <si>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</si>
  <si>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</si>
  <si>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</si>
  <si>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</si>
  <si>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</si>
  <si>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</si>
  <si>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</si>
  <si>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</si>
  <si>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</si>
  <si>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</si>
  <si>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</si>
  <si>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</si>
  <si>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</si>
  <si>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</si>
  <si>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</si>
  <si>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</si>
  <si>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</si>
  <si>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</si>
  <si>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</si>
  <si>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</si>
  <si>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</si>
  <si>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</si>
  <si>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</si>
  <si>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</si>
  <si>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</si>
  <si>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</si>
  <si>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</si>
  <si>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</si>
  <si>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</si>
  <si>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</si>
  <si>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</si>
  <si>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</si>
  <si>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</si>
  <si>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</si>
  <si>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</si>
  <si>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</si>
  <si>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</si>
  <si>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</si>
  <si>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</si>
  <si>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</si>
  <si>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</si>
  <si>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</si>
  <si>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</si>
  <si>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</si>
  <si>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</si>
  <si>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</si>
  <si>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</si>
  <si>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</si>
  <si>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</si>
  <si>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</si>
  <si>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</si>
  <si>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</si>
  <si>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</si>
  <si>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</si>
  <si>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</si>
  <si>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</si>
  <si>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2646000,7084000,2646000,7084000</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</si>
  <si>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</si>
  <si>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</si>
  <si>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</si>
  <si>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</si>
  <si>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</si>
  <si>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</si>
  <si>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</si>
  <si>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</si>
  <si>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</si>
  <si>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</si>
  <si>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</si>
  <si>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</si>
  <si>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</si>
  <si>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</si>
  <si>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</si>
  <si>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</si>
  <si>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</si>
  <si>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</si>
  <si>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</si>
  <si>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悪の軍団は最強でゲス！</t>
    <phoneticPr fontId="1"/>
  </si>
  <si>
    <t>自身の連撃数(中ダメージ)を常時2回上げる [単独発動]</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</si>
</sst>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t="e">
        <f>IF(OR(D3="SS",D3="SSR"),B5,B6)</f>
        <v>#REF!</v>
      </c>
      <c r="C3" s="13" t="s">
        <v>76</v>
      </c>
      <c r="D3" s="13" t="s">
        <v>2516</v>
      </c>
      <c r="E3" s="17" t="s">
        <v>2528</v>
      </c>
      <c r="F3" s="17" t="s">
        <v>2529</v>
      </c>
      <c r="G3" s="13" t="s">
        <v>1337</v>
      </c>
      <c r="H3" s="13" t="s">
        <v>1343</v>
      </c>
      <c r="I3" s="13"/>
      <c r="J3" s="13" t="s">
        <v>1342</v>
      </c>
      <c r="K3" s="11" t="s">
        <v>2530</v>
      </c>
      <c r="L3" s="13" t="s">
        <v>2531</v>
      </c>
      <c r="M3" s="13" t="s">
        <v>2517</v>
      </c>
      <c r="N3" s="13" t="s">
        <v>2532</v>
      </c>
      <c r="O3" s="13" t="s">
        <v>2533</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669</v>
      </c>
      <c r="C9" s="18" t="s">
        <v>2524</v>
      </c>
      <c r="D9" s="13">
        <f>$C$4</f>
        <v>5</v>
      </c>
      <c r="E9" s="13">
        <v>0</v>
      </c>
      <c r="F9" s="18">
        <v>0</v>
      </c>
      <c r="G9" s="18">
        <v>0</v>
      </c>
      <c r="H9" s="18">
        <v>0</v>
      </c>
      <c r="I9" s="18">
        <v>1</v>
      </c>
      <c r="J9" s="18">
        <v>0</v>
      </c>
      <c r="M9">
        <f>105+F9*3</f>
        <v>105</v>
      </c>
    </row>
    <row r="10" spans="1:20">
      <c r="B10" s="13">
        <f>B9+1</f>
        <v>670</v>
      </c>
      <c r="C10" s="18" t="s">
        <v>2525</v>
      </c>
      <c r="D10" s="13">
        <f>$C$4</f>
        <v>5</v>
      </c>
      <c r="E10" s="13" t="e">
        <f>B4</f>
        <v>#REF!</v>
      </c>
      <c r="F10" s="18">
        <v>14</v>
      </c>
      <c r="G10" s="18">
        <v>146</v>
      </c>
      <c r="H10" s="18">
        <v>10</v>
      </c>
      <c r="I10" s="18">
        <v>0</v>
      </c>
      <c r="J10" s="18">
        <v>1</v>
      </c>
      <c r="M10">
        <f>105+F10*3</f>
        <v>147</v>
      </c>
    </row>
    <row r="11" spans="1:20">
      <c r="B11" s="13">
        <f>B10+1</f>
        <v>671</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2462</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1666</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2432</v>
      </c>
      <c r="K2">
        <v>1</v>
      </c>
      <c r="L2" t="s">
        <v>1351</v>
      </c>
      <c r="O2">
        <v>2</v>
      </c>
      <c r="P2" t="s">
        <v>1239</v>
      </c>
    </row>
    <row r="3" spans="1:16">
      <c r="A3">
        <v>2</v>
      </c>
      <c r="B3" t="s">
        <v>71</v>
      </c>
      <c r="C3">
        <v>3</v>
      </c>
      <c r="D3" t="s">
        <v>72</v>
      </c>
      <c r="E3">
        <v>2</v>
      </c>
      <c r="F3" t="s">
        <v>510</v>
      </c>
      <c r="G3">
        <v>3</v>
      </c>
      <c r="H3" t="s">
        <v>1337</v>
      </c>
      <c r="I3">
        <v>3</v>
      </c>
      <c r="J3" t="s">
        <v>2433</v>
      </c>
      <c r="K3">
        <v>2</v>
      </c>
      <c r="L3" t="s">
        <v>1352</v>
      </c>
      <c r="O3">
        <v>3</v>
      </c>
      <c r="P3" t="s">
        <v>1243</v>
      </c>
    </row>
    <row r="4" spans="1:16">
      <c r="A4">
        <v>3</v>
      </c>
      <c r="B4" t="s">
        <v>73</v>
      </c>
      <c r="C4">
        <v>4</v>
      </c>
      <c r="D4" t="s">
        <v>74</v>
      </c>
      <c r="E4">
        <v>3</v>
      </c>
      <c r="F4" t="s">
        <v>511</v>
      </c>
      <c r="G4">
        <v>4</v>
      </c>
      <c r="H4" t="s">
        <v>1338</v>
      </c>
      <c r="I4">
        <v>4</v>
      </c>
      <c r="J4" t="s">
        <v>2434</v>
      </c>
      <c r="K4">
        <v>3</v>
      </c>
      <c r="L4" t="s">
        <v>1353</v>
      </c>
      <c r="O4">
        <v>4</v>
      </c>
      <c r="P4" t="s">
        <v>1922</v>
      </c>
    </row>
    <row r="5" spans="1:16">
      <c r="A5">
        <v>4</v>
      </c>
      <c r="B5" t="s">
        <v>75</v>
      </c>
      <c r="C5">
        <v>5</v>
      </c>
      <c r="D5" t="s">
        <v>76</v>
      </c>
      <c r="E5">
        <v>4</v>
      </c>
      <c r="F5" t="s">
        <v>512</v>
      </c>
      <c r="G5">
        <v>5</v>
      </c>
      <c r="H5" t="s">
        <v>1339</v>
      </c>
      <c r="I5">
        <v>5</v>
      </c>
      <c r="J5" t="s">
        <v>2435</v>
      </c>
      <c r="K5">
        <v>4</v>
      </c>
      <c r="L5" t="s">
        <v>1354</v>
      </c>
      <c r="O5">
        <v>5</v>
      </c>
      <c r="P5" t="s">
        <v>1649</v>
      </c>
    </row>
    <row r="6" spans="1:16">
      <c r="A6">
        <v>5</v>
      </c>
      <c r="B6" t="s">
        <v>77</v>
      </c>
      <c r="C6">
        <v>6</v>
      </c>
      <c r="D6" t="s">
        <v>78</v>
      </c>
      <c r="E6">
        <v>5</v>
      </c>
      <c r="F6" t="s">
        <v>513</v>
      </c>
      <c r="G6">
        <v>6</v>
      </c>
      <c r="H6" t="s">
        <v>1340</v>
      </c>
      <c r="I6">
        <v>6</v>
      </c>
      <c r="J6" t="s">
        <v>2436</v>
      </c>
      <c r="K6">
        <v>5</v>
      </c>
      <c r="L6" t="s">
        <v>1355</v>
      </c>
      <c r="O6">
        <v>6</v>
      </c>
      <c r="P6" t="s">
        <v>1887</v>
      </c>
    </row>
    <row r="7" spans="1:16">
      <c r="A7">
        <v>6</v>
      </c>
      <c r="B7" t="s">
        <v>79</v>
      </c>
      <c r="C7">
        <v>7</v>
      </c>
      <c r="D7" t="s">
        <v>80</v>
      </c>
      <c r="E7">
        <v>6</v>
      </c>
      <c r="F7" t="s">
        <v>514</v>
      </c>
      <c r="G7">
        <v>7</v>
      </c>
      <c r="H7" t="s">
        <v>1341</v>
      </c>
      <c r="I7">
        <v>7</v>
      </c>
      <c r="J7" t="s">
        <v>2437</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2446</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28" zoomScale="85" zoomScaleNormal="85" workbookViewId="0">
      <selection activeCell="B38" sqref="B3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D2" sqref="D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2900</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2901</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2896</v>
      </c>
      <c r="E9" s="24">
        <v>310</v>
      </c>
      <c r="F9" s="24" t="s">
        <v>2902</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2898</v>
      </c>
      <c r="E10" s="24">
        <v>310</v>
      </c>
      <c r="F10" s="24" t="s">
        <v>2903</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2904</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2905</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2897</v>
      </c>
      <c r="E13" s="24">
        <v>320</v>
      </c>
      <c r="F13" s="24" t="s">
        <v>2906</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2899</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2895</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2907</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2913</v>
      </c>
      <c r="E18" s="24">
        <v>390</v>
      </c>
      <c r="F18" s="24" t="s">
        <v>2914</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2914</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2908</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2909</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2909</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2909</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2909</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2909</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2915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2915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2915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2915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2915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2916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2917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2456</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2918</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1876</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1877</v>
      </c>
      <c r="E233" s="24">
        <v>370</v>
      </c>
      <c r="F233" s="24" t="s">
        <v>1878</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2919</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2920</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2921</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2910</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2143</v>
      </c>
      <c r="E240" s="24">
        <v>403</v>
      </c>
      <c r="F240" s="24" t="s">
        <v>2144</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2911</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2164</v>
      </c>
      <c r="E242" s="24">
        <v>352</v>
      </c>
      <c r="F242" s="24" t="s">
        <v>1830</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2165</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2145</v>
      </c>
      <c r="E244" s="24">
        <v>355</v>
      </c>
      <c r="F244" s="24" t="s">
        <v>2146</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2348</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2187</v>
      </c>
      <c r="E246" s="24">
        <v>399</v>
      </c>
      <c r="F246" s="24" t="s">
        <v>2188</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2005</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2006</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2007</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2008</v>
      </c>
      <c r="E258" s="24">
        <v>554</v>
      </c>
      <c r="F258" s="24" t="s">
        <v>1931</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1928</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1929</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1930</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1927</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1926</v>
      </c>
      <c r="E263" s="24">
        <v>763</v>
      </c>
      <c r="F263" s="24" t="s">
        <v>1932</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2132</v>
      </c>
      <c r="E264" s="24">
        <v>430</v>
      </c>
      <c r="F264" s="24" t="s">
        <v>2138</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2133</v>
      </c>
      <c r="E265" s="24">
        <v>430</v>
      </c>
      <c r="F265" s="24" t="s">
        <v>2139</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2134</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2135</v>
      </c>
      <c r="E267" s="24">
        <v>430</v>
      </c>
      <c r="F267" s="24" t="s">
        <v>2140</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2136</v>
      </c>
      <c r="E268" s="24">
        <v>430</v>
      </c>
      <c r="F268" s="24" t="s">
        <v>2141</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2137</v>
      </c>
      <c r="E269" s="24">
        <v>430</v>
      </c>
      <c r="F269" s="24" t="s">
        <v>2142</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2912</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2376</v>
      </c>
      <c r="E271" s="24">
        <v>420</v>
      </c>
      <c r="F271" s="24" t="s">
        <v>2377</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2347</v>
      </c>
      <c r="E272" s="24">
        <v>420</v>
      </c>
      <c r="F272" s="24" t="s">
        <v>2349</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2346</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2171</v>
      </c>
      <c r="E274" s="24">
        <v>420</v>
      </c>
      <c r="F274" s="24" t="s">
        <v>2174</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2120</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2111</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1925</v>
      </c>
      <c r="E277" s="24">
        <v>420</v>
      </c>
      <c r="F277" s="24" t="s">
        <v>1924</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1870</v>
      </c>
      <c r="E278" s="24">
        <v>420</v>
      </c>
      <c r="F278" s="24" t="s">
        <v>1871</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1869</v>
      </c>
      <c r="E279" s="24">
        <v>420</v>
      </c>
      <c r="F279" s="24" t="s">
        <v>1873</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1868</v>
      </c>
      <c r="E280" s="24">
        <v>420</v>
      </c>
      <c r="F280" s="24" t="s">
        <v>1872</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1751</v>
      </c>
      <c r="E281" s="24">
        <v>420</v>
      </c>
      <c r="F281" s="24" t="s">
        <v>1752</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1716</v>
      </c>
      <c r="E282" s="24">
        <v>420</v>
      </c>
      <c r="F282" s="24" t="s">
        <v>1718</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1717</v>
      </c>
      <c r="E283" s="24">
        <v>420</v>
      </c>
      <c r="F283" s="24" t="s">
        <v>1719</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5"/>
  <sheetViews>
    <sheetView zoomScale="85" zoomScaleNormal="85" workbookViewId="0">
      <pane ySplit="6" topLeftCell="A563" activePane="bottomLeft" state="frozen"/>
      <selection pane="bottomLeft" activeCell="B572" sqref="B572:C572"/>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2932</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2455</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2321</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2366</v>
      </c>
      <c r="D359" s="14">
        <v>1</v>
      </c>
      <c r="E359" s="14">
        <v>110</v>
      </c>
      <c r="F359" s="14">
        <v>14</v>
      </c>
      <c r="G359" s="14">
        <v>143</v>
      </c>
      <c r="H359" s="14">
        <v>10</v>
      </c>
      <c r="I359" s="14">
        <v>0</v>
      </c>
      <c r="J359" s="14">
        <v>1</v>
      </c>
      <c r="K359" s="14"/>
      <c r="L359" s="14"/>
      <c r="M359" s="14"/>
    </row>
    <row r="360" spans="1:13">
      <c r="A360" s="8"/>
      <c r="B360" s="14">
        <v>453</v>
      </c>
      <c r="C360" s="14" t="s">
        <v>2367</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2246</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2368</v>
      </c>
      <c r="D444" s="14">
        <v>2</v>
      </c>
      <c r="E444" s="14">
        <v>136</v>
      </c>
      <c r="F444" s="14">
        <v>15</v>
      </c>
      <c r="G444" s="14">
        <v>149</v>
      </c>
      <c r="H444" s="14">
        <v>10</v>
      </c>
      <c r="I444" s="14">
        <v>0</v>
      </c>
      <c r="J444" s="14">
        <v>1</v>
      </c>
      <c r="K444" s="14"/>
      <c r="L444" s="14"/>
      <c r="M444" s="14"/>
    </row>
    <row r="445" spans="1:13">
      <c r="A445" s="8"/>
      <c r="B445" s="14">
        <v>538</v>
      </c>
      <c r="C445" s="14" t="s">
        <v>2369</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2236</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2243</v>
      </c>
      <c r="D539" s="14">
        <v>28</v>
      </c>
      <c r="E539" s="14">
        <v>164</v>
      </c>
      <c r="F539" s="14">
        <v>0</v>
      </c>
      <c r="G539" s="14">
        <v>0</v>
      </c>
      <c r="H539" s="14">
        <v>1</v>
      </c>
      <c r="I539" s="14">
        <v>1</v>
      </c>
      <c r="J539" s="14">
        <v>1</v>
      </c>
      <c r="K539" s="14"/>
      <c r="L539" s="14"/>
      <c r="M539" s="14"/>
    </row>
    <row r="540" spans="1:13">
      <c r="A540" s="8"/>
      <c r="B540" s="14">
        <v>633</v>
      </c>
      <c r="C540" s="14" t="s">
        <v>2244</v>
      </c>
      <c r="D540" s="14">
        <v>28</v>
      </c>
      <c r="E540" s="14">
        <v>164</v>
      </c>
      <c r="F540" s="14">
        <v>10</v>
      </c>
      <c r="G540" s="14">
        <v>125</v>
      </c>
      <c r="H540" s="14">
        <v>10</v>
      </c>
      <c r="I540" s="14">
        <v>0</v>
      </c>
      <c r="J540" s="14">
        <v>1</v>
      </c>
      <c r="K540" s="14">
        <v>5</v>
      </c>
      <c r="L540" s="14"/>
      <c r="M540" s="14"/>
    </row>
    <row r="541" spans="1:13">
      <c r="A541" s="8"/>
      <c r="B541" s="14">
        <v>634</v>
      </c>
      <c r="C541" s="14" t="s">
        <v>2245</v>
      </c>
      <c r="D541" s="14">
        <v>32</v>
      </c>
      <c r="E541" s="14">
        <v>0</v>
      </c>
      <c r="F541" s="14">
        <v>9</v>
      </c>
      <c r="G541" s="14">
        <v>131</v>
      </c>
      <c r="H541" s="14">
        <v>10</v>
      </c>
      <c r="I541" s="14">
        <v>0</v>
      </c>
      <c r="J541" s="14">
        <v>0</v>
      </c>
      <c r="K541" s="14"/>
      <c r="L541" s="14"/>
      <c r="M541" s="14"/>
    </row>
    <row r="542" spans="1:13">
      <c r="A542" s="8"/>
      <c r="B542" s="14">
        <v>635</v>
      </c>
      <c r="C542" s="14" t="s">
        <v>2319</v>
      </c>
      <c r="D542" s="14">
        <v>31</v>
      </c>
      <c r="E542" s="14">
        <v>165</v>
      </c>
      <c r="F542" s="14">
        <v>0</v>
      </c>
      <c r="G542" s="14">
        <v>0</v>
      </c>
      <c r="H542" s="14">
        <v>1</v>
      </c>
      <c r="I542" s="14">
        <v>1</v>
      </c>
      <c r="J542" s="14">
        <v>0</v>
      </c>
      <c r="K542" s="14"/>
      <c r="L542" s="14"/>
      <c r="M542" s="14"/>
    </row>
    <row r="543" spans="1:13">
      <c r="A543" s="8"/>
      <c r="B543" s="14">
        <v>636</v>
      </c>
      <c r="C543" s="14" t="s">
        <v>2320</v>
      </c>
      <c r="D543" s="14">
        <v>31</v>
      </c>
      <c r="E543" s="14">
        <v>165</v>
      </c>
      <c r="F543" s="14">
        <v>18</v>
      </c>
      <c r="G543" s="14">
        <v>150</v>
      </c>
      <c r="H543" s="14">
        <v>10</v>
      </c>
      <c r="I543" s="14">
        <v>0</v>
      </c>
      <c r="J543" s="14">
        <v>1</v>
      </c>
      <c r="K543" s="14"/>
      <c r="L543" s="14"/>
      <c r="M543" s="14"/>
    </row>
    <row r="544" spans="1:13">
      <c r="A544" s="8"/>
      <c r="B544" s="14">
        <v>637</v>
      </c>
      <c r="C544" s="14" t="s">
        <v>2341</v>
      </c>
      <c r="D544" s="14">
        <v>34</v>
      </c>
      <c r="E544" s="14">
        <v>0</v>
      </c>
      <c r="F544" s="14">
        <v>7</v>
      </c>
      <c r="G544" s="14">
        <v>0</v>
      </c>
      <c r="H544" s="14">
        <v>1</v>
      </c>
      <c r="I544" s="14">
        <v>0</v>
      </c>
      <c r="J544" s="14">
        <v>0</v>
      </c>
      <c r="K544" s="14">
        <v>12</v>
      </c>
      <c r="L544" s="14">
        <v>21</v>
      </c>
      <c r="M544" s="14"/>
    </row>
    <row r="545" spans="1:13">
      <c r="A545" s="8"/>
      <c r="B545" s="14">
        <v>638</v>
      </c>
      <c r="C545" s="14" t="s">
        <v>2323</v>
      </c>
      <c r="D545" s="14">
        <v>34</v>
      </c>
      <c r="E545" s="14">
        <v>166</v>
      </c>
      <c r="F545" s="14">
        <v>15</v>
      </c>
      <c r="G545" s="14">
        <v>149</v>
      </c>
      <c r="H545" s="14">
        <v>10</v>
      </c>
      <c r="I545" s="14">
        <v>0</v>
      </c>
      <c r="J545" s="14">
        <v>1</v>
      </c>
      <c r="K545" s="14"/>
      <c r="L545" s="14"/>
      <c r="M545" s="14"/>
    </row>
    <row r="546" spans="1:13">
      <c r="A546" s="8"/>
      <c r="B546" s="14">
        <v>639</v>
      </c>
      <c r="C546" s="14" t="s">
        <v>2343</v>
      </c>
      <c r="D546" s="14">
        <v>20</v>
      </c>
      <c r="E546" s="14">
        <v>0</v>
      </c>
      <c r="F546" s="14">
        <v>14</v>
      </c>
      <c r="G546" s="14">
        <v>0</v>
      </c>
      <c r="H546" s="14">
        <v>10</v>
      </c>
      <c r="I546" s="14">
        <v>0</v>
      </c>
      <c r="J546" s="14">
        <v>0</v>
      </c>
      <c r="K546" s="14"/>
      <c r="L546" s="14"/>
      <c r="M546" s="14"/>
    </row>
    <row r="547" spans="1:13">
      <c r="A547" s="8"/>
      <c r="B547" s="14">
        <v>640</v>
      </c>
      <c r="C547" s="14" t="s">
        <v>2342</v>
      </c>
      <c r="D547" s="14">
        <v>20</v>
      </c>
      <c r="E547" s="14">
        <v>167</v>
      </c>
      <c r="F547" s="14">
        <v>13</v>
      </c>
      <c r="G547" s="14">
        <v>138</v>
      </c>
      <c r="H547" s="14">
        <v>10</v>
      </c>
      <c r="I547" s="14">
        <v>0</v>
      </c>
      <c r="J547" s="14">
        <v>1</v>
      </c>
      <c r="K547" s="14"/>
      <c r="L547" s="14"/>
      <c r="M547" s="14"/>
    </row>
    <row r="548" spans="1:13">
      <c r="A548" s="8"/>
      <c r="B548" s="14">
        <v>641</v>
      </c>
      <c r="C548" s="14" t="s">
        <v>2344</v>
      </c>
      <c r="D548" s="14">
        <v>38</v>
      </c>
      <c r="E548" s="14">
        <v>0</v>
      </c>
      <c r="F548" s="14">
        <v>10</v>
      </c>
      <c r="G548" s="14">
        <v>129</v>
      </c>
      <c r="H548" s="14">
        <v>10</v>
      </c>
      <c r="I548" s="14">
        <v>0</v>
      </c>
      <c r="J548" s="14">
        <v>0</v>
      </c>
      <c r="K548" s="14"/>
      <c r="L548" s="14"/>
      <c r="M548" s="14"/>
    </row>
    <row r="549" spans="1:13">
      <c r="A549" s="8"/>
      <c r="B549" s="14">
        <v>642</v>
      </c>
      <c r="C549" s="14" t="s">
        <v>2345</v>
      </c>
      <c r="D549" s="14">
        <v>38</v>
      </c>
      <c r="E549" s="14">
        <v>168</v>
      </c>
      <c r="F549" s="14">
        <v>14</v>
      </c>
      <c r="G549" s="14">
        <v>0</v>
      </c>
      <c r="H549" s="14">
        <v>10</v>
      </c>
      <c r="I549" s="14">
        <v>0</v>
      </c>
      <c r="J549" s="14">
        <v>1</v>
      </c>
      <c r="K549" s="14"/>
      <c r="L549" s="14"/>
      <c r="M549" s="14"/>
    </row>
    <row r="550" spans="1:13">
      <c r="A550" s="8"/>
      <c r="B550" s="14">
        <v>643</v>
      </c>
      <c r="C550" s="14" t="s">
        <v>2364</v>
      </c>
      <c r="D550" s="14">
        <v>10</v>
      </c>
      <c r="E550" s="14">
        <v>0</v>
      </c>
      <c r="F550" s="14">
        <v>10</v>
      </c>
      <c r="G550" s="14">
        <v>0</v>
      </c>
      <c r="H550" s="14">
        <v>10</v>
      </c>
      <c r="I550" s="14">
        <v>0</v>
      </c>
      <c r="J550" s="14">
        <v>0</v>
      </c>
      <c r="K550" s="14"/>
      <c r="L550" s="14"/>
      <c r="M550" s="14"/>
    </row>
    <row r="551" spans="1:13">
      <c r="A551" s="8"/>
      <c r="B551" s="14">
        <v>644</v>
      </c>
      <c r="C551" s="14" t="s">
        <v>2365</v>
      </c>
      <c r="D551" s="14">
        <v>10</v>
      </c>
      <c r="E551" s="14">
        <v>169</v>
      </c>
      <c r="F551" s="14">
        <v>14</v>
      </c>
      <c r="G551" s="14">
        <v>0</v>
      </c>
      <c r="H551" s="14">
        <v>10</v>
      </c>
      <c r="I551" s="14">
        <v>0</v>
      </c>
      <c r="J551" s="14">
        <v>1</v>
      </c>
      <c r="K551" s="14"/>
      <c r="L551" s="14"/>
      <c r="M551" s="14"/>
    </row>
    <row r="552" spans="1:13">
      <c r="A552" s="8"/>
      <c r="B552" s="14">
        <v>645</v>
      </c>
      <c r="C552" s="14" t="s">
        <v>2371</v>
      </c>
      <c r="D552" s="14">
        <v>11</v>
      </c>
      <c r="E552" s="14">
        <v>0</v>
      </c>
      <c r="F552" s="14">
        <v>7</v>
      </c>
      <c r="G552" s="14">
        <v>0</v>
      </c>
      <c r="H552" s="14">
        <v>10</v>
      </c>
      <c r="I552" s="14">
        <v>0</v>
      </c>
      <c r="J552" s="14">
        <v>0</v>
      </c>
      <c r="K552" s="14"/>
      <c r="L552" s="14"/>
      <c r="M552" s="14"/>
    </row>
    <row r="553" spans="1:13">
      <c r="A553" s="8"/>
      <c r="B553" s="14">
        <v>646</v>
      </c>
      <c r="C553" s="14" t="s">
        <v>2372</v>
      </c>
      <c r="D553" s="14">
        <v>11</v>
      </c>
      <c r="E553" s="14">
        <v>170</v>
      </c>
      <c r="F553" s="14">
        <v>16</v>
      </c>
      <c r="G553" s="14">
        <v>149</v>
      </c>
      <c r="H553" s="14">
        <v>10</v>
      </c>
      <c r="I553" s="14">
        <v>0</v>
      </c>
      <c r="J553" s="14">
        <v>1</v>
      </c>
      <c r="K553" s="14">
        <v>11</v>
      </c>
      <c r="L553" s="14">
        <v>30</v>
      </c>
      <c r="M553" s="14"/>
    </row>
    <row r="554" spans="1:13">
      <c r="A554" s="8"/>
      <c r="B554" s="14">
        <v>647</v>
      </c>
      <c r="C554" s="14" t="s">
        <v>2373</v>
      </c>
      <c r="D554" s="14">
        <v>8</v>
      </c>
      <c r="E554" s="14">
        <v>0</v>
      </c>
      <c r="F554" s="14">
        <v>0</v>
      </c>
      <c r="G554" s="14">
        <v>0</v>
      </c>
      <c r="H554" s="14">
        <v>10</v>
      </c>
      <c r="I554" s="14">
        <v>1</v>
      </c>
      <c r="J554" s="14">
        <v>0</v>
      </c>
      <c r="K554" s="14"/>
      <c r="L554" s="14"/>
      <c r="M554" s="14"/>
    </row>
    <row r="555" spans="1:13">
      <c r="A555" s="8"/>
      <c r="B555" s="14">
        <v>648</v>
      </c>
      <c r="C555" s="14" t="s">
        <v>2374</v>
      </c>
      <c r="D555" s="14">
        <v>12</v>
      </c>
      <c r="E555" s="14">
        <v>0</v>
      </c>
      <c r="F555" s="14">
        <v>12</v>
      </c>
      <c r="G555" s="14">
        <v>147</v>
      </c>
      <c r="H555" s="14">
        <v>17</v>
      </c>
      <c r="I555" s="14">
        <v>0</v>
      </c>
      <c r="J555" s="14">
        <v>2</v>
      </c>
      <c r="K555" s="14"/>
      <c r="L555" s="14"/>
      <c r="M555" s="14"/>
    </row>
    <row r="556" spans="1:13">
      <c r="A556" s="8"/>
      <c r="B556" s="14">
        <v>649</v>
      </c>
      <c r="C556" s="14" t="s">
        <v>2439</v>
      </c>
      <c r="D556" s="14">
        <v>26</v>
      </c>
      <c r="E556" s="14">
        <v>0</v>
      </c>
      <c r="F556" s="14">
        <v>10</v>
      </c>
      <c r="G556" s="14">
        <v>0</v>
      </c>
      <c r="H556" s="14">
        <v>10</v>
      </c>
      <c r="I556" s="14">
        <v>0</v>
      </c>
      <c r="J556" s="14">
        <v>0</v>
      </c>
      <c r="K556" s="14">
        <v>11</v>
      </c>
      <c r="L556" s="14">
        <v>45</v>
      </c>
      <c r="M556" s="14"/>
    </row>
    <row r="557" spans="1:13">
      <c r="A557" s="8"/>
      <c r="B557" s="14">
        <v>650</v>
      </c>
      <c r="C557" s="14" t="s">
        <v>2440</v>
      </c>
      <c r="D557" s="14">
        <v>26</v>
      </c>
      <c r="E557" s="14">
        <v>171</v>
      </c>
      <c r="F557" s="14">
        <v>16</v>
      </c>
      <c r="G557" s="14">
        <v>150</v>
      </c>
      <c r="H557" s="14">
        <v>10</v>
      </c>
      <c r="I557" s="14">
        <v>0</v>
      </c>
      <c r="J557" s="14">
        <v>1</v>
      </c>
      <c r="K557" s="14">
        <v>11</v>
      </c>
      <c r="L557" s="14">
        <v>45</v>
      </c>
      <c r="M557" s="14"/>
    </row>
    <row r="558" spans="1:13">
      <c r="A558" s="8"/>
      <c r="B558" s="14">
        <v>651</v>
      </c>
      <c r="C558" s="14" t="s">
        <v>2441</v>
      </c>
      <c r="D558" s="14">
        <v>30</v>
      </c>
      <c r="E558" s="14">
        <v>0</v>
      </c>
      <c r="F558" s="14">
        <v>8</v>
      </c>
      <c r="G558" s="14">
        <v>0</v>
      </c>
      <c r="H558" s="14">
        <v>10</v>
      </c>
      <c r="I558" s="14">
        <v>0</v>
      </c>
      <c r="J558" s="14">
        <v>0</v>
      </c>
      <c r="K558" s="14"/>
      <c r="L558" s="14"/>
      <c r="M558" s="14"/>
    </row>
    <row r="559" spans="1:13">
      <c r="A559" s="8"/>
      <c r="B559" s="14">
        <v>652</v>
      </c>
      <c r="C559" s="14" t="s">
        <v>2442</v>
      </c>
      <c r="D559" s="14">
        <v>30</v>
      </c>
      <c r="E559" s="14">
        <v>0</v>
      </c>
      <c r="F559" s="14">
        <v>4</v>
      </c>
      <c r="G559" s="14">
        <v>0</v>
      </c>
      <c r="H559" s="14">
        <v>10</v>
      </c>
      <c r="I559" s="14">
        <v>0</v>
      </c>
      <c r="J559" s="14">
        <v>0</v>
      </c>
      <c r="K559" s="14"/>
      <c r="L559" s="14"/>
      <c r="M559" s="14"/>
    </row>
    <row r="560" spans="1:13">
      <c r="A560" s="8"/>
      <c r="B560" s="14">
        <v>653</v>
      </c>
      <c r="C560" s="14" t="s">
        <v>2443</v>
      </c>
      <c r="D560" s="14">
        <v>30</v>
      </c>
      <c r="E560" s="14">
        <v>0</v>
      </c>
      <c r="F560" s="14">
        <v>0</v>
      </c>
      <c r="G560" s="14">
        <v>0</v>
      </c>
      <c r="H560" s="14">
        <v>1</v>
      </c>
      <c r="I560" s="14">
        <v>0</v>
      </c>
      <c r="J560" s="14">
        <v>1</v>
      </c>
      <c r="K560" s="14"/>
      <c r="L560" s="14"/>
      <c r="M560" s="14"/>
    </row>
    <row r="561" spans="1:13">
      <c r="A561" s="8"/>
      <c r="B561" s="14">
        <v>654</v>
      </c>
      <c r="C561" s="14" t="s">
        <v>2451</v>
      </c>
      <c r="D561" s="14">
        <v>7</v>
      </c>
      <c r="E561" s="14">
        <v>0</v>
      </c>
      <c r="F561" s="14">
        <v>6</v>
      </c>
      <c r="G561" s="14">
        <v>0</v>
      </c>
      <c r="H561" s="14">
        <v>1</v>
      </c>
      <c r="I561" s="14">
        <v>0</v>
      </c>
      <c r="J561" s="14">
        <v>0</v>
      </c>
      <c r="K561" s="14"/>
      <c r="L561" s="14"/>
      <c r="M561" s="14"/>
    </row>
    <row r="562" spans="1:13">
      <c r="A562" s="8"/>
      <c r="B562" s="14">
        <v>655</v>
      </c>
      <c r="C562" s="14" t="s">
        <v>2447</v>
      </c>
      <c r="D562" s="14">
        <v>7</v>
      </c>
      <c r="E562" s="14">
        <v>173</v>
      </c>
      <c r="F562" s="14">
        <v>16</v>
      </c>
      <c r="G562" s="14">
        <v>141</v>
      </c>
      <c r="H562" s="14">
        <v>10</v>
      </c>
      <c r="I562" s="14">
        <v>0</v>
      </c>
      <c r="J562" s="14">
        <v>1</v>
      </c>
      <c r="K562" s="14">
        <v>11</v>
      </c>
      <c r="L562" s="14">
        <v>30</v>
      </c>
      <c r="M562" s="14"/>
    </row>
    <row r="563" spans="1:13">
      <c r="A563" s="8"/>
      <c r="B563" s="14">
        <v>656</v>
      </c>
      <c r="C563" s="14" t="s">
        <v>2452</v>
      </c>
      <c r="D563" s="14">
        <v>12</v>
      </c>
      <c r="E563" s="14">
        <v>0</v>
      </c>
      <c r="F563" s="14">
        <v>3</v>
      </c>
      <c r="G563" s="14">
        <v>0</v>
      </c>
      <c r="H563" s="14">
        <v>1</v>
      </c>
      <c r="I563" s="14">
        <v>0</v>
      </c>
      <c r="J563" s="14">
        <v>0</v>
      </c>
      <c r="K563" s="14"/>
      <c r="L563" s="14"/>
      <c r="M563" s="14"/>
    </row>
    <row r="564" spans="1:13">
      <c r="A564" s="8"/>
      <c r="B564" s="14">
        <v>657</v>
      </c>
      <c r="C564" s="14" t="s">
        <v>2462</v>
      </c>
      <c r="D564" s="14">
        <v>44</v>
      </c>
      <c r="E564" s="14">
        <v>0</v>
      </c>
      <c r="F564" s="14">
        <v>10</v>
      </c>
      <c r="G564" s="14">
        <v>135</v>
      </c>
      <c r="H564" s="14">
        <v>10</v>
      </c>
      <c r="I564" s="14">
        <v>0</v>
      </c>
      <c r="J564" s="14">
        <v>0</v>
      </c>
      <c r="K564" s="14"/>
      <c r="L564" s="14"/>
      <c r="M564" s="14"/>
    </row>
    <row r="565" spans="1:13">
      <c r="A565" s="8"/>
      <c r="B565" s="14">
        <v>658</v>
      </c>
      <c r="C565" s="14" t="s">
        <v>2518</v>
      </c>
      <c r="D565" s="14">
        <v>45</v>
      </c>
      <c r="E565" s="14">
        <v>174</v>
      </c>
      <c r="F565" s="14">
        <v>0</v>
      </c>
      <c r="G565" s="14">
        <v>0</v>
      </c>
      <c r="H565" s="14">
        <v>0</v>
      </c>
      <c r="I565" s="14">
        <v>1</v>
      </c>
      <c r="J565" s="14">
        <v>0</v>
      </c>
      <c r="K565" s="14"/>
      <c r="L565" s="14"/>
      <c r="M565" s="14"/>
    </row>
    <row r="566" spans="1:13">
      <c r="A566" s="8"/>
      <c r="B566" s="14">
        <v>659</v>
      </c>
      <c r="C566" s="14" t="s">
        <v>2519</v>
      </c>
      <c r="D566" s="14">
        <v>45</v>
      </c>
      <c r="E566" s="14">
        <v>174</v>
      </c>
      <c r="F566" s="14">
        <v>16</v>
      </c>
      <c r="G566" s="14">
        <v>146</v>
      </c>
      <c r="H566" s="14">
        <v>10</v>
      </c>
      <c r="I566" s="14">
        <v>0</v>
      </c>
      <c r="J566" s="14">
        <v>1</v>
      </c>
      <c r="K566" s="14"/>
      <c r="L566" s="14"/>
      <c r="M566" s="14"/>
    </row>
    <row r="567" spans="1:13">
      <c r="A567" s="8"/>
      <c r="B567" s="14">
        <v>660</v>
      </c>
      <c r="C567" s="14" t="s">
        <v>2523</v>
      </c>
      <c r="D567" s="14">
        <v>48</v>
      </c>
      <c r="E567" s="14">
        <v>0</v>
      </c>
      <c r="F567" s="14">
        <v>0</v>
      </c>
      <c r="G567" s="14">
        <v>0</v>
      </c>
      <c r="H567" s="14">
        <v>0</v>
      </c>
      <c r="I567" s="14">
        <v>1</v>
      </c>
      <c r="J567" s="14">
        <v>0</v>
      </c>
      <c r="K567" s="14"/>
      <c r="L567" s="14"/>
      <c r="M567" s="14"/>
    </row>
    <row r="568" spans="1:13">
      <c r="A568" s="8"/>
      <c r="B568" s="14">
        <v>661</v>
      </c>
      <c r="C568" s="14" t="s">
        <v>2520</v>
      </c>
      <c r="D568" s="14">
        <v>48</v>
      </c>
      <c r="E568" s="14">
        <v>175</v>
      </c>
      <c r="F568" s="14">
        <v>14</v>
      </c>
      <c r="G568" s="14">
        <v>146</v>
      </c>
      <c r="H568" s="14">
        <v>10</v>
      </c>
      <c r="I568" s="14">
        <v>0</v>
      </c>
      <c r="J568" s="14">
        <v>1</v>
      </c>
      <c r="K568" s="14">
        <v>11</v>
      </c>
      <c r="L568" s="14">
        <v>2</v>
      </c>
      <c r="M568" s="14"/>
    </row>
    <row r="569" spans="1:13">
      <c r="A569" s="8"/>
      <c r="B569" s="14">
        <v>662</v>
      </c>
      <c r="C569" s="14" t="s">
        <v>2930</v>
      </c>
      <c r="D569" s="14">
        <v>5</v>
      </c>
      <c r="E569" s="14">
        <v>177</v>
      </c>
      <c r="F569" s="14">
        <v>14</v>
      </c>
      <c r="G569" s="14">
        <v>147</v>
      </c>
      <c r="H569" s="14">
        <v>10</v>
      </c>
      <c r="I569" s="14">
        <v>0</v>
      </c>
      <c r="J569" s="14">
        <v>0</v>
      </c>
      <c r="K569" s="14"/>
      <c r="L569" s="14"/>
      <c r="M569" s="14"/>
    </row>
    <row r="570" spans="1:13">
      <c r="A570" s="8"/>
      <c r="B570" s="14">
        <v>663</v>
      </c>
      <c r="C570" s="14" t="s">
        <v>2931</v>
      </c>
      <c r="D570" s="14">
        <v>5</v>
      </c>
      <c r="E570" s="14">
        <v>176</v>
      </c>
      <c r="F570" s="14">
        <v>16</v>
      </c>
      <c r="G570" s="14">
        <v>150</v>
      </c>
      <c r="H570" s="14">
        <v>10</v>
      </c>
      <c r="I570" s="14">
        <v>0</v>
      </c>
      <c r="J570" s="14">
        <v>1</v>
      </c>
      <c r="K570" s="14">
        <v>12</v>
      </c>
      <c r="L570" s="14">
        <v>10</v>
      </c>
      <c r="M570" s="14"/>
    </row>
    <row r="571" spans="1:13">
      <c r="A571" s="8"/>
      <c r="B571" s="14">
        <v>664</v>
      </c>
      <c r="C571" s="14" t="s">
        <v>2925</v>
      </c>
      <c r="D571" s="14">
        <v>2</v>
      </c>
      <c r="E571" s="14">
        <v>0</v>
      </c>
      <c r="F571" s="14">
        <v>0</v>
      </c>
      <c r="G571" s="14">
        <v>0</v>
      </c>
      <c r="H571" s="14">
        <v>1</v>
      </c>
      <c r="I571" s="14">
        <v>1</v>
      </c>
      <c r="J571" s="14">
        <v>5</v>
      </c>
      <c r="K571" s="14"/>
      <c r="L571" s="14"/>
      <c r="M571" s="14"/>
    </row>
    <row r="572" spans="1:13">
      <c r="A572" s="8"/>
      <c r="B572" s="14">
        <v>665</v>
      </c>
      <c r="C572" s="14" t="s">
        <v>2926</v>
      </c>
      <c r="D572" s="14">
        <v>12</v>
      </c>
      <c r="E572" s="14">
        <v>0</v>
      </c>
      <c r="F572" s="14">
        <v>0</v>
      </c>
      <c r="G572" s="14">
        <v>0</v>
      </c>
      <c r="H572" s="14">
        <v>1</v>
      </c>
      <c r="I572" s="14">
        <v>1</v>
      </c>
      <c r="J572" s="14">
        <v>5</v>
      </c>
      <c r="K572" s="14"/>
      <c r="L572" s="14"/>
      <c r="M572" s="14"/>
    </row>
    <row r="573" spans="1:13">
      <c r="A573" s="8"/>
      <c r="B573" s="14">
        <v>666</v>
      </c>
      <c r="C573" s="14" t="s">
        <v>2927</v>
      </c>
      <c r="D573" s="14">
        <v>20</v>
      </c>
      <c r="E573" s="14">
        <v>0</v>
      </c>
      <c r="F573" s="14">
        <v>0</v>
      </c>
      <c r="G573" s="14">
        <v>0</v>
      </c>
      <c r="H573" s="14">
        <v>1</v>
      </c>
      <c r="I573" s="14">
        <v>1</v>
      </c>
      <c r="J573" s="14">
        <v>5</v>
      </c>
      <c r="K573" s="14"/>
      <c r="L573" s="14"/>
      <c r="M573" s="14"/>
    </row>
    <row r="574" spans="1:13">
      <c r="A574" s="8"/>
      <c r="B574" s="14">
        <v>667</v>
      </c>
      <c r="C574" s="14" t="s">
        <v>2928</v>
      </c>
      <c r="D574" s="14">
        <v>31</v>
      </c>
      <c r="E574" s="14">
        <v>0</v>
      </c>
      <c r="F574" s="14">
        <v>0</v>
      </c>
      <c r="G574" s="14">
        <v>0</v>
      </c>
      <c r="H574" s="14">
        <v>1</v>
      </c>
      <c r="I574" s="14">
        <v>0</v>
      </c>
      <c r="J574" s="14">
        <v>5</v>
      </c>
      <c r="K574" s="14"/>
      <c r="L574" s="14"/>
      <c r="M574" s="14"/>
    </row>
    <row r="575" spans="1:13">
      <c r="A575" s="8"/>
      <c r="B575" s="14">
        <v>668</v>
      </c>
      <c r="C575" s="14" t="s">
        <v>2929</v>
      </c>
      <c r="D575" s="14">
        <v>39</v>
      </c>
      <c r="E575" s="14">
        <v>0</v>
      </c>
      <c r="F575" s="14">
        <v>0</v>
      </c>
      <c r="G575" s="14">
        <v>0</v>
      </c>
      <c r="H575" s="14">
        <v>1</v>
      </c>
      <c r="I575" s="14">
        <v>1</v>
      </c>
      <c r="J575" s="14">
        <v>5</v>
      </c>
      <c r="K575" s="14"/>
      <c r="L575" s="14"/>
      <c r="M575" s="14"/>
    </row>
    <row r="576" spans="1:13">
      <c r="A576" s="8"/>
      <c r="B576" s="14">
        <v>8001</v>
      </c>
      <c r="C576" s="14" t="s">
        <v>1240</v>
      </c>
      <c r="D576" s="14">
        <v>501</v>
      </c>
      <c r="E576" s="14">
        <v>0</v>
      </c>
      <c r="F576" s="14">
        <v>0</v>
      </c>
      <c r="G576" s="14">
        <v>0</v>
      </c>
      <c r="H576" s="14">
        <v>1</v>
      </c>
      <c r="I576" s="14">
        <v>0</v>
      </c>
      <c r="J576" s="14">
        <v>9</v>
      </c>
      <c r="K576" s="14"/>
      <c r="L576" s="14"/>
      <c r="M576" s="14"/>
    </row>
    <row r="577" spans="1:13">
      <c r="A577" s="8"/>
      <c r="B577" s="14">
        <v>8002</v>
      </c>
      <c r="C577" s="14" t="s">
        <v>1352</v>
      </c>
      <c r="D577" s="14">
        <v>501</v>
      </c>
      <c r="E577" s="14">
        <v>0</v>
      </c>
      <c r="F577" s="14">
        <v>0</v>
      </c>
      <c r="G577" s="14">
        <v>0</v>
      </c>
      <c r="H577" s="14">
        <v>1</v>
      </c>
      <c r="I577" s="14">
        <v>0</v>
      </c>
      <c r="J577" s="14">
        <v>9</v>
      </c>
      <c r="K577" s="14"/>
      <c r="L577" s="14"/>
      <c r="M577" s="14"/>
    </row>
    <row r="578" spans="1:13">
      <c r="A578" s="8"/>
      <c r="B578" s="14">
        <v>8003</v>
      </c>
      <c r="C578" s="14" t="s">
        <v>1485</v>
      </c>
      <c r="D578" s="14">
        <v>501</v>
      </c>
      <c r="E578" s="14">
        <v>0</v>
      </c>
      <c r="F578" s="14">
        <v>0</v>
      </c>
      <c r="G578" s="14">
        <v>0</v>
      </c>
      <c r="H578" s="14">
        <v>1</v>
      </c>
      <c r="I578" s="14">
        <v>0</v>
      </c>
      <c r="J578" s="14">
        <v>9</v>
      </c>
      <c r="K578" s="14"/>
      <c r="L578" s="14"/>
      <c r="M578" s="14"/>
    </row>
    <row r="579" spans="1:13">
      <c r="A579" s="8"/>
      <c r="B579" s="14">
        <v>8004</v>
      </c>
      <c r="C579" s="14" t="s">
        <v>1656</v>
      </c>
      <c r="D579" s="14">
        <v>501</v>
      </c>
      <c r="E579" s="14">
        <v>0</v>
      </c>
      <c r="F579" s="14">
        <v>0</v>
      </c>
      <c r="G579" s="14">
        <v>0</v>
      </c>
      <c r="H579" s="14">
        <v>1</v>
      </c>
      <c r="I579" s="14">
        <v>0</v>
      </c>
      <c r="J579" s="14">
        <v>9</v>
      </c>
      <c r="K579" s="14"/>
      <c r="L579" s="14"/>
      <c r="M579" s="14"/>
    </row>
    <row r="580" spans="1:13">
      <c r="A580" s="8"/>
      <c r="B580" s="14">
        <v>9001</v>
      </c>
      <c r="C580" s="14" t="s">
        <v>1437</v>
      </c>
      <c r="D580" s="14">
        <v>0</v>
      </c>
      <c r="E580" s="14">
        <v>0</v>
      </c>
      <c r="F580" s="14">
        <v>5</v>
      </c>
      <c r="G580" s="14">
        <v>450</v>
      </c>
      <c r="H580" s="14">
        <v>1</v>
      </c>
      <c r="I580" s="14">
        <v>0</v>
      </c>
      <c r="J580" s="14">
        <v>7</v>
      </c>
      <c r="K580" s="14"/>
      <c r="L580" s="14"/>
      <c r="M580" s="14"/>
    </row>
    <row r="581" spans="1:13">
      <c r="A581" s="8"/>
      <c r="B581" s="14">
        <v>9002</v>
      </c>
      <c r="C581" s="14" t="s">
        <v>1256</v>
      </c>
      <c r="D581" s="14">
        <v>0</v>
      </c>
      <c r="E581" s="14">
        <v>0</v>
      </c>
      <c r="F581" s="14">
        <v>9</v>
      </c>
      <c r="G581" s="14">
        <v>450</v>
      </c>
      <c r="H581" s="14">
        <v>1</v>
      </c>
      <c r="I581" s="14">
        <v>0</v>
      </c>
      <c r="J581" s="14">
        <v>7</v>
      </c>
      <c r="K581" s="14"/>
      <c r="L581" s="14"/>
      <c r="M581" s="14"/>
    </row>
    <row r="582" spans="1:13">
      <c r="A582" s="8"/>
      <c r="B582" s="14">
        <v>9003</v>
      </c>
      <c r="C582" s="14" t="s">
        <v>1251</v>
      </c>
      <c r="D582" s="14">
        <v>0</v>
      </c>
      <c r="E582" s="14">
        <v>0</v>
      </c>
      <c r="F582" s="14">
        <v>6</v>
      </c>
      <c r="G582" s="14">
        <v>0</v>
      </c>
      <c r="H582" s="14">
        <v>1</v>
      </c>
      <c r="I582" s="14">
        <v>0</v>
      </c>
      <c r="J582" s="14">
        <v>7</v>
      </c>
      <c r="K582" s="14"/>
      <c r="L582" s="14"/>
      <c r="M582" s="14"/>
    </row>
    <row r="583" spans="1:13">
      <c r="A583" s="8"/>
      <c r="B583" s="14">
        <v>9004</v>
      </c>
      <c r="C583" s="14" t="s">
        <v>1254</v>
      </c>
      <c r="D583" s="14">
        <v>0</v>
      </c>
      <c r="E583" s="14">
        <v>0</v>
      </c>
      <c r="F583" s="14">
        <v>0</v>
      </c>
      <c r="G583" s="14">
        <v>450</v>
      </c>
      <c r="H583" s="14">
        <v>1</v>
      </c>
      <c r="I583" s="14">
        <v>0</v>
      </c>
      <c r="J583" s="14">
        <v>7</v>
      </c>
      <c r="K583" s="14"/>
      <c r="L583" s="14"/>
      <c r="M583" s="14"/>
    </row>
    <row r="584" spans="1:13">
      <c r="A584" s="8"/>
      <c r="B584" s="14">
        <v>9005</v>
      </c>
      <c r="C584" s="14" t="s">
        <v>553</v>
      </c>
      <c r="D584" s="14">
        <v>0</v>
      </c>
      <c r="E584" s="14">
        <v>0</v>
      </c>
      <c r="F584" s="14">
        <v>4</v>
      </c>
      <c r="G584" s="14">
        <v>450</v>
      </c>
      <c r="H584" s="14">
        <v>1</v>
      </c>
      <c r="I584" s="14">
        <v>0</v>
      </c>
      <c r="J584" s="14">
        <v>7</v>
      </c>
      <c r="K584" s="14"/>
      <c r="L584" s="14"/>
      <c r="M584" s="14"/>
    </row>
    <row r="585" spans="1:13">
      <c r="A585" s="8"/>
      <c r="B585" s="14">
        <v>9006</v>
      </c>
      <c r="C585" s="14" t="s">
        <v>502</v>
      </c>
      <c r="D585" s="14">
        <v>0</v>
      </c>
      <c r="E585" s="14">
        <v>0</v>
      </c>
      <c r="F585" s="14">
        <v>4</v>
      </c>
      <c r="G585" s="14">
        <v>450</v>
      </c>
      <c r="H585" s="14">
        <v>1</v>
      </c>
      <c r="I585" s="14">
        <v>0</v>
      </c>
      <c r="J585" s="14">
        <v>7</v>
      </c>
      <c r="K585" s="14"/>
      <c r="L585" s="14"/>
      <c r="M585" s="14"/>
    </row>
    <row r="586" spans="1:13">
      <c r="A586" s="8"/>
      <c r="B586" s="14">
        <v>9007</v>
      </c>
      <c r="C586" s="14" t="s">
        <v>1252</v>
      </c>
      <c r="D586" s="14">
        <v>0</v>
      </c>
      <c r="E586" s="14">
        <v>0</v>
      </c>
      <c r="F586" s="14">
        <v>1</v>
      </c>
      <c r="G586" s="14">
        <v>0</v>
      </c>
      <c r="H586" s="14">
        <v>1</v>
      </c>
      <c r="I586" s="14">
        <v>0</v>
      </c>
      <c r="J586" s="14">
        <v>7</v>
      </c>
      <c r="K586" s="14"/>
      <c r="L586" s="14"/>
      <c r="M586" s="14"/>
    </row>
    <row r="587" spans="1:13">
      <c r="A587" s="8"/>
      <c r="B587" s="14">
        <v>9008</v>
      </c>
      <c r="C587" s="14" t="s">
        <v>1255</v>
      </c>
      <c r="D587" s="14">
        <v>0</v>
      </c>
      <c r="E587" s="14">
        <v>0</v>
      </c>
      <c r="F587" s="14">
        <v>4</v>
      </c>
      <c r="G587" s="14">
        <v>450</v>
      </c>
      <c r="H587" s="14">
        <v>1</v>
      </c>
      <c r="I587" s="14">
        <v>0</v>
      </c>
      <c r="J587" s="14">
        <v>7</v>
      </c>
      <c r="K587" s="14"/>
      <c r="L587" s="14"/>
      <c r="M587" s="14"/>
    </row>
    <row r="588" spans="1:13">
      <c r="A588" s="8"/>
      <c r="B588" s="14">
        <v>9009</v>
      </c>
      <c r="C588" s="14" t="s">
        <v>549</v>
      </c>
      <c r="D588" s="14">
        <v>0</v>
      </c>
      <c r="E588" s="14">
        <v>0</v>
      </c>
      <c r="F588" s="14">
        <v>9</v>
      </c>
      <c r="G588" s="14">
        <v>200</v>
      </c>
      <c r="H588" s="14">
        <v>1</v>
      </c>
      <c r="I588" s="14">
        <v>0</v>
      </c>
      <c r="J588" s="14">
        <v>7</v>
      </c>
      <c r="K588" s="14"/>
      <c r="L588" s="14"/>
      <c r="M588" s="14"/>
    </row>
    <row r="589" spans="1:13">
      <c r="A589" s="8"/>
      <c r="B589" s="14">
        <v>9010</v>
      </c>
      <c r="C589" s="14" t="s">
        <v>1253</v>
      </c>
      <c r="D589" s="14">
        <v>0</v>
      </c>
      <c r="E589" s="14">
        <v>0</v>
      </c>
      <c r="F589" s="14">
        <v>6</v>
      </c>
      <c r="G589" s="14">
        <v>200</v>
      </c>
      <c r="H589" s="14">
        <v>1</v>
      </c>
      <c r="I589" s="14">
        <v>0</v>
      </c>
      <c r="J589" s="14">
        <v>7</v>
      </c>
      <c r="K589" s="14"/>
      <c r="L589" s="14"/>
      <c r="M589" s="14"/>
    </row>
    <row r="590" spans="1:13">
      <c r="A590" s="8"/>
      <c r="B590" s="14">
        <v>9011</v>
      </c>
      <c r="C590" s="14" t="s">
        <v>1257</v>
      </c>
      <c r="D590" s="14">
        <v>0</v>
      </c>
      <c r="E590" s="14">
        <v>0</v>
      </c>
      <c r="F590" s="14">
        <v>6</v>
      </c>
      <c r="G590" s="14">
        <v>200</v>
      </c>
      <c r="H590" s="14">
        <v>1</v>
      </c>
      <c r="I590" s="14">
        <v>0</v>
      </c>
      <c r="J590" s="14">
        <v>7</v>
      </c>
      <c r="K590" s="14"/>
      <c r="L590" s="14"/>
      <c r="M590" s="14"/>
    </row>
    <row r="591" spans="1:13">
      <c r="A591" s="8"/>
      <c r="B591" s="14">
        <v>9012</v>
      </c>
      <c r="C591" s="14" t="s">
        <v>1438</v>
      </c>
      <c r="D591" s="14">
        <v>0</v>
      </c>
      <c r="E591" s="14">
        <v>0</v>
      </c>
      <c r="F591" s="14">
        <v>6</v>
      </c>
      <c r="G591" s="14">
        <v>200</v>
      </c>
      <c r="H591" s="14">
        <v>1</v>
      </c>
      <c r="I591" s="14">
        <v>0</v>
      </c>
      <c r="J591" s="14">
        <v>7</v>
      </c>
      <c r="K591" s="14"/>
      <c r="L591" s="14"/>
      <c r="M591" s="14"/>
    </row>
    <row r="592" spans="1:13">
      <c r="A592" s="8"/>
      <c r="B592" s="14">
        <v>9013</v>
      </c>
      <c r="C592" s="14" t="s">
        <v>1258</v>
      </c>
      <c r="D592" s="14">
        <v>0</v>
      </c>
      <c r="E592" s="14">
        <v>0</v>
      </c>
      <c r="F592" s="14">
        <v>6</v>
      </c>
      <c r="G592" s="14">
        <v>200</v>
      </c>
      <c r="H592" s="14">
        <v>1</v>
      </c>
      <c r="I592" s="14">
        <v>0</v>
      </c>
      <c r="J592" s="14">
        <v>7</v>
      </c>
      <c r="K592" s="14"/>
      <c r="L592" s="14"/>
      <c r="M592" s="14"/>
    </row>
    <row r="593" spans="1:13">
      <c r="A593" s="8"/>
      <c r="B593" s="14">
        <v>9014</v>
      </c>
      <c r="C593" s="14" t="s">
        <v>2127</v>
      </c>
      <c r="D593" s="14">
        <v>0</v>
      </c>
      <c r="E593" s="14">
        <v>0</v>
      </c>
      <c r="F593" s="14">
        <v>6</v>
      </c>
      <c r="G593" s="14">
        <v>200</v>
      </c>
      <c r="H593" s="14">
        <v>1</v>
      </c>
      <c r="I593" s="14">
        <v>0</v>
      </c>
      <c r="J593" s="14">
        <v>7</v>
      </c>
      <c r="K593" s="14"/>
      <c r="L593" s="14"/>
      <c r="M593" s="14"/>
    </row>
    <row r="594" spans="1:13">
      <c r="A594" s="8"/>
      <c r="B594" s="14">
        <v>9015</v>
      </c>
      <c r="C594" s="14" t="s">
        <v>1439</v>
      </c>
      <c r="D594" s="14">
        <v>0</v>
      </c>
      <c r="E594" s="14">
        <v>0</v>
      </c>
      <c r="F594" s="14">
        <v>6</v>
      </c>
      <c r="G594" s="14">
        <v>200</v>
      </c>
      <c r="H594" s="14">
        <v>1</v>
      </c>
      <c r="I594" s="14">
        <v>0</v>
      </c>
      <c r="J594" s="14">
        <v>7</v>
      </c>
      <c r="K594" s="14"/>
      <c r="L594" s="14"/>
      <c r="M594" s="14"/>
    </row>
    <row r="595" spans="1:13">
      <c r="A595" s="8"/>
      <c r="B595" s="14">
        <v>9999</v>
      </c>
      <c r="C595" s="14" t="s">
        <v>1882</v>
      </c>
      <c r="D595" s="14">
        <v>0</v>
      </c>
      <c r="E595" s="14">
        <v>0</v>
      </c>
      <c r="F595" s="14">
        <v>0</v>
      </c>
      <c r="G595" s="14">
        <v>0</v>
      </c>
      <c r="H595" s="14">
        <v>0</v>
      </c>
      <c r="I595" s="14">
        <v>0</v>
      </c>
      <c r="J595" s="14">
        <v>0</v>
      </c>
      <c r="K595" s="14">
        <v>99</v>
      </c>
      <c r="L595" s="14"/>
      <c r="M595" s="14"/>
    </row>
  </sheetData>
  <autoFilter ref="A6:W595" xr:uid="{A1A89490-671E-4788-B74F-81F3DA99257C}"/>
  <phoneticPr fontId="1"/>
  <dataValidations count="1">
    <dataValidation type="list" allowBlank="1" showInputMessage="1" showErrorMessage="1" sqref="A7:A595" xr:uid="{AE6528EC-1E31-4546-90F3-001F62E5170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2388</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2237</v>
      </c>
      <c r="V2" s="9" t="s">
        <v>2386</v>
      </c>
      <c r="W2" s="9" t="s">
        <v>2387</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2579</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2368</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2369</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2577</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2444</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2576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2236</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2244</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2323</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2342</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2342</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2342</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2342</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2342</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2342</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2372</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2372</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2374</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2440</v>
      </c>
      <c r="E205" s="11" t="s">
        <v>593</v>
      </c>
      <c r="F205" s="14">
        <v>1</v>
      </c>
      <c r="G205" s="14">
        <v>2</v>
      </c>
      <c r="H205" s="14">
        <v>0</v>
      </c>
      <c r="I205" s="14">
        <v>5</v>
      </c>
      <c r="J205" s="14">
        <v>5437.5</v>
      </c>
      <c r="K205" s="14">
        <v>10875</v>
      </c>
      <c r="L205" s="14">
        <v>4</v>
      </c>
      <c r="M205" s="14">
        <v>3</v>
      </c>
      <c r="N205" s="14">
        <v>50</v>
      </c>
      <c r="O205" s="14">
        <v>0</v>
      </c>
      <c r="P205" s="13">
        <v>2</v>
      </c>
      <c r="Q205" s="11" t="s">
        <v>2448</v>
      </c>
      <c r="R205" s="14"/>
      <c r="S205" s="14"/>
      <c r="T205" s="14"/>
      <c r="U205" s="14"/>
      <c r="V205" s="14"/>
      <c r="W205" s="14"/>
      <c r="X205" s="1"/>
    </row>
    <row r="206" spans="1:24">
      <c r="A206" s="8"/>
      <c r="B206" s="14">
        <v>205</v>
      </c>
      <c r="C206" s="14">
        <v>655</v>
      </c>
      <c r="D206" s="14" t="s">
        <v>2447</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2519</v>
      </c>
      <c r="E207" s="11"/>
      <c r="F207" s="14">
        <v>0</v>
      </c>
      <c r="G207" s="14">
        <v>1</v>
      </c>
      <c r="H207" s="14">
        <v>2</v>
      </c>
      <c r="I207" s="14">
        <v>1</v>
      </c>
      <c r="J207" s="29">
        <v>5842</v>
      </c>
      <c r="K207" s="29">
        <v>11685</v>
      </c>
      <c r="L207" s="14">
        <v>8</v>
      </c>
      <c r="M207" s="14">
        <v>20.25</v>
      </c>
      <c r="N207" s="14">
        <v>0</v>
      </c>
      <c r="O207" s="14">
        <v>0</v>
      </c>
      <c r="P207" s="13">
        <v>1</v>
      </c>
      <c r="Q207" s="11" t="s">
        <v>2521</v>
      </c>
      <c r="R207" s="14"/>
      <c r="S207" s="14"/>
      <c r="T207" s="14"/>
      <c r="U207" s="14"/>
      <c r="V207" s="14"/>
      <c r="W207" s="14"/>
      <c r="X207" s="1"/>
    </row>
    <row r="208" spans="1:24">
      <c r="A208" s="8"/>
      <c r="B208" s="14">
        <v>207</v>
      </c>
      <c r="C208" s="14">
        <v>661</v>
      </c>
      <c r="D208" s="14" t="s">
        <v>2578</v>
      </c>
      <c r="E208" s="11"/>
      <c r="F208" s="14">
        <v>1</v>
      </c>
      <c r="G208" s="14">
        <v>2</v>
      </c>
      <c r="H208" s="14">
        <v>0</v>
      </c>
      <c r="I208" s="14">
        <v>1</v>
      </c>
      <c r="J208" s="29">
        <v>4475</v>
      </c>
      <c r="K208" s="29">
        <v>8951</v>
      </c>
      <c r="L208" s="14">
        <v>6</v>
      </c>
      <c r="M208" s="14">
        <v>2.7</v>
      </c>
      <c r="N208" s="14">
        <v>30</v>
      </c>
      <c r="O208" s="14">
        <v>0</v>
      </c>
      <c r="P208" s="13">
        <v>2</v>
      </c>
      <c r="Q208" s="11" t="s">
        <v>2526</v>
      </c>
      <c r="R208" s="14"/>
      <c r="S208" s="14"/>
      <c r="T208" s="14"/>
      <c r="U208" s="14">
        <v>300</v>
      </c>
      <c r="V208" s="14"/>
      <c r="W208" s="14"/>
      <c r="X208" s="1"/>
    </row>
    <row r="209" spans="1:24">
      <c r="A209" s="8"/>
      <c r="B209" s="14">
        <v>208</v>
      </c>
      <c r="C209" s="14">
        <v>662</v>
      </c>
      <c r="D209" s="14" t="s">
        <v>2573</v>
      </c>
      <c r="E209" s="11"/>
      <c r="F209" s="14">
        <v>2</v>
      </c>
      <c r="G209" s="14">
        <v>1</v>
      </c>
      <c r="H209" s="14">
        <v>0</v>
      </c>
      <c r="I209" s="14">
        <v>0</v>
      </c>
      <c r="J209" s="29">
        <v>6255</v>
      </c>
      <c r="K209" s="29">
        <v>12510</v>
      </c>
      <c r="L209" s="14">
        <v>8</v>
      </c>
      <c r="M209" s="14">
        <v>3.5</v>
      </c>
      <c r="N209" s="14">
        <v>0</v>
      </c>
      <c r="O209" s="14">
        <v>50</v>
      </c>
      <c r="P209" s="13">
        <v>1</v>
      </c>
      <c r="Q209" s="11" t="s">
        <v>2574</v>
      </c>
      <c r="R209" s="14"/>
      <c r="S209" s="14"/>
      <c r="T209" s="14"/>
      <c r="U209" s="14">
        <v>300</v>
      </c>
      <c r="V209" s="14"/>
      <c r="W209" s="14"/>
      <c r="X209" s="1"/>
    </row>
    <row r="210" spans="1:24">
      <c r="A210" s="8"/>
      <c r="B210" s="14">
        <v>209</v>
      </c>
      <c r="C210" s="14">
        <v>663</v>
      </c>
      <c r="D210" s="14" t="s">
        <v>2572</v>
      </c>
      <c r="E210" s="11"/>
      <c r="F210" s="14">
        <v>0</v>
      </c>
      <c r="G210" s="14">
        <v>1</v>
      </c>
      <c r="H210" s="14">
        <v>2</v>
      </c>
      <c r="I210" s="14">
        <v>0</v>
      </c>
      <c r="J210" s="29">
        <v>7125</v>
      </c>
      <c r="K210" s="29">
        <v>14250</v>
      </c>
      <c r="L210" s="14">
        <v>10</v>
      </c>
      <c r="M210" s="14">
        <v>37.5</v>
      </c>
      <c r="N210" s="14">
        <v>0</v>
      </c>
      <c r="O210" s="14">
        <v>0</v>
      </c>
      <c r="P210" s="13">
        <v>1</v>
      </c>
      <c r="Q210" s="11" t="s">
        <v>2575</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1654</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1700</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1700</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1859</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1862</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1911</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1920</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1952</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2009</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2100</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2130</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2183</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2245</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2344</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2462</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5"/>
  <sheetViews>
    <sheetView zoomScale="85" zoomScaleNormal="85" workbookViewId="0">
      <pane ySplit="6" topLeftCell="A109" activePane="bottomLeft" state="frozen"/>
      <selection pane="bottomLeft" activeCell="A7" sqref="A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2454</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2455</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2922</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2924</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2236</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2236</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2236</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2239</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2240</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2933</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2244</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2244</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2244</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2323</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2323</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2320</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2320</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2320</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2320</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2342</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2342</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2342</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2342</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2342</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2342</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2342</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2342</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2342</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2342</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2342</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2342</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2345</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2365</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2365</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2365</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2374</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2447</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2447</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2447</v>
      </c>
      <c r="G262" s="14" t="s">
        <v>2463</v>
      </c>
      <c r="H262" s="14">
        <v>80</v>
      </c>
      <c r="I262" s="14">
        <v>80</v>
      </c>
      <c r="J262" s="14">
        <v>0</v>
      </c>
      <c r="K262" s="14">
        <v>1</v>
      </c>
      <c r="L262" s="14">
        <v>6</v>
      </c>
      <c r="M262" s="14">
        <v>0</v>
      </c>
      <c r="N262" s="14">
        <v>8</v>
      </c>
      <c r="O262" s="14">
        <v>0</v>
      </c>
      <c r="P262" s="14">
        <v>205</v>
      </c>
      <c r="Q262" s="14"/>
      <c r="R262" s="14">
        <v>30</v>
      </c>
      <c r="S262" s="14"/>
      <c r="T262" t="b">
        <f t="shared" si="3"/>
        <v>1</v>
      </c>
    </row>
    <row r="263" spans="1:20">
      <c r="A263" s="8"/>
      <c r="B263" s="14">
        <v>275</v>
      </c>
      <c r="C263" s="14">
        <v>655</v>
      </c>
      <c r="D263" s="14">
        <v>3</v>
      </c>
      <c r="E263" s="14">
        <v>0</v>
      </c>
      <c r="F263" s="14" t="s">
        <v>2447</v>
      </c>
      <c r="G263" s="14" t="s">
        <v>2464</v>
      </c>
      <c r="H263" s="14">
        <v>20</v>
      </c>
      <c r="I263" s="14">
        <v>30</v>
      </c>
      <c r="J263" s="14">
        <v>141</v>
      </c>
      <c r="K263" s="14">
        <v>1</v>
      </c>
      <c r="L263" s="14">
        <v>2</v>
      </c>
      <c r="M263" s="14">
        <v>0</v>
      </c>
      <c r="N263" s="14">
        <v>2</v>
      </c>
      <c r="O263" s="14">
        <v>0</v>
      </c>
      <c r="P263" s="14">
        <v>205</v>
      </c>
      <c r="Q263" s="14"/>
      <c r="R263" s="14">
        <v>30</v>
      </c>
      <c r="S263" s="14"/>
      <c r="T263" t="b">
        <f t="shared" si="3"/>
        <v>0</v>
      </c>
    </row>
    <row r="264" spans="1:20">
      <c r="A264" s="8"/>
      <c r="B264" s="14">
        <v>276</v>
      </c>
      <c r="C264" s="14">
        <v>655</v>
      </c>
      <c r="D264" s="14">
        <v>4</v>
      </c>
      <c r="E264" s="14">
        <v>5</v>
      </c>
      <c r="F264" s="14" t="s">
        <v>2447</v>
      </c>
      <c r="G264" s="14" t="s">
        <v>2465</v>
      </c>
      <c r="H264" s="14">
        <v>30</v>
      </c>
      <c r="I264" s="14">
        <v>45</v>
      </c>
      <c r="J264" s="14">
        <v>141</v>
      </c>
      <c r="K264" s="14">
        <v>1</v>
      </c>
      <c r="L264" s="14">
        <v>2</v>
      </c>
      <c r="M264" s="14">
        <v>0</v>
      </c>
      <c r="N264" s="14">
        <v>2</v>
      </c>
      <c r="O264" s="14">
        <v>0</v>
      </c>
      <c r="P264" s="14">
        <v>205</v>
      </c>
      <c r="Q264" s="14"/>
      <c r="R264" s="14">
        <v>30</v>
      </c>
      <c r="S264" s="14"/>
      <c r="T264" t="b">
        <f t="shared" ref="T264:T327"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2519</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2544</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2545</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c r="T271" t="b">
        <f t="shared" si="4"/>
        <v>0</v>
      </c>
    </row>
    <row r="272" spans="1:20">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c r="T272" t="b">
        <f t="shared" si="4"/>
        <v>0</v>
      </c>
    </row>
    <row r="273" spans="1:20">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c r="T273" t="b">
        <f t="shared" si="4"/>
        <v>0</v>
      </c>
    </row>
    <row r="274" spans="1:20">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c r="T274" t="b">
        <f t="shared" si="4"/>
        <v>0</v>
      </c>
    </row>
    <row r="275" spans="1:20">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c r="T275" t="b">
        <f t="shared" si="4"/>
        <v>0</v>
      </c>
    </row>
    <row r="276" spans="1:20">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c r="T276" t="b">
        <f t="shared" si="4"/>
        <v>0</v>
      </c>
    </row>
    <row r="277" spans="1:20">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c r="T279" t="b">
        <f t="shared" si="4"/>
        <v>0</v>
      </c>
    </row>
    <row r="280" spans="1:20">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c r="T280" t="b">
        <f t="shared" si="4"/>
        <v>0</v>
      </c>
    </row>
    <row r="281" spans="1:20">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c r="T281" t="b">
        <f t="shared" si="4"/>
        <v>0</v>
      </c>
    </row>
    <row r="282" spans="1:20">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c r="T282" t="b">
        <f t="shared" si="4"/>
        <v>0</v>
      </c>
    </row>
    <row r="283" spans="1:20">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c r="T283" t="b">
        <f t="shared" si="4"/>
        <v>0</v>
      </c>
    </row>
    <row r="284" spans="1:20">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c r="T284" t="b">
        <f t="shared" si="4"/>
        <v>0</v>
      </c>
    </row>
    <row r="285" spans="1:20">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c r="T285" t="b">
        <f t="shared" si="4"/>
        <v>0</v>
      </c>
    </row>
    <row r="286" spans="1:20">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c r="T286" t="b">
        <f t="shared" si="4"/>
        <v>0</v>
      </c>
    </row>
    <row r="287" spans="1:20">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c r="T287" t="b">
        <f t="shared" si="4"/>
        <v>0</v>
      </c>
    </row>
    <row r="288" spans="1:20">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c r="T288" t="b">
        <f t="shared" si="4"/>
        <v>0</v>
      </c>
    </row>
    <row r="289" spans="1:20">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c r="T289" t="b">
        <f t="shared" si="4"/>
        <v>0</v>
      </c>
    </row>
    <row r="290" spans="1:20">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c r="T290" t="b">
        <f t="shared" si="4"/>
        <v>0</v>
      </c>
    </row>
    <row r="291" spans="1:20">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c r="T291" t="b">
        <f t="shared" si="4"/>
        <v>0</v>
      </c>
    </row>
    <row r="292" spans="1:20">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c r="T292" t="b">
        <f t="shared" si="4"/>
        <v>0</v>
      </c>
    </row>
    <row r="293" spans="1:20">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c r="T293" t="b">
        <f t="shared" si="4"/>
        <v>0</v>
      </c>
    </row>
    <row r="294" spans="1:20">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c r="T294" t="b">
        <f t="shared" si="4"/>
        <v>0</v>
      </c>
    </row>
    <row r="295" spans="1:20">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c r="T295" t="b">
        <f t="shared" si="4"/>
        <v>0</v>
      </c>
    </row>
    <row r="296" spans="1:20">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c r="T296" t="b">
        <f t="shared" si="4"/>
        <v>0</v>
      </c>
    </row>
    <row r="297" spans="1:20">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c r="T297" t="b">
        <f t="shared" si="4"/>
        <v>0</v>
      </c>
    </row>
    <row r="298" spans="1:20">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c r="T298" t="b">
        <f t="shared" si="4"/>
        <v>0</v>
      </c>
    </row>
    <row r="299" spans="1:20">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c r="T299" t="b">
        <f t="shared" si="4"/>
        <v>0</v>
      </c>
    </row>
    <row r="300" spans="1:20">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c r="T300" t="b">
        <f t="shared" si="4"/>
        <v>0</v>
      </c>
    </row>
    <row r="301" spans="1:20">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c r="T301" t="b">
        <f t="shared" si="4"/>
        <v>0</v>
      </c>
    </row>
    <row r="302" spans="1:20">
      <c r="A302" s="8"/>
      <c r="B302" s="14">
        <v>1031</v>
      </c>
      <c r="C302" s="14">
        <v>551</v>
      </c>
      <c r="D302" s="14">
        <v>0</v>
      </c>
      <c r="E302" s="14">
        <v>0</v>
      </c>
      <c r="F302" s="14" t="s">
        <v>1692</v>
      </c>
      <c r="G302" s="14"/>
      <c r="H302" s="14">
        <v>75</v>
      </c>
      <c r="I302" s="14">
        <v>90</v>
      </c>
      <c r="J302" s="14">
        <v>232</v>
      </c>
      <c r="K302" s="14">
        <v>10</v>
      </c>
      <c r="L302" s="14">
        <v>11</v>
      </c>
      <c r="M302" s="14">
        <v>0</v>
      </c>
      <c r="N302" s="14">
        <v>0</v>
      </c>
      <c r="O302" s="14">
        <v>0</v>
      </c>
      <c r="P302" s="14"/>
      <c r="Q302" s="14"/>
      <c r="R302" s="14"/>
      <c r="S302" s="14"/>
      <c r="T302" t="b">
        <f t="shared" si="4"/>
        <v>0</v>
      </c>
    </row>
    <row r="303" spans="1:20">
      <c r="A303" s="8"/>
      <c r="B303" s="14">
        <v>1032</v>
      </c>
      <c r="C303" s="14">
        <v>565</v>
      </c>
      <c r="D303" s="14">
        <v>0</v>
      </c>
      <c r="E303" s="14">
        <v>0</v>
      </c>
      <c r="F303" s="14" t="s">
        <v>1749</v>
      </c>
      <c r="G303" s="14"/>
      <c r="H303" s="14">
        <v>75</v>
      </c>
      <c r="I303" s="14">
        <v>90</v>
      </c>
      <c r="J303" s="14">
        <v>126</v>
      </c>
      <c r="K303" s="14">
        <v>10</v>
      </c>
      <c r="L303" s="14">
        <v>3</v>
      </c>
      <c r="M303" s="14">
        <v>0</v>
      </c>
      <c r="N303" s="14">
        <v>0</v>
      </c>
      <c r="O303" s="14">
        <v>0</v>
      </c>
      <c r="P303" s="14"/>
      <c r="Q303" s="14"/>
      <c r="R303" s="14"/>
      <c r="S303" s="14"/>
      <c r="T303" t="b">
        <f t="shared" si="4"/>
        <v>0</v>
      </c>
    </row>
    <row r="304" spans="1:20">
      <c r="A304" s="8"/>
      <c r="B304" s="14">
        <v>1033</v>
      </c>
      <c r="C304" s="14">
        <v>577</v>
      </c>
      <c r="D304" s="14">
        <v>0</v>
      </c>
      <c r="E304" s="14">
        <v>0</v>
      </c>
      <c r="F304" s="14" t="s">
        <v>1861</v>
      </c>
      <c r="G304" s="14"/>
      <c r="H304" s="14">
        <v>100</v>
      </c>
      <c r="I304" s="14">
        <v>130</v>
      </c>
      <c r="J304" s="14">
        <v>216</v>
      </c>
      <c r="K304" s="14">
        <v>10</v>
      </c>
      <c r="L304" s="14">
        <v>4</v>
      </c>
      <c r="M304" s="14">
        <v>0</v>
      </c>
      <c r="N304" s="14">
        <v>3</v>
      </c>
      <c r="O304" s="14">
        <v>0</v>
      </c>
      <c r="P304" s="14"/>
      <c r="Q304" s="14"/>
      <c r="R304" s="14"/>
      <c r="S304" s="14"/>
      <c r="T304" t="b">
        <f t="shared" si="4"/>
        <v>0</v>
      </c>
    </row>
    <row r="305" spans="1:20">
      <c r="A305" s="8"/>
      <c r="B305" s="14">
        <v>1034</v>
      </c>
      <c r="C305" s="14">
        <v>589</v>
      </c>
      <c r="D305" s="14">
        <v>0</v>
      </c>
      <c r="E305" s="14">
        <v>0</v>
      </c>
      <c r="F305" s="14" t="s">
        <v>2923</v>
      </c>
      <c r="G305" s="14"/>
      <c r="H305" s="14">
        <v>165</v>
      </c>
      <c r="I305" s="14">
        <v>180</v>
      </c>
      <c r="J305" s="14">
        <v>216</v>
      </c>
      <c r="K305" s="14">
        <v>10</v>
      </c>
      <c r="L305" s="14">
        <v>6</v>
      </c>
      <c r="M305" s="14">
        <v>0</v>
      </c>
      <c r="N305" s="14">
        <v>5</v>
      </c>
      <c r="O305" s="14">
        <v>0</v>
      </c>
      <c r="P305" s="14"/>
      <c r="Q305" s="14"/>
      <c r="R305" s="14"/>
      <c r="S305" s="14"/>
      <c r="T305" t="b">
        <f t="shared" si="4"/>
        <v>0</v>
      </c>
    </row>
    <row r="306" spans="1:20">
      <c r="A306" s="8"/>
      <c r="B306" s="14">
        <v>1035</v>
      </c>
      <c r="C306" s="14">
        <v>596</v>
      </c>
      <c r="D306" s="14">
        <v>0</v>
      </c>
      <c r="E306" s="14">
        <v>0</v>
      </c>
      <c r="F306" s="14" t="s">
        <v>2012</v>
      </c>
      <c r="G306" s="14"/>
      <c r="H306" s="14">
        <v>75</v>
      </c>
      <c r="I306" s="14">
        <v>90</v>
      </c>
      <c r="J306" s="14">
        <v>200</v>
      </c>
      <c r="K306" s="14">
        <v>1</v>
      </c>
      <c r="L306" s="14">
        <v>9</v>
      </c>
      <c r="M306" s="14">
        <v>0</v>
      </c>
      <c r="N306" s="14">
        <v>0</v>
      </c>
      <c r="O306" s="14">
        <v>0</v>
      </c>
      <c r="P306" s="14"/>
      <c r="Q306" s="14"/>
      <c r="R306" s="14"/>
      <c r="S306" s="14"/>
      <c r="T306" t="b">
        <f t="shared" si="4"/>
        <v>0</v>
      </c>
    </row>
    <row r="307" spans="1:20">
      <c r="A307" s="8"/>
      <c r="B307" s="14">
        <v>1036</v>
      </c>
      <c r="C307" s="14">
        <v>616</v>
      </c>
      <c r="D307" s="14">
        <v>0</v>
      </c>
      <c r="E307" s="14">
        <v>0</v>
      </c>
      <c r="F307" s="14" t="s">
        <v>2124</v>
      </c>
      <c r="G307" s="14"/>
      <c r="H307" s="14">
        <v>150</v>
      </c>
      <c r="I307" s="14">
        <v>180</v>
      </c>
      <c r="J307" s="14">
        <v>272</v>
      </c>
      <c r="K307" s="14">
        <v>10</v>
      </c>
      <c r="L307" s="14">
        <v>6</v>
      </c>
      <c r="M307" s="14">
        <v>0</v>
      </c>
      <c r="N307" s="14">
        <v>5</v>
      </c>
      <c r="O307" s="14">
        <v>0</v>
      </c>
      <c r="P307" s="14"/>
      <c r="Q307" s="14"/>
      <c r="R307" s="14"/>
      <c r="S307" s="14"/>
      <c r="T307" t="b">
        <f t="shared" si="4"/>
        <v>0</v>
      </c>
    </row>
    <row r="308" spans="1:20">
      <c r="A308" s="8"/>
      <c r="B308" s="14">
        <v>1037</v>
      </c>
      <c r="C308" s="14">
        <v>643</v>
      </c>
      <c r="D308" s="14">
        <v>0</v>
      </c>
      <c r="E308" s="14">
        <v>0</v>
      </c>
      <c r="F308" s="14" t="s">
        <v>2364</v>
      </c>
      <c r="G308" s="14"/>
      <c r="H308" s="14">
        <v>150</v>
      </c>
      <c r="I308" s="14">
        <v>180</v>
      </c>
      <c r="J308" s="14">
        <v>240</v>
      </c>
      <c r="K308" s="14">
        <v>10</v>
      </c>
      <c r="L308" s="14">
        <v>4</v>
      </c>
      <c r="M308" s="14">
        <v>0</v>
      </c>
      <c r="N308" s="14">
        <v>3</v>
      </c>
      <c r="O308" s="14">
        <v>0</v>
      </c>
      <c r="P308" s="14"/>
      <c r="Q308" s="14"/>
      <c r="R308" s="14"/>
      <c r="S308" s="14"/>
      <c r="T308" t="b">
        <f t="shared" si="4"/>
        <v>0</v>
      </c>
    </row>
    <row r="309" spans="1:20">
      <c r="A309" s="8"/>
      <c r="B309" s="14">
        <v>1038</v>
      </c>
      <c r="C309" s="14">
        <v>651</v>
      </c>
      <c r="D309" s="14">
        <v>0</v>
      </c>
      <c r="E309" s="14">
        <v>0</v>
      </c>
      <c r="F309" s="14" t="s">
        <v>2441</v>
      </c>
      <c r="G309" s="14"/>
      <c r="H309" s="14">
        <v>75</v>
      </c>
      <c r="I309" s="14">
        <v>90</v>
      </c>
      <c r="J309" s="14">
        <v>224</v>
      </c>
      <c r="K309" s="14">
        <v>10</v>
      </c>
      <c r="L309" s="14">
        <v>3</v>
      </c>
      <c r="M309" s="14">
        <v>0</v>
      </c>
      <c r="N309" s="14">
        <v>0</v>
      </c>
      <c r="O309" s="14">
        <v>0</v>
      </c>
      <c r="P309" s="14"/>
      <c r="Q309" s="14"/>
      <c r="R309" s="14"/>
      <c r="S309" s="14"/>
      <c r="T309" t="b">
        <f t="shared" si="4"/>
        <v>0</v>
      </c>
    </row>
    <row r="310" spans="1:20">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c r="T310" t="b">
        <f t="shared" si="4"/>
        <v>0</v>
      </c>
    </row>
    <row r="311" spans="1:20">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c r="T311" t="b">
        <f t="shared" si="4"/>
        <v>0</v>
      </c>
    </row>
    <row r="312" spans="1:20">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c r="T312" t="b">
        <f t="shared" si="4"/>
        <v>0</v>
      </c>
    </row>
    <row r="313" spans="1:20">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c r="T313" t="b">
        <f t="shared" si="4"/>
        <v>0</v>
      </c>
    </row>
    <row r="314" spans="1:20">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c r="T314" t="b">
        <f t="shared" si="4"/>
        <v>0</v>
      </c>
    </row>
    <row r="315" spans="1:20">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c r="T315" t="b">
        <f t="shared" si="4"/>
        <v>0</v>
      </c>
    </row>
    <row r="316" spans="1:20">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c r="T316" t="b">
        <f t="shared" si="4"/>
        <v>0</v>
      </c>
    </row>
    <row r="317" spans="1:20">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c r="T317" t="b">
        <f t="shared" si="4"/>
        <v>0</v>
      </c>
    </row>
    <row r="318" spans="1:20">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c r="T319" t="b">
        <f t="shared" si="4"/>
        <v>0</v>
      </c>
    </row>
    <row r="320" spans="1:20">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c r="T320" t="b">
        <f t="shared" si="4"/>
        <v>0</v>
      </c>
    </row>
    <row r="321" spans="1:20">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c r="T321" t="b">
        <f t="shared" si="4"/>
        <v>0</v>
      </c>
    </row>
    <row r="322" spans="1:20">
      <c r="A322" s="8"/>
      <c r="B322" s="14">
        <v>1113</v>
      </c>
      <c r="C322" s="14">
        <v>573</v>
      </c>
      <c r="D322" s="14">
        <v>1</v>
      </c>
      <c r="E322" s="14">
        <v>2</v>
      </c>
      <c r="F322" s="14" t="s">
        <v>1858</v>
      </c>
      <c r="G322" s="14"/>
      <c r="H322" s="14">
        <v>130</v>
      </c>
      <c r="I322" s="14">
        <v>160</v>
      </c>
      <c r="J322" s="14">
        <v>256</v>
      </c>
      <c r="K322" s="14">
        <v>10</v>
      </c>
      <c r="L322" s="14">
        <v>4</v>
      </c>
      <c r="M322" s="14">
        <v>0</v>
      </c>
      <c r="N322" s="14">
        <v>3</v>
      </c>
      <c r="O322" s="14">
        <v>0</v>
      </c>
      <c r="P322" s="14"/>
      <c r="Q322" s="14"/>
      <c r="R322" s="14"/>
      <c r="S322" s="14"/>
      <c r="T322" t="b">
        <f t="shared" si="4"/>
        <v>0</v>
      </c>
    </row>
    <row r="323" spans="1:20">
      <c r="A323" s="8"/>
      <c r="B323" s="14">
        <v>1114</v>
      </c>
      <c r="C323" s="14">
        <v>592</v>
      </c>
      <c r="D323" s="14">
        <v>1</v>
      </c>
      <c r="E323" s="14">
        <v>2</v>
      </c>
      <c r="F323" s="14" t="s">
        <v>1997</v>
      </c>
      <c r="G323" s="14"/>
      <c r="H323" s="14">
        <v>130</v>
      </c>
      <c r="I323" s="14">
        <v>160</v>
      </c>
      <c r="J323" s="14">
        <v>256</v>
      </c>
      <c r="K323" s="14">
        <v>10</v>
      </c>
      <c r="L323" s="14">
        <v>4</v>
      </c>
      <c r="M323" s="14">
        <v>0</v>
      </c>
      <c r="N323" s="14">
        <v>3</v>
      </c>
      <c r="O323" s="14">
        <v>0</v>
      </c>
      <c r="P323" s="14"/>
      <c r="Q323" s="14"/>
      <c r="R323" s="14"/>
      <c r="S323" s="14"/>
      <c r="T323" t="b">
        <f t="shared" si="4"/>
        <v>0</v>
      </c>
    </row>
    <row r="324" spans="1:20">
      <c r="A324" s="8"/>
      <c r="B324" s="14">
        <v>1115</v>
      </c>
      <c r="C324" s="14">
        <v>639</v>
      </c>
      <c r="D324" s="14">
        <v>1</v>
      </c>
      <c r="E324" s="14">
        <v>3</v>
      </c>
      <c r="F324" s="14" t="s">
        <v>2343</v>
      </c>
      <c r="G324" s="14"/>
      <c r="H324" s="14">
        <v>130</v>
      </c>
      <c r="I324" s="14">
        <v>160</v>
      </c>
      <c r="J324" s="14">
        <v>272</v>
      </c>
      <c r="K324" s="14">
        <v>10</v>
      </c>
      <c r="L324" s="14">
        <v>4</v>
      </c>
      <c r="M324" s="14">
        <v>0</v>
      </c>
      <c r="N324" s="14">
        <v>3</v>
      </c>
      <c r="O324" s="14">
        <v>0</v>
      </c>
      <c r="P324" s="14"/>
      <c r="Q324" s="14"/>
      <c r="R324" s="14"/>
      <c r="S324" s="14"/>
      <c r="T324" t="b">
        <f t="shared" si="4"/>
        <v>0</v>
      </c>
    </row>
    <row r="325" spans="1:20">
      <c r="A325" s="8"/>
      <c r="B325" s="14">
        <v>1116</v>
      </c>
      <c r="C325" s="14">
        <v>649</v>
      </c>
      <c r="D325" s="14">
        <v>1</v>
      </c>
      <c r="E325" s="14">
        <v>5</v>
      </c>
      <c r="F325" s="14" t="s">
        <v>2439</v>
      </c>
      <c r="G325" s="14"/>
      <c r="H325" s="14">
        <v>130</v>
      </c>
      <c r="I325" s="14">
        <v>160</v>
      </c>
      <c r="J325" s="14">
        <v>240</v>
      </c>
      <c r="K325" s="14">
        <v>10</v>
      </c>
      <c r="L325" s="14">
        <v>7</v>
      </c>
      <c r="M325" s="14">
        <v>0</v>
      </c>
      <c r="N325" s="14">
        <v>5</v>
      </c>
      <c r="O325" s="14">
        <v>0</v>
      </c>
      <c r="P325" s="14"/>
      <c r="Q325" s="14"/>
      <c r="R325" s="14"/>
      <c r="S325" s="14"/>
      <c r="T325" t="b">
        <f t="shared" si="4"/>
        <v>0</v>
      </c>
    </row>
    <row r="326" spans="1:20">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c r="T326" t="b">
        <f t="shared" si="4"/>
        <v>0</v>
      </c>
    </row>
    <row r="327" spans="1:20">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c r="T327" t="b">
        <f t="shared" si="4"/>
        <v>0</v>
      </c>
    </row>
    <row r="328" spans="1:20">
      <c r="A328" s="8"/>
      <c r="B328" s="14">
        <v>1203</v>
      </c>
      <c r="C328" s="14">
        <v>8002</v>
      </c>
      <c r="D328" s="14">
        <v>2</v>
      </c>
      <c r="E328" s="14">
        <v>0</v>
      </c>
      <c r="F328" s="14" t="s">
        <v>1352</v>
      </c>
      <c r="G328" s="14"/>
      <c r="H328" s="14">
        <v>42</v>
      </c>
      <c r="I328" s="14">
        <v>60</v>
      </c>
      <c r="J328" s="14">
        <v>216</v>
      </c>
      <c r="K328" s="14">
        <v>1</v>
      </c>
      <c r="L328" s="14">
        <v>7</v>
      </c>
      <c r="M328" s="14">
        <v>0</v>
      </c>
      <c r="N328" s="14">
        <v>0</v>
      </c>
      <c r="O328" s="14">
        <v>0</v>
      </c>
      <c r="P328" s="14"/>
      <c r="Q328" s="14"/>
      <c r="R328" s="14">
        <v>2</v>
      </c>
      <c r="S328" s="14"/>
      <c r="T328" t="b">
        <f t="shared" ref="T328:T391" si="5">H328=I328</f>
        <v>0</v>
      </c>
    </row>
    <row r="329" spans="1:20">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c r="T329" t="b">
        <f t="shared" si="5"/>
        <v>0</v>
      </c>
    </row>
    <row r="330" spans="1:20">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c r="T330" t="b">
        <f t="shared" si="5"/>
        <v>0</v>
      </c>
    </row>
    <row r="331" spans="1:20">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c r="T331" t="b">
        <f t="shared" si="5"/>
        <v>0</v>
      </c>
    </row>
    <row r="332" spans="1:20">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c r="T332" t="b">
        <f t="shared" si="5"/>
        <v>0</v>
      </c>
    </row>
    <row r="333" spans="1:20">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c r="T333" t="b">
        <f t="shared" si="5"/>
        <v>0</v>
      </c>
    </row>
    <row r="334" spans="1:20">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c r="T334" t="b">
        <f t="shared" si="5"/>
        <v>0</v>
      </c>
    </row>
    <row r="335" spans="1:20">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c r="T335" t="b">
        <f t="shared" si="5"/>
        <v>0</v>
      </c>
    </row>
    <row r="336" spans="1:20">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c r="T336" t="b">
        <f t="shared" si="5"/>
        <v>0</v>
      </c>
    </row>
    <row r="337" spans="1:20">
      <c r="A337" s="8"/>
      <c r="B337" s="14">
        <v>1354</v>
      </c>
      <c r="C337" s="14">
        <v>657</v>
      </c>
      <c r="D337" s="14">
        <v>3</v>
      </c>
      <c r="E337" s="14">
        <v>0</v>
      </c>
      <c r="F337" s="14" t="s">
        <v>2462</v>
      </c>
      <c r="G337" s="14"/>
      <c r="H337" s="14">
        <v>20</v>
      </c>
      <c r="I337" s="14">
        <v>30</v>
      </c>
      <c r="J337" s="14">
        <v>135</v>
      </c>
      <c r="K337" s="14">
        <v>1</v>
      </c>
      <c r="L337" s="14">
        <v>2</v>
      </c>
      <c r="M337" s="14">
        <v>0</v>
      </c>
      <c r="N337" s="14">
        <v>1</v>
      </c>
      <c r="O337" s="14">
        <v>0</v>
      </c>
      <c r="P337" s="14">
        <v>999</v>
      </c>
      <c r="Q337" s="14"/>
      <c r="R337" s="14"/>
      <c r="S337" s="14"/>
      <c r="T337" t="b">
        <f t="shared" si="5"/>
        <v>0</v>
      </c>
    </row>
    <row r="338" spans="1:20">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c r="T338" t="b">
        <f t="shared" si="5"/>
        <v>0</v>
      </c>
    </row>
    <row r="339" spans="1:20">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c r="T339" t="b">
        <f t="shared" si="5"/>
        <v>0</v>
      </c>
    </row>
    <row r="340" spans="1:20">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c r="T340" t="b">
        <f t="shared" si="5"/>
        <v>0</v>
      </c>
    </row>
    <row r="341" spans="1:20">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c r="T341" t="b">
        <f t="shared" si="5"/>
        <v>0</v>
      </c>
    </row>
    <row r="342" spans="1:20">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c r="T342" t="b">
        <f t="shared" si="5"/>
        <v>0</v>
      </c>
    </row>
    <row r="343" spans="1:20">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c r="T343" t="b">
        <f t="shared" si="5"/>
        <v>0</v>
      </c>
    </row>
    <row r="344" spans="1:20">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c r="T344" t="b">
        <f t="shared" si="5"/>
        <v>0</v>
      </c>
    </row>
    <row r="345" spans="1:20">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c r="T345" t="b">
        <f t="shared" si="5"/>
        <v>0</v>
      </c>
    </row>
    <row r="346" spans="1:20">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c r="T346" t="b">
        <f t="shared" si="5"/>
        <v>0</v>
      </c>
    </row>
    <row r="347" spans="1:20">
      <c r="A347" s="8"/>
      <c r="B347" s="14">
        <v>1410</v>
      </c>
      <c r="C347" s="14">
        <v>9014</v>
      </c>
      <c r="D347" s="14">
        <v>4</v>
      </c>
      <c r="E347" s="14">
        <v>4</v>
      </c>
      <c r="F347" s="14" t="s">
        <v>2127</v>
      </c>
      <c r="G347" s="14"/>
      <c r="H347" s="14">
        <v>30</v>
      </c>
      <c r="I347" s="14">
        <v>45</v>
      </c>
      <c r="J347" s="14">
        <v>200</v>
      </c>
      <c r="K347" s="14">
        <v>1</v>
      </c>
      <c r="L347" s="14">
        <v>1</v>
      </c>
      <c r="M347" s="14">
        <v>0</v>
      </c>
      <c r="N347" s="14">
        <v>1</v>
      </c>
      <c r="O347" s="14">
        <v>0</v>
      </c>
      <c r="P347" s="14"/>
      <c r="Q347" s="14"/>
      <c r="R347" s="14"/>
      <c r="S347" s="14"/>
      <c r="T347" t="b">
        <f t="shared" si="5"/>
        <v>0</v>
      </c>
    </row>
    <row r="348" spans="1:20">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c r="T348" t="b">
        <f t="shared" si="5"/>
        <v>0</v>
      </c>
    </row>
    <row r="349" spans="1:20">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c r="T349" t="b">
        <f t="shared" si="5"/>
        <v>0</v>
      </c>
    </row>
    <row r="350" spans="1:20">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c r="T350" t="b">
        <f t="shared" si="5"/>
        <v>0</v>
      </c>
    </row>
    <row r="351" spans="1:20">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c r="T351" t="b">
        <f t="shared" si="5"/>
        <v>0</v>
      </c>
    </row>
    <row r="352" spans="1:20">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c r="T352" t="b">
        <f t="shared" si="5"/>
        <v>0</v>
      </c>
    </row>
    <row r="353" spans="1:20">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c r="T353" t="b">
        <f t="shared" si="5"/>
        <v>0</v>
      </c>
    </row>
    <row r="354" spans="1:20">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c r="T354" t="b">
        <f t="shared" si="5"/>
        <v>0</v>
      </c>
    </row>
    <row r="355" spans="1:20">
      <c r="A355" s="8"/>
      <c r="B355" s="14">
        <v>1457</v>
      </c>
      <c r="C355" s="14">
        <v>587</v>
      </c>
      <c r="D355" s="14">
        <v>4</v>
      </c>
      <c r="E355" s="14">
        <v>1</v>
      </c>
      <c r="F355" s="14" t="s">
        <v>1920</v>
      </c>
      <c r="G355" s="14"/>
      <c r="H355" s="14">
        <v>30</v>
      </c>
      <c r="I355" s="14">
        <v>45</v>
      </c>
      <c r="J355" s="14">
        <v>143</v>
      </c>
      <c r="K355" s="14">
        <v>1</v>
      </c>
      <c r="L355" s="14">
        <v>2</v>
      </c>
      <c r="M355" s="14">
        <v>0</v>
      </c>
      <c r="N355" s="14">
        <v>1</v>
      </c>
      <c r="O355" s="14">
        <v>0</v>
      </c>
      <c r="P355" s="14">
        <v>999</v>
      </c>
      <c r="Q355" s="14"/>
      <c r="R355" s="14"/>
      <c r="S355" s="14"/>
      <c r="T355" t="b">
        <f t="shared" si="5"/>
        <v>0</v>
      </c>
    </row>
    <row r="356" spans="1:20">
      <c r="A356" s="8"/>
      <c r="B356" s="14">
        <v>1458</v>
      </c>
      <c r="C356" s="14">
        <v>602</v>
      </c>
      <c r="D356" s="14">
        <v>4</v>
      </c>
      <c r="E356" s="14">
        <v>1</v>
      </c>
      <c r="F356" s="14" t="s">
        <v>2009</v>
      </c>
      <c r="G356" s="14"/>
      <c r="H356" s="14">
        <v>30</v>
      </c>
      <c r="I356" s="14">
        <v>45</v>
      </c>
      <c r="J356" s="14">
        <v>129</v>
      </c>
      <c r="K356" s="14">
        <v>1</v>
      </c>
      <c r="L356" s="14">
        <v>2</v>
      </c>
      <c r="M356" s="14">
        <v>0</v>
      </c>
      <c r="N356" s="14">
        <v>1</v>
      </c>
      <c r="O356" s="14">
        <v>0</v>
      </c>
      <c r="P356" s="14">
        <v>999</v>
      </c>
      <c r="Q356" s="14"/>
      <c r="R356" s="14"/>
      <c r="S356" s="14"/>
      <c r="T356" t="b">
        <f t="shared" si="5"/>
        <v>0</v>
      </c>
    </row>
    <row r="357" spans="1:20">
      <c r="A357" s="8"/>
      <c r="B357" s="14">
        <v>1459</v>
      </c>
      <c r="C357" s="14">
        <v>603</v>
      </c>
      <c r="D357" s="14">
        <v>4</v>
      </c>
      <c r="E357" s="14">
        <v>2</v>
      </c>
      <c r="F357" s="14" t="s">
        <v>2100</v>
      </c>
      <c r="G357" s="14"/>
      <c r="H357" s="14">
        <v>30</v>
      </c>
      <c r="I357" s="14">
        <v>45</v>
      </c>
      <c r="J357" s="14">
        <v>129</v>
      </c>
      <c r="K357" s="14">
        <v>1</v>
      </c>
      <c r="L357" s="14">
        <v>2</v>
      </c>
      <c r="M357" s="14">
        <v>0</v>
      </c>
      <c r="N357" s="14">
        <v>1</v>
      </c>
      <c r="O357" s="14">
        <v>0</v>
      </c>
      <c r="P357" s="14">
        <v>999</v>
      </c>
      <c r="Q357" s="14"/>
      <c r="R357" s="14"/>
      <c r="S357" s="14"/>
      <c r="T357" t="b">
        <f t="shared" si="5"/>
        <v>0</v>
      </c>
    </row>
    <row r="358" spans="1:20">
      <c r="A358" s="8"/>
      <c r="B358" s="14">
        <v>1460</v>
      </c>
      <c r="C358" s="14">
        <v>634</v>
      </c>
      <c r="D358" s="14">
        <v>4</v>
      </c>
      <c r="E358" s="14">
        <v>4</v>
      </c>
      <c r="F358" s="14" t="s">
        <v>2245</v>
      </c>
      <c r="G358" s="14"/>
      <c r="H358" s="14">
        <v>30</v>
      </c>
      <c r="I358" s="14">
        <v>45</v>
      </c>
      <c r="J358" s="14">
        <v>131</v>
      </c>
      <c r="K358" s="14">
        <v>1</v>
      </c>
      <c r="L358" s="14">
        <v>2</v>
      </c>
      <c r="M358" s="14">
        <v>0</v>
      </c>
      <c r="N358" s="14">
        <v>1</v>
      </c>
      <c r="O358" s="14">
        <v>0</v>
      </c>
      <c r="P358" s="14">
        <v>999</v>
      </c>
      <c r="Q358" s="14"/>
      <c r="R358" s="14"/>
      <c r="S358" s="14"/>
      <c r="T358" t="b">
        <f t="shared" si="5"/>
        <v>0</v>
      </c>
    </row>
    <row r="359" spans="1:20">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c r="T359" t="b">
        <f t="shared" si="5"/>
        <v>0</v>
      </c>
    </row>
    <row r="360" spans="1:20">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c r="T360" t="b">
        <f t="shared" si="5"/>
        <v>0</v>
      </c>
    </row>
    <row r="361" spans="1:20">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c r="T361" t="b">
        <f t="shared" si="5"/>
        <v>0</v>
      </c>
    </row>
    <row r="362" spans="1:20">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c r="T362" t="b">
        <f t="shared" si="5"/>
        <v>0</v>
      </c>
    </row>
    <row r="363" spans="1:20">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c r="T363" t="b">
        <f t="shared" si="5"/>
        <v>0</v>
      </c>
    </row>
    <row r="364" spans="1:20">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c r="T364" t="b">
        <f t="shared" si="5"/>
        <v>0</v>
      </c>
    </row>
    <row r="365" spans="1:20">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c r="T365" t="b">
        <f t="shared" si="5"/>
        <v>0</v>
      </c>
    </row>
    <row r="366" spans="1:20">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c r="T366" t="b">
        <f t="shared" si="5"/>
        <v>0</v>
      </c>
    </row>
    <row r="367" spans="1:20">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c r="T367" t="b">
        <f t="shared" si="5"/>
        <v>0</v>
      </c>
    </row>
    <row r="368" spans="1:20">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c r="T368" t="b">
        <f t="shared" si="5"/>
        <v>0</v>
      </c>
    </row>
    <row r="369" spans="1:20">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c r="T369" t="b">
        <f t="shared" si="5"/>
        <v>0</v>
      </c>
    </row>
    <row r="370" spans="1:20">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c r="T370" t="b">
        <f t="shared" si="5"/>
        <v>0</v>
      </c>
    </row>
    <row r="371" spans="1:20">
      <c r="A371" s="8"/>
      <c r="B371" s="14">
        <v>1606</v>
      </c>
      <c r="C371" s="14">
        <v>557</v>
      </c>
      <c r="D371" s="14">
        <v>6</v>
      </c>
      <c r="E371" s="14">
        <v>0</v>
      </c>
      <c r="F371" s="14" t="s">
        <v>1706</v>
      </c>
      <c r="G371" s="14" t="s">
        <v>1715</v>
      </c>
      <c r="H371" s="14">
        <v>40</v>
      </c>
      <c r="I371" s="14">
        <v>70</v>
      </c>
      <c r="J371" s="14">
        <v>240</v>
      </c>
      <c r="K371" s="14">
        <v>10</v>
      </c>
      <c r="L371" s="14">
        <v>3</v>
      </c>
      <c r="M371" s="14">
        <v>0</v>
      </c>
      <c r="N371" s="14">
        <v>0</v>
      </c>
      <c r="O371" s="14">
        <v>0</v>
      </c>
      <c r="P371" s="14"/>
      <c r="Q371" s="14"/>
      <c r="R371" s="14"/>
      <c r="S371" s="14"/>
      <c r="T371" t="b">
        <f t="shared" si="5"/>
        <v>0</v>
      </c>
    </row>
    <row r="372" spans="1:20">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c r="T372" t="b">
        <f t="shared" si="5"/>
        <v>0</v>
      </c>
    </row>
    <row r="373" spans="1:20">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c r="T373" t="b">
        <f t="shared" si="5"/>
        <v>1</v>
      </c>
    </row>
    <row r="374" spans="1:20">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c r="T374" t="b">
        <f t="shared" si="5"/>
        <v>1</v>
      </c>
    </row>
    <row r="375" spans="1:20">
      <c r="A375" s="8"/>
      <c r="B375" s="14">
        <v>1703</v>
      </c>
      <c r="C375" s="14">
        <v>551</v>
      </c>
      <c r="D375" s="14">
        <v>7</v>
      </c>
      <c r="E375" s="14">
        <v>0</v>
      </c>
      <c r="F375" s="14" t="s">
        <v>1692</v>
      </c>
      <c r="G375" s="14"/>
      <c r="H375" s="14">
        <v>30</v>
      </c>
      <c r="I375" s="14">
        <v>30</v>
      </c>
      <c r="J375" s="14">
        <v>0</v>
      </c>
      <c r="K375" s="14">
        <v>1</v>
      </c>
      <c r="L375" s="14">
        <v>3</v>
      </c>
      <c r="M375" s="14">
        <v>0</v>
      </c>
      <c r="N375" s="14">
        <v>0</v>
      </c>
      <c r="O375" s="14">
        <v>0</v>
      </c>
      <c r="P375" s="14"/>
      <c r="Q375" s="14"/>
      <c r="R375" s="14"/>
      <c r="S375" s="14"/>
      <c r="T375" t="b">
        <f t="shared" si="5"/>
        <v>1</v>
      </c>
    </row>
    <row r="376" spans="1:20">
      <c r="A376" s="8"/>
      <c r="B376" s="14">
        <v>1704</v>
      </c>
      <c r="C376" s="14">
        <v>557</v>
      </c>
      <c r="D376" s="14">
        <v>7</v>
      </c>
      <c r="E376" s="14">
        <v>0</v>
      </c>
      <c r="F376" s="14" t="s">
        <v>1706</v>
      </c>
      <c r="G376" s="14" t="s">
        <v>1715</v>
      </c>
      <c r="H376" s="14">
        <v>30</v>
      </c>
      <c r="I376" s="14">
        <v>30</v>
      </c>
      <c r="J376" s="14">
        <v>0</v>
      </c>
      <c r="K376" s="14">
        <v>1</v>
      </c>
      <c r="L376" s="14">
        <v>3</v>
      </c>
      <c r="M376" s="14">
        <v>0</v>
      </c>
      <c r="N376" s="14">
        <v>0</v>
      </c>
      <c r="O376" s="14">
        <v>0</v>
      </c>
      <c r="P376" s="14"/>
      <c r="Q376" s="14"/>
      <c r="R376" s="14"/>
      <c r="S376" s="14"/>
      <c r="T376" t="b">
        <f t="shared" si="5"/>
        <v>1</v>
      </c>
    </row>
    <row r="377" spans="1:20">
      <c r="A377" s="8"/>
      <c r="B377" s="14">
        <v>1705</v>
      </c>
      <c r="C377" s="14">
        <v>651</v>
      </c>
      <c r="D377" s="14">
        <v>7</v>
      </c>
      <c r="E377" s="14">
        <v>0</v>
      </c>
      <c r="F377" s="14" t="s">
        <v>2441</v>
      </c>
      <c r="G377" s="14"/>
      <c r="H377" s="14">
        <v>50</v>
      </c>
      <c r="I377" s="14">
        <v>50</v>
      </c>
      <c r="J377" s="14">
        <v>0</v>
      </c>
      <c r="K377" s="14">
        <v>1</v>
      </c>
      <c r="L377" s="14">
        <v>3</v>
      </c>
      <c r="M377" s="14">
        <v>0</v>
      </c>
      <c r="N377" s="14">
        <v>0</v>
      </c>
      <c r="O377" s="14">
        <v>0</v>
      </c>
      <c r="P377" s="14"/>
      <c r="Q377" s="14"/>
      <c r="R377" s="14"/>
      <c r="S377" s="14"/>
      <c r="T377" t="b">
        <f t="shared" si="5"/>
        <v>1</v>
      </c>
    </row>
    <row r="378" spans="1:20">
      <c r="A378" s="8"/>
      <c r="B378" s="14">
        <v>1801</v>
      </c>
      <c r="C378" s="14">
        <v>557</v>
      </c>
      <c r="D378" s="14">
        <v>8</v>
      </c>
      <c r="E378" s="14">
        <v>1</v>
      </c>
      <c r="F378" s="14" t="s">
        <v>1706</v>
      </c>
      <c r="G378" s="14" t="s">
        <v>1247</v>
      </c>
      <c r="H378" s="14">
        <v>50</v>
      </c>
      <c r="I378" s="14">
        <v>80</v>
      </c>
      <c r="J378" s="14">
        <v>240</v>
      </c>
      <c r="K378" s="14">
        <v>10</v>
      </c>
      <c r="L378" s="14">
        <v>3</v>
      </c>
      <c r="M378" s="14">
        <v>0</v>
      </c>
      <c r="N378" s="14">
        <v>0</v>
      </c>
      <c r="O378" s="14">
        <v>0</v>
      </c>
      <c r="P378" s="14"/>
      <c r="Q378" s="14"/>
      <c r="R378" s="14"/>
      <c r="S378" s="14"/>
      <c r="T378" t="b">
        <f t="shared" si="5"/>
        <v>0</v>
      </c>
    </row>
    <row r="379" spans="1:20">
      <c r="A379" s="8"/>
      <c r="B379" s="14">
        <v>1802</v>
      </c>
      <c r="C379" s="14">
        <v>557</v>
      </c>
      <c r="D379" s="14">
        <v>8</v>
      </c>
      <c r="E379" s="14">
        <v>2</v>
      </c>
      <c r="F379" s="14" t="s">
        <v>1706</v>
      </c>
      <c r="G379" s="14" t="s">
        <v>1755</v>
      </c>
      <c r="H379" s="14">
        <v>50</v>
      </c>
      <c r="I379" s="14">
        <v>80</v>
      </c>
      <c r="J379" s="14">
        <v>240</v>
      </c>
      <c r="K379" s="14">
        <v>10</v>
      </c>
      <c r="L379" s="14">
        <v>3</v>
      </c>
      <c r="M379" s="14">
        <v>0</v>
      </c>
      <c r="N379" s="14">
        <v>0</v>
      </c>
      <c r="O379" s="14">
        <v>0</v>
      </c>
      <c r="P379" s="14"/>
      <c r="Q379" s="14"/>
      <c r="R379" s="14"/>
      <c r="S379" s="14"/>
      <c r="T379" t="b">
        <f t="shared" si="5"/>
        <v>0</v>
      </c>
    </row>
    <row r="380" spans="1:20">
      <c r="A380" s="8"/>
      <c r="B380" s="14">
        <v>1803</v>
      </c>
      <c r="C380" s="14">
        <v>557</v>
      </c>
      <c r="D380" s="14">
        <v>8</v>
      </c>
      <c r="E380" s="14">
        <v>3</v>
      </c>
      <c r="F380" s="14" t="s">
        <v>1706</v>
      </c>
      <c r="G380" s="14" t="s">
        <v>1756</v>
      </c>
      <c r="H380" s="14">
        <v>50</v>
      </c>
      <c r="I380" s="14">
        <v>80</v>
      </c>
      <c r="J380" s="14">
        <v>240</v>
      </c>
      <c r="K380" s="14">
        <v>10</v>
      </c>
      <c r="L380" s="14">
        <v>3</v>
      </c>
      <c r="M380" s="14">
        <v>0</v>
      </c>
      <c r="N380" s="14">
        <v>0</v>
      </c>
      <c r="O380" s="14">
        <v>0</v>
      </c>
      <c r="P380" s="14"/>
      <c r="Q380" s="14"/>
      <c r="R380" s="14"/>
      <c r="S380" s="14"/>
      <c r="T380" t="b">
        <f t="shared" si="5"/>
        <v>0</v>
      </c>
    </row>
    <row r="381" spans="1:20">
      <c r="A381" s="8"/>
      <c r="B381" s="14">
        <v>1804</v>
      </c>
      <c r="C381" s="14">
        <v>557</v>
      </c>
      <c r="D381" s="14">
        <v>8</v>
      </c>
      <c r="E381" s="14">
        <v>4</v>
      </c>
      <c r="F381" s="14" t="s">
        <v>1706</v>
      </c>
      <c r="G381" s="14" t="s">
        <v>1757</v>
      </c>
      <c r="H381" s="14">
        <v>50</v>
      </c>
      <c r="I381" s="14">
        <v>80</v>
      </c>
      <c r="J381" s="14">
        <v>240</v>
      </c>
      <c r="K381" s="14">
        <v>10</v>
      </c>
      <c r="L381" s="14">
        <v>3</v>
      </c>
      <c r="M381" s="14">
        <v>0</v>
      </c>
      <c r="N381" s="14">
        <v>0</v>
      </c>
      <c r="O381" s="14">
        <v>0</v>
      </c>
      <c r="P381" s="14"/>
      <c r="Q381" s="14"/>
      <c r="R381" s="14"/>
      <c r="S381" s="14"/>
      <c r="T381" t="b">
        <f t="shared" si="5"/>
        <v>0</v>
      </c>
    </row>
    <row r="382" spans="1:20">
      <c r="A382" s="8"/>
      <c r="B382" s="14">
        <v>1805</v>
      </c>
      <c r="C382" s="14">
        <v>557</v>
      </c>
      <c r="D382" s="14">
        <v>8</v>
      </c>
      <c r="E382" s="14">
        <v>5</v>
      </c>
      <c r="F382" s="14" t="s">
        <v>1706</v>
      </c>
      <c r="G382" s="14" t="s">
        <v>1248</v>
      </c>
      <c r="H382" s="14">
        <v>50</v>
      </c>
      <c r="I382" s="14">
        <v>80</v>
      </c>
      <c r="J382" s="14">
        <v>240</v>
      </c>
      <c r="K382" s="14">
        <v>10</v>
      </c>
      <c r="L382" s="14">
        <v>3</v>
      </c>
      <c r="M382" s="14">
        <v>0</v>
      </c>
      <c r="N382" s="14">
        <v>0</v>
      </c>
      <c r="O382" s="14">
        <v>0</v>
      </c>
      <c r="P382" s="14"/>
      <c r="Q382" s="14"/>
      <c r="R382" s="14"/>
      <c r="S382" s="14"/>
      <c r="T382" t="b">
        <f t="shared" si="5"/>
        <v>0</v>
      </c>
    </row>
    <row r="383" spans="1:20">
      <c r="A383" s="8"/>
      <c r="B383" s="14">
        <v>1901</v>
      </c>
      <c r="C383" s="14">
        <v>557</v>
      </c>
      <c r="D383" s="14">
        <v>9</v>
      </c>
      <c r="E383" s="14">
        <v>1</v>
      </c>
      <c r="F383" s="14" t="s">
        <v>1706</v>
      </c>
      <c r="G383" s="14" t="s">
        <v>1247</v>
      </c>
      <c r="H383" s="14">
        <v>45</v>
      </c>
      <c r="I383" s="14">
        <v>45</v>
      </c>
      <c r="J383" s="14">
        <v>0</v>
      </c>
      <c r="K383" s="14">
        <v>1</v>
      </c>
      <c r="L383" s="14">
        <v>3</v>
      </c>
      <c r="M383" s="14">
        <v>0</v>
      </c>
      <c r="N383" s="14">
        <v>0</v>
      </c>
      <c r="O383" s="14">
        <v>0</v>
      </c>
      <c r="P383" s="14"/>
      <c r="Q383" s="14"/>
      <c r="R383" s="14"/>
      <c r="S383" s="14"/>
      <c r="T383" t="b">
        <f t="shared" si="5"/>
        <v>1</v>
      </c>
    </row>
    <row r="384" spans="1:20">
      <c r="A384" s="8"/>
      <c r="B384" s="14">
        <v>1902</v>
      </c>
      <c r="C384" s="14">
        <v>557</v>
      </c>
      <c r="D384" s="14">
        <v>9</v>
      </c>
      <c r="E384" s="14">
        <v>2</v>
      </c>
      <c r="F384" s="14" t="s">
        <v>1706</v>
      </c>
      <c r="G384" s="14" t="s">
        <v>1755</v>
      </c>
      <c r="H384" s="14">
        <v>45</v>
      </c>
      <c r="I384" s="14">
        <v>45</v>
      </c>
      <c r="J384" s="14">
        <v>0</v>
      </c>
      <c r="K384" s="14">
        <v>1</v>
      </c>
      <c r="L384" s="14">
        <v>3</v>
      </c>
      <c r="M384" s="14">
        <v>0</v>
      </c>
      <c r="N384" s="14">
        <v>0</v>
      </c>
      <c r="O384" s="14">
        <v>0</v>
      </c>
      <c r="P384" s="14"/>
      <c r="Q384" s="14"/>
      <c r="R384" s="14"/>
      <c r="S384" s="14"/>
      <c r="T384" t="b">
        <f t="shared" si="5"/>
        <v>1</v>
      </c>
    </row>
    <row r="385" spans="1:20">
      <c r="A385" s="8"/>
      <c r="B385" s="14">
        <v>1903</v>
      </c>
      <c r="C385" s="14">
        <v>557</v>
      </c>
      <c r="D385" s="14">
        <v>9</v>
      </c>
      <c r="E385" s="14">
        <v>3</v>
      </c>
      <c r="F385" s="14" t="s">
        <v>1706</v>
      </c>
      <c r="G385" s="14" t="s">
        <v>1756</v>
      </c>
      <c r="H385" s="14">
        <v>45</v>
      </c>
      <c r="I385" s="14">
        <v>45</v>
      </c>
      <c r="J385" s="14">
        <v>0</v>
      </c>
      <c r="K385" s="14">
        <v>1</v>
      </c>
      <c r="L385" s="14">
        <v>3</v>
      </c>
      <c r="M385" s="14">
        <v>0</v>
      </c>
      <c r="N385" s="14">
        <v>0</v>
      </c>
      <c r="O385" s="14">
        <v>0</v>
      </c>
      <c r="P385" s="14"/>
      <c r="Q385" s="14"/>
      <c r="R385" s="14"/>
      <c r="S385" s="14"/>
      <c r="T385" t="b">
        <f t="shared" si="5"/>
        <v>1</v>
      </c>
    </row>
    <row r="386" spans="1:20">
      <c r="A386" s="8"/>
      <c r="B386" s="14">
        <v>1904</v>
      </c>
      <c r="C386" s="14">
        <v>557</v>
      </c>
      <c r="D386" s="14">
        <v>9</v>
      </c>
      <c r="E386" s="14">
        <v>4</v>
      </c>
      <c r="F386" s="14" t="s">
        <v>1706</v>
      </c>
      <c r="G386" s="14" t="s">
        <v>1757</v>
      </c>
      <c r="H386" s="14">
        <v>45</v>
      </c>
      <c r="I386" s="14">
        <v>45</v>
      </c>
      <c r="J386" s="14">
        <v>0</v>
      </c>
      <c r="K386" s="14">
        <v>1</v>
      </c>
      <c r="L386" s="14">
        <v>3</v>
      </c>
      <c r="M386" s="14">
        <v>0</v>
      </c>
      <c r="N386" s="14">
        <v>0</v>
      </c>
      <c r="O386" s="14">
        <v>0</v>
      </c>
      <c r="P386" s="14"/>
      <c r="Q386" s="14"/>
      <c r="R386" s="14"/>
      <c r="S386" s="14"/>
      <c r="T386" t="b">
        <f t="shared" si="5"/>
        <v>1</v>
      </c>
    </row>
    <row r="387" spans="1:20">
      <c r="A387" s="8"/>
      <c r="B387" s="14">
        <v>1905</v>
      </c>
      <c r="C387" s="14">
        <v>557</v>
      </c>
      <c r="D387" s="14">
        <v>9</v>
      </c>
      <c r="E387" s="14">
        <v>5</v>
      </c>
      <c r="F387" s="14" t="s">
        <v>1706</v>
      </c>
      <c r="G387" s="14" t="s">
        <v>1248</v>
      </c>
      <c r="H387" s="14">
        <v>45</v>
      </c>
      <c r="I387" s="14">
        <v>45</v>
      </c>
      <c r="J387" s="14">
        <v>0</v>
      </c>
      <c r="K387" s="14">
        <v>1</v>
      </c>
      <c r="L387" s="14">
        <v>3</v>
      </c>
      <c r="M387" s="14">
        <v>0</v>
      </c>
      <c r="N387" s="14">
        <v>0</v>
      </c>
      <c r="O387" s="14">
        <v>0</v>
      </c>
      <c r="P387" s="14"/>
      <c r="Q387" s="14"/>
      <c r="R387" s="14"/>
      <c r="S387" s="14"/>
      <c r="T387" t="b">
        <f t="shared" si="5"/>
        <v>1</v>
      </c>
    </row>
    <row r="388" spans="1:20">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c r="T388" t="b">
        <f t="shared" si="5"/>
        <v>0</v>
      </c>
    </row>
    <row r="389" spans="1:20">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c r="T389" t="b">
        <f t="shared" si="5"/>
        <v>0</v>
      </c>
    </row>
    <row r="390" spans="1:20">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c r="T390" t="b">
        <f t="shared" si="5"/>
        <v>0</v>
      </c>
    </row>
    <row r="391" spans="1:20">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c r="T391" t="b">
        <f t="shared" si="5"/>
        <v>0</v>
      </c>
    </row>
    <row r="392" spans="1:20">
      <c r="A392" s="8"/>
      <c r="B392" s="14">
        <v>2005</v>
      </c>
      <c r="C392" s="14">
        <v>8001</v>
      </c>
      <c r="D392" s="14">
        <v>10</v>
      </c>
      <c r="E392" s="14">
        <v>0</v>
      </c>
      <c r="F392" s="14" t="s">
        <v>1240</v>
      </c>
      <c r="G392" s="14"/>
      <c r="H392" s="14">
        <v>30</v>
      </c>
      <c r="I392" s="14">
        <v>30</v>
      </c>
      <c r="J392" s="14">
        <v>0</v>
      </c>
      <c r="K392" s="14">
        <v>1</v>
      </c>
      <c r="L392" s="14">
        <v>7</v>
      </c>
      <c r="M392" s="14">
        <v>0</v>
      </c>
      <c r="N392" s="14">
        <v>0</v>
      </c>
      <c r="O392" s="14">
        <v>0</v>
      </c>
      <c r="P392" s="14"/>
      <c r="Q392" s="14"/>
      <c r="R392" s="14">
        <v>2</v>
      </c>
      <c r="S392" s="14"/>
      <c r="T392" t="b">
        <f t="shared" ref="T392:T455" si="6">H392=I392</f>
        <v>1</v>
      </c>
    </row>
    <row r="393" spans="1:20">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c r="T393" t="b">
        <f t="shared" si="6"/>
        <v>0</v>
      </c>
    </row>
    <row r="394" spans="1:20">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c r="T394" t="b">
        <f t="shared" si="6"/>
        <v>0</v>
      </c>
    </row>
    <row r="395" spans="1:20">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c r="T395" t="b">
        <f t="shared" si="6"/>
        <v>0</v>
      </c>
    </row>
    <row r="396" spans="1:20">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c r="T396" t="b">
        <f t="shared" si="6"/>
        <v>0</v>
      </c>
    </row>
    <row r="397" spans="1:20">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c r="T397" t="b">
        <f t="shared" si="6"/>
        <v>0</v>
      </c>
    </row>
    <row r="398" spans="1:20">
      <c r="A398" s="8"/>
      <c r="B398" s="14">
        <v>2054</v>
      </c>
      <c r="C398" s="14">
        <v>565</v>
      </c>
      <c r="D398" s="14">
        <v>10</v>
      </c>
      <c r="E398" s="14">
        <v>0</v>
      </c>
      <c r="F398" s="14" t="s">
        <v>1749</v>
      </c>
      <c r="G398" s="14"/>
      <c r="H398" s="14">
        <v>20</v>
      </c>
      <c r="I398" s="14">
        <v>30</v>
      </c>
      <c r="J398" s="14">
        <v>126</v>
      </c>
      <c r="K398" s="14">
        <v>1</v>
      </c>
      <c r="L398" s="14">
        <v>3</v>
      </c>
      <c r="M398" s="14">
        <v>0</v>
      </c>
      <c r="N398" s="14">
        <v>0</v>
      </c>
      <c r="O398" s="14">
        <v>0</v>
      </c>
      <c r="P398" s="14"/>
      <c r="Q398" s="14"/>
      <c r="R398" s="14"/>
      <c r="S398" s="14"/>
      <c r="T398" t="b">
        <f t="shared" si="6"/>
        <v>0</v>
      </c>
    </row>
    <row r="399" spans="1:20">
      <c r="A399" s="8"/>
      <c r="B399" s="14">
        <v>2101</v>
      </c>
      <c r="C399" s="14">
        <v>639</v>
      </c>
      <c r="D399" s="14">
        <v>11</v>
      </c>
      <c r="E399" s="14">
        <v>3</v>
      </c>
      <c r="F399" s="14" t="s">
        <v>2343</v>
      </c>
      <c r="G399" s="14"/>
      <c r="H399" s="14">
        <v>65</v>
      </c>
      <c r="I399" s="14">
        <v>65</v>
      </c>
      <c r="J399" s="14">
        <v>0</v>
      </c>
      <c r="K399" s="14">
        <v>1</v>
      </c>
      <c r="L399" s="14">
        <v>0</v>
      </c>
      <c r="M399" s="14">
        <v>0</v>
      </c>
      <c r="N399" s="14">
        <v>0</v>
      </c>
      <c r="O399" s="14">
        <v>0</v>
      </c>
      <c r="P399" s="14"/>
      <c r="Q399" s="14"/>
      <c r="R399" s="14"/>
      <c r="S399" s="14"/>
      <c r="T399" t="b">
        <f t="shared" si="6"/>
        <v>1</v>
      </c>
    </row>
    <row r="400" spans="1:20">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c r="T400" t="b">
        <f t="shared" si="6"/>
        <v>1</v>
      </c>
    </row>
    <row r="401" spans="1:20">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c r="T401" t="b">
        <f t="shared" si="6"/>
        <v>1</v>
      </c>
    </row>
    <row r="402" spans="1:20">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c r="T402" t="b">
        <f t="shared" si="6"/>
        <v>0</v>
      </c>
    </row>
    <row r="403" spans="1:20">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c r="T403" t="b">
        <f t="shared" si="6"/>
        <v>0</v>
      </c>
    </row>
    <row r="404" spans="1:20">
      <c r="A404" s="8"/>
      <c r="B404" s="14">
        <v>2303</v>
      </c>
      <c r="C404" s="14">
        <v>563</v>
      </c>
      <c r="D404" s="14">
        <v>13</v>
      </c>
      <c r="E404" s="14">
        <v>0</v>
      </c>
      <c r="F404" s="14" t="s">
        <v>1746</v>
      </c>
      <c r="G404" s="14"/>
      <c r="H404" s="14">
        <v>25</v>
      </c>
      <c r="I404" s="14">
        <v>25</v>
      </c>
      <c r="J404" s="14">
        <v>0</v>
      </c>
      <c r="K404" s="14">
        <v>1</v>
      </c>
      <c r="L404" s="14">
        <v>0</v>
      </c>
      <c r="M404" s="14">
        <v>0</v>
      </c>
      <c r="N404" s="14">
        <v>0</v>
      </c>
      <c r="O404" s="14">
        <v>0</v>
      </c>
      <c r="P404" s="14"/>
      <c r="Q404" s="14"/>
      <c r="R404" s="14"/>
      <c r="S404" s="14"/>
      <c r="T404" t="b">
        <f t="shared" si="6"/>
        <v>1</v>
      </c>
    </row>
    <row r="405" spans="1:20">
      <c r="A405" s="8"/>
      <c r="B405" s="14">
        <v>2304</v>
      </c>
      <c r="C405" s="14">
        <v>563</v>
      </c>
      <c r="D405" s="14">
        <v>13</v>
      </c>
      <c r="E405" s="14">
        <v>0</v>
      </c>
      <c r="F405" s="14" t="s">
        <v>1746</v>
      </c>
      <c r="G405" s="14"/>
      <c r="H405" s="14">
        <v>50</v>
      </c>
      <c r="I405" s="14">
        <v>50</v>
      </c>
      <c r="J405" s="14">
        <v>0</v>
      </c>
      <c r="K405" s="14">
        <v>1</v>
      </c>
      <c r="L405" s="14">
        <v>0</v>
      </c>
      <c r="M405" s="14">
        <v>0</v>
      </c>
      <c r="N405" s="14">
        <v>0</v>
      </c>
      <c r="O405" s="14">
        <v>0</v>
      </c>
      <c r="P405" s="14"/>
      <c r="Q405" s="14"/>
      <c r="R405" s="14">
        <v>2</v>
      </c>
      <c r="S405" s="14"/>
      <c r="T405" t="b">
        <f t="shared" si="6"/>
        <v>1</v>
      </c>
    </row>
    <row r="406" spans="1:20">
      <c r="A406" s="8"/>
      <c r="B406" s="14">
        <v>2305</v>
      </c>
      <c r="C406" s="14">
        <v>598</v>
      </c>
      <c r="D406" s="14">
        <v>13</v>
      </c>
      <c r="E406" s="14">
        <v>0</v>
      </c>
      <c r="F406" s="14" t="s">
        <v>2014</v>
      </c>
      <c r="G406" s="14"/>
      <c r="H406" s="14">
        <v>15</v>
      </c>
      <c r="I406" s="14">
        <v>15</v>
      </c>
      <c r="J406" s="14">
        <v>0</v>
      </c>
      <c r="K406" s="14">
        <v>1</v>
      </c>
      <c r="L406" s="14">
        <v>0</v>
      </c>
      <c r="M406" s="14">
        <v>0</v>
      </c>
      <c r="N406" s="14">
        <v>0</v>
      </c>
      <c r="O406" s="14">
        <v>0</v>
      </c>
      <c r="P406" s="14"/>
      <c r="Q406" s="14"/>
      <c r="R406" s="14"/>
      <c r="S406" s="14"/>
      <c r="T406" t="b">
        <f t="shared" si="6"/>
        <v>1</v>
      </c>
    </row>
    <row r="407" spans="1:20">
      <c r="A407" s="8"/>
      <c r="B407" s="14">
        <v>2306</v>
      </c>
      <c r="C407" s="14">
        <v>613</v>
      </c>
      <c r="D407" s="14">
        <v>13</v>
      </c>
      <c r="E407" s="14">
        <v>0</v>
      </c>
      <c r="F407" s="14" t="s">
        <v>2113</v>
      </c>
      <c r="G407" s="14"/>
      <c r="H407" s="14">
        <v>-50</v>
      </c>
      <c r="I407" s="14">
        <v>-50</v>
      </c>
      <c r="J407" s="14">
        <v>0</v>
      </c>
      <c r="K407" s="14">
        <v>1</v>
      </c>
      <c r="L407" s="14">
        <v>0</v>
      </c>
      <c r="M407" s="14">
        <v>0</v>
      </c>
      <c r="N407" s="14">
        <v>0</v>
      </c>
      <c r="O407" s="14">
        <v>0</v>
      </c>
      <c r="P407" s="14"/>
      <c r="Q407" s="14"/>
      <c r="R407" s="14"/>
      <c r="S407" s="14"/>
      <c r="T407" t="b">
        <f t="shared" si="6"/>
        <v>1</v>
      </c>
    </row>
    <row r="408" spans="1:20">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c r="T408" t="b">
        <f t="shared" si="6"/>
        <v>1</v>
      </c>
    </row>
    <row r="409" spans="1:20">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c r="T409" t="b">
        <f t="shared" si="6"/>
        <v>1</v>
      </c>
    </row>
    <row r="410" spans="1:20">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c r="T410" t="b">
        <f t="shared" si="6"/>
        <v>1</v>
      </c>
    </row>
    <row r="411" spans="1:20">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c r="T411" t="b">
        <f t="shared" si="6"/>
        <v>1</v>
      </c>
    </row>
    <row r="412" spans="1:20">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c r="T412" t="b">
        <f t="shared" si="6"/>
        <v>1</v>
      </c>
    </row>
    <row r="413" spans="1:20">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c r="T413" t="b">
        <f t="shared" si="6"/>
        <v>1</v>
      </c>
    </row>
    <row r="414" spans="1:20">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c r="T414" t="b">
        <f t="shared" si="6"/>
        <v>1</v>
      </c>
    </row>
    <row r="415" spans="1:20">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c r="T415" t="b">
        <f t="shared" si="6"/>
        <v>1</v>
      </c>
    </row>
    <row r="416" spans="1:20">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c r="T416" t="b">
        <f t="shared" si="6"/>
        <v>1</v>
      </c>
    </row>
    <row r="417" spans="1:20">
      <c r="A417" s="8"/>
      <c r="B417" s="14">
        <v>2605</v>
      </c>
      <c r="C417" s="14">
        <v>8004</v>
      </c>
      <c r="D417" s="14">
        <v>16</v>
      </c>
      <c r="E417" s="14">
        <v>0</v>
      </c>
      <c r="F417" s="14" t="s">
        <v>1665</v>
      </c>
      <c r="G417" s="14"/>
      <c r="H417" s="14">
        <v>3</v>
      </c>
      <c r="I417" s="14">
        <v>3</v>
      </c>
      <c r="J417" s="14">
        <v>0</v>
      </c>
      <c r="K417" s="14">
        <v>1</v>
      </c>
      <c r="L417" s="14">
        <v>7</v>
      </c>
      <c r="M417" s="14">
        <v>0</v>
      </c>
      <c r="N417" s="14">
        <v>0</v>
      </c>
      <c r="O417" s="14">
        <v>6</v>
      </c>
      <c r="P417" s="14"/>
      <c r="Q417" s="14"/>
      <c r="R417" s="14">
        <v>2</v>
      </c>
      <c r="S417" s="14"/>
      <c r="T417" t="b">
        <f t="shared" si="6"/>
        <v>1</v>
      </c>
    </row>
    <row r="418" spans="1:20">
      <c r="A418" s="8"/>
      <c r="B418" s="14">
        <v>2606</v>
      </c>
      <c r="C418" s="14">
        <v>567</v>
      </c>
      <c r="D418" s="14">
        <v>16</v>
      </c>
      <c r="E418" s="14">
        <v>0</v>
      </c>
      <c r="F418" s="14" t="s">
        <v>1754</v>
      </c>
      <c r="G418" s="14"/>
      <c r="H418" s="14">
        <v>5</v>
      </c>
      <c r="I418" s="14">
        <v>5</v>
      </c>
      <c r="J418" s="14">
        <v>0</v>
      </c>
      <c r="K418" s="14">
        <v>1</v>
      </c>
      <c r="L418" s="14">
        <v>3</v>
      </c>
      <c r="M418" s="14">
        <v>0</v>
      </c>
      <c r="N418" s="14">
        <v>3</v>
      </c>
      <c r="O418" s="14">
        <v>12</v>
      </c>
      <c r="P418" s="14"/>
      <c r="Q418" s="14"/>
      <c r="R418" s="14">
        <v>43</v>
      </c>
      <c r="S418" s="14"/>
      <c r="T418" t="b">
        <f t="shared" si="6"/>
        <v>1</v>
      </c>
    </row>
    <row r="419" spans="1:20">
      <c r="A419" s="8"/>
      <c r="B419" s="14">
        <v>2607</v>
      </c>
      <c r="C419" s="14">
        <v>567</v>
      </c>
      <c r="D419" s="14">
        <v>16</v>
      </c>
      <c r="E419" s="14">
        <v>0</v>
      </c>
      <c r="F419" s="14" t="s">
        <v>1754</v>
      </c>
      <c r="G419" s="14" t="s">
        <v>1875</v>
      </c>
      <c r="H419" s="14">
        <v>3</v>
      </c>
      <c r="I419" s="14">
        <v>3</v>
      </c>
      <c r="J419" s="14">
        <v>0</v>
      </c>
      <c r="K419" s="14">
        <v>1</v>
      </c>
      <c r="L419" s="14">
        <v>3</v>
      </c>
      <c r="M419" s="14">
        <v>0</v>
      </c>
      <c r="N419" s="14">
        <v>3</v>
      </c>
      <c r="O419" s="14">
        <v>50</v>
      </c>
      <c r="P419" s="14"/>
      <c r="Q419" s="14"/>
      <c r="R419" s="14">
        <v>42</v>
      </c>
      <c r="S419" s="14"/>
      <c r="T419" t="b">
        <f t="shared" si="6"/>
        <v>1</v>
      </c>
    </row>
    <row r="420" spans="1:20">
      <c r="A420" s="8"/>
      <c r="B420" s="14">
        <v>2608</v>
      </c>
      <c r="C420" s="14">
        <v>645</v>
      </c>
      <c r="D420" s="14">
        <v>16</v>
      </c>
      <c r="E420" s="14">
        <v>0</v>
      </c>
      <c r="F420" s="14" t="s">
        <v>2371</v>
      </c>
      <c r="G420" s="14"/>
      <c r="H420" s="14">
        <v>5</v>
      </c>
      <c r="I420" s="14">
        <v>5</v>
      </c>
      <c r="J420" s="14">
        <v>0</v>
      </c>
      <c r="K420" s="14">
        <v>1</v>
      </c>
      <c r="L420" s="14">
        <v>3</v>
      </c>
      <c r="M420" s="14">
        <v>0</v>
      </c>
      <c r="N420" s="14">
        <v>5</v>
      </c>
      <c r="O420" s="14">
        <v>12</v>
      </c>
      <c r="P420" s="14"/>
      <c r="Q420" s="14"/>
      <c r="R420" s="14"/>
      <c r="S420" s="14"/>
      <c r="T420" t="b">
        <f t="shared" si="6"/>
        <v>1</v>
      </c>
    </row>
    <row r="421" spans="1:20">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c r="T421" t="b">
        <f t="shared" si="6"/>
        <v>0</v>
      </c>
    </row>
    <row r="422" spans="1:20">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c r="T422" t="b">
        <f t="shared" si="6"/>
        <v>1</v>
      </c>
    </row>
    <row r="423" spans="1:20">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c r="T423" t="b">
        <f t="shared" si="6"/>
        <v>0</v>
      </c>
    </row>
    <row r="424" spans="1:20">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c r="T424" t="b">
        <f t="shared" si="6"/>
        <v>1</v>
      </c>
    </row>
    <row r="425" spans="1:20">
      <c r="A425" s="8"/>
      <c r="B425" s="14">
        <v>2901</v>
      </c>
      <c r="C425" s="14">
        <v>631</v>
      </c>
      <c r="D425" s="14">
        <v>19</v>
      </c>
      <c r="E425" s="14">
        <v>0</v>
      </c>
      <c r="F425" s="14" t="s">
        <v>2183</v>
      </c>
      <c r="G425" s="14"/>
      <c r="H425" s="14">
        <v>80</v>
      </c>
      <c r="I425" s="14">
        <v>140</v>
      </c>
      <c r="J425" s="14">
        <v>131</v>
      </c>
      <c r="K425" s="14">
        <v>1</v>
      </c>
      <c r="L425" s="14">
        <v>2</v>
      </c>
      <c r="M425" s="14">
        <v>0</v>
      </c>
      <c r="N425" s="14">
        <v>1</v>
      </c>
      <c r="O425" s="14">
        <v>0</v>
      </c>
      <c r="P425" s="14">
        <v>999</v>
      </c>
      <c r="Q425" s="14"/>
      <c r="R425" s="14"/>
      <c r="S425" s="14"/>
      <c r="T425" t="b">
        <f t="shared" si="6"/>
        <v>0</v>
      </c>
    </row>
    <row r="426" spans="1:20">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c r="T426" t="b">
        <f t="shared" si="6"/>
        <v>0</v>
      </c>
    </row>
    <row r="427" spans="1:20">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c r="T427" t="b">
        <f t="shared" si="6"/>
        <v>0</v>
      </c>
    </row>
    <row r="428" spans="1:20">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c r="T428" t="b">
        <f t="shared" si="6"/>
        <v>0</v>
      </c>
    </row>
    <row r="429" spans="1:20">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c r="T429" t="b">
        <f t="shared" si="6"/>
        <v>0</v>
      </c>
    </row>
    <row r="430" spans="1:20">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c r="T430" t="b">
        <f t="shared" si="6"/>
        <v>0</v>
      </c>
    </row>
    <row r="431" spans="1:20">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c r="T431" t="b">
        <f t="shared" si="6"/>
        <v>0</v>
      </c>
    </row>
    <row r="432" spans="1:20">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c r="T432" t="b">
        <f t="shared" si="6"/>
        <v>0</v>
      </c>
    </row>
    <row r="433" spans="1:20">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c r="T433" t="b">
        <f t="shared" si="6"/>
        <v>0</v>
      </c>
    </row>
    <row r="434" spans="1:20">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c r="T434" t="b">
        <f t="shared" si="6"/>
        <v>0</v>
      </c>
    </row>
    <row r="435" spans="1:20">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c r="T435" t="b">
        <f t="shared" si="6"/>
        <v>0</v>
      </c>
    </row>
    <row r="436" spans="1:20">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c r="T436" t="b">
        <f t="shared" si="6"/>
        <v>0</v>
      </c>
    </row>
    <row r="437" spans="1:20">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c r="T437" t="b">
        <f t="shared" si="6"/>
        <v>0</v>
      </c>
    </row>
    <row r="438" spans="1:20">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c r="T438" t="b">
        <f t="shared" si="6"/>
        <v>0</v>
      </c>
    </row>
    <row r="439" spans="1:20">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c r="T439" t="b">
        <f t="shared" si="6"/>
        <v>0</v>
      </c>
    </row>
    <row r="440" spans="1:20">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c r="T440" t="b">
        <f t="shared" si="6"/>
        <v>0</v>
      </c>
    </row>
    <row r="441" spans="1:20">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c r="T441" t="b">
        <f t="shared" si="6"/>
        <v>0</v>
      </c>
    </row>
    <row r="442" spans="1:20">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c r="T442" t="b">
        <f t="shared" si="6"/>
        <v>0</v>
      </c>
    </row>
    <row r="443" spans="1:20">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c r="T443" t="b">
        <f t="shared" si="6"/>
        <v>0</v>
      </c>
    </row>
    <row r="444" spans="1:20">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c r="T444" t="b">
        <f t="shared" si="6"/>
        <v>0</v>
      </c>
    </row>
    <row r="445" spans="1:20">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c r="T445" t="b">
        <f t="shared" si="6"/>
        <v>0</v>
      </c>
    </row>
    <row r="446" spans="1:20">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c r="T446" t="b">
        <f t="shared" si="6"/>
        <v>0</v>
      </c>
    </row>
    <row r="447" spans="1:20">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c r="T447" t="b">
        <f t="shared" si="6"/>
        <v>0</v>
      </c>
    </row>
    <row r="448" spans="1:20">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c r="T448" t="b">
        <f t="shared" si="6"/>
        <v>0</v>
      </c>
    </row>
    <row r="449" spans="1:20">
      <c r="A449" s="8"/>
      <c r="B449" s="14">
        <v>3323</v>
      </c>
      <c r="C449" s="14">
        <v>549</v>
      </c>
      <c r="D449" s="14">
        <v>23</v>
      </c>
      <c r="E449" s="14">
        <v>0</v>
      </c>
      <c r="F449" s="14" t="s">
        <v>1695</v>
      </c>
      <c r="G449" s="14"/>
      <c r="H449" s="14">
        <v>15</v>
      </c>
      <c r="I449" s="14">
        <v>20</v>
      </c>
      <c r="J449" s="14">
        <v>0</v>
      </c>
      <c r="K449" s="14">
        <v>1</v>
      </c>
      <c r="L449" s="14">
        <v>7</v>
      </c>
      <c r="M449" s="14">
        <v>0</v>
      </c>
      <c r="N449" s="14">
        <v>0</v>
      </c>
      <c r="O449" s="14">
        <v>0</v>
      </c>
      <c r="P449" s="14"/>
      <c r="Q449" s="14"/>
      <c r="R449" s="14"/>
      <c r="S449" s="14"/>
      <c r="T449" t="b">
        <f t="shared" si="6"/>
        <v>0</v>
      </c>
    </row>
    <row r="450" spans="1:20">
      <c r="A450" s="8"/>
      <c r="B450" s="14">
        <v>3324</v>
      </c>
      <c r="C450" s="14">
        <v>594</v>
      </c>
      <c r="D450" s="14">
        <v>23</v>
      </c>
      <c r="E450" s="14">
        <v>0</v>
      </c>
      <c r="F450" s="14" t="s">
        <v>2000</v>
      </c>
      <c r="G450" s="14"/>
      <c r="H450" s="14">
        <v>3</v>
      </c>
      <c r="I450" s="14">
        <v>20</v>
      </c>
      <c r="J450" s="14">
        <v>0</v>
      </c>
      <c r="K450" s="14">
        <v>1</v>
      </c>
      <c r="L450" s="14">
        <v>10</v>
      </c>
      <c r="M450" s="14">
        <v>0</v>
      </c>
      <c r="N450" s="14">
        <v>1</v>
      </c>
      <c r="O450" s="14">
        <v>0</v>
      </c>
      <c r="P450" s="14"/>
      <c r="Q450" s="14"/>
      <c r="R450" s="14"/>
      <c r="S450" s="14"/>
      <c r="T450" t="b">
        <f t="shared" si="6"/>
        <v>0</v>
      </c>
    </row>
    <row r="451" spans="1:20">
      <c r="A451" s="8"/>
      <c r="B451" s="14">
        <v>3325</v>
      </c>
      <c r="C451" s="14">
        <v>599</v>
      </c>
      <c r="D451" s="14">
        <v>23</v>
      </c>
      <c r="E451" s="14">
        <v>0</v>
      </c>
      <c r="F451" s="14" t="s">
        <v>2015</v>
      </c>
      <c r="G451" s="14"/>
      <c r="H451" s="14">
        <v>5</v>
      </c>
      <c r="I451" s="14">
        <v>20</v>
      </c>
      <c r="J451" s="14">
        <v>0</v>
      </c>
      <c r="K451" s="14">
        <v>1</v>
      </c>
      <c r="L451" s="14">
        <v>3</v>
      </c>
      <c r="M451" s="14">
        <v>0</v>
      </c>
      <c r="N451" s="14">
        <v>1</v>
      </c>
      <c r="O451" s="14">
        <v>0</v>
      </c>
      <c r="P451" s="14"/>
      <c r="Q451" s="14"/>
      <c r="R451" s="14"/>
      <c r="S451" s="14"/>
      <c r="T451" t="b">
        <f t="shared" si="6"/>
        <v>0</v>
      </c>
    </row>
    <row r="452" spans="1:20">
      <c r="A452" s="8"/>
      <c r="B452" s="14">
        <v>3326</v>
      </c>
      <c r="C452" s="14">
        <v>609</v>
      </c>
      <c r="D452" s="14">
        <v>23</v>
      </c>
      <c r="E452" s="14">
        <v>0</v>
      </c>
      <c r="F452" s="14" t="s">
        <v>2098</v>
      </c>
      <c r="G452" s="14"/>
      <c r="H452" s="14">
        <v>5</v>
      </c>
      <c r="I452" s="14">
        <v>20</v>
      </c>
      <c r="J452" s="14">
        <v>0</v>
      </c>
      <c r="K452" s="14">
        <v>1</v>
      </c>
      <c r="L452" s="14">
        <v>8</v>
      </c>
      <c r="M452" s="14">
        <v>0</v>
      </c>
      <c r="N452" s="14">
        <v>1</v>
      </c>
      <c r="O452" s="14">
        <v>0</v>
      </c>
      <c r="P452" s="14"/>
      <c r="Q452" s="14"/>
      <c r="R452" s="14"/>
      <c r="S452" s="14"/>
      <c r="T452" t="b">
        <f t="shared" si="6"/>
        <v>0</v>
      </c>
    </row>
    <row r="453" spans="1:20">
      <c r="A453" s="8"/>
      <c r="B453" s="14">
        <v>3327</v>
      </c>
      <c r="C453" s="14">
        <v>613</v>
      </c>
      <c r="D453" s="14">
        <v>23</v>
      </c>
      <c r="E453" s="14">
        <v>0</v>
      </c>
      <c r="F453" s="14" t="s">
        <v>2113</v>
      </c>
      <c r="G453" s="14"/>
      <c r="H453" s="14">
        <v>6</v>
      </c>
      <c r="I453" s="14">
        <v>20</v>
      </c>
      <c r="J453" s="14">
        <v>0</v>
      </c>
      <c r="K453" s="14">
        <v>1</v>
      </c>
      <c r="L453" s="14">
        <v>4</v>
      </c>
      <c r="M453" s="14">
        <v>0</v>
      </c>
      <c r="N453" s="14">
        <v>1</v>
      </c>
      <c r="O453" s="14">
        <v>0</v>
      </c>
      <c r="P453" s="14"/>
      <c r="Q453" s="14"/>
      <c r="R453" s="14"/>
      <c r="S453" s="14"/>
      <c r="T453" t="b">
        <f t="shared" si="6"/>
        <v>0</v>
      </c>
    </row>
    <row r="454" spans="1:20">
      <c r="A454" s="8"/>
      <c r="B454" s="14">
        <v>3328</v>
      </c>
      <c r="C454" s="14">
        <v>620</v>
      </c>
      <c r="D454" s="14">
        <v>23</v>
      </c>
      <c r="E454" s="14">
        <v>0</v>
      </c>
      <c r="F454" s="14" t="s">
        <v>2130</v>
      </c>
      <c r="G454" s="14"/>
      <c r="H454" s="14">
        <v>3</v>
      </c>
      <c r="I454" s="14">
        <v>20</v>
      </c>
      <c r="J454" s="14">
        <v>0</v>
      </c>
      <c r="K454" s="14">
        <v>1</v>
      </c>
      <c r="L454" s="14">
        <v>7</v>
      </c>
      <c r="M454" s="14">
        <v>0</v>
      </c>
      <c r="N454" s="14">
        <v>1</v>
      </c>
      <c r="O454" s="14">
        <v>0</v>
      </c>
      <c r="P454" s="14">
        <v>999</v>
      </c>
      <c r="Q454" s="14"/>
      <c r="R454" s="14">
        <v>7</v>
      </c>
      <c r="S454" s="14"/>
      <c r="T454" t="b">
        <f t="shared" si="6"/>
        <v>0</v>
      </c>
    </row>
    <row r="455" spans="1:20">
      <c r="A455" s="8"/>
      <c r="B455" s="14">
        <v>3329</v>
      </c>
      <c r="C455" s="14">
        <v>617</v>
      </c>
      <c r="D455" s="14">
        <v>23</v>
      </c>
      <c r="E455" s="14">
        <v>0</v>
      </c>
      <c r="F455" s="14" t="s">
        <v>2123</v>
      </c>
      <c r="G455" s="14"/>
      <c r="H455" s="14">
        <v>0</v>
      </c>
      <c r="I455" s="14">
        <v>0</v>
      </c>
      <c r="J455" s="14">
        <v>0</v>
      </c>
      <c r="K455" s="14">
        <v>1</v>
      </c>
      <c r="L455" s="14">
        <v>8</v>
      </c>
      <c r="M455" s="14">
        <v>0</v>
      </c>
      <c r="N455" s="14">
        <v>1</v>
      </c>
      <c r="O455" s="14">
        <v>0</v>
      </c>
      <c r="P455" s="14"/>
      <c r="Q455" s="14"/>
      <c r="R455" s="14"/>
      <c r="S455" s="14"/>
      <c r="T455" t="b">
        <f t="shared" si="6"/>
        <v>1</v>
      </c>
    </row>
    <row r="456" spans="1:20">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c r="T456" t="b">
        <f t="shared" ref="T456:T505" si="7">H456=I456</f>
        <v>0</v>
      </c>
    </row>
    <row r="457" spans="1:20">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c r="T457" t="b">
        <f t="shared" si="7"/>
        <v>0</v>
      </c>
    </row>
    <row r="458" spans="1:20">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c r="T458" t="b">
        <f t="shared" si="7"/>
        <v>0</v>
      </c>
    </row>
    <row r="459" spans="1:20">
      <c r="A459" s="8"/>
      <c r="B459" s="14">
        <v>3333</v>
      </c>
      <c r="C459" s="14">
        <v>667</v>
      </c>
      <c r="D459" s="14">
        <v>23</v>
      </c>
      <c r="E459" s="14">
        <v>0</v>
      </c>
      <c r="F459" s="14" t="s">
        <v>2928</v>
      </c>
      <c r="G459" s="14"/>
      <c r="H459" s="14">
        <v>5</v>
      </c>
      <c r="I459" s="14">
        <v>20</v>
      </c>
      <c r="J459" s="14">
        <v>0</v>
      </c>
      <c r="K459" s="14">
        <v>0</v>
      </c>
      <c r="L459" s="14">
        <v>3</v>
      </c>
      <c r="M459" s="14">
        <v>0</v>
      </c>
      <c r="N459" s="14">
        <v>1</v>
      </c>
      <c r="O459" s="14">
        <v>0</v>
      </c>
      <c r="P459" s="14"/>
      <c r="Q459" s="14"/>
      <c r="R459" s="14">
        <v>38</v>
      </c>
      <c r="S459" s="14">
        <v>32</v>
      </c>
      <c r="T459" t="b">
        <f t="shared" ref="T459" si="8">H459=I459</f>
        <v>0</v>
      </c>
    </row>
    <row r="460" spans="1:20">
      <c r="A460" s="8"/>
      <c r="B460" s="14">
        <v>3401</v>
      </c>
      <c r="C460" s="14">
        <v>137</v>
      </c>
      <c r="D460" s="14">
        <v>24</v>
      </c>
      <c r="E460" s="14">
        <v>0</v>
      </c>
      <c r="F460" s="14" t="s">
        <v>1047</v>
      </c>
      <c r="G460" s="14"/>
      <c r="H460" s="14">
        <v>0</v>
      </c>
      <c r="I460" s="14">
        <v>0</v>
      </c>
      <c r="J460" s="14">
        <v>0</v>
      </c>
      <c r="K460" s="14">
        <v>0</v>
      </c>
      <c r="L460" s="14">
        <v>7</v>
      </c>
      <c r="M460" s="14">
        <v>0</v>
      </c>
      <c r="N460" s="14">
        <v>2</v>
      </c>
      <c r="O460" s="14">
        <v>0</v>
      </c>
      <c r="P460" s="14">
        <v>999</v>
      </c>
      <c r="Q460" s="14"/>
      <c r="R460" s="14"/>
      <c r="S460" s="14"/>
      <c r="T460" t="b">
        <f t="shared" si="7"/>
        <v>1</v>
      </c>
    </row>
    <row r="461" spans="1:20">
      <c r="A461" s="8"/>
      <c r="B461" s="14">
        <v>3402</v>
      </c>
      <c r="C461" s="14">
        <v>211</v>
      </c>
      <c r="D461" s="14">
        <v>24</v>
      </c>
      <c r="E461" s="14">
        <v>0</v>
      </c>
      <c r="F461" s="14" t="s">
        <v>1393</v>
      </c>
      <c r="G461" s="14"/>
      <c r="H461" s="14">
        <v>0</v>
      </c>
      <c r="I461" s="14">
        <v>0</v>
      </c>
      <c r="J461" s="14">
        <v>0</v>
      </c>
      <c r="K461" s="14">
        <v>0</v>
      </c>
      <c r="L461" s="14">
        <v>7</v>
      </c>
      <c r="M461" s="14">
        <v>0</v>
      </c>
      <c r="N461" s="14">
        <v>2</v>
      </c>
      <c r="O461" s="14">
        <v>0</v>
      </c>
      <c r="P461" s="14"/>
      <c r="Q461" s="14"/>
      <c r="R461" s="14"/>
      <c r="S461" s="14"/>
      <c r="T461" t="b">
        <f t="shared" si="7"/>
        <v>1</v>
      </c>
    </row>
    <row r="462" spans="1:20">
      <c r="A462" s="8"/>
      <c r="B462" s="14">
        <v>3403</v>
      </c>
      <c r="C462" s="14">
        <v>229</v>
      </c>
      <c r="D462" s="14">
        <v>24</v>
      </c>
      <c r="E462" s="14">
        <v>0</v>
      </c>
      <c r="F462" s="14" t="s">
        <v>1089</v>
      </c>
      <c r="G462" s="14"/>
      <c r="H462" s="14">
        <v>0</v>
      </c>
      <c r="I462" s="14">
        <v>0</v>
      </c>
      <c r="J462" s="14">
        <v>0</v>
      </c>
      <c r="K462" s="14">
        <v>0</v>
      </c>
      <c r="L462" s="14">
        <v>7</v>
      </c>
      <c r="M462" s="14">
        <v>0</v>
      </c>
      <c r="N462" s="14">
        <v>2</v>
      </c>
      <c r="O462" s="14">
        <v>0</v>
      </c>
      <c r="P462" s="14">
        <v>999</v>
      </c>
      <c r="Q462" s="14"/>
      <c r="R462" s="14"/>
      <c r="S462" s="14"/>
      <c r="T462" t="b">
        <f t="shared" si="7"/>
        <v>1</v>
      </c>
    </row>
    <row r="463" spans="1:20">
      <c r="A463" s="8"/>
      <c r="B463" s="14">
        <v>3404</v>
      </c>
      <c r="C463" s="14">
        <v>243</v>
      </c>
      <c r="D463" s="14">
        <v>24</v>
      </c>
      <c r="E463" s="14">
        <v>0</v>
      </c>
      <c r="F463" s="14" t="s">
        <v>1033</v>
      </c>
      <c r="G463" s="14"/>
      <c r="H463" s="14">
        <v>0</v>
      </c>
      <c r="I463" s="14">
        <v>0</v>
      </c>
      <c r="J463" s="14">
        <v>0</v>
      </c>
      <c r="K463" s="14">
        <v>0</v>
      </c>
      <c r="L463" s="14">
        <v>7</v>
      </c>
      <c r="M463" s="14">
        <v>0</v>
      </c>
      <c r="N463" s="14">
        <v>2</v>
      </c>
      <c r="O463" s="14">
        <v>0</v>
      </c>
      <c r="P463" s="14">
        <v>999</v>
      </c>
      <c r="Q463" s="14"/>
      <c r="R463" s="14"/>
      <c r="S463" s="14"/>
      <c r="T463" t="b">
        <f t="shared" si="7"/>
        <v>1</v>
      </c>
    </row>
    <row r="464" spans="1:20">
      <c r="A464" s="8"/>
      <c r="B464" s="14">
        <v>3405</v>
      </c>
      <c r="C464" s="14">
        <v>322</v>
      </c>
      <c r="D464" s="14">
        <v>24</v>
      </c>
      <c r="E464" s="14">
        <v>0</v>
      </c>
      <c r="F464" s="14" t="s">
        <v>285</v>
      </c>
      <c r="G464" s="14"/>
      <c r="H464" s="14">
        <v>0</v>
      </c>
      <c r="I464" s="14">
        <v>0</v>
      </c>
      <c r="J464" s="14">
        <v>0</v>
      </c>
      <c r="K464" s="14">
        <v>0</v>
      </c>
      <c r="L464" s="14">
        <v>7</v>
      </c>
      <c r="M464" s="14">
        <v>0</v>
      </c>
      <c r="N464" s="14">
        <v>2</v>
      </c>
      <c r="O464" s="14">
        <v>0</v>
      </c>
      <c r="P464" s="14"/>
      <c r="Q464" s="14"/>
      <c r="R464" s="14"/>
      <c r="S464" s="14"/>
      <c r="T464" t="b">
        <f t="shared" si="7"/>
        <v>1</v>
      </c>
    </row>
    <row r="465" spans="1:20">
      <c r="A465" s="8"/>
      <c r="B465" s="14">
        <v>3406</v>
      </c>
      <c r="C465" s="14">
        <v>474</v>
      </c>
      <c r="D465" s="14">
        <v>24</v>
      </c>
      <c r="E465" s="14">
        <v>0</v>
      </c>
      <c r="F465" s="14" t="s">
        <v>1430</v>
      </c>
      <c r="G465" s="14"/>
      <c r="H465" s="14">
        <v>0</v>
      </c>
      <c r="I465" s="14">
        <v>0</v>
      </c>
      <c r="J465" s="14">
        <v>0</v>
      </c>
      <c r="K465" s="14">
        <v>0</v>
      </c>
      <c r="L465" s="14">
        <v>7</v>
      </c>
      <c r="M465" s="14">
        <v>0</v>
      </c>
      <c r="N465" s="14">
        <v>2</v>
      </c>
      <c r="O465" s="14">
        <v>0</v>
      </c>
      <c r="P465" s="14">
        <v>999</v>
      </c>
      <c r="Q465" s="14"/>
      <c r="R465" s="14"/>
      <c r="S465" s="14"/>
      <c r="T465" t="b">
        <f t="shared" si="7"/>
        <v>1</v>
      </c>
    </row>
    <row r="466" spans="1:20">
      <c r="A466" s="8"/>
      <c r="B466" s="14">
        <v>3501</v>
      </c>
      <c r="C466" s="14">
        <v>38</v>
      </c>
      <c r="D466" s="14">
        <v>25</v>
      </c>
      <c r="E466" s="14">
        <v>0</v>
      </c>
      <c r="F466" s="14" t="s">
        <v>1387</v>
      </c>
      <c r="G466" s="14"/>
      <c r="H466" s="14">
        <v>2</v>
      </c>
      <c r="I466" s="14">
        <v>3</v>
      </c>
      <c r="J466" s="14">
        <v>208</v>
      </c>
      <c r="K466" s="14">
        <v>0</v>
      </c>
      <c r="L466" s="14">
        <v>2</v>
      </c>
      <c r="M466" s="14">
        <v>0</v>
      </c>
      <c r="N466" s="14">
        <v>3</v>
      </c>
      <c r="O466" s="14">
        <v>0</v>
      </c>
      <c r="P466" s="14"/>
      <c r="Q466" s="14"/>
      <c r="R466" s="14"/>
      <c r="S466" s="14"/>
      <c r="T466" t="b">
        <f t="shared" si="7"/>
        <v>0</v>
      </c>
    </row>
    <row r="467" spans="1:20">
      <c r="A467" s="8"/>
      <c r="B467" s="14">
        <v>3502</v>
      </c>
      <c r="C467" s="14">
        <v>65</v>
      </c>
      <c r="D467" s="14">
        <v>25</v>
      </c>
      <c r="E467" s="14">
        <v>0</v>
      </c>
      <c r="F467" s="14" t="s">
        <v>1068</v>
      </c>
      <c r="G467" s="14"/>
      <c r="H467" s="14">
        <v>2</v>
      </c>
      <c r="I467" s="14">
        <v>3</v>
      </c>
      <c r="J467" s="14">
        <v>129</v>
      </c>
      <c r="K467" s="14">
        <v>0</v>
      </c>
      <c r="L467" s="14">
        <v>2</v>
      </c>
      <c r="M467" s="14">
        <v>0</v>
      </c>
      <c r="N467" s="14">
        <v>3</v>
      </c>
      <c r="O467" s="14">
        <v>0</v>
      </c>
      <c r="P467" s="14">
        <v>999</v>
      </c>
      <c r="Q467" s="14"/>
      <c r="R467" s="14"/>
      <c r="S467" s="14"/>
      <c r="T467" t="b">
        <f t="shared" si="7"/>
        <v>0</v>
      </c>
    </row>
    <row r="468" spans="1:20">
      <c r="A468" s="8"/>
      <c r="B468" s="14">
        <v>3503</v>
      </c>
      <c r="C468" s="14">
        <v>129</v>
      </c>
      <c r="D468" s="14">
        <v>25</v>
      </c>
      <c r="E468" s="14">
        <v>0</v>
      </c>
      <c r="F468" s="14" t="s">
        <v>1388</v>
      </c>
      <c r="G468" s="14"/>
      <c r="H468" s="14">
        <v>2</v>
      </c>
      <c r="I468" s="14">
        <v>3</v>
      </c>
      <c r="J468" s="14">
        <v>184</v>
      </c>
      <c r="K468" s="14">
        <v>0</v>
      </c>
      <c r="L468" s="14">
        <v>2</v>
      </c>
      <c r="M468" s="14">
        <v>0</v>
      </c>
      <c r="N468" s="14">
        <v>3</v>
      </c>
      <c r="O468" s="14">
        <v>0</v>
      </c>
      <c r="P468" s="14"/>
      <c r="Q468" s="14"/>
      <c r="R468" s="14"/>
      <c r="S468" s="14"/>
      <c r="T468" t="b">
        <f t="shared" si="7"/>
        <v>0</v>
      </c>
    </row>
    <row r="469" spans="1:20">
      <c r="A469" s="8"/>
      <c r="B469" s="14">
        <v>3504</v>
      </c>
      <c r="C469" s="14">
        <v>160</v>
      </c>
      <c r="D469" s="14">
        <v>25</v>
      </c>
      <c r="E469" s="14">
        <v>0</v>
      </c>
      <c r="F469" s="14" t="s">
        <v>1145</v>
      </c>
      <c r="G469" s="14"/>
      <c r="H469" s="14">
        <v>2</v>
      </c>
      <c r="I469" s="14">
        <v>3</v>
      </c>
      <c r="J469" s="14">
        <v>117</v>
      </c>
      <c r="K469" s="14">
        <v>0</v>
      </c>
      <c r="L469" s="14">
        <v>2</v>
      </c>
      <c r="M469" s="14">
        <v>0</v>
      </c>
      <c r="N469" s="14">
        <v>3</v>
      </c>
      <c r="O469" s="14">
        <v>0</v>
      </c>
      <c r="P469" s="14">
        <v>999</v>
      </c>
      <c r="Q469" s="14"/>
      <c r="R469" s="14"/>
      <c r="S469" s="14"/>
      <c r="T469" t="b">
        <f t="shared" si="7"/>
        <v>0</v>
      </c>
    </row>
    <row r="470" spans="1:20">
      <c r="A470" s="8"/>
      <c r="B470" s="14">
        <v>3505</v>
      </c>
      <c r="C470" s="14">
        <v>233</v>
      </c>
      <c r="D470" s="14">
        <v>25</v>
      </c>
      <c r="E470" s="14">
        <v>0</v>
      </c>
      <c r="F470" s="14" t="s">
        <v>1387</v>
      </c>
      <c r="G470" s="14"/>
      <c r="H470" s="14">
        <v>2</v>
      </c>
      <c r="I470" s="14">
        <v>3</v>
      </c>
      <c r="J470" s="14">
        <v>208</v>
      </c>
      <c r="K470" s="14">
        <v>0</v>
      </c>
      <c r="L470" s="14">
        <v>2</v>
      </c>
      <c r="M470" s="14">
        <v>0</v>
      </c>
      <c r="N470" s="14">
        <v>3</v>
      </c>
      <c r="O470" s="14">
        <v>0</v>
      </c>
      <c r="P470" s="14"/>
      <c r="Q470" s="14"/>
      <c r="R470" s="14"/>
      <c r="S470" s="14"/>
      <c r="T470" t="b">
        <f t="shared" si="7"/>
        <v>0</v>
      </c>
    </row>
    <row r="471" spans="1:20">
      <c r="A471" s="8"/>
      <c r="B471" s="14">
        <v>3506</v>
      </c>
      <c r="C471" s="14">
        <v>257</v>
      </c>
      <c r="D471" s="14">
        <v>25</v>
      </c>
      <c r="E471" s="14">
        <v>0</v>
      </c>
      <c r="F471" s="14" t="s">
        <v>1398</v>
      </c>
      <c r="G471" s="14"/>
      <c r="H471" s="14">
        <v>2</v>
      </c>
      <c r="I471" s="14">
        <v>3</v>
      </c>
      <c r="J471" s="14">
        <v>131</v>
      </c>
      <c r="K471" s="14">
        <v>0</v>
      </c>
      <c r="L471" s="14">
        <v>2</v>
      </c>
      <c r="M471" s="14">
        <v>0</v>
      </c>
      <c r="N471" s="14">
        <v>3</v>
      </c>
      <c r="O471" s="14">
        <v>0</v>
      </c>
      <c r="P471" s="14">
        <v>999</v>
      </c>
      <c r="Q471" s="14"/>
      <c r="R471" s="14"/>
      <c r="S471" s="14"/>
      <c r="T471" t="b">
        <f t="shared" si="7"/>
        <v>0</v>
      </c>
    </row>
    <row r="472" spans="1:20">
      <c r="A472" s="8"/>
      <c r="B472" s="14">
        <v>3507</v>
      </c>
      <c r="C472" s="14">
        <v>326</v>
      </c>
      <c r="D472" s="14">
        <v>25</v>
      </c>
      <c r="E472" s="14">
        <v>0</v>
      </c>
      <c r="F472" s="14" t="s">
        <v>1403</v>
      </c>
      <c r="G472" s="14"/>
      <c r="H472" s="14">
        <v>2</v>
      </c>
      <c r="I472" s="14">
        <v>3</v>
      </c>
      <c r="J472" s="14">
        <v>184</v>
      </c>
      <c r="K472" s="14">
        <v>0</v>
      </c>
      <c r="L472" s="14">
        <v>2</v>
      </c>
      <c r="M472" s="14">
        <v>0</v>
      </c>
      <c r="N472" s="14">
        <v>3</v>
      </c>
      <c r="O472" s="14">
        <v>0</v>
      </c>
      <c r="P472" s="14"/>
      <c r="Q472" s="14"/>
      <c r="R472" s="14"/>
      <c r="S472" s="14"/>
      <c r="T472" t="b">
        <f t="shared" si="7"/>
        <v>0</v>
      </c>
    </row>
    <row r="473" spans="1:20">
      <c r="A473" s="8"/>
      <c r="B473" s="14">
        <v>3508</v>
      </c>
      <c r="C473" s="14">
        <v>341</v>
      </c>
      <c r="D473" s="14">
        <v>25</v>
      </c>
      <c r="E473" s="14">
        <v>0</v>
      </c>
      <c r="F473" s="14" t="s">
        <v>1406</v>
      </c>
      <c r="G473" s="14"/>
      <c r="H473" s="14">
        <v>2</v>
      </c>
      <c r="I473" s="14">
        <v>3</v>
      </c>
      <c r="J473" s="14">
        <v>192</v>
      </c>
      <c r="K473" s="14">
        <v>0</v>
      </c>
      <c r="L473" s="14">
        <v>2</v>
      </c>
      <c r="M473" s="14">
        <v>0</v>
      </c>
      <c r="N473" s="14">
        <v>3</v>
      </c>
      <c r="O473" s="14">
        <v>0</v>
      </c>
      <c r="P473" s="14"/>
      <c r="Q473" s="14"/>
      <c r="R473" s="14"/>
      <c r="S473" s="14"/>
      <c r="T473" t="b">
        <f t="shared" si="7"/>
        <v>0</v>
      </c>
    </row>
    <row r="474" spans="1:20">
      <c r="A474" s="8"/>
      <c r="B474" s="14">
        <v>3509</v>
      </c>
      <c r="C474" s="14">
        <v>358</v>
      </c>
      <c r="D474" s="14">
        <v>25</v>
      </c>
      <c r="E474" s="14">
        <v>0</v>
      </c>
      <c r="F474" s="14" t="s">
        <v>1409</v>
      </c>
      <c r="G474" s="14"/>
      <c r="H474" s="14">
        <v>2</v>
      </c>
      <c r="I474" s="14">
        <v>3</v>
      </c>
      <c r="J474" s="14">
        <v>184</v>
      </c>
      <c r="K474" s="14">
        <v>0</v>
      </c>
      <c r="L474" s="14">
        <v>2</v>
      </c>
      <c r="M474" s="14">
        <v>0</v>
      </c>
      <c r="N474" s="14">
        <v>3</v>
      </c>
      <c r="O474" s="14">
        <v>0</v>
      </c>
      <c r="P474" s="14"/>
      <c r="Q474" s="14"/>
      <c r="R474" s="14"/>
      <c r="S474" s="14"/>
      <c r="T474" t="b">
        <f t="shared" si="7"/>
        <v>0</v>
      </c>
    </row>
    <row r="475" spans="1:20">
      <c r="A475" s="8"/>
      <c r="B475" s="14">
        <v>3510</v>
      </c>
      <c r="C475" s="14">
        <v>434</v>
      </c>
      <c r="D475" s="14">
        <v>25</v>
      </c>
      <c r="E475" s="14">
        <v>0</v>
      </c>
      <c r="F475" s="14" t="s">
        <v>1423</v>
      </c>
      <c r="G475" s="14"/>
      <c r="H475" s="14">
        <v>2</v>
      </c>
      <c r="I475" s="14">
        <v>3</v>
      </c>
      <c r="J475" s="14">
        <v>184</v>
      </c>
      <c r="K475" s="14">
        <v>0</v>
      </c>
      <c r="L475" s="14">
        <v>2</v>
      </c>
      <c r="M475" s="14">
        <v>0</v>
      </c>
      <c r="N475" s="14">
        <v>3</v>
      </c>
      <c r="O475" s="14">
        <v>0</v>
      </c>
      <c r="P475" s="14"/>
      <c r="Q475" s="14"/>
      <c r="R475" s="14"/>
      <c r="S475" s="14"/>
      <c r="T475" t="b">
        <f t="shared" si="7"/>
        <v>0</v>
      </c>
    </row>
    <row r="476" spans="1:20">
      <c r="A476" s="8"/>
      <c r="B476" s="14">
        <v>3511</v>
      </c>
      <c r="C476" s="14">
        <v>462</v>
      </c>
      <c r="D476" s="14">
        <v>25</v>
      </c>
      <c r="E476" s="14">
        <v>0</v>
      </c>
      <c r="F476" s="14" t="s">
        <v>697</v>
      </c>
      <c r="G476" s="14"/>
      <c r="H476" s="14">
        <v>2</v>
      </c>
      <c r="I476" s="14">
        <v>3</v>
      </c>
      <c r="J476" s="14">
        <v>200</v>
      </c>
      <c r="K476" s="14">
        <v>0</v>
      </c>
      <c r="L476" s="14">
        <v>2</v>
      </c>
      <c r="M476" s="14">
        <v>0</v>
      </c>
      <c r="N476" s="14">
        <v>3</v>
      </c>
      <c r="O476" s="14">
        <v>0</v>
      </c>
      <c r="P476" s="14"/>
      <c r="Q476" s="14"/>
      <c r="R476" s="14"/>
      <c r="S476" s="14"/>
      <c r="T476" t="b">
        <f t="shared" si="7"/>
        <v>0</v>
      </c>
    </row>
    <row r="477" spans="1:20">
      <c r="A477" s="8"/>
      <c r="B477" s="14">
        <v>3601</v>
      </c>
      <c r="C477" s="14">
        <v>88</v>
      </c>
      <c r="D477" s="14">
        <v>26</v>
      </c>
      <c r="E477" s="14">
        <v>0</v>
      </c>
      <c r="F477" s="14" t="s">
        <v>281</v>
      </c>
      <c r="G477" s="14"/>
      <c r="H477" s="14">
        <v>0</v>
      </c>
      <c r="I477" s="14">
        <v>0</v>
      </c>
      <c r="J477" s="14">
        <v>0</v>
      </c>
      <c r="K477" s="14">
        <v>0</v>
      </c>
      <c r="L477" s="14">
        <v>7</v>
      </c>
      <c r="M477" s="14">
        <v>0</v>
      </c>
      <c r="N477" s="14">
        <v>1</v>
      </c>
      <c r="O477" s="14">
        <v>0</v>
      </c>
      <c r="P477" s="14"/>
      <c r="Q477" s="14"/>
      <c r="R477" s="14"/>
      <c r="S477" s="14"/>
      <c r="T477" t="b">
        <f t="shared" si="7"/>
        <v>1</v>
      </c>
    </row>
    <row r="478" spans="1:20">
      <c r="A478" s="8"/>
      <c r="B478" s="14">
        <v>3602</v>
      </c>
      <c r="C478" s="14">
        <v>217</v>
      </c>
      <c r="D478" s="14">
        <v>26</v>
      </c>
      <c r="E478" s="14">
        <v>0</v>
      </c>
      <c r="F478" s="14" t="s">
        <v>555</v>
      </c>
      <c r="G478" s="14"/>
      <c r="H478" s="14">
        <v>0</v>
      </c>
      <c r="I478" s="14">
        <v>0</v>
      </c>
      <c r="J478" s="14">
        <v>0</v>
      </c>
      <c r="K478" s="14">
        <v>0</v>
      </c>
      <c r="L478" s="14">
        <v>7</v>
      </c>
      <c r="M478" s="14">
        <v>0</v>
      </c>
      <c r="N478" s="14">
        <v>1</v>
      </c>
      <c r="O478" s="14">
        <v>0</v>
      </c>
      <c r="P478" s="14"/>
      <c r="Q478" s="14"/>
      <c r="R478" s="14"/>
      <c r="S478" s="14"/>
      <c r="T478" t="b">
        <f t="shared" si="7"/>
        <v>1</v>
      </c>
    </row>
    <row r="479" spans="1:20">
      <c r="A479" s="8"/>
      <c r="B479" s="14">
        <v>3603</v>
      </c>
      <c r="C479" s="14">
        <v>267</v>
      </c>
      <c r="D479" s="14">
        <v>26</v>
      </c>
      <c r="E479" s="14">
        <v>0</v>
      </c>
      <c r="F479" s="14" t="s">
        <v>287</v>
      </c>
      <c r="G479" s="14"/>
      <c r="H479" s="14">
        <v>0</v>
      </c>
      <c r="I479" s="14">
        <v>0</v>
      </c>
      <c r="J479" s="14">
        <v>0</v>
      </c>
      <c r="K479" s="14">
        <v>0</v>
      </c>
      <c r="L479" s="14">
        <v>7</v>
      </c>
      <c r="M479" s="14">
        <v>0</v>
      </c>
      <c r="N479" s="14">
        <v>1</v>
      </c>
      <c r="O479" s="14">
        <v>0</v>
      </c>
      <c r="P479" s="14"/>
      <c r="Q479" s="14"/>
      <c r="R479" s="14"/>
      <c r="S479" s="14"/>
      <c r="T479" t="b">
        <f t="shared" si="7"/>
        <v>1</v>
      </c>
    </row>
    <row r="480" spans="1:20">
      <c r="A480" s="8"/>
      <c r="B480" s="14">
        <v>3604</v>
      </c>
      <c r="C480" s="14">
        <v>346</v>
      </c>
      <c r="D480" s="14">
        <v>26</v>
      </c>
      <c r="E480" s="14">
        <v>0</v>
      </c>
      <c r="F480" s="14" t="s">
        <v>309</v>
      </c>
      <c r="G480" s="14"/>
      <c r="H480" s="14">
        <v>0</v>
      </c>
      <c r="I480" s="14">
        <v>0</v>
      </c>
      <c r="J480" s="14">
        <v>0</v>
      </c>
      <c r="K480" s="14">
        <v>0</v>
      </c>
      <c r="L480" s="14">
        <v>7</v>
      </c>
      <c r="M480" s="14">
        <v>0</v>
      </c>
      <c r="N480" s="14">
        <v>1</v>
      </c>
      <c r="O480" s="14">
        <v>0</v>
      </c>
      <c r="P480" s="14"/>
      <c r="Q480" s="14"/>
      <c r="R480" s="14"/>
      <c r="S480" s="14"/>
      <c r="T480" t="b">
        <f t="shared" si="7"/>
        <v>1</v>
      </c>
    </row>
    <row r="481" spans="1:20">
      <c r="A481" s="8"/>
      <c r="B481" s="14">
        <v>3605</v>
      </c>
      <c r="C481" s="14">
        <v>371</v>
      </c>
      <c r="D481" s="14">
        <v>26</v>
      </c>
      <c r="E481" s="14">
        <v>0</v>
      </c>
      <c r="F481" s="14" t="s">
        <v>289</v>
      </c>
      <c r="G481" s="14"/>
      <c r="H481" s="14">
        <v>0</v>
      </c>
      <c r="I481" s="14">
        <v>0</v>
      </c>
      <c r="J481" s="14">
        <v>0</v>
      </c>
      <c r="K481" s="14">
        <v>0</v>
      </c>
      <c r="L481" s="14">
        <v>7</v>
      </c>
      <c r="M481" s="14">
        <v>0</v>
      </c>
      <c r="N481" s="14">
        <v>1</v>
      </c>
      <c r="O481" s="14">
        <v>0</v>
      </c>
      <c r="P481" s="14"/>
      <c r="Q481" s="14"/>
      <c r="R481" s="14"/>
      <c r="S481" s="14"/>
      <c r="T481" t="b">
        <f t="shared" si="7"/>
        <v>1</v>
      </c>
    </row>
    <row r="482" spans="1:20">
      <c r="A482" s="8"/>
      <c r="B482" s="14">
        <v>3606</v>
      </c>
      <c r="C482" s="14">
        <v>380</v>
      </c>
      <c r="D482" s="14">
        <v>26</v>
      </c>
      <c r="E482" s="14">
        <v>0</v>
      </c>
      <c r="F482" s="14" t="s">
        <v>314</v>
      </c>
      <c r="G482" s="14"/>
      <c r="H482" s="14">
        <v>0</v>
      </c>
      <c r="I482" s="14">
        <v>0</v>
      </c>
      <c r="J482" s="14">
        <v>0</v>
      </c>
      <c r="K482" s="14">
        <v>0</v>
      </c>
      <c r="L482" s="14">
        <v>7</v>
      </c>
      <c r="M482" s="14">
        <v>0</v>
      </c>
      <c r="N482" s="14">
        <v>1</v>
      </c>
      <c r="O482" s="14">
        <v>0</v>
      </c>
      <c r="P482" s="14">
        <v>999</v>
      </c>
      <c r="Q482" s="14"/>
      <c r="R482" s="14"/>
      <c r="S482" s="14"/>
      <c r="T482" t="b">
        <f t="shared" si="7"/>
        <v>1</v>
      </c>
    </row>
    <row r="483" spans="1:20">
      <c r="A483" s="8"/>
      <c r="B483" s="14">
        <v>3607</v>
      </c>
      <c r="C483" s="14">
        <v>404</v>
      </c>
      <c r="D483" s="14">
        <v>26</v>
      </c>
      <c r="E483" s="14">
        <v>0</v>
      </c>
      <c r="F483" s="14" t="s">
        <v>562</v>
      </c>
      <c r="G483" s="14"/>
      <c r="H483" s="14">
        <v>0</v>
      </c>
      <c r="I483" s="14">
        <v>0</v>
      </c>
      <c r="J483" s="14">
        <v>0</v>
      </c>
      <c r="K483" s="14">
        <v>0</v>
      </c>
      <c r="L483" s="14">
        <v>7</v>
      </c>
      <c r="M483" s="14">
        <v>0</v>
      </c>
      <c r="N483" s="14">
        <v>1</v>
      </c>
      <c r="O483" s="14">
        <v>0</v>
      </c>
      <c r="P483" s="14"/>
      <c r="Q483" s="14"/>
      <c r="R483" s="14"/>
      <c r="S483" s="14"/>
      <c r="T483" t="b">
        <f t="shared" si="7"/>
        <v>1</v>
      </c>
    </row>
    <row r="484" spans="1:20">
      <c r="A484" s="8"/>
      <c r="B484" s="14">
        <v>3608</v>
      </c>
      <c r="C484" s="14">
        <v>472</v>
      </c>
      <c r="D484" s="14">
        <v>26</v>
      </c>
      <c r="E484" s="14">
        <v>0</v>
      </c>
      <c r="F484" s="14" t="s">
        <v>1236</v>
      </c>
      <c r="G484" s="14"/>
      <c r="H484" s="14">
        <v>0</v>
      </c>
      <c r="I484" s="14">
        <v>0</v>
      </c>
      <c r="J484" s="14">
        <v>0</v>
      </c>
      <c r="K484" s="14">
        <v>0</v>
      </c>
      <c r="L484" s="14">
        <v>7</v>
      </c>
      <c r="M484" s="14">
        <v>0</v>
      </c>
      <c r="N484" s="14">
        <v>1</v>
      </c>
      <c r="O484" s="14">
        <v>0</v>
      </c>
      <c r="P484" s="14"/>
      <c r="Q484" s="14"/>
      <c r="R484" s="14"/>
      <c r="S484" s="14"/>
      <c r="T484" t="b">
        <f t="shared" si="7"/>
        <v>1</v>
      </c>
    </row>
    <row r="485" spans="1:20">
      <c r="A485" s="8"/>
      <c r="B485" s="14">
        <v>3609</v>
      </c>
      <c r="C485" s="14">
        <v>495</v>
      </c>
      <c r="D485" s="14">
        <v>26</v>
      </c>
      <c r="E485" s="14">
        <v>0</v>
      </c>
      <c r="F485" s="14" t="s">
        <v>1441</v>
      </c>
      <c r="G485" s="14"/>
      <c r="H485" s="14">
        <v>0</v>
      </c>
      <c r="I485" s="14">
        <v>0</v>
      </c>
      <c r="J485" s="14">
        <v>0</v>
      </c>
      <c r="K485" s="14">
        <v>0</v>
      </c>
      <c r="L485" s="14">
        <v>4</v>
      </c>
      <c r="M485" s="14">
        <v>0</v>
      </c>
      <c r="N485" s="14">
        <v>1</v>
      </c>
      <c r="O485" s="14">
        <v>0</v>
      </c>
      <c r="P485" s="14"/>
      <c r="Q485" s="14"/>
      <c r="R485" s="14"/>
      <c r="S485" s="14"/>
      <c r="T485" t="b">
        <f t="shared" si="7"/>
        <v>1</v>
      </c>
    </row>
    <row r="486" spans="1:20">
      <c r="A486" s="8"/>
      <c r="B486" s="14">
        <v>3610</v>
      </c>
      <c r="C486" s="14">
        <v>515</v>
      </c>
      <c r="D486" s="14">
        <v>26</v>
      </c>
      <c r="E486" s="14">
        <v>0</v>
      </c>
      <c r="F486" s="14" t="s">
        <v>1505</v>
      </c>
      <c r="G486" s="14"/>
      <c r="H486" s="14">
        <v>0</v>
      </c>
      <c r="I486" s="14">
        <v>0</v>
      </c>
      <c r="J486" s="14">
        <v>0</v>
      </c>
      <c r="K486" s="14">
        <v>0</v>
      </c>
      <c r="L486" s="14">
        <v>7</v>
      </c>
      <c r="M486" s="14">
        <v>0</v>
      </c>
      <c r="N486" s="14">
        <v>1</v>
      </c>
      <c r="O486" s="14">
        <v>0</v>
      </c>
      <c r="P486" s="14">
        <v>999</v>
      </c>
      <c r="Q486" s="14"/>
      <c r="R486" s="14"/>
      <c r="S486" s="14"/>
      <c r="T486" t="b">
        <f t="shared" si="7"/>
        <v>1</v>
      </c>
    </row>
    <row r="487" spans="1:20">
      <c r="A487" s="8"/>
      <c r="B487" s="14">
        <v>3611</v>
      </c>
      <c r="C487" s="14">
        <v>585</v>
      </c>
      <c r="D487" s="14">
        <v>26</v>
      </c>
      <c r="E487" s="14">
        <v>0</v>
      </c>
      <c r="F487" s="14" t="s">
        <v>1917</v>
      </c>
      <c r="G487" s="14"/>
      <c r="H487" s="14">
        <v>0</v>
      </c>
      <c r="I487" s="14">
        <v>0</v>
      </c>
      <c r="J487" s="14">
        <v>0</v>
      </c>
      <c r="K487" s="14">
        <v>0</v>
      </c>
      <c r="L487" s="14">
        <v>7</v>
      </c>
      <c r="M487" s="14">
        <v>0</v>
      </c>
      <c r="N487" s="14">
        <v>1</v>
      </c>
      <c r="O487" s="14">
        <v>0</v>
      </c>
      <c r="P487" s="14"/>
      <c r="Q487" s="14"/>
      <c r="R487" s="14"/>
      <c r="S487" s="14"/>
      <c r="T487" t="b">
        <f t="shared" si="7"/>
        <v>1</v>
      </c>
    </row>
    <row r="488" spans="1:20">
      <c r="A488" s="8"/>
      <c r="B488" s="14">
        <v>3612</v>
      </c>
      <c r="C488" s="14">
        <v>651</v>
      </c>
      <c r="D488" s="14">
        <v>26</v>
      </c>
      <c r="E488" s="14">
        <v>0</v>
      </c>
      <c r="F488" s="14" t="s">
        <v>2441</v>
      </c>
      <c r="G488" s="14"/>
      <c r="H488" s="14">
        <v>0</v>
      </c>
      <c r="I488" s="14">
        <v>0</v>
      </c>
      <c r="J488" s="14">
        <v>0</v>
      </c>
      <c r="K488" s="14">
        <v>0</v>
      </c>
      <c r="L488" s="14">
        <v>7</v>
      </c>
      <c r="M488" s="14">
        <v>0</v>
      </c>
      <c r="N488" s="14">
        <v>1</v>
      </c>
      <c r="O488" s="14">
        <v>0</v>
      </c>
      <c r="P488" s="14"/>
      <c r="Q488" s="14"/>
      <c r="R488" s="14"/>
      <c r="S488" s="14"/>
      <c r="T488" t="b">
        <f t="shared" si="7"/>
        <v>1</v>
      </c>
    </row>
    <row r="489" spans="1:20">
      <c r="A489" s="8"/>
      <c r="B489" s="14">
        <v>3613</v>
      </c>
      <c r="C489" s="14">
        <v>451</v>
      </c>
      <c r="D489" s="14">
        <v>26</v>
      </c>
      <c r="E489" s="14">
        <v>0</v>
      </c>
      <c r="F489" s="14" t="s">
        <v>1428</v>
      </c>
      <c r="G489" s="14"/>
      <c r="H489" s="14">
        <v>0</v>
      </c>
      <c r="I489" s="14">
        <v>0</v>
      </c>
      <c r="J489" s="14">
        <v>0</v>
      </c>
      <c r="K489" s="14">
        <v>0</v>
      </c>
      <c r="L489" s="14">
        <v>7</v>
      </c>
      <c r="M489" s="14">
        <v>0</v>
      </c>
      <c r="N489" s="14">
        <v>1</v>
      </c>
      <c r="O489" s="14">
        <v>0</v>
      </c>
      <c r="P489" s="14"/>
      <c r="Q489" s="14"/>
      <c r="R489" s="14">
        <v>20</v>
      </c>
      <c r="S489" s="14">
        <v>1615</v>
      </c>
      <c r="T489" t="b">
        <f t="shared" si="7"/>
        <v>1</v>
      </c>
    </row>
    <row r="490" spans="1:20">
      <c r="A490" s="8"/>
      <c r="B490" s="14">
        <v>3614</v>
      </c>
      <c r="C490" s="14">
        <v>549</v>
      </c>
      <c r="D490" s="14">
        <v>26</v>
      </c>
      <c r="E490" s="14">
        <v>0</v>
      </c>
      <c r="F490" s="14" t="s">
        <v>1695</v>
      </c>
      <c r="G490" s="14"/>
      <c r="H490" s="14">
        <v>0</v>
      </c>
      <c r="I490" s="14">
        <v>0</v>
      </c>
      <c r="J490" s="14">
        <v>0</v>
      </c>
      <c r="K490" s="14">
        <v>0</v>
      </c>
      <c r="L490" s="14">
        <v>7</v>
      </c>
      <c r="M490" s="14">
        <v>0</v>
      </c>
      <c r="N490" s="14">
        <v>1</v>
      </c>
      <c r="O490" s="14">
        <v>0</v>
      </c>
      <c r="P490" s="14"/>
      <c r="Q490" s="14"/>
      <c r="R490" s="14"/>
      <c r="S490" s="14"/>
      <c r="T490" t="b">
        <f t="shared" si="7"/>
        <v>1</v>
      </c>
    </row>
    <row r="491" spans="1:20">
      <c r="A491" s="8"/>
      <c r="B491" s="14">
        <v>3615</v>
      </c>
      <c r="C491" s="14">
        <v>667</v>
      </c>
      <c r="D491" s="14">
        <v>26</v>
      </c>
      <c r="E491" s="14">
        <v>0</v>
      </c>
      <c r="F491" s="14" t="s">
        <v>2928</v>
      </c>
      <c r="G491" s="14"/>
      <c r="H491" s="14">
        <v>0</v>
      </c>
      <c r="I491" s="14">
        <v>0</v>
      </c>
      <c r="J491" s="14">
        <v>0</v>
      </c>
      <c r="K491" s="14">
        <v>0</v>
      </c>
      <c r="L491" s="14">
        <v>7</v>
      </c>
      <c r="M491" s="14">
        <v>0</v>
      </c>
      <c r="N491" s="14">
        <v>1</v>
      </c>
      <c r="O491" s="14">
        <v>0</v>
      </c>
      <c r="P491" s="14"/>
      <c r="Q491" s="14"/>
      <c r="R491" s="14"/>
      <c r="S491" s="14"/>
      <c r="T491" t="b">
        <f t="shared" si="7"/>
        <v>1</v>
      </c>
    </row>
    <row r="492" spans="1:20">
      <c r="A492" s="8"/>
      <c r="B492" s="14">
        <v>3701</v>
      </c>
      <c r="C492" s="14">
        <v>487</v>
      </c>
      <c r="D492" s="14">
        <v>27</v>
      </c>
      <c r="E492" s="14">
        <v>0</v>
      </c>
      <c r="F492" s="14" t="s">
        <v>1435</v>
      </c>
      <c r="G492" s="14"/>
      <c r="H492" s="14">
        <v>2</v>
      </c>
      <c r="I492" s="14">
        <v>3</v>
      </c>
      <c r="J492" s="14">
        <v>160</v>
      </c>
      <c r="K492" s="14">
        <v>1</v>
      </c>
      <c r="L492" s="14">
        <v>2</v>
      </c>
      <c r="M492" s="14">
        <v>0</v>
      </c>
      <c r="N492" s="14">
        <v>3</v>
      </c>
      <c r="O492" s="14">
        <v>0</v>
      </c>
      <c r="P492" s="14"/>
      <c r="Q492" s="14"/>
      <c r="R492" s="14"/>
      <c r="S492" s="14"/>
      <c r="T492" t="b">
        <f t="shared" si="7"/>
        <v>0</v>
      </c>
    </row>
    <row r="493" spans="1:20">
      <c r="A493" s="8"/>
      <c r="B493" s="14">
        <v>3702</v>
      </c>
      <c r="C493" s="14">
        <v>652</v>
      </c>
      <c r="D493" s="14">
        <v>27</v>
      </c>
      <c r="E493" s="14">
        <v>0</v>
      </c>
      <c r="F493" s="14" t="s">
        <v>2442</v>
      </c>
      <c r="G493" s="14"/>
      <c r="H493" s="14">
        <v>2</v>
      </c>
      <c r="I493" s="14">
        <v>3</v>
      </c>
      <c r="J493" s="14">
        <v>192</v>
      </c>
      <c r="K493" s="14">
        <v>1</v>
      </c>
      <c r="L493" s="14">
        <v>2</v>
      </c>
      <c r="M493" s="14">
        <v>0</v>
      </c>
      <c r="N493" s="14">
        <v>3</v>
      </c>
      <c r="O493" s="14">
        <v>0</v>
      </c>
      <c r="P493" s="14"/>
      <c r="Q493" s="14"/>
      <c r="R493" s="14"/>
      <c r="S493" s="14"/>
      <c r="T493" t="b">
        <f t="shared" si="7"/>
        <v>0</v>
      </c>
    </row>
    <row r="494" spans="1:20">
      <c r="A494" s="8"/>
      <c r="B494" s="14">
        <v>4001</v>
      </c>
      <c r="C494" s="14">
        <v>470</v>
      </c>
      <c r="D494" s="14">
        <v>30</v>
      </c>
      <c r="E494" s="14">
        <v>0</v>
      </c>
      <c r="F494" s="14" t="s">
        <v>1332</v>
      </c>
      <c r="G494" s="14"/>
      <c r="H494" s="14">
        <v>50</v>
      </c>
      <c r="I494" s="14">
        <v>50</v>
      </c>
      <c r="J494" s="14">
        <v>0</v>
      </c>
      <c r="K494" s="14">
        <v>1</v>
      </c>
      <c r="L494" s="14">
        <v>7</v>
      </c>
      <c r="M494" s="14">
        <v>0</v>
      </c>
      <c r="N494" s="14">
        <v>0</v>
      </c>
      <c r="O494" s="14">
        <v>0</v>
      </c>
      <c r="P494" s="14"/>
      <c r="Q494" s="14"/>
      <c r="R494" s="14"/>
      <c r="S494" s="14"/>
      <c r="T494" t="b">
        <f t="shared" si="7"/>
        <v>1</v>
      </c>
    </row>
    <row r="495" spans="1:20">
      <c r="A495" s="8"/>
      <c r="B495" s="14">
        <v>4201</v>
      </c>
      <c r="C495" s="14">
        <v>503</v>
      </c>
      <c r="D495" s="14">
        <v>32</v>
      </c>
      <c r="E495" s="14">
        <v>0</v>
      </c>
      <c r="F495" s="14" t="s">
        <v>1586</v>
      </c>
      <c r="G495" s="14"/>
      <c r="H495" s="14">
        <v>0</v>
      </c>
      <c r="I495" s="14">
        <v>0</v>
      </c>
      <c r="J495" s="14">
        <v>0</v>
      </c>
      <c r="K495" s="14">
        <v>1</v>
      </c>
      <c r="L495" s="14">
        <v>7</v>
      </c>
      <c r="M495" s="14">
        <v>0</v>
      </c>
      <c r="N495" s="14">
        <v>0</v>
      </c>
      <c r="O495" s="14">
        <v>0</v>
      </c>
      <c r="P495" s="14"/>
      <c r="Q495" s="14"/>
      <c r="R495" s="14"/>
      <c r="S495" s="14"/>
      <c r="T495" t="b">
        <f t="shared" si="7"/>
        <v>1</v>
      </c>
    </row>
    <row r="496" spans="1:20">
      <c r="A496" s="8"/>
      <c r="B496" s="14">
        <v>4202</v>
      </c>
      <c r="C496" s="14">
        <v>581</v>
      </c>
      <c r="D496" s="14">
        <v>32</v>
      </c>
      <c r="E496" s="14">
        <v>0</v>
      </c>
      <c r="F496" s="14" t="s">
        <v>1885</v>
      </c>
      <c r="G496" s="14"/>
      <c r="H496" s="14">
        <v>0</v>
      </c>
      <c r="I496" s="14">
        <v>0</v>
      </c>
      <c r="J496" s="14">
        <v>0</v>
      </c>
      <c r="K496" s="14">
        <v>1</v>
      </c>
      <c r="L496" s="14">
        <v>7</v>
      </c>
      <c r="M496" s="14">
        <v>0</v>
      </c>
      <c r="N496" s="14">
        <v>0</v>
      </c>
      <c r="O496" s="14">
        <v>0</v>
      </c>
      <c r="P496" s="14"/>
      <c r="Q496" s="14"/>
      <c r="R496" s="14"/>
      <c r="S496" s="14"/>
      <c r="T496" t="b">
        <f t="shared" si="7"/>
        <v>1</v>
      </c>
    </row>
    <row r="497" spans="1:20">
      <c r="A497" s="8"/>
      <c r="B497" s="14">
        <v>4301</v>
      </c>
      <c r="C497" s="14">
        <v>523</v>
      </c>
      <c r="D497" s="14">
        <v>33</v>
      </c>
      <c r="E497" s="14">
        <v>0</v>
      </c>
      <c r="F497" s="14" t="s">
        <v>1579</v>
      </c>
      <c r="G497" s="14"/>
      <c r="H497" s="14">
        <v>30</v>
      </c>
      <c r="I497" s="14">
        <v>30</v>
      </c>
      <c r="J497" s="14">
        <v>0</v>
      </c>
      <c r="K497" s="14">
        <v>1</v>
      </c>
      <c r="L497" s="14">
        <v>8</v>
      </c>
      <c r="M497" s="14">
        <v>0</v>
      </c>
      <c r="N497" s="14">
        <v>3</v>
      </c>
      <c r="O497" s="14">
        <v>0</v>
      </c>
      <c r="P497" s="14"/>
      <c r="Q497" s="14"/>
      <c r="R497" s="14"/>
      <c r="S497" s="14"/>
      <c r="T497" t="b">
        <f t="shared" si="7"/>
        <v>1</v>
      </c>
    </row>
    <row r="498" spans="1:20">
      <c r="A498" s="8"/>
      <c r="B498" s="14">
        <v>4401</v>
      </c>
      <c r="C498" s="14">
        <v>654</v>
      </c>
      <c r="D498" s="14">
        <v>34</v>
      </c>
      <c r="E498" s="14">
        <v>0</v>
      </c>
      <c r="F498" s="14" t="s">
        <v>2451</v>
      </c>
      <c r="G498" s="14"/>
      <c r="H498" s="14">
        <v>2</v>
      </c>
      <c r="I498" s="14">
        <v>2</v>
      </c>
      <c r="J498" s="14">
        <v>0</v>
      </c>
      <c r="K498" s="14">
        <v>1</v>
      </c>
      <c r="L498" s="14">
        <v>6</v>
      </c>
      <c r="M498" s="14">
        <v>0</v>
      </c>
      <c r="N498" s="14">
        <v>0</v>
      </c>
      <c r="O498" s="14">
        <v>2</v>
      </c>
      <c r="P498" s="14"/>
      <c r="Q498" s="14"/>
      <c r="R498" s="14"/>
      <c r="S498" s="14"/>
      <c r="T498" t="b">
        <f t="shared" si="7"/>
        <v>1</v>
      </c>
    </row>
    <row r="499" spans="1:20">
      <c r="A499" s="8"/>
      <c r="B499" s="14">
        <v>4402</v>
      </c>
      <c r="C499" s="14">
        <v>656</v>
      </c>
      <c r="D499" s="14">
        <v>34</v>
      </c>
      <c r="E499" s="14">
        <v>0</v>
      </c>
      <c r="F499" s="14" t="s">
        <v>2452</v>
      </c>
      <c r="G499" s="14"/>
      <c r="H499" s="14">
        <v>2</v>
      </c>
      <c r="I499" s="14">
        <v>2</v>
      </c>
      <c r="J499" s="14">
        <v>0</v>
      </c>
      <c r="K499" s="14">
        <v>1</v>
      </c>
      <c r="L499" s="14">
        <v>3</v>
      </c>
      <c r="M499" s="14">
        <v>0</v>
      </c>
      <c r="N499" s="14">
        <v>0</v>
      </c>
      <c r="O499" s="14">
        <v>2</v>
      </c>
      <c r="P499" s="14"/>
      <c r="Q499" s="14"/>
      <c r="R499" s="14"/>
      <c r="S499" s="14"/>
      <c r="T499" t="b">
        <f t="shared" si="7"/>
        <v>1</v>
      </c>
    </row>
    <row r="500" spans="1:20">
      <c r="A500" s="8"/>
      <c r="B500" s="14">
        <v>4403</v>
      </c>
      <c r="C500" s="14">
        <v>654</v>
      </c>
      <c r="D500" s="14">
        <v>34</v>
      </c>
      <c r="E500" s="14">
        <v>0</v>
      </c>
      <c r="F500" s="14" t="s">
        <v>2451</v>
      </c>
      <c r="G500" s="14"/>
      <c r="H500" s="14">
        <v>2</v>
      </c>
      <c r="I500" s="14">
        <v>2</v>
      </c>
      <c r="J500" s="14">
        <v>0</v>
      </c>
      <c r="K500" s="14">
        <v>1</v>
      </c>
      <c r="L500" s="14">
        <v>6</v>
      </c>
      <c r="M500" s="14">
        <v>0</v>
      </c>
      <c r="N500" s="14">
        <v>0</v>
      </c>
      <c r="O500" s="14">
        <v>2</v>
      </c>
      <c r="P500" s="14"/>
      <c r="Q500" s="14"/>
      <c r="R500" s="14">
        <v>20</v>
      </c>
      <c r="S500" s="14">
        <v>1614</v>
      </c>
      <c r="T500" t="b">
        <f t="shared" si="7"/>
        <v>1</v>
      </c>
    </row>
    <row r="501" spans="1:20">
      <c r="A501" s="8"/>
      <c r="B501" s="14">
        <v>4901</v>
      </c>
      <c r="C501" s="14">
        <v>622</v>
      </c>
      <c r="D501" s="14">
        <v>39</v>
      </c>
      <c r="E501" s="14">
        <v>0</v>
      </c>
      <c r="F501" s="14" t="s">
        <v>2150</v>
      </c>
      <c r="G501" s="14"/>
      <c r="H501" s="14">
        <v>40</v>
      </c>
      <c r="I501" s="14">
        <v>40</v>
      </c>
      <c r="J501" s="14">
        <v>0</v>
      </c>
      <c r="K501" s="14">
        <v>1</v>
      </c>
      <c r="L501" s="14">
        <v>5</v>
      </c>
      <c r="M501" s="14">
        <v>0</v>
      </c>
      <c r="N501" s="14">
        <v>0</v>
      </c>
      <c r="O501" s="14">
        <v>0</v>
      </c>
      <c r="P501" s="14"/>
      <c r="Q501" s="14"/>
      <c r="R501" s="14"/>
      <c r="S501" s="14"/>
      <c r="T501" t="b">
        <f t="shared" si="7"/>
        <v>1</v>
      </c>
    </row>
    <row r="502" spans="1:20">
      <c r="A502" s="8"/>
      <c r="B502" s="14">
        <v>5101</v>
      </c>
      <c r="C502" s="14">
        <v>497</v>
      </c>
      <c r="D502" s="14">
        <v>41</v>
      </c>
      <c r="E502" s="14">
        <v>0</v>
      </c>
      <c r="F502" s="14" t="s">
        <v>1446</v>
      </c>
      <c r="G502" s="14"/>
      <c r="H502" s="14">
        <v>30</v>
      </c>
      <c r="I502" s="14">
        <v>30</v>
      </c>
      <c r="J502" s="14">
        <v>0</v>
      </c>
      <c r="K502" s="14">
        <v>1</v>
      </c>
      <c r="L502" s="14">
        <v>7</v>
      </c>
      <c r="M502" s="14">
        <v>0</v>
      </c>
      <c r="N502" s="14">
        <v>2</v>
      </c>
      <c r="O502" s="14">
        <v>0</v>
      </c>
      <c r="P502" s="14"/>
      <c r="Q502" s="14"/>
      <c r="R502" s="14"/>
      <c r="S502" s="14"/>
      <c r="T502" t="b">
        <f t="shared" si="7"/>
        <v>1</v>
      </c>
    </row>
    <row r="503" spans="1:20">
      <c r="A503" s="8"/>
      <c r="B503" s="14">
        <v>5102</v>
      </c>
      <c r="C503" s="14">
        <v>499</v>
      </c>
      <c r="D503" s="14">
        <v>41</v>
      </c>
      <c r="E503" s="14">
        <v>0</v>
      </c>
      <c r="F503" s="14" t="s">
        <v>1451</v>
      </c>
      <c r="G503" s="14"/>
      <c r="H503" s="14">
        <v>30</v>
      </c>
      <c r="I503" s="14">
        <v>30</v>
      </c>
      <c r="J503" s="14">
        <v>0</v>
      </c>
      <c r="K503" s="14">
        <v>1</v>
      </c>
      <c r="L503" s="14">
        <v>7</v>
      </c>
      <c r="M503" s="14">
        <v>0</v>
      </c>
      <c r="N503" s="14">
        <v>2</v>
      </c>
      <c r="O503" s="14">
        <v>0</v>
      </c>
      <c r="P503" s="14"/>
      <c r="Q503" s="14"/>
      <c r="R503" s="14"/>
      <c r="S503" s="14"/>
      <c r="T503" t="b">
        <f t="shared" si="7"/>
        <v>1</v>
      </c>
    </row>
    <row r="504" spans="1:20">
      <c r="A504" s="8"/>
      <c r="B504" s="14">
        <v>5201</v>
      </c>
      <c r="C504" s="14">
        <v>590</v>
      </c>
      <c r="D504" s="14">
        <v>52</v>
      </c>
      <c r="E504">
        <v>0</v>
      </c>
      <c r="F504" s="14" t="s">
        <v>1952</v>
      </c>
      <c r="G504" s="14"/>
      <c r="H504" s="14">
        <v>2</v>
      </c>
      <c r="I504" s="14">
        <v>2</v>
      </c>
      <c r="J504" s="14">
        <v>0</v>
      </c>
      <c r="K504" s="14">
        <v>1</v>
      </c>
      <c r="L504" s="14">
        <v>7</v>
      </c>
      <c r="M504" s="14">
        <v>0</v>
      </c>
      <c r="N504" s="14">
        <v>2</v>
      </c>
      <c r="O504" s="14">
        <v>0</v>
      </c>
      <c r="P504" s="14">
        <v>999</v>
      </c>
      <c r="Q504" s="14"/>
      <c r="R504" s="14"/>
      <c r="S504" s="14"/>
      <c r="T504" t="b">
        <f t="shared" si="7"/>
        <v>1</v>
      </c>
    </row>
    <row r="505" spans="1:20">
      <c r="A505" s="8"/>
      <c r="B505" s="14">
        <v>9001</v>
      </c>
      <c r="C505" s="14">
        <v>9008</v>
      </c>
      <c r="D505" s="14">
        <v>90</v>
      </c>
      <c r="E505" s="14">
        <v>0</v>
      </c>
      <c r="F505" s="14" t="s">
        <v>1255</v>
      </c>
      <c r="G505" s="14"/>
      <c r="H505" s="14">
        <v>0</v>
      </c>
      <c r="I505" s="14">
        <v>0</v>
      </c>
      <c r="J505" s="14">
        <v>0</v>
      </c>
      <c r="K505" s="14">
        <v>1</v>
      </c>
      <c r="L505" s="14">
        <v>7</v>
      </c>
      <c r="M505" s="14">
        <v>0</v>
      </c>
      <c r="N505" s="14">
        <v>0</v>
      </c>
      <c r="O505" s="14">
        <v>0</v>
      </c>
      <c r="P505" s="14"/>
      <c r="Q505" s="14"/>
      <c r="R505" s="14"/>
      <c r="S505" s="14"/>
      <c r="T505" t="b">
        <f t="shared" si="7"/>
        <v>1</v>
      </c>
    </row>
  </sheetData>
  <autoFilter ref="A6:T505" xr:uid="{912709C0-2233-4DB6-B07B-7541D7A38096}"/>
  <phoneticPr fontId="1"/>
  <dataValidations count="1">
    <dataValidation type="list" allowBlank="1" showInputMessage="1" showErrorMessage="1" sqref="A7:A505"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2569</v>
      </c>
      <c r="E14" s="14" t="s">
        <v>2569</v>
      </c>
      <c r="F14" s="14">
        <v>25</v>
      </c>
      <c r="G14" s="14">
        <v>99</v>
      </c>
      <c r="H14" s="14">
        <v>3</v>
      </c>
      <c r="I14" s="14">
        <v>35</v>
      </c>
      <c r="J14" s="13">
        <v>0</v>
      </c>
      <c r="K14" s="14">
        <v>10</v>
      </c>
      <c r="L14" s="14"/>
    </row>
    <row r="15" spans="1:12">
      <c r="A15" s="8"/>
      <c r="B15" s="14">
        <v>547</v>
      </c>
      <c r="C15" s="14" t="s">
        <v>1682</v>
      </c>
      <c r="D15" s="14" t="s">
        <v>2571</v>
      </c>
      <c r="E15" s="14" t="s">
        <v>2570</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2330</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2319</v>
      </c>
      <c r="D25" s="14" t="s">
        <v>2328</v>
      </c>
      <c r="E25" s="14" t="s">
        <v>2329</v>
      </c>
      <c r="F25" s="14">
        <v>40</v>
      </c>
      <c r="G25" s="14">
        <v>0</v>
      </c>
      <c r="H25" s="14">
        <v>3</v>
      </c>
      <c r="I25" s="14">
        <v>6</v>
      </c>
      <c r="J25" s="13">
        <v>0</v>
      </c>
      <c r="K25" s="14">
        <v>0</v>
      </c>
      <c r="L25" s="14"/>
    </row>
    <row r="26" spans="1:12">
      <c r="A26" s="8"/>
      <c r="B26" s="14">
        <v>658</v>
      </c>
      <c r="C26" s="14" t="s">
        <v>2518</v>
      </c>
      <c r="D26" s="14" t="s">
        <v>2567</v>
      </c>
      <c r="E26" s="14" t="s">
        <v>2568</v>
      </c>
      <c r="F26" s="14">
        <v>43</v>
      </c>
      <c r="G26" s="14">
        <v>0</v>
      </c>
      <c r="H26" s="14">
        <v>3</v>
      </c>
      <c r="I26" s="14">
        <v>6</v>
      </c>
      <c r="J26" s="13">
        <v>1</v>
      </c>
      <c r="K26" s="14">
        <v>0</v>
      </c>
      <c r="L26" s="14"/>
    </row>
    <row r="27" spans="1:12">
      <c r="A27" s="8"/>
      <c r="B27" s="14">
        <v>665</v>
      </c>
      <c r="C27" s="14" t="s">
        <v>2926</v>
      </c>
      <c r="D27" s="14" t="s">
        <v>2935</v>
      </c>
      <c r="E27" s="14" t="s">
        <v>2935</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2431</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2389</v>
      </c>
      <c r="F7" s="14" t="s">
        <v>1350</v>
      </c>
    </row>
    <row r="8" spans="1:6">
      <c r="A8" s="8"/>
      <c r="B8" s="14">
        <v>1</v>
      </c>
      <c r="C8" s="14">
        <v>5</v>
      </c>
      <c r="D8" s="14">
        <v>0</v>
      </c>
      <c r="E8" s="14" t="s">
        <v>2390</v>
      </c>
      <c r="F8" s="14" t="s">
        <v>1351</v>
      </c>
    </row>
    <row r="9" spans="1:6">
      <c r="A9" s="8"/>
      <c r="B9" s="14">
        <v>2</v>
      </c>
      <c r="C9" s="14">
        <v>5</v>
      </c>
      <c r="D9" s="14">
        <v>0</v>
      </c>
      <c r="E9" s="14" t="s">
        <v>2391</v>
      </c>
      <c r="F9" s="14" t="s">
        <v>1352</v>
      </c>
    </row>
    <row r="10" spans="1:6">
      <c r="A10" s="8"/>
      <c r="B10" s="14">
        <v>3</v>
      </c>
      <c r="C10" s="14">
        <v>5</v>
      </c>
      <c r="D10" s="14">
        <v>6</v>
      </c>
      <c r="E10" s="14" t="s">
        <v>2392</v>
      </c>
      <c r="F10" s="14" t="s">
        <v>1353</v>
      </c>
    </row>
    <row r="11" spans="1:6">
      <c r="A11" s="8"/>
      <c r="B11" s="14">
        <v>4</v>
      </c>
      <c r="C11" s="14">
        <v>5</v>
      </c>
      <c r="D11" s="14">
        <v>6</v>
      </c>
      <c r="E11" s="14" t="s">
        <v>2393</v>
      </c>
      <c r="F11" s="14" t="s">
        <v>1354</v>
      </c>
    </row>
    <row r="12" spans="1:6">
      <c r="A12" s="8"/>
      <c r="B12" s="14">
        <v>5</v>
      </c>
      <c r="C12" s="14">
        <v>6</v>
      </c>
      <c r="D12" s="14">
        <v>5</v>
      </c>
      <c r="E12" s="14" t="s">
        <v>2394</v>
      </c>
      <c r="F12" s="14" t="s">
        <v>1355</v>
      </c>
    </row>
    <row r="13" spans="1:6">
      <c r="A13" s="8"/>
      <c r="B13" s="14">
        <v>6</v>
      </c>
      <c r="C13" s="14">
        <v>5</v>
      </c>
      <c r="D13" s="14">
        <v>0</v>
      </c>
      <c r="E13" s="14" t="s">
        <v>2395</v>
      </c>
      <c r="F13" s="14" t="s">
        <v>1356</v>
      </c>
    </row>
    <row r="14" spans="1:6">
      <c r="A14" s="8"/>
      <c r="B14" s="14">
        <v>7</v>
      </c>
      <c r="C14" s="14">
        <v>5</v>
      </c>
      <c r="D14" s="14">
        <v>0</v>
      </c>
      <c r="E14" s="14" t="s">
        <v>2396</v>
      </c>
      <c r="F14" s="14" t="s">
        <v>1357</v>
      </c>
    </row>
    <row r="15" spans="1:6">
      <c r="A15" s="8"/>
      <c r="B15" s="14">
        <v>8</v>
      </c>
      <c r="C15" s="14">
        <v>5</v>
      </c>
      <c r="D15" s="14">
        <v>0</v>
      </c>
      <c r="E15" s="14" t="s">
        <v>2397</v>
      </c>
      <c r="F15" s="14" t="s">
        <v>1358</v>
      </c>
    </row>
    <row r="16" spans="1:6">
      <c r="A16" s="8"/>
      <c r="B16" s="14">
        <v>9</v>
      </c>
      <c r="C16" s="14">
        <v>0</v>
      </c>
      <c r="D16" s="14">
        <v>0</v>
      </c>
      <c r="E16" s="14" t="s">
        <v>2398</v>
      </c>
      <c r="F16" s="14" t="s">
        <v>1359</v>
      </c>
    </row>
    <row r="17" spans="1:6">
      <c r="A17" s="8"/>
      <c r="B17" s="14">
        <v>10</v>
      </c>
      <c r="C17" s="14">
        <v>5</v>
      </c>
      <c r="D17" s="14">
        <v>0</v>
      </c>
      <c r="E17" s="14" t="s">
        <v>2399</v>
      </c>
      <c r="F17" s="14" t="s">
        <v>1240</v>
      </c>
    </row>
    <row r="18" spans="1:6">
      <c r="A18" s="8"/>
      <c r="B18" s="14">
        <v>11</v>
      </c>
      <c r="C18" s="14">
        <v>0</v>
      </c>
      <c r="D18" s="14">
        <v>0</v>
      </c>
      <c r="E18" s="14" t="s">
        <v>2400</v>
      </c>
      <c r="F18" s="14" t="s">
        <v>1360</v>
      </c>
    </row>
    <row r="19" spans="1:6">
      <c r="A19" s="8"/>
      <c r="B19" s="14">
        <v>12</v>
      </c>
      <c r="C19" s="14">
        <v>0</v>
      </c>
      <c r="D19" s="14">
        <v>0</v>
      </c>
      <c r="E19" s="14" t="s">
        <v>2401</v>
      </c>
      <c r="F19" s="14" t="s">
        <v>1361</v>
      </c>
    </row>
    <row r="20" spans="1:6">
      <c r="A20" s="8"/>
      <c r="B20" s="14">
        <v>13</v>
      </c>
      <c r="C20" s="14">
        <v>5</v>
      </c>
      <c r="D20" s="14">
        <v>0</v>
      </c>
      <c r="E20" s="14" t="s">
        <v>2402</v>
      </c>
      <c r="F20" s="14" t="s">
        <v>1896</v>
      </c>
    </row>
    <row r="21" spans="1:6">
      <c r="A21" s="8"/>
      <c r="B21" s="14">
        <v>14</v>
      </c>
      <c r="C21" s="14">
        <v>0</v>
      </c>
      <c r="D21" s="14">
        <v>0</v>
      </c>
      <c r="E21" s="14" t="s">
        <v>2403</v>
      </c>
      <c r="F21" s="14" t="s">
        <v>1363</v>
      </c>
    </row>
    <row r="22" spans="1:6">
      <c r="A22" s="8"/>
      <c r="B22" s="14">
        <v>15</v>
      </c>
      <c r="C22" s="14">
        <v>0</v>
      </c>
      <c r="D22" s="14">
        <v>0</v>
      </c>
      <c r="E22" s="14" t="s">
        <v>2404</v>
      </c>
      <c r="F22" s="14" t="s">
        <v>1364</v>
      </c>
    </row>
    <row r="23" spans="1:6">
      <c r="A23" s="8"/>
      <c r="B23" s="14">
        <v>16</v>
      </c>
      <c r="C23" s="14">
        <v>5</v>
      </c>
      <c r="D23" s="14">
        <v>0</v>
      </c>
      <c r="E23" s="14" t="s">
        <v>2405</v>
      </c>
      <c r="F23" s="14" t="s">
        <v>1897</v>
      </c>
    </row>
    <row r="24" spans="1:6">
      <c r="A24" s="8"/>
      <c r="B24" s="14">
        <v>18</v>
      </c>
      <c r="C24" s="14">
        <v>0</v>
      </c>
      <c r="D24" s="14">
        <v>0</v>
      </c>
      <c r="E24" s="14" t="s">
        <v>2406</v>
      </c>
      <c r="F24" s="14" t="s">
        <v>1367</v>
      </c>
    </row>
    <row r="25" spans="1:6">
      <c r="A25" s="8"/>
      <c r="B25" s="14">
        <v>19</v>
      </c>
      <c r="C25" s="14">
        <v>5</v>
      </c>
      <c r="D25" s="14">
        <v>6</v>
      </c>
      <c r="E25" s="14" t="s">
        <v>2407</v>
      </c>
      <c r="F25" s="14" t="s">
        <v>1368</v>
      </c>
    </row>
    <row r="26" spans="1:6">
      <c r="A26" s="8"/>
      <c r="B26" s="14">
        <v>20</v>
      </c>
      <c r="C26" s="14">
        <v>5</v>
      </c>
      <c r="D26" s="14">
        <v>6</v>
      </c>
      <c r="E26" s="14" t="s">
        <v>2408</v>
      </c>
      <c r="F26" s="14" t="s">
        <v>1369</v>
      </c>
    </row>
    <row r="27" spans="1:6">
      <c r="A27" s="8"/>
      <c r="B27" s="14">
        <v>21</v>
      </c>
      <c r="C27" s="14">
        <v>5</v>
      </c>
      <c r="D27" s="14">
        <v>6</v>
      </c>
      <c r="E27" s="14" t="s">
        <v>2409</v>
      </c>
      <c r="F27" s="14" t="s">
        <v>1370</v>
      </c>
    </row>
    <row r="28" spans="1:6">
      <c r="A28" s="8"/>
      <c r="B28" s="14">
        <v>22</v>
      </c>
      <c r="C28" s="14">
        <v>5</v>
      </c>
      <c r="D28" s="14">
        <v>6</v>
      </c>
      <c r="E28" s="14" t="s">
        <v>2410</v>
      </c>
      <c r="F28" s="14" t="s">
        <v>1371</v>
      </c>
    </row>
    <row r="29" spans="1:6">
      <c r="A29" s="8"/>
      <c r="B29" s="14">
        <v>23</v>
      </c>
      <c r="C29" s="14">
        <v>5</v>
      </c>
      <c r="D29" s="14">
        <v>6</v>
      </c>
      <c r="E29" s="14" t="s">
        <v>2411</v>
      </c>
      <c r="F29" s="14" t="s">
        <v>1898</v>
      </c>
    </row>
    <row r="30" spans="1:6">
      <c r="A30" s="8"/>
      <c r="B30" s="14">
        <v>24</v>
      </c>
      <c r="C30" s="14">
        <v>0</v>
      </c>
      <c r="D30" s="14">
        <v>0</v>
      </c>
      <c r="E30" s="14" t="s">
        <v>2412</v>
      </c>
      <c r="F30" s="14" t="s">
        <v>1899</v>
      </c>
    </row>
    <row r="31" spans="1:6">
      <c r="A31" s="8"/>
      <c r="B31" s="14">
        <v>25</v>
      </c>
      <c r="C31" s="14">
        <v>3</v>
      </c>
      <c r="D31" s="14">
        <v>4</v>
      </c>
      <c r="E31" s="14" t="s">
        <v>2413</v>
      </c>
      <c r="F31" s="14" t="s">
        <v>1244</v>
      </c>
    </row>
    <row r="32" spans="1:6">
      <c r="A32" s="8"/>
      <c r="B32" s="14">
        <v>26</v>
      </c>
      <c r="C32" s="14">
        <v>0</v>
      </c>
      <c r="D32" s="14">
        <v>0</v>
      </c>
      <c r="E32" s="14" t="s">
        <v>2414</v>
      </c>
      <c r="F32" s="14" t="s">
        <v>1243</v>
      </c>
    </row>
    <row r="33" spans="1:6">
      <c r="A33" s="8"/>
      <c r="B33" s="14">
        <v>27</v>
      </c>
      <c r="C33" s="14">
        <v>3</v>
      </c>
      <c r="D33" s="14">
        <v>4</v>
      </c>
      <c r="E33" s="14" t="s">
        <v>2415</v>
      </c>
      <c r="F33" s="14" t="s">
        <v>1900</v>
      </c>
    </row>
    <row r="34" spans="1:6">
      <c r="A34" s="8"/>
      <c r="B34" s="14">
        <v>28</v>
      </c>
      <c r="C34" s="14">
        <v>0</v>
      </c>
      <c r="D34" s="14">
        <v>0</v>
      </c>
      <c r="E34" s="14" t="s">
        <v>2416</v>
      </c>
      <c r="F34" s="14" t="s">
        <v>1901</v>
      </c>
    </row>
    <row r="35" spans="1:6">
      <c r="A35" s="8"/>
      <c r="B35" s="14">
        <v>29</v>
      </c>
      <c r="C35" s="14">
        <v>0</v>
      </c>
      <c r="D35" s="14">
        <v>0</v>
      </c>
      <c r="E35" s="14" t="s">
        <v>2417</v>
      </c>
      <c r="F35" s="14" t="s">
        <v>1902</v>
      </c>
    </row>
    <row r="36" spans="1:6">
      <c r="A36" s="8"/>
      <c r="B36" s="14">
        <v>30</v>
      </c>
      <c r="C36" s="14">
        <v>0</v>
      </c>
      <c r="D36" s="14">
        <v>0</v>
      </c>
      <c r="E36" s="14" t="s">
        <v>2418</v>
      </c>
      <c r="F36" s="14" t="s">
        <v>1903</v>
      </c>
    </row>
    <row r="37" spans="1:6">
      <c r="A37" s="8"/>
      <c r="B37" s="14">
        <v>31</v>
      </c>
      <c r="C37" s="14">
        <v>0</v>
      </c>
      <c r="D37" s="14">
        <v>0</v>
      </c>
      <c r="E37" s="14" t="s">
        <v>2419</v>
      </c>
      <c r="F37" s="14" t="s">
        <v>1555</v>
      </c>
    </row>
    <row r="38" spans="1:6">
      <c r="A38" s="8"/>
      <c r="B38" s="14">
        <v>32</v>
      </c>
      <c r="C38" s="14">
        <v>0</v>
      </c>
      <c r="D38" s="14">
        <v>0</v>
      </c>
      <c r="E38" s="14" t="s">
        <v>2420</v>
      </c>
      <c r="F38" s="14" t="s">
        <v>1904</v>
      </c>
    </row>
    <row r="39" spans="1:6">
      <c r="A39" s="8"/>
      <c r="B39" s="14">
        <v>33</v>
      </c>
      <c r="C39" s="14">
        <v>0</v>
      </c>
      <c r="D39" s="14">
        <v>0</v>
      </c>
      <c r="E39" s="14" t="s">
        <v>2421</v>
      </c>
      <c r="F39" s="14" t="s">
        <v>1759</v>
      </c>
    </row>
    <row r="40" spans="1:6">
      <c r="A40" s="8"/>
      <c r="B40" s="14">
        <v>34</v>
      </c>
      <c r="C40" s="14">
        <v>0</v>
      </c>
      <c r="D40" s="14">
        <v>0</v>
      </c>
      <c r="E40" s="14" t="s">
        <v>2422</v>
      </c>
      <c r="F40" s="14" t="s">
        <v>1905</v>
      </c>
    </row>
    <row r="41" spans="1:6">
      <c r="A41" s="8"/>
      <c r="B41" s="14">
        <v>35</v>
      </c>
      <c r="C41" s="14">
        <v>0</v>
      </c>
      <c r="D41" s="14">
        <v>0</v>
      </c>
      <c r="E41" s="14" t="s">
        <v>2423</v>
      </c>
      <c r="F41" s="14" t="s">
        <v>1760</v>
      </c>
    </row>
    <row r="42" spans="1:6">
      <c r="A42" s="8"/>
      <c r="B42" s="14">
        <v>36</v>
      </c>
      <c r="C42" s="14">
        <v>0</v>
      </c>
      <c r="D42" s="14">
        <v>0</v>
      </c>
      <c r="E42" s="14" t="s">
        <v>2424</v>
      </c>
      <c r="F42" s="14" t="s">
        <v>1875</v>
      </c>
    </row>
    <row r="43" spans="1:6">
      <c r="A43" s="8"/>
      <c r="B43" s="14">
        <v>37</v>
      </c>
      <c r="C43" s="14">
        <v>0</v>
      </c>
      <c r="D43" s="14">
        <v>0</v>
      </c>
      <c r="E43" s="14" t="s">
        <v>2425</v>
      </c>
      <c r="F43" s="14" t="s">
        <v>1906</v>
      </c>
    </row>
    <row r="44" spans="1:6">
      <c r="A44" s="8"/>
      <c r="B44" s="14">
        <v>38</v>
      </c>
      <c r="C44" s="14">
        <v>0</v>
      </c>
      <c r="D44" s="14">
        <v>0</v>
      </c>
      <c r="E44" s="14" t="s">
        <v>2426</v>
      </c>
      <c r="F44" s="14" t="s">
        <v>1907</v>
      </c>
    </row>
    <row r="45" spans="1:6">
      <c r="A45" s="8"/>
      <c r="B45" s="14">
        <v>39</v>
      </c>
      <c r="C45" s="14">
        <v>0</v>
      </c>
      <c r="D45" s="14">
        <v>0</v>
      </c>
      <c r="E45" s="14" t="s">
        <v>2427</v>
      </c>
      <c r="F45" s="14" t="s">
        <v>2154</v>
      </c>
    </row>
    <row r="46" spans="1:6">
      <c r="A46" s="8"/>
      <c r="B46" s="14">
        <v>41</v>
      </c>
      <c r="C46" s="14">
        <v>0</v>
      </c>
      <c r="D46" s="14">
        <v>0</v>
      </c>
      <c r="E46" s="14" t="s">
        <v>2430</v>
      </c>
      <c r="F46" s="14" t="s">
        <v>2429</v>
      </c>
    </row>
    <row r="47" spans="1:6">
      <c r="A47" s="8"/>
      <c r="B47" s="14">
        <v>52</v>
      </c>
      <c r="C47" s="14">
        <v>0</v>
      </c>
      <c r="D47" s="14">
        <v>0</v>
      </c>
      <c r="E47" s="14" t="s">
        <v>2559</v>
      </c>
      <c r="F47" s="14" t="s">
        <v>2558</v>
      </c>
    </row>
    <row r="48" spans="1:6">
      <c r="A48" s="8"/>
      <c r="B48" s="14">
        <v>90</v>
      </c>
      <c r="C48" s="14">
        <v>0</v>
      </c>
      <c r="D48" s="14">
        <v>0</v>
      </c>
      <c r="E48" s="14" t="s">
        <v>2428</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topLeftCell="A166" zoomScale="85" zoomScaleNormal="85" workbookViewId="0">
      <selection activeCell="B182" sqref="B182"/>
    </sheetView>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2584</v>
      </c>
      <c r="G7" s="14">
        <v>1</v>
      </c>
      <c r="H7" s="14">
        <v>0</v>
      </c>
      <c r="I7" s="14"/>
      <c r="J7" s="14">
        <v>1</v>
      </c>
      <c r="K7" s="14"/>
      <c r="L7" s="14"/>
      <c r="M7" s="14">
        <v>1502</v>
      </c>
      <c r="N7" s="14">
        <v>212</v>
      </c>
      <c r="O7" s="14"/>
      <c r="P7" s="14"/>
      <c r="Q7" s="14"/>
    </row>
    <row r="8" spans="1:17">
      <c r="A8" s="8"/>
      <c r="B8" s="14">
        <v>2</v>
      </c>
      <c r="C8" s="14">
        <v>1</v>
      </c>
      <c r="D8" s="14">
        <v>1</v>
      </c>
      <c r="E8" s="11" t="s">
        <v>407</v>
      </c>
      <c r="F8" s="11" t="s">
        <v>2585</v>
      </c>
      <c r="G8" s="14">
        <v>1</v>
      </c>
      <c r="H8" s="14">
        <v>1</v>
      </c>
      <c r="I8" s="14"/>
      <c r="J8" s="14">
        <v>1</v>
      </c>
      <c r="K8" s="14"/>
      <c r="L8" s="14"/>
      <c r="M8" s="14">
        <v>1101</v>
      </c>
      <c r="N8" s="14">
        <v>207</v>
      </c>
      <c r="O8" s="14"/>
      <c r="P8" s="14"/>
      <c r="Q8" s="14"/>
    </row>
    <row r="9" spans="1:17">
      <c r="A9" s="8"/>
      <c r="B9" s="14">
        <v>3</v>
      </c>
      <c r="C9" s="14">
        <v>2</v>
      </c>
      <c r="D9" s="14">
        <v>1</v>
      </c>
      <c r="E9" s="11" t="s">
        <v>408</v>
      </c>
      <c r="F9" s="11" t="s">
        <v>2586</v>
      </c>
      <c r="G9" s="14">
        <v>2</v>
      </c>
      <c r="H9" s="14">
        <v>0</v>
      </c>
      <c r="I9" s="14"/>
      <c r="J9" s="14">
        <v>1</v>
      </c>
      <c r="K9" s="14"/>
      <c r="L9" s="14"/>
      <c r="M9" s="14">
        <v>1101</v>
      </c>
      <c r="N9" s="14">
        <v>220</v>
      </c>
      <c r="O9" s="14"/>
      <c r="P9" s="14"/>
      <c r="Q9" s="14"/>
    </row>
    <row r="10" spans="1:17">
      <c r="A10" s="8"/>
      <c r="B10" s="14">
        <v>4</v>
      </c>
      <c r="C10" s="14">
        <v>3</v>
      </c>
      <c r="D10" s="14">
        <v>1</v>
      </c>
      <c r="E10" s="11" t="s">
        <v>409</v>
      </c>
      <c r="F10" s="11" t="s">
        <v>2587</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2588</v>
      </c>
      <c r="G11" s="14">
        <v>5</v>
      </c>
      <c r="H11" s="14">
        <v>1</v>
      </c>
      <c r="I11" s="14"/>
      <c r="J11" s="14">
        <v>3</v>
      </c>
      <c r="K11" s="14"/>
      <c r="L11" s="14"/>
      <c r="M11" s="14">
        <v>1101</v>
      </c>
      <c r="N11" s="14">
        <v>1</v>
      </c>
      <c r="O11" s="14"/>
      <c r="P11" s="14"/>
      <c r="Q11" s="14"/>
    </row>
    <row r="12" spans="1:17">
      <c r="A12" s="8"/>
      <c r="B12" s="14">
        <v>6</v>
      </c>
      <c r="C12" s="14">
        <v>5</v>
      </c>
      <c r="D12" s="14">
        <v>1</v>
      </c>
      <c r="E12" s="11" t="s">
        <v>411</v>
      </c>
      <c r="F12" s="11" t="s">
        <v>2589</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2590</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2591</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2592</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2593</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2594</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2595</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2596</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2597</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2598</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2599</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2600</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2601</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2602</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2603</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2604</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2605</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2606</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2607</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2608</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2609</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2610</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2611</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2612</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2613</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2614</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2615</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2616</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2617</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2618</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2619</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2620</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2621</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2622</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2623</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2624</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2625</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2626</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2627</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2628</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2629</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2630</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2631</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2632</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2633</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2634</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2635</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2636</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2637</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2638</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2639</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2640</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2641</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2642</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2643</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2644</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2645</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2646</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2647</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2648</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2649</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2650</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2651</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2652</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2653</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2654</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2655</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2656</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2657</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2658</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2659</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2660</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2661</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2662</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2663</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2664</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2665</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2666</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2667</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2668</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2669</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2670</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2671</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2672</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2673</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2674</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2675</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2676</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2683</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2684</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2685</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2686</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2687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2688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2689</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2690</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2691</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2692</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2693</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2694</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2696</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2697</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2698</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2699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2700</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2701</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2704</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2705</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2706</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2707</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2708</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2709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2711</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2713</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2714</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2716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2717</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2718</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1653</v>
      </c>
      <c r="F142" s="11" t="s">
        <v>2719</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1657</v>
      </c>
      <c r="F143" s="11" t="s">
        <v>2720</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1685</v>
      </c>
      <c r="F144" s="11" t="s">
        <v>2721</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1693</v>
      </c>
      <c r="F145" s="11" t="s">
        <v>2722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1704</v>
      </c>
      <c r="F146" s="11" t="s">
        <v>2723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1703</v>
      </c>
      <c r="F147" s="11" t="s">
        <v>2724</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1744</v>
      </c>
      <c r="F148" s="11" t="s">
        <v>2725</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1750</v>
      </c>
      <c r="F149" s="11" t="s">
        <v>2726</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1848</v>
      </c>
      <c r="F150" s="11" t="s">
        <v>2727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1856</v>
      </c>
      <c r="F151" s="11" t="s">
        <v>2728</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1863</v>
      </c>
      <c r="F152" s="11" t="s">
        <v>2729</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1879</v>
      </c>
      <c r="F153" s="11" t="s">
        <v>2730</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1883</v>
      </c>
      <c r="F154" s="11" t="s">
        <v>2731</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1915</v>
      </c>
      <c r="F155" s="11" t="s">
        <v>2732</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1919</v>
      </c>
      <c r="F156" s="11" t="s">
        <v>2733</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1950</v>
      </c>
      <c r="F157" s="11" t="s">
        <v>2734</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1995</v>
      </c>
      <c r="F158" s="11" t="s">
        <v>2735</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1998</v>
      </c>
      <c r="F159" s="11" t="s">
        <v>2736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2011</v>
      </c>
      <c r="F160" s="11" t="s">
        <v>2737</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2091</v>
      </c>
      <c r="F161" s="11" t="s">
        <v>2738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2103</v>
      </c>
      <c r="F162" s="11" t="s">
        <v>2739</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2114</v>
      </c>
      <c r="F163" s="11" t="s">
        <v>2740</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2121</v>
      </c>
      <c r="F164" s="11" t="s">
        <v>2741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2125</v>
      </c>
      <c r="F165" s="11" t="s">
        <v>2742</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2147</v>
      </c>
      <c r="F166" s="11" t="s">
        <v>2743</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2175</v>
      </c>
      <c r="F167" s="11" t="s">
        <v>2744</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2184</v>
      </c>
      <c r="F168" s="11" t="s">
        <v>2745</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2242</v>
      </c>
      <c r="F169" s="11" t="s">
        <v>2746</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2318</v>
      </c>
      <c r="F170" s="11" t="s">
        <v>2747</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2322</v>
      </c>
      <c r="F171" s="11" t="s">
        <v>2748</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2340</v>
      </c>
      <c r="F172" s="11" t="s">
        <v>2749</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2360</v>
      </c>
      <c r="F173" s="11" t="s">
        <v>2750</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2363</v>
      </c>
      <c r="F174" s="11" t="s">
        <v>2751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2370</v>
      </c>
      <c r="F175" s="11" t="s">
        <v>2752</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2438</v>
      </c>
      <c r="F176" s="11" t="s">
        <v>2753</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2445</v>
      </c>
      <c r="F177" s="11" t="s">
        <v>2754</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2449</v>
      </c>
      <c r="F178" s="11" t="s">
        <v>2755</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2515</v>
      </c>
      <c r="F179" s="11" t="s">
        <v>2756</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2522</v>
      </c>
      <c r="F180" s="11" t="s">
        <v>2757</v>
      </c>
      <c r="G180" s="14">
        <v>1</v>
      </c>
      <c r="H180" s="14">
        <v>0</v>
      </c>
      <c r="I180" s="14"/>
      <c r="J180" s="14">
        <v>1</v>
      </c>
      <c r="K180" s="14">
        <v>1532</v>
      </c>
      <c r="L180" s="14"/>
      <c r="M180" s="14">
        <v>1101</v>
      </c>
      <c r="N180" s="14">
        <v>1613</v>
      </c>
      <c r="O180" s="14"/>
      <c r="P180" s="14"/>
      <c r="Q180" s="14"/>
    </row>
    <row r="181" spans="1:17">
      <c r="A181" s="8"/>
      <c r="B181" s="14">
        <v>176</v>
      </c>
      <c r="C181" s="14">
        <v>5</v>
      </c>
      <c r="D181" s="14">
        <v>0</v>
      </c>
      <c r="E181" s="11" t="s">
        <v>2527</v>
      </c>
      <c r="F181" s="11" t="s">
        <v>2583</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2527</v>
      </c>
      <c r="F182" s="11" t="s">
        <v>2582</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2758</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2759</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2760</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2761</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2762</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2763</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2764</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2765</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2766</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2767</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2768</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2769</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2770</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2771</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2772</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2773</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2774</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2775</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2776</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2777</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2778</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2779</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2780</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2781</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2782</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2783</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2784</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2785</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2786</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2787</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2788</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2789</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2790</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2791</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2792</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2793</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2794</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2795</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2796</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2797</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2798</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2799</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2800</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2801</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2802</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2803</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2804</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2805</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2806</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2807</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2808</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2809</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2810</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2811</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2812</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2813</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2814</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2815</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2816</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2817</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2818</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2819</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2820</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1913</v>
      </c>
      <c r="F246" s="11" t="s">
        <v>2821</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2822</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2823</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2824</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2825</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2826</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2827</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2828</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2829</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2830</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1914</v>
      </c>
      <c r="F256" s="11" t="s">
        <v>2831</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2832</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2833</v>
      </c>
      <c r="G258" s="14">
        <v>1</v>
      </c>
      <c r="H258" s="14">
        <v>5</v>
      </c>
      <c r="I258" s="14"/>
      <c r="J258" s="14">
        <v>1</v>
      </c>
      <c r="K258" s="14"/>
      <c r="L258" s="14"/>
      <c r="M258" s="14"/>
      <c r="N258" s="14">
        <v>9</v>
      </c>
      <c r="O258" s="14"/>
      <c r="P258" s="14"/>
      <c r="Q258" s="14"/>
    </row>
    <row r="259" spans="1:17">
      <c r="A259" s="8"/>
      <c r="B259" s="14">
        <v>5077</v>
      </c>
      <c r="C259" s="14">
        <v>7</v>
      </c>
      <c r="D259" s="14">
        <v>2</v>
      </c>
      <c r="E259" s="11" t="s">
        <v>1660</v>
      </c>
      <c r="F259" s="11" t="s">
        <v>2834</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1701</v>
      </c>
      <c r="F260" s="11" t="s">
        <v>2835</v>
      </c>
      <c r="G260" s="14">
        <v>2</v>
      </c>
      <c r="H260" s="14">
        <v>3</v>
      </c>
      <c r="I260" s="14"/>
      <c r="J260" s="14">
        <v>1</v>
      </c>
      <c r="K260" s="14"/>
      <c r="L260" s="14"/>
      <c r="M260" s="14"/>
      <c r="N260" s="14">
        <v>9</v>
      </c>
      <c r="O260" s="14"/>
      <c r="P260" s="14"/>
      <c r="Q260" s="14"/>
    </row>
    <row r="261" spans="1:17">
      <c r="A261" s="8"/>
      <c r="B261" s="14">
        <v>5079</v>
      </c>
      <c r="C261" s="14">
        <v>22</v>
      </c>
      <c r="D261" s="14">
        <v>2</v>
      </c>
      <c r="E261" s="11" t="s">
        <v>1711</v>
      </c>
      <c r="F261" s="11" t="s">
        <v>2836</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1849</v>
      </c>
      <c r="F262" s="11" t="s">
        <v>2837</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1910</v>
      </c>
      <c r="F263" s="11" t="s">
        <v>2838</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2115</v>
      </c>
      <c r="F264" s="11" t="s">
        <v>2839</v>
      </c>
      <c r="G264" s="14">
        <v>3</v>
      </c>
      <c r="H264" s="14">
        <v>4</v>
      </c>
      <c r="I264" s="14"/>
      <c r="J264" s="14">
        <v>1</v>
      </c>
      <c r="K264" s="14"/>
      <c r="L264" s="14"/>
      <c r="M264" s="14"/>
      <c r="N264" s="14">
        <v>256</v>
      </c>
      <c r="O264" s="14"/>
      <c r="P264" s="14"/>
      <c r="Q264" s="14"/>
    </row>
    <row r="265" spans="1:17">
      <c r="A265" s="8"/>
      <c r="B265" s="14">
        <v>5083</v>
      </c>
      <c r="C265" s="14">
        <v>27</v>
      </c>
      <c r="D265" s="14">
        <v>2</v>
      </c>
      <c r="E265" s="11" t="s">
        <v>2116</v>
      </c>
      <c r="F265" s="11" t="s">
        <v>2840</v>
      </c>
      <c r="G265" s="14">
        <v>1</v>
      </c>
      <c r="H265" s="14">
        <v>0</v>
      </c>
      <c r="I265" s="14"/>
      <c r="J265" s="14">
        <v>1</v>
      </c>
      <c r="K265" s="14"/>
      <c r="L265" s="14"/>
      <c r="M265" s="14"/>
      <c r="N265" s="14">
        <v>239</v>
      </c>
      <c r="O265" s="14"/>
      <c r="P265" s="14"/>
      <c r="Q265" s="14"/>
    </row>
    <row r="266" spans="1:17">
      <c r="A266" s="8"/>
      <c r="B266" s="14">
        <v>5084</v>
      </c>
      <c r="C266" s="14">
        <v>38</v>
      </c>
      <c r="D266" s="14">
        <v>2</v>
      </c>
      <c r="E266" s="11" t="s">
        <v>2131</v>
      </c>
      <c r="F266" s="11" t="s">
        <v>2841</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2182</v>
      </c>
      <c r="F267" s="11" t="s">
        <v>2842</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2247</v>
      </c>
      <c r="F268" s="11" t="s">
        <v>2843</v>
      </c>
      <c r="G268" s="14">
        <v>2</v>
      </c>
      <c r="H268" s="14">
        <v>4</v>
      </c>
      <c r="I268" s="14"/>
      <c r="J268" s="14">
        <v>1</v>
      </c>
      <c r="K268" s="14"/>
      <c r="L268" s="14"/>
      <c r="M268" s="14"/>
      <c r="N268" s="14">
        <v>1109</v>
      </c>
      <c r="O268" s="14"/>
      <c r="P268" s="14"/>
      <c r="Q268" s="14"/>
    </row>
    <row r="269" spans="1:17">
      <c r="A269" s="8"/>
      <c r="B269" s="14">
        <v>5087</v>
      </c>
      <c r="C269" s="14">
        <v>8</v>
      </c>
      <c r="D269" s="14">
        <v>2</v>
      </c>
      <c r="E269" s="11" t="s">
        <v>2375</v>
      </c>
      <c r="F269" s="11" t="s">
        <v>2844</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2450</v>
      </c>
      <c r="F270" s="11" t="s">
        <v>2845</v>
      </c>
      <c r="G270" s="14">
        <v>5</v>
      </c>
      <c r="H270" s="14">
        <v>0</v>
      </c>
      <c r="I270" s="14"/>
      <c r="J270" s="14">
        <v>1</v>
      </c>
      <c r="K270" s="14"/>
      <c r="L270" s="14"/>
      <c r="M270" s="14"/>
      <c r="N270" s="14">
        <v>1006</v>
      </c>
      <c r="O270" s="14"/>
      <c r="P270" s="14"/>
      <c r="Q270" s="14"/>
    </row>
    <row r="271" spans="1:17">
      <c r="A271" s="8"/>
      <c r="B271" s="14">
        <v>5089</v>
      </c>
      <c r="C271" s="14">
        <v>44</v>
      </c>
      <c r="D271" s="14">
        <v>2</v>
      </c>
      <c r="E271" s="11" t="s">
        <v>2460</v>
      </c>
      <c r="F271" s="11" t="s">
        <v>2461</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2846</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2847</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2848</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2849</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2850</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2851</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2852</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2853</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2854</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2855</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2856</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2857</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2858</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2859</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2860</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2861</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2862</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2863</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2864</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2865</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2866</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2867</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2868</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2869</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2870</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2871</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2872</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2873</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2874</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2875</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2876</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2877</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2878</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2879</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2880</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2881</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2882</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2883</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2884</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2885</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2886</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2887</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2888</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2889</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2890</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2891</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2892</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2893</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tabSelected="1" zoomScale="85" zoomScaleNormal="85" workbookViewId="0">
      <pane ySplit="6" topLeftCell="A97"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2257</v>
      </c>
      <c r="D19" s="11" t="s">
        <v>2258</v>
      </c>
      <c r="E19" s="11" t="s">
        <v>593</v>
      </c>
      <c r="F19" s="14">
        <v>0</v>
      </c>
      <c r="G19" s="14">
        <v>3</v>
      </c>
      <c r="H19" s="14"/>
      <c r="I19" s="23">
        <v>7</v>
      </c>
      <c r="J19" s="14">
        <v>0</v>
      </c>
      <c r="K19" s="14">
        <v>0</v>
      </c>
      <c r="L19" s="14">
        <v>0</v>
      </c>
      <c r="M19" s="14">
        <v>39</v>
      </c>
      <c r="N19" s="14"/>
      <c r="O19" s="14">
        <v>0</v>
      </c>
    </row>
    <row r="20" spans="1:15">
      <c r="A20" s="8"/>
      <c r="B20" s="14">
        <v>14</v>
      </c>
      <c r="C20" s="11" t="s">
        <v>2259</v>
      </c>
      <c r="D20" s="11" t="s">
        <v>2258</v>
      </c>
      <c r="E20" s="11" t="s">
        <v>593</v>
      </c>
      <c r="F20" s="14">
        <v>0</v>
      </c>
      <c r="G20" s="14">
        <v>3</v>
      </c>
      <c r="H20" s="14"/>
      <c r="I20" s="23">
        <v>7</v>
      </c>
      <c r="J20" s="14">
        <v>0</v>
      </c>
      <c r="K20" s="14">
        <v>0</v>
      </c>
      <c r="L20" s="14">
        <v>0</v>
      </c>
      <c r="M20" s="14">
        <v>39</v>
      </c>
      <c r="N20" s="14"/>
      <c r="O20" s="14">
        <v>0</v>
      </c>
    </row>
    <row r="21" spans="1:15">
      <c r="A21" s="8"/>
      <c r="B21" s="14">
        <v>15</v>
      </c>
      <c r="C21" s="11" t="s">
        <v>2260</v>
      </c>
      <c r="D21" s="11" t="s">
        <v>2258</v>
      </c>
      <c r="E21" s="11" t="s">
        <v>593</v>
      </c>
      <c r="F21" s="14">
        <v>0</v>
      </c>
      <c r="G21" s="14">
        <v>3</v>
      </c>
      <c r="H21" s="14"/>
      <c r="I21" s="23">
        <v>7</v>
      </c>
      <c r="J21" s="14">
        <v>0</v>
      </c>
      <c r="K21" s="14">
        <v>0</v>
      </c>
      <c r="L21" s="14">
        <v>0</v>
      </c>
      <c r="M21" s="14">
        <v>39</v>
      </c>
      <c r="N21" s="14"/>
      <c r="O21" s="14">
        <v>0</v>
      </c>
    </row>
    <row r="22" spans="1:15">
      <c r="A22" s="8"/>
      <c r="B22" s="14">
        <v>16</v>
      </c>
      <c r="C22" s="11" t="s">
        <v>1724</v>
      </c>
      <c r="D22" s="11" t="s">
        <v>2256</v>
      </c>
      <c r="E22" s="11" t="s">
        <v>593</v>
      </c>
      <c r="F22" s="14">
        <v>0</v>
      </c>
      <c r="G22" s="14">
        <v>1</v>
      </c>
      <c r="H22" s="14"/>
      <c r="I22" s="23">
        <v>7</v>
      </c>
      <c r="J22" s="14">
        <v>0</v>
      </c>
      <c r="K22" s="14">
        <v>0</v>
      </c>
      <c r="L22" s="14">
        <v>0</v>
      </c>
      <c r="M22" s="14">
        <v>8</v>
      </c>
      <c r="N22" s="14"/>
      <c r="O22" s="14">
        <v>0</v>
      </c>
    </row>
    <row r="23" spans="1:15">
      <c r="A23" s="8"/>
      <c r="B23" s="14">
        <v>17</v>
      </c>
      <c r="C23" s="11" t="s">
        <v>2308</v>
      </c>
      <c r="D23" s="11" t="s">
        <v>2309</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2563</v>
      </c>
      <c r="D27" s="11" t="s">
        <v>2562</v>
      </c>
      <c r="E27" s="11" t="s">
        <v>2564</v>
      </c>
      <c r="F27" s="14">
        <v>1</v>
      </c>
      <c r="G27" s="14">
        <v>0</v>
      </c>
      <c r="H27" s="14" t="s">
        <v>2565</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2560</v>
      </c>
      <c r="E56" s="11" t="s">
        <v>2561</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2020</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2021</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1745</v>
      </c>
      <c r="D71" s="11" t="s">
        <v>2022</v>
      </c>
      <c r="E71" s="11" t="s">
        <v>2023</v>
      </c>
      <c r="F71" s="14">
        <v>1</v>
      </c>
      <c r="G71" s="14">
        <v>1</v>
      </c>
      <c r="H71" s="14" t="s">
        <v>1547</v>
      </c>
      <c r="I71" s="23">
        <v>7</v>
      </c>
      <c r="J71" s="14">
        <v>0</v>
      </c>
      <c r="K71" s="14">
        <v>0</v>
      </c>
      <c r="L71" s="14">
        <v>0</v>
      </c>
      <c r="M71" s="14">
        <v>1</v>
      </c>
      <c r="N71" s="14">
        <v>25</v>
      </c>
      <c r="O71" s="14">
        <v>1</v>
      </c>
    </row>
    <row r="72" spans="1:15">
      <c r="A72" s="8"/>
      <c r="B72" s="14">
        <v>250</v>
      </c>
      <c r="C72" s="11" t="s">
        <v>2024</v>
      </c>
      <c r="D72" s="11" t="s">
        <v>2025</v>
      </c>
      <c r="E72" s="11" t="s">
        <v>2026</v>
      </c>
      <c r="F72" s="14">
        <v>1</v>
      </c>
      <c r="G72" s="14">
        <v>1</v>
      </c>
      <c r="H72" s="14" t="s">
        <v>2027</v>
      </c>
      <c r="I72" s="23">
        <v>7</v>
      </c>
      <c r="J72" s="14">
        <v>0</v>
      </c>
      <c r="K72" s="14">
        <v>0</v>
      </c>
      <c r="L72" s="14">
        <v>0</v>
      </c>
      <c r="M72" s="14">
        <v>6</v>
      </c>
      <c r="N72" s="14">
        <v>6</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2028</v>
      </c>
      <c r="D81" s="11" t="s">
        <v>2029</v>
      </c>
      <c r="E81" s="11" t="s">
        <v>2030</v>
      </c>
      <c r="F81" s="14">
        <v>1</v>
      </c>
      <c r="G81" s="14">
        <v>3</v>
      </c>
      <c r="H81" s="14"/>
      <c r="I81" s="23">
        <v>6</v>
      </c>
      <c r="J81" s="14">
        <v>0</v>
      </c>
      <c r="K81" s="14">
        <v>0</v>
      </c>
      <c r="L81" s="14">
        <v>0</v>
      </c>
      <c r="M81" s="14">
        <v>33</v>
      </c>
      <c r="N81" s="14">
        <v>3</v>
      </c>
      <c r="O81" s="14"/>
    </row>
    <row r="82" spans="1:15">
      <c r="A82" s="8"/>
      <c r="B82" s="14">
        <v>260</v>
      </c>
      <c r="C82" s="11" t="s">
        <v>2031</v>
      </c>
      <c r="D82" s="11" t="s">
        <v>2032</v>
      </c>
      <c r="E82" s="11" t="s">
        <v>1916</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2547</v>
      </c>
      <c r="E88" s="11" t="s">
        <v>1002</v>
      </c>
      <c r="F88" s="14">
        <v>1</v>
      </c>
      <c r="G88" s="14">
        <v>1</v>
      </c>
      <c r="H88" s="14"/>
      <c r="I88" s="23">
        <v>4</v>
      </c>
      <c r="J88" s="14">
        <v>3</v>
      </c>
      <c r="K88" s="14">
        <v>0</v>
      </c>
      <c r="L88" s="14">
        <v>0</v>
      </c>
      <c r="M88" s="14">
        <v>4</v>
      </c>
      <c r="N88" s="14">
        <v>8</v>
      </c>
      <c r="O88" s="14">
        <v>1</v>
      </c>
    </row>
    <row r="89" spans="1:15">
      <c r="A89" s="8"/>
      <c r="B89" s="14">
        <v>269</v>
      </c>
      <c r="C89" s="11" t="s">
        <v>2541</v>
      </c>
      <c r="D89" s="11" t="s">
        <v>2539</v>
      </c>
      <c r="E89" s="11" t="s">
        <v>2540</v>
      </c>
      <c r="F89" s="14">
        <v>1</v>
      </c>
      <c r="G89" s="14">
        <v>3</v>
      </c>
      <c r="H89" s="14"/>
      <c r="I89" s="23">
        <v>6</v>
      </c>
      <c r="J89" s="14">
        <v>0</v>
      </c>
      <c r="K89" s="14">
        <v>0</v>
      </c>
      <c r="L89" s="14">
        <v>0</v>
      </c>
      <c r="M89" s="14">
        <v>1</v>
      </c>
      <c r="N89" s="14">
        <v>25</v>
      </c>
      <c r="O89" s="14">
        <v>1</v>
      </c>
    </row>
    <row r="90" spans="1:15">
      <c r="A90" s="8"/>
      <c r="B90" s="14">
        <v>270</v>
      </c>
      <c r="C90" s="11" t="s">
        <v>2546</v>
      </c>
      <c r="D90" s="11" t="s">
        <v>2548</v>
      </c>
      <c r="E90" s="11" t="s">
        <v>2549</v>
      </c>
      <c r="F90" s="14">
        <v>1</v>
      </c>
      <c r="G90" s="14">
        <v>1</v>
      </c>
      <c r="H90" s="14" t="s">
        <v>2550</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2033</v>
      </c>
      <c r="D92" s="11" t="s">
        <v>2034</v>
      </c>
      <c r="E92" s="11" t="s">
        <v>2035</v>
      </c>
      <c r="F92" s="14">
        <v>1</v>
      </c>
      <c r="G92" s="14">
        <v>1</v>
      </c>
      <c r="H92" s="14" t="s">
        <v>2036</v>
      </c>
      <c r="I92" s="23">
        <v>7</v>
      </c>
      <c r="J92" s="14">
        <v>0</v>
      </c>
      <c r="K92" s="14">
        <v>0</v>
      </c>
      <c r="L92" s="14">
        <v>0</v>
      </c>
      <c r="M92" s="14">
        <v>1</v>
      </c>
      <c r="N92" s="14">
        <v>25</v>
      </c>
      <c r="O92" s="14">
        <v>1</v>
      </c>
    </row>
    <row r="93" spans="1:15">
      <c r="A93" s="8"/>
      <c r="B93" s="14">
        <v>273</v>
      </c>
      <c r="C93" s="11" t="s">
        <v>2466</v>
      </c>
      <c r="D93" s="11" t="s">
        <v>2467</v>
      </c>
      <c r="E93" s="11" t="s">
        <v>2468</v>
      </c>
      <c r="F93" s="14">
        <v>1</v>
      </c>
      <c r="G93" s="14">
        <v>1</v>
      </c>
      <c r="H93" s="14" t="s">
        <v>2469</v>
      </c>
      <c r="I93" s="23">
        <v>7</v>
      </c>
      <c r="J93" s="14">
        <v>0</v>
      </c>
      <c r="K93" s="14">
        <v>0</v>
      </c>
      <c r="L93" s="14">
        <v>0</v>
      </c>
      <c r="M93" s="14">
        <v>1</v>
      </c>
      <c r="N93" s="14">
        <v>50</v>
      </c>
      <c r="O93" s="14">
        <v>1</v>
      </c>
    </row>
    <row r="94" spans="1:15">
      <c r="A94" s="8"/>
      <c r="B94" s="14">
        <v>274</v>
      </c>
      <c r="C94" s="11" t="s">
        <v>2554</v>
      </c>
      <c r="D94" s="11" t="s">
        <v>2555</v>
      </c>
      <c r="E94" s="11" t="s">
        <v>2556</v>
      </c>
      <c r="F94" s="14">
        <v>1</v>
      </c>
      <c r="G94" s="14">
        <v>1</v>
      </c>
      <c r="H94" s="14" t="s">
        <v>2557</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1864</v>
      </c>
      <c r="D96" s="11" t="s">
        <v>2037</v>
      </c>
      <c r="E96" s="11" t="s">
        <v>2038</v>
      </c>
      <c r="F96" s="14">
        <v>1</v>
      </c>
      <c r="G96" s="14">
        <v>1</v>
      </c>
      <c r="H96" s="14" t="s">
        <v>2036</v>
      </c>
      <c r="I96" s="23">
        <v>7</v>
      </c>
      <c r="J96" s="14">
        <v>0</v>
      </c>
      <c r="K96" s="14">
        <v>0</v>
      </c>
      <c r="L96" s="14">
        <v>0</v>
      </c>
      <c r="M96" s="14">
        <v>5</v>
      </c>
      <c r="N96" s="14">
        <v>50</v>
      </c>
      <c r="O96" s="14">
        <v>1</v>
      </c>
    </row>
    <row r="97" spans="1:15">
      <c r="A97" s="8"/>
      <c r="B97" s="14">
        <v>282</v>
      </c>
      <c r="C97" s="11" t="s">
        <v>2093</v>
      </c>
      <c r="D97" s="11" t="s">
        <v>2252</v>
      </c>
      <c r="E97" s="11" t="s">
        <v>2252</v>
      </c>
      <c r="F97" s="14">
        <v>2</v>
      </c>
      <c r="G97" s="14">
        <v>1</v>
      </c>
      <c r="H97" s="14" t="s">
        <v>1214</v>
      </c>
      <c r="I97" s="23">
        <v>7</v>
      </c>
      <c r="J97" s="14">
        <v>0</v>
      </c>
      <c r="K97" s="14">
        <v>4</v>
      </c>
      <c r="L97" s="14">
        <v>0</v>
      </c>
      <c r="M97" s="14">
        <v>1</v>
      </c>
      <c r="N97" s="14">
        <v>40</v>
      </c>
      <c r="O97" s="14">
        <v>1</v>
      </c>
    </row>
    <row r="98" spans="1:15">
      <c r="A98" s="8"/>
      <c r="B98" s="14">
        <v>299</v>
      </c>
      <c r="C98" s="11" t="s">
        <v>1691</v>
      </c>
      <c r="D98" s="11" t="s">
        <v>1720</v>
      </c>
      <c r="E98" s="11" t="s">
        <v>1721</v>
      </c>
      <c r="F98" s="14">
        <v>1</v>
      </c>
      <c r="G98" s="14">
        <v>1</v>
      </c>
      <c r="H98" s="14" t="s">
        <v>1722</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2039</v>
      </c>
      <c r="E106" s="11" t="s">
        <v>2040</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2041</v>
      </c>
      <c r="E107" s="11" t="s">
        <v>2042</v>
      </c>
      <c r="F107" s="14">
        <v>0</v>
      </c>
      <c r="G107" s="14">
        <v>0</v>
      </c>
      <c r="H107" s="14" t="s">
        <v>1197</v>
      </c>
      <c r="I107" s="23">
        <v>6</v>
      </c>
      <c r="J107" s="14">
        <v>0</v>
      </c>
      <c r="K107" s="14">
        <v>5</v>
      </c>
      <c r="L107" s="14">
        <v>0</v>
      </c>
      <c r="M107" s="14">
        <v>1</v>
      </c>
      <c r="N107" s="14">
        <v>60</v>
      </c>
      <c r="O107" s="14">
        <v>8</v>
      </c>
    </row>
    <row r="108" spans="1:15">
      <c r="A108" s="8"/>
      <c r="B108" s="14">
        <v>409</v>
      </c>
      <c r="C108" s="11" t="s">
        <v>2043</v>
      </c>
      <c r="D108" s="11" t="s">
        <v>2470</v>
      </c>
      <c r="E108" s="11" t="s">
        <v>2471</v>
      </c>
      <c r="F108" s="14">
        <v>0</v>
      </c>
      <c r="G108" s="14">
        <v>3</v>
      </c>
      <c r="H108" s="14"/>
      <c r="I108" s="23">
        <v>6</v>
      </c>
      <c r="J108" s="14">
        <v>0</v>
      </c>
      <c r="K108" s="14">
        <v>0</v>
      </c>
      <c r="L108" s="14">
        <v>5</v>
      </c>
      <c r="M108" s="14">
        <v>1</v>
      </c>
      <c r="N108" s="14">
        <v>25</v>
      </c>
      <c r="O108" s="14">
        <v>0</v>
      </c>
    </row>
    <row r="109" spans="1:15">
      <c r="A109" s="8"/>
      <c r="B109" s="14">
        <v>410</v>
      </c>
      <c r="C109" s="11" t="s">
        <v>1723</v>
      </c>
      <c r="D109" s="11" t="s">
        <v>2472</v>
      </c>
      <c r="E109" s="11" t="s">
        <v>2473</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2474</v>
      </c>
      <c r="I115" s="23">
        <v>99</v>
      </c>
      <c r="J115" s="14">
        <v>0</v>
      </c>
      <c r="K115" s="14">
        <v>0</v>
      </c>
      <c r="L115" s="14">
        <v>0</v>
      </c>
      <c r="M115" s="14">
        <v>18</v>
      </c>
      <c r="N115" s="14">
        <v>30</v>
      </c>
      <c r="O115" s="14"/>
    </row>
    <row r="116" spans="1:15">
      <c r="A116" s="8"/>
      <c r="B116" s="14">
        <v>507</v>
      </c>
      <c r="C116" s="11" t="s">
        <v>2044</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2045</v>
      </c>
      <c r="D117" s="11" t="s">
        <v>2046</v>
      </c>
      <c r="E117" s="11" t="s">
        <v>2046</v>
      </c>
      <c r="F117" s="14">
        <v>1</v>
      </c>
      <c r="G117" s="14">
        <v>0</v>
      </c>
      <c r="H117" s="14" t="s">
        <v>1664</v>
      </c>
      <c r="I117" s="23">
        <v>99</v>
      </c>
      <c r="J117" s="14">
        <v>0</v>
      </c>
      <c r="K117" s="14">
        <v>0</v>
      </c>
      <c r="L117" s="14">
        <v>0</v>
      </c>
      <c r="M117" s="14">
        <v>18</v>
      </c>
      <c r="N117" s="14">
        <v>15</v>
      </c>
      <c r="O117" s="14"/>
    </row>
    <row r="118" spans="1:15">
      <c r="A118" s="8"/>
      <c r="B118" s="14">
        <v>509</v>
      </c>
      <c r="C118" s="11" t="s">
        <v>2047</v>
      </c>
      <c r="D118" s="11" t="s">
        <v>2048</v>
      </c>
      <c r="E118" s="11" t="s">
        <v>2049</v>
      </c>
      <c r="F118" s="14">
        <v>1</v>
      </c>
      <c r="G118" s="14">
        <v>0</v>
      </c>
      <c r="H118" s="14" t="s">
        <v>2050</v>
      </c>
      <c r="I118" s="23">
        <v>99</v>
      </c>
      <c r="J118" s="14">
        <v>0</v>
      </c>
      <c r="K118" s="14">
        <v>0</v>
      </c>
      <c r="L118" s="14">
        <v>0</v>
      </c>
      <c r="M118" s="14">
        <v>17</v>
      </c>
      <c r="N118" s="14">
        <v>25</v>
      </c>
      <c r="O118" s="14"/>
    </row>
    <row r="119" spans="1:15">
      <c r="A119" s="8"/>
      <c r="B119" s="14">
        <v>510</v>
      </c>
      <c r="C119" s="11" t="s">
        <v>2566</v>
      </c>
      <c r="D119" s="11" t="s">
        <v>1738</v>
      </c>
      <c r="E119" s="11" t="s">
        <v>1738</v>
      </c>
      <c r="F119" s="14">
        <v>99</v>
      </c>
      <c r="G119" s="14">
        <v>0</v>
      </c>
      <c r="H119" s="14"/>
      <c r="I119" s="23">
        <v>99</v>
      </c>
      <c r="J119" s="14">
        <v>0</v>
      </c>
      <c r="K119" s="14">
        <v>0</v>
      </c>
      <c r="L119" s="14">
        <v>0</v>
      </c>
      <c r="M119" s="14">
        <v>0</v>
      </c>
      <c r="N119" s="14">
        <v>1</v>
      </c>
      <c r="O119" s="14"/>
    </row>
    <row r="120" spans="1:15">
      <c r="A120" s="8"/>
      <c r="B120" s="14">
        <v>511</v>
      </c>
      <c r="C120" s="11" t="s">
        <v>2934</v>
      </c>
      <c r="D120" s="11" t="s">
        <v>2253</v>
      </c>
      <c r="E120" s="11" t="s">
        <v>2254</v>
      </c>
      <c r="F120" s="14">
        <v>99</v>
      </c>
      <c r="G120" s="14">
        <v>0</v>
      </c>
      <c r="H120" s="14" t="s">
        <v>2255</v>
      </c>
      <c r="I120" s="23">
        <v>6</v>
      </c>
      <c r="J120" s="14">
        <v>0</v>
      </c>
      <c r="K120" s="14">
        <v>0</v>
      </c>
      <c r="L120" s="14">
        <v>0</v>
      </c>
      <c r="M120" s="14">
        <v>1</v>
      </c>
      <c r="N120" s="14">
        <v>100</v>
      </c>
      <c r="O120" s="14"/>
    </row>
    <row r="121" spans="1:15">
      <c r="A121" s="8"/>
      <c r="B121" s="14">
        <v>512</v>
      </c>
      <c r="C121" s="11" t="s">
        <v>2475</v>
      </c>
      <c r="D121" s="11" t="s">
        <v>2476</v>
      </c>
      <c r="E121" s="11" t="s">
        <v>2477</v>
      </c>
      <c r="F121" s="14">
        <v>99</v>
      </c>
      <c r="G121" s="14">
        <v>0</v>
      </c>
      <c r="H121" s="14" t="s">
        <v>2255</v>
      </c>
      <c r="I121" s="23">
        <v>7</v>
      </c>
      <c r="J121" s="14">
        <v>0</v>
      </c>
      <c r="K121" s="14">
        <v>0</v>
      </c>
      <c r="L121" s="14">
        <v>0</v>
      </c>
      <c r="M121" s="14">
        <v>1</v>
      </c>
      <c r="N121" s="14">
        <v>75</v>
      </c>
      <c r="O121" s="14"/>
    </row>
    <row r="122" spans="1:15">
      <c r="A122" s="8"/>
      <c r="B122" s="14">
        <v>513</v>
      </c>
      <c r="C122" s="11" t="s">
        <v>2478</v>
      </c>
      <c r="D122" s="11" t="s">
        <v>2479</v>
      </c>
      <c r="E122" s="11" t="s">
        <v>2480</v>
      </c>
      <c r="F122" s="14">
        <v>99</v>
      </c>
      <c r="G122" s="14">
        <v>0</v>
      </c>
      <c r="H122" s="14" t="s">
        <v>1165</v>
      </c>
      <c r="I122" s="23">
        <v>99</v>
      </c>
      <c r="J122" s="14">
        <v>0</v>
      </c>
      <c r="K122" s="14">
        <v>0</v>
      </c>
      <c r="L122" s="14">
        <v>0</v>
      </c>
      <c r="M122" s="14">
        <v>17</v>
      </c>
      <c r="N122" s="14">
        <v>25</v>
      </c>
      <c r="O122" s="14"/>
    </row>
    <row r="123" spans="1:15">
      <c r="A123" s="8"/>
      <c r="B123" s="14">
        <v>514</v>
      </c>
      <c r="C123" s="11" t="s">
        <v>2481</v>
      </c>
      <c r="D123" s="11" t="s">
        <v>2482</v>
      </c>
      <c r="E123" s="11" t="s">
        <v>2483</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2484</v>
      </c>
      <c r="D126" s="11" t="s">
        <v>1675</v>
      </c>
      <c r="E126" s="11" t="s">
        <v>1676</v>
      </c>
      <c r="F126" s="14">
        <v>99</v>
      </c>
      <c r="G126" s="14">
        <v>0</v>
      </c>
      <c r="H126" s="14"/>
      <c r="I126" s="23">
        <v>6</v>
      </c>
      <c r="J126" s="14">
        <v>0</v>
      </c>
      <c r="K126" s="14">
        <v>0</v>
      </c>
      <c r="L126" s="14">
        <v>0</v>
      </c>
      <c r="M126" s="14">
        <v>27</v>
      </c>
      <c r="N126" s="14">
        <v>15</v>
      </c>
      <c r="O126" s="14"/>
    </row>
    <row r="127" spans="1:15">
      <c r="A127" s="8"/>
      <c r="B127" s="14">
        <v>604</v>
      </c>
      <c r="C127" s="11" t="s">
        <v>2051</v>
      </c>
      <c r="D127" s="11" t="s">
        <v>2052</v>
      </c>
      <c r="E127" s="11" t="s">
        <v>2052</v>
      </c>
      <c r="F127" s="14">
        <v>99</v>
      </c>
      <c r="G127" s="14">
        <v>1</v>
      </c>
      <c r="H127" s="14"/>
      <c r="I127" s="23">
        <v>7</v>
      </c>
      <c r="J127" s="14">
        <v>0</v>
      </c>
      <c r="K127" s="14">
        <v>0</v>
      </c>
      <c r="L127" s="14">
        <v>0</v>
      </c>
      <c r="M127" s="14">
        <v>3</v>
      </c>
      <c r="N127" s="14">
        <v>100</v>
      </c>
      <c r="O127" s="14"/>
    </row>
    <row r="128" spans="1:15">
      <c r="A128" s="8"/>
      <c r="B128" s="14">
        <v>605</v>
      </c>
      <c r="C128" s="11" t="s">
        <v>2310</v>
      </c>
      <c r="D128" s="11" t="s">
        <v>2311</v>
      </c>
      <c r="E128" s="11" t="s">
        <v>2312</v>
      </c>
      <c r="F128" s="14">
        <v>99</v>
      </c>
      <c r="G128" s="14">
        <v>3</v>
      </c>
      <c r="H128" s="14" t="s">
        <v>2313</v>
      </c>
      <c r="I128" s="23">
        <v>6</v>
      </c>
      <c r="J128" s="14">
        <v>0</v>
      </c>
      <c r="K128" s="14">
        <v>0</v>
      </c>
      <c r="L128" s="14">
        <v>0</v>
      </c>
      <c r="M128" s="14">
        <v>1</v>
      </c>
      <c r="N128" s="14">
        <v>100</v>
      </c>
      <c r="O128" s="14"/>
    </row>
    <row r="129" spans="1:15">
      <c r="A129" s="8"/>
      <c r="B129" s="14">
        <v>606</v>
      </c>
      <c r="C129" s="11" t="s">
        <v>2485</v>
      </c>
      <c r="D129" s="11" t="s">
        <v>2486</v>
      </c>
      <c r="E129" s="11" t="s">
        <v>2487</v>
      </c>
      <c r="F129" s="14">
        <v>99</v>
      </c>
      <c r="G129" s="14">
        <v>0</v>
      </c>
      <c r="H129" s="14" t="s">
        <v>1208</v>
      </c>
      <c r="I129" s="23">
        <v>6</v>
      </c>
      <c r="J129" s="14">
        <v>0</v>
      </c>
      <c r="K129" s="14">
        <v>0</v>
      </c>
      <c r="L129" s="14">
        <v>0</v>
      </c>
      <c r="M129" s="14">
        <v>27</v>
      </c>
      <c r="N129" s="14">
        <v>15</v>
      </c>
      <c r="O129" s="14"/>
    </row>
    <row r="130" spans="1:15">
      <c r="A130" s="8"/>
      <c r="B130" s="14">
        <v>607</v>
      </c>
      <c r="C130" s="11" t="s">
        <v>2536</v>
      </c>
      <c r="D130" s="11" t="s">
        <v>2537</v>
      </c>
      <c r="E130" s="11" t="s">
        <v>2538</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2053</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2469</v>
      </c>
      <c r="D139" s="11" t="s">
        <v>2488</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1687</v>
      </c>
      <c r="D141" s="11" t="s">
        <v>1725</v>
      </c>
      <c r="E141" s="11" t="s">
        <v>593</v>
      </c>
      <c r="F141" s="14">
        <v>0</v>
      </c>
      <c r="G141" s="14">
        <v>3</v>
      </c>
      <c r="H141" s="14"/>
      <c r="I141" s="23">
        <v>6</v>
      </c>
      <c r="J141" s="14">
        <v>0</v>
      </c>
      <c r="K141" s="14">
        <v>0</v>
      </c>
      <c r="L141" s="14">
        <v>0</v>
      </c>
      <c r="M141" s="14">
        <v>12</v>
      </c>
      <c r="N141" s="14">
        <v>1</v>
      </c>
      <c r="O141" s="14"/>
    </row>
    <row r="142" spans="1:15">
      <c r="A142" s="8"/>
      <c r="B142" s="14">
        <v>1017</v>
      </c>
      <c r="C142" s="11" t="s">
        <v>2054</v>
      </c>
      <c r="D142" s="11" t="s">
        <v>2055</v>
      </c>
      <c r="E142" s="11" t="s">
        <v>593</v>
      </c>
      <c r="F142" s="14">
        <v>0</v>
      </c>
      <c r="G142" s="14">
        <v>3</v>
      </c>
      <c r="H142" s="14"/>
      <c r="I142" s="23">
        <v>8</v>
      </c>
      <c r="J142" s="14">
        <v>0</v>
      </c>
      <c r="K142" s="14">
        <v>0</v>
      </c>
      <c r="L142" s="14">
        <v>0</v>
      </c>
      <c r="M142" s="14">
        <v>12</v>
      </c>
      <c r="N142" s="14">
        <v>2</v>
      </c>
      <c r="O142" s="14"/>
    </row>
    <row r="143" spans="1:15">
      <c r="A143" s="8"/>
      <c r="B143" s="14">
        <v>1018</v>
      </c>
      <c r="C143" s="11" t="s">
        <v>2056</v>
      </c>
      <c r="D143" s="11" t="s">
        <v>2057</v>
      </c>
      <c r="E143" s="11" t="s">
        <v>593</v>
      </c>
      <c r="F143" s="14">
        <v>0</v>
      </c>
      <c r="G143" s="14">
        <v>3</v>
      </c>
      <c r="H143" s="14"/>
      <c r="I143" s="23">
        <v>7</v>
      </c>
      <c r="J143" s="14">
        <v>0</v>
      </c>
      <c r="K143" s="14">
        <v>0</v>
      </c>
      <c r="L143" s="14">
        <v>0</v>
      </c>
      <c r="M143" s="14">
        <v>51</v>
      </c>
      <c r="N143" s="14"/>
      <c r="O143" s="14">
        <v>5</v>
      </c>
    </row>
    <row r="144" spans="1:15">
      <c r="A144" s="8"/>
      <c r="B144" s="14">
        <v>1022</v>
      </c>
      <c r="C144" s="11" t="s">
        <v>2261</v>
      </c>
      <c r="D144" s="11" t="s">
        <v>2262</v>
      </c>
      <c r="E144" s="11" t="s">
        <v>593</v>
      </c>
      <c r="F144" s="14">
        <v>0</v>
      </c>
      <c r="G144" s="14">
        <v>2</v>
      </c>
      <c r="H144" s="14"/>
      <c r="I144" s="23">
        <v>4</v>
      </c>
      <c r="J144" s="14">
        <v>0</v>
      </c>
      <c r="K144" s="14">
        <v>0</v>
      </c>
      <c r="L144" s="14">
        <v>0</v>
      </c>
      <c r="M144" s="14">
        <v>12</v>
      </c>
      <c r="N144" s="14">
        <v>1</v>
      </c>
      <c r="O144" s="14"/>
    </row>
    <row r="145" spans="1:15">
      <c r="A145" s="8"/>
      <c r="B145" s="14">
        <v>1023</v>
      </c>
      <c r="C145" s="11" t="s">
        <v>2510</v>
      </c>
      <c r="D145" s="11" t="s">
        <v>2511</v>
      </c>
      <c r="E145" s="11"/>
      <c r="F145" s="14">
        <v>1</v>
      </c>
      <c r="G145" s="14">
        <v>3</v>
      </c>
      <c r="H145" s="14" t="s">
        <v>2512</v>
      </c>
      <c r="I145" s="23">
        <v>6</v>
      </c>
      <c r="J145" s="14">
        <v>0</v>
      </c>
      <c r="K145" s="14">
        <v>0</v>
      </c>
      <c r="L145" s="14">
        <v>0</v>
      </c>
      <c r="M145" s="14">
        <v>12</v>
      </c>
      <c r="N145" s="14">
        <v>5</v>
      </c>
      <c r="O145" s="14"/>
    </row>
    <row r="146" spans="1:15">
      <c r="A146" s="8"/>
      <c r="B146" s="14">
        <v>1101</v>
      </c>
      <c r="C146" s="11" t="s">
        <v>1204</v>
      </c>
      <c r="D146" s="11" t="s">
        <v>2263</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1726</v>
      </c>
      <c r="E165" s="11" t="s">
        <v>593</v>
      </c>
      <c r="F165" s="14">
        <v>1</v>
      </c>
      <c r="G165" s="14">
        <v>3</v>
      </c>
      <c r="H165" s="14" t="s">
        <v>1727</v>
      </c>
      <c r="I165" s="23">
        <v>6</v>
      </c>
      <c r="J165" s="14">
        <v>0</v>
      </c>
      <c r="K165" s="14">
        <v>0</v>
      </c>
      <c r="L165" s="14">
        <v>0</v>
      </c>
      <c r="M165" s="14">
        <v>0</v>
      </c>
      <c r="N165" s="14">
        <v>0</v>
      </c>
      <c r="O165" s="14"/>
    </row>
    <row r="166" spans="1:15">
      <c r="A166" s="8"/>
      <c r="B166" s="14">
        <v>1131</v>
      </c>
      <c r="C166" s="11" t="s">
        <v>1705</v>
      </c>
      <c r="D166" s="11" t="s">
        <v>1728</v>
      </c>
      <c r="E166" s="11" t="s">
        <v>593</v>
      </c>
      <c r="F166" s="14">
        <v>1</v>
      </c>
      <c r="G166" s="14">
        <v>3</v>
      </c>
      <c r="H166" s="14" t="s">
        <v>1729</v>
      </c>
      <c r="I166" s="23">
        <v>4</v>
      </c>
      <c r="J166" s="14">
        <v>0</v>
      </c>
      <c r="K166" s="14">
        <v>0</v>
      </c>
      <c r="L166" s="14">
        <v>0</v>
      </c>
      <c r="M166" s="14">
        <v>14</v>
      </c>
      <c r="N166" s="14">
        <v>5</v>
      </c>
      <c r="O166" s="14"/>
    </row>
    <row r="167" spans="1:15">
      <c r="A167" s="8"/>
      <c r="B167" s="14">
        <v>1132</v>
      </c>
      <c r="C167" s="11" t="s">
        <v>2058</v>
      </c>
      <c r="D167" s="11" t="s">
        <v>2059</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2060</v>
      </c>
      <c r="D168" s="11" t="s">
        <v>2061</v>
      </c>
      <c r="E168" s="11" t="s">
        <v>593</v>
      </c>
      <c r="F168" s="14">
        <v>1</v>
      </c>
      <c r="G168" s="14">
        <v>3</v>
      </c>
      <c r="H168" s="14" t="s">
        <v>1875</v>
      </c>
      <c r="I168" s="23">
        <v>4</v>
      </c>
      <c r="J168" s="14">
        <v>0</v>
      </c>
      <c r="K168" s="14">
        <v>0</v>
      </c>
      <c r="L168" s="14">
        <v>0</v>
      </c>
      <c r="M168" s="14">
        <v>12</v>
      </c>
      <c r="N168" s="14">
        <v>2</v>
      </c>
      <c r="O168" s="14"/>
    </row>
    <row r="169" spans="1:15">
      <c r="A169" s="8"/>
      <c r="B169" s="14">
        <v>1134</v>
      </c>
      <c r="C169" s="11" t="s">
        <v>1850</v>
      </c>
      <c r="D169" s="11" t="s">
        <v>2062</v>
      </c>
      <c r="E169" s="11" t="s">
        <v>593</v>
      </c>
      <c r="F169" s="14">
        <v>1</v>
      </c>
      <c r="G169" s="14">
        <v>2</v>
      </c>
      <c r="H169" s="14"/>
      <c r="I169" s="23">
        <v>4</v>
      </c>
      <c r="J169" s="14">
        <v>0</v>
      </c>
      <c r="K169" s="14">
        <v>0</v>
      </c>
      <c r="L169" s="14">
        <v>0</v>
      </c>
      <c r="M169" s="14">
        <v>13</v>
      </c>
      <c r="N169" s="14">
        <v>5</v>
      </c>
      <c r="O169" s="14"/>
    </row>
    <row r="170" spans="1:15">
      <c r="A170" s="8"/>
      <c r="B170" s="14">
        <v>1135</v>
      </c>
      <c r="C170" s="11" t="s">
        <v>2063</v>
      </c>
      <c r="D170" s="11" t="s">
        <v>2064</v>
      </c>
      <c r="E170" s="11" t="s">
        <v>593</v>
      </c>
      <c r="F170" s="14">
        <v>1</v>
      </c>
      <c r="G170" s="14">
        <v>3</v>
      </c>
      <c r="H170" s="14" t="s">
        <v>2065</v>
      </c>
      <c r="I170" s="23">
        <v>7</v>
      </c>
      <c r="J170" s="14">
        <v>0</v>
      </c>
      <c r="K170" s="14">
        <v>0</v>
      </c>
      <c r="L170" s="14">
        <v>0</v>
      </c>
      <c r="M170" s="14">
        <v>12</v>
      </c>
      <c r="N170" s="14">
        <v>1</v>
      </c>
      <c r="O170" s="14"/>
    </row>
    <row r="171" spans="1:15">
      <c r="A171" s="8"/>
      <c r="B171" s="14">
        <v>1136</v>
      </c>
      <c r="C171" s="11" t="s">
        <v>2264</v>
      </c>
      <c r="D171" s="11" t="s">
        <v>2066</v>
      </c>
      <c r="E171" s="11" t="s">
        <v>593</v>
      </c>
      <c r="F171" s="14">
        <v>1</v>
      </c>
      <c r="G171" s="14">
        <v>3</v>
      </c>
      <c r="H171" s="14" t="s">
        <v>2265</v>
      </c>
      <c r="I171" s="23">
        <v>6</v>
      </c>
      <c r="J171" s="14">
        <v>0</v>
      </c>
      <c r="K171" s="14">
        <v>0</v>
      </c>
      <c r="L171" s="14">
        <v>0</v>
      </c>
      <c r="M171" s="14">
        <v>12</v>
      </c>
      <c r="N171" s="14">
        <v>1</v>
      </c>
      <c r="O171" s="14"/>
    </row>
    <row r="172" spans="1:15">
      <c r="A172" s="8"/>
      <c r="B172" s="14">
        <v>1137</v>
      </c>
      <c r="C172" s="11" t="s">
        <v>2067</v>
      </c>
      <c r="D172" s="11" t="s">
        <v>2551</v>
      </c>
      <c r="E172" s="11" t="s">
        <v>593</v>
      </c>
      <c r="F172" s="14">
        <v>1</v>
      </c>
      <c r="G172" s="14">
        <v>3</v>
      </c>
      <c r="H172" s="14"/>
      <c r="I172" s="23">
        <v>7</v>
      </c>
      <c r="J172" s="14">
        <v>0</v>
      </c>
      <c r="K172" s="14">
        <v>0</v>
      </c>
      <c r="L172" s="14">
        <v>0</v>
      </c>
      <c r="M172" s="14">
        <v>52</v>
      </c>
      <c r="N172" s="14">
        <v>5</v>
      </c>
      <c r="O172" s="14"/>
    </row>
    <row r="173" spans="1:15">
      <c r="A173" s="8"/>
      <c r="B173" s="14">
        <v>1138</v>
      </c>
      <c r="C173" s="11" t="s">
        <v>2068</v>
      </c>
      <c r="D173" s="11" t="s">
        <v>2069</v>
      </c>
      <c r="E173" s="11" t="s">
        <v>593</v>
      </c>
      <c r="F173" s="14">
        <v>1</v>
      </c>
      <c r="G173" s="14">
        <v>3</v>
      </c>
      <c r="H173" s="14" t="s">
        <v>2266</v>
      </c>
      <c r="I173" s="23">
        <v>6</v>
      </c>
      <c r="J173" s="14">
        <v>0</v>
      </c>
      <c r="K173" s="14">
        <v>0</v>
      </c>
      <c r="L173" s="14">
        <v>0</v>
      </c>
      <c r="M173" s="14">
        <v>12</v>
      </c>
      <c r="N173" s="14">
        <v>5</v>
      </c>
      <c r="O173" s="14"/>
    </row>
    <row r="174" spans="1:15">
      <c r="A174" s="8"/>
      <c r="B174" s="14">
        <v>1139</v>
      </c>
      <c r="C174" s="11" t="s">
        <v>2267</v>
      </c>
      <c r="D174" s="11" t="s">
        <v>2268</v>
      </c>
      <c r="E174" s="11" t="s">
        <v>593</v>
      </c>
      <c r="F174" s="14">
        <v>1</v>
      </c>
      <c r="G174" s="14">
        <v>3</v>
      </c>
      <c r="H174" s="14"/>
      <c r="I174" s="23">
        <v>7</v>
      </c>
      <c r="J174" s="14">
        <v>0</v>
      </c>
      <c r="K174" s="14">
        <v>0</v>
      </c>
      <c r="L174" s="14">
        <v>0</v>
      </c>
      <c r="M174" s="14">
        <v>30</v>
      </c>
      <c r="N174" s="14">
        <v>1</v>
      </c>
      <c r="O174" s="14"/>
    </row>
    <row r="175" spans="1:15">
      <c r="A175" s="8"/>
      <c r="B175" s="14">
        <v>1140</v>
      </c>
      <c r="C175" s="11" t="s">
        <v>2269</v>
      </c>
      <c r="D175" s="11" t="s">
        <v>2270</v>
      </c>
      <c r="E175" s="11" t="s">
        <v>593</v>
      </c>
      <c r="F175" s="14">
        <v>1</v>
      </c>
      <c r="G175" s="14">
        <v>3</v>
      </c>
      <c r="H175" s="14" t="s">
        <v>2271</v>
      </c>
      <c r="I175" s="23">
        <v>6</v>
      </c>
      <c r="J175" s="14">
        <v>0</v>
      </c>
      <c r="K175" s="14">
        <v>0</v>
      </c>
      <c r="L175" s="14">
        <v>0</v>
      </c>
      <c r="M175" s="14">
        <v>12</v>
      </c>
      <c r="N175" s="14">
        <v>1</v>
      </c>
      <c r="O175" s="14"/>
    </row>
    <row r="176" spans="1:15">
      <c r="A176" s="8"/>
      <c r="B176" s="14">
        <v>1141</v>
      </c>
      <c r="C176" s="11" t="s">
        <v>2272</v>
      </c>
      <c r="D176" s="11" t="s">
        <v>2273</v>
      </c>
      <c r="E176" s="11" t="s">
        <v>593</v>
      </c>
      <c r="F176" s="14">
        <v>1</v>
      </c>
      <c r="G176" s="14">
        <v>2</v>
      </c>
      <c r="H176" s="14"/>
      <c r="I176" s="23">
        <v>99</v>
      </c>
      <c r="J176" s="14">
        <v>0</v>
      </c>
      <c r="K176" s="14">
        <v>0</v>
      </c>
      <c r="L176" s="14">
        <v>0</v>
      </c>
      <c r="M176" s="14">
        <v>14</v>
      </c>
      <c r="N176" s="14">
        <v>5</v>
      </c>
      <c r="O176" s="14"/>
    </row>
    <row r="177" spans="1:15">
      <c r="A177" s="8"/>
      <c r="B177" s="14">
        <v>1142</v>
      </c>
      <c r="C177" s="11" t="s">
        <v>2316</v>
      </c>
      <c r="D177" s="11" t="s">
        <v>2317</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2489</v>
      </c>
      <c r="D178" s="11" t="s">
        <v>2490</v>
      </c>
      <c r="E178" s="11" t="s">
        <v>593</v>
      </c>
      <c r="F178" s="14">
        <v>1</v>
      </c>
      <c r="G178" s="14">
        <v>3</v>
      </c>
      <c r="H178" s="14" t="s">
        <v>2491</v>
      </c>
      <c r="I178" s="23">
        <v>6</v>
      </c>
      <c r="J178" s="14">
        <v>0</v>
      </c>
      <c r="K178" s="14">
        <v>0</v>
      </c>
      <c r="L178" s="14">
        <v>0</v>
      </c>
      <c r="M178" s="14">
        <v>13</v>
      </c>
      <c r="N178" s="14">
        <v>7</v>
      </c>
      <c r="O178" s="14"/>
    </row>
    <row r="179" spans="1:15">
      <c r="A179" s="8"/>
      <c r="B179" s="14">
        <v>1144</v>
      </c>
      <c r="C179" s="11" t="s">
        <v>2534</v>
      </c>
      <c r="D179" s="11" t="s">
        <v>2535</v>
      </c>
      <c r="E179" s="11" t="s">
        <v>593</v>
      </c>
      <c r="F179" s="14">
        <v>1</v>
      </c>
      <c r="G179" s="14">
        <v>3</v>
      </c>
      <c r="H179" s="14"/>
      <c r="I179" s="23">
        <v>8</v>
      </c>
      <c r="J179" s="14">
        <v>0</v>
      </c>
      <c r="K179" s="14">
        <v>0</v>
      </c>
      <c r="L179" s="14">
        <v>0</v>
      </c>
      <c r="M179" s="14">
        <v>12</v>
      </c>
      <c r="N179" s="14">
        <v>1</v>
      </c>
      <c r="O179" s="14"/>
    </row>
    <row r="180" spans="1:15">
      <c r="A180" s="8"/>
      <c r="B180" s="14">
        <v>1145</v>
      </c>
      <c r="C180" s="11" t="s">
        <v>2552</v>
      </c>
      <c r="D180" s="11" t="s">
        <v>2553</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2274</v>
      </c>
      <c r="D184" s="11" t="s">
        <v>2275</v>
      </c>
      <c r="E184" s="11" t="s">
        <v>593</v>
      </c>
      <c r="F184" s="14">
        <v>1</v>
      </c>
      <c r="G184" s="14">
        <v>3</v>
      </c>
      <c r="H184" s="14" t="s">
        <v>2276</v>
      </c>
      <c r="I184" s="23">
        <v>7</v>
      </c>
      <c r="J184" s="14">
        <v>0</v>
      </c>
      <c r="K184" s="14">
        <v>0</v>
      </c>
      <c r="L184" s="14">
        <v>0</v>
      </c>
      <c r="M184" s="14">
        <v>12</v>
      </c>
      <c r="N184" s="14">
        <v>1</v>
      </c>
      <c r="O184" s="14"/>
    </row>
    <row r="185" spans="1:15">
      <c r="A185" s="8"/>
      <c r="B185" s="14">
        <v>1207</v>
      </c>
      <c r="C185" s="11" t="s">
        <v>2277</v>
      </c>
      <c r="D185" s="11" t="s">
        <v>2278</v>
      </c>
      <c r="E185" s="11" t="s">
        <v>593</v>
      </c>
      <c r="F185" s="14">
        <v>1</v>
      </c>
      <c r="G185" s="14">
        <v>3</v>
      </c>
      <c r="H185" s="14" t="s">
        <v>2279</v>
      </c>
      <c r="I185" s="23">
        <v>99</v>
      </c>
      <c r="J185" s="14">
        <v>0</v>
      </c>
      <c r="K185" s="14">
        <v>0</v>
      </c>
      <c r="L185" s="14">
        <v>0</v>
      </c>
      <c r="M185" s="14">
        <v>14</v>
      </c>
      <c r="N185" s="14">
        <v>50</v>
      </c>
      <c r="O185" s="14"/>
    </row>
    <row r="186" spans="1:15">
      <c r="A186" s="8"/>
      <c r="B186" s="14">
        <v>1208</v>
      </c>
      <c r="C186" s="11" t="s">
        <v>2280</v>
      </c>
      <c r="D186" s="11" t="s">
        <v>2281</v>
      </c>
      <c r="E186" s="11" t="s">
        <v>593</v>
      </c>
      <c r="F186" s="14">
        <v>1</v>
      </c>
      <c r="G186" s="14">
        <v>3</v>
      </c>
      <c r="H186" s="14" t="s">
        <v>2282</v>
      </c>
      <c r="I186" s="23">
        <v>6</v>
      </c>
      <c r="J186" s="14">
        <v>0</v>
      </c>
      <c r="K186" s="14">
        <v>0</v>
      </c>
      <c r="L186" s="14">
        <v>0</v>
      </c>
      <c r="M186" s="14">
        <v>12</v>
      </c>
      <c r="N186" s="14">
        <v>1</v>
      </c>
      <c r="O186" s="14"/>
    </row>
    <row r="187" spans="1:15">
      <c r="A187" s="8"/>
      <c r="B187" s="14">
        <v>1209</v>
      </c>
      <c r="C187" s="11" t="s">
        <v>2283</v>
      </c>
      <c r="D187" s="11" t="s">
        <v>2284</v>
      </c>
      <c r="E187" s="11" t="s">
        <v>593</v>
      </c>
      <c r="F187" s="14">
        <v>1</v>
      </c>
      <c r="G187" s="14">
        <v>3</v>
      </c>
      <c r="H187" s="14" t="s">
        <v>2285</v>
      </c>
      <c r="I187" s="23">
        <v>99</v>
      </c>
      <c r="J187" s="14">
        <v>0</v>
      </c>
      <c r="K187" s="14">
        <v>0</v>
      </c>
      <c r="L187" s="14">
        <v>0</v>
      </c>
      <c r="M187" s="14">
        <v>14</v>
      </c>
      <c r="N187" s="14">
        <v>100</v>
      </c>
      <c r="O187" s="14"/>
    </row>
    <row r="188" spans="1:15">
      <c r="A188" s="8"/>
      <c r="B188" s="14">
        <v>1210</v>
      </c>
      <c r="C188" s="11" t="s">
        <v>2324</v>
      </c>
      <c r="D188" s="11" t="s">
        <v>2325</v>
      </c>
      <c r="E188" s="11" t="s">
        <v>593</v>
      </c>
      <c r="F188" s="14">
        <v>1</v>
      </c>
      <c r="G188" s="14">
        <v>0</v>
      </c>
      <c r="H188" s="14" t="s">
        <v>2326</v>
      </c>
      <c r="I188" s="23">
        <v>4</v>
      </c>
      <c r="J188" s="14">
        <v>0</v>
      </c>
      <c r="K188" s="14">
        <v>0</v>
      </c>
      <c r="L188" s="14">
        <v>0</v>
      </c>
      <c r="M188" s="14">
        <v>12</v>
      </c>
      <c r="N188" s="14">
        <v>5</v>
      </c>
      <c r="O188" s="14"/>
    </row>
    <row r="189" spans="1:15">
      <c r="A189" s="8"/>
      <c r="B189" s="14">
        <v>1211</v>
      </c>
      <c r="C189" s="11" t="s">
        <v>2542</v>
      </c>
      <c r="D189" s="11" t="s">
        <v>2543</v>
      </c>
      <c r="E189" s="11" t="s">
        <v>593</v>
      </c>
      <c r="F189" s="14">
        <v>1</v>
      </c>
      <c r="G189" s="14">
        <v>1</v>
      </c>
      <c r="H189" s="14"/>
      <c r="I189" s="23">
        <v>4</v>
      </c>
      <c r="J189" s="14">
        <v>0</v>
      </c>
      <c r="K189" s="14">
        <v>0</v>
      </c>
      <c r="L189" s="14">
        <v>0</v>
      </c>
      <c r="M189" s="14">
        <v>14</v>
      </c>
      <c r="N189" s="14">
        <v>10</v>
      </c>
      <c r="O189" s="14"/>
    </row>
    <row r="190" spans="1:15">
      <c r="A190" s="8"/>
      <c r="B190" s="14">
        <v>1302</v>
      </c>
      <c r="C190" s="11" t="s">
        <v>1730</v>
      </c>
      <c r="D190" s="11" t="s">
        <v>2286</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2287</v>
      </c>
      <c r="D191" s="11" t="s">
        <v>2070</v>
      </c>
      <c r="E191" s="11" t="s">
        <v>593</v>
      </c>
      <c r="F191" s="14">
        <v>4</v>
      </c>
      <c r="G191" s="14">
        <v>1</v>
      </c>
      <c r="H191" s="14"/>
      <c r="I191" s="23">
        <v>7</v>
      </c>
      <c r="J191" s="14">
        <v>0</v>
      </c>
      <c r="K191" s="14">
        <v>0</v>
      </c>
      <c r="L191" s="14">
        <v>0</v>
      </c>
      <c r="M191" s="14">
        <v>30</v>
      </c>
      <c r="N191" s="14">
        <v>2</v>
      </c>
      <c r="O191" s="14"/>
    </row>
    <row r="192" spans="1:15">
      <c r="A192" s="8"/>
      <c r="B192" s="14">
        <v>1402</v>
      </c>
      <c r="C192" s="11" t="s">
        <v>2071</v>
      </c>
      <c r="D192" s="11" t="s">
        <v>2288</v>
      </c>
      <c r="E192" s="11" t="s">
        <v>593</v>
      </c>
      <c r="F192" s="14">
        <v>5</v>
      </c>
      <c r="G192" s="14">
        <v>3</v>
      </c>
      <c r="H192" s="14"/>
      <c r="I192" s="23">
        <v>7</v>
      </c>
      <c r="J192" s="14">
        <v>0</v>
      </c>
      <c r="K192" s="14">
        <v>0</v>
      </c>
      <c r="L192" s="14">
        <v>0</v>
      </c>
      <c r="M192" s="14">
        <v>9</v>
      </c>
      <c r="N192" s="14">
        <v>5</v>
      </c>
      <c r="O192" s="14"/>
    </row>
    <row r="193" spans="1:15">
      <c r="A193" s="8"/>
      <c r="B193" s="14">
        <v>1403</v>
      </c>
      <c r="C193" s="11" t="s">
        <v>2492</v>
      </c>
      <c r="D193" s="11" t="s">
        <v>2493</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2289</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2290</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1731</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1732</v>
      </c>
      <c r="D209" s="11" t="s">
        <v>1733</v>
      </c>
      <c r="E209" s="11" t="s">
        <v>593</v>
      </c>
      <c r="F209" s="14">
        <v>99</v>
      </c>
      <c r="G209" s="14">
        <v>3</v>
      </c>
      <c r="H209" s="14"/>
      <c r="I209" s="23">
        <v>7</v>
      </c>
      <c r="J209" s="14">
        <v>0</v>
      </c>
      <c r="K209" s="14">
        <v>0</v>
      </c>
      <c r="L209" s="14">
        <v>0</v>
      </c>
      <c r="M209" s="14">
        <v>0</v>
      </c>
      <c r="N209" s="14">
        <v>1</v>
      </c>
      <c r="O209" s="14"/>
    </row>
    <row r="210" spans="1:15">
      <c r="A210" s="8"/>
      <c r="B210" s="14">
        <v>1517</v>
      </c>
      <c r="C210" s="11" t="s">
        <v>1734</v>
      </c>
      <c r="D210" s="11" t="s">
        <v>1733</v>
      </c>
      <c r="E210" s="11" t="s">
        <v>593</v>
      </c>
      <c r="F210" s="14">
        <v>99</v>
      </c>
      <c r="G210" s="14">
        <v>3</v>
      </c>
      <c r="H210" s="14"/>
      <c r="I210" s="23">
        <v>7</v>
      </c>
      <c r="J210" s="14">
        <v>0</v>
      </c>
      <c r="K210" s="14">
        <v>0</v>
      </c>
      <c r="L210" s="14">
        <v>0</v>
      </c>
      <c r="M210" s="14">
        <v>0</v>
      </c>
      <c r="N210" s="14">
        <v>1</v>
      </c>
      <c r="O210" s="14"/>
    </row>
    <row r="211" spans="1:15">
      <c r="A211" s="8"/>
      <c r="B211" s="14">
        <v>1518</v>
      </c>
      <c r="C211" s="11" t="s">
        <v>1735</v>
      </c>
      <c r="D211" s="11" t="s">
        <v>1736</v>
      </c>
      <c r="E211" s="11" t="s">
        <v>593</v>
      </c>
      <c r="F211" s="14">
        <v>99</v>
      </c>
      <c r="G211" s="14">
        <v>0</v>
      </c>
      <c r="H211" s="14"/>
      <c r="I211" s="23">
        <v>7</v>
      </c>
      <c r="J211" s="14">
        <v>0</v>
      </c>
      <c r="K211" s="14">
        <v>0</v>
      </c>
      <c r="L211" s="14">
        <v>0</v>
      </c>
      <c r="M211" s="14">
        <v>16</v>
      </c>
      <c r="N211" s="14">
        <v>2</v>
      </c>
      <c r="O211" s="14"/>
    </row>
    <row r="212" spans="1:15">
      <c r="A212" s="8"/>
      <c r="B212" s="14">
        <v>1519</v>
      </c>
      <c r="C212" s="11" t="s">
        <v>1688</v>
      </c>
      <c r="D212" s="11" t="s">
        <v>1737</v>
      </c>
      <c r="E212" s="11" t="s">
        <v>593</v>
      </c>
      <c r="F212" s="14">
        <v>99</v>
      </c>
      <c r="G212" s="14">
        <v>0</v>
      </c>
      <c r="H212" s="14"/>
      <c r="I212" s="23">
        <v>7</v>
      </c>
      <c r="J212" s="14">
        <v>0</v>
      </c>
      <c r="K212" s="14">
        <v>0</v>
      </c>
      <c r="L212" s="14">
        <v>0</v>
      </c>
      <c r="M212" s="14">
        <v>0</v>
      </c>
      <c r="N212" s="14">
        <v>1</v>
      </c>
      <c r="O212" s="14"/>
    </row>
    <row r="213" spans="1:15">
      <c r="A213" s="8"/>
      <c r="B213" s="14">
        <v>1521</v>
      </c>
      <c r="C213" s="11" t="s">
        <v>1739</v>
      </c>
      <c r="D213" s="11" t="s">
        <v>1740</v>
      </c>
      <c r="E213" s="11" t="s">
        <v>593</v>
      </c>
      <c r="F213" s="14">
        <v>99</v>
      </c>
      <c r="G213" s="14">
        <v>3</v>
      </c>
      <c r="H213" s="14" t="s">
        <v>1664</v>
      </c>
      <c r="I213" s="23">
        <v>7</v>
      </c>
      <c r="J213" s="14">
        <v>0</v>
      </c>
      <c r="K213" s="14">
        <v>0</v>
      </c>
      <c r="L213" s="14">
        <v>0</v>
      </c>
      <c r="M213" s="14">
        <v>15</v>
      </c>
      <c r="N213" s="14">
        <v>2</v>
      </c>
      <c r="O213" s="14"/>
    </row>
    <row r="214" spans="1:15">
      <c r="A214" s="8"/>
      <c r="B214" s="14">
        <v>1522</v>
      </c>
      <c r="C214" s="11" t="s">
        <v>2072</v>
      </c>
      <c r="D214" s="11" t="s">
        <v>2073</v>
      </c>
      <c r="E214" s="11" t="s">
        <v>593</v>
      </c>
      <c r="F214" s="14">
        <v>99</v>
      </c>
      <c r="G214" s="14">
        <v>3</v>
      </c>
      <c r="H214" s="14" t="s">
        <v>1875</v>
      </c>
      <c r="I214" s="23">
        <v>7</v>
      </c>
      <c r="J214" s="14">
        <v>0</v>
      </c>
      <c r="K214" s="14">
        <v>0</v>
      </c>
      <c r="L214" s="14">
        <v>0</v>
      </c>
      <c r="M214" s="14">
        <v>15</v>
      </c>
      <c r="N214" s="14">
        <v>2</v>
      </c>
      <c r="O214" s="14"/>
    </row>
    <row r="215" spans="1:15">
      <c r="A215" s="8"/>
      <c r="B215" s="14">
        <v>1523</v>
      </c>
      <c r="C215" s="11" t="s">
        <v>2291</v>
      </c>
      <c r="D215" s="11" t="s">
        <v>2074</v>
      </c>
      <c r="E215" s="11" t="s">
        <v>593</v>
      </c>
      <c r="F215" s="14">
        <v>99</v>
      </c>
      <c r="G215" s="14">
        <v>0</v>
      </c>
      <c r="H215" s="14"/>
      <c r="I215" s="23">
        <v>7</v>
      </c>
      <c r="J215" s="14">
        <v>0</v>
      </c>
      <c r="K215" s="14">
        <v>0</v>
      </c>
      <c r="L215" s="14">
        <v>0</v>
      </c>
      <c r="M215" s="14">
        <v>29</v>
      </c>
      <c r="N215" s="14">
        <v>1</v>
      </c>
      <c r="O215" s="14"/>
    </row>
    <row r="216" spans="1:15">
      <c r="A216" s="8"/>
      <c r="B216" s="14">
        <v>1524</v>
      </c>
      <c r="C216" s="11" t="s">
        <v>2075</v>
      </c>
      <c r="D216" s="11" t="s">
        <v>2076</v>
      </c>
      <c r="E216" s="11" t="s">
        <v>593</v>
      </c>
      <c r="F216" s="14">
        <v>99</v>
      </c>
      <c r="G216" s="14">
        <v>0</v>
      </c>
      <c r="H216" s="14"/>
      <c r="I216" s="23">
        <v>7</v>
      </c>
      <c r="J216" s="14">
        <v>0</v>
      </c>
      <c r="K216" s="14">
        <v>0</v>
      </c>
      <c r="L216" s="14">
        <v>0</v>
      </c>
      <c r="M216" s="14">
        <v>0</v>
      </c>
      <c r="N216" s="14"/>
      <c r="O216" s="14"/>
    </row>
    <row r="217" spans="1:15">
      <c r="A217" s="8"/>
      <c r="B217" s="14">
        <v>1525</v>
      </c>
      <c r="C217" s="11" t="s">
        <v>2292</v>
      </c>
      <c r="D217" s="11" t="s">
        <v>2077</v>
      </c>
      <c r="E217" s="11" t="s">
        <v>593</v>
      </c>
      <c r="F217" s="14">
        <v>99</v>
      </c>
      <c r="G217" s="14">
        <v>3</v>
      </c>
      <c r="H217" s="14" t="s">
        <v>2036</v>
      </c>
      <c r="I217" s="23">
        <v>7</v>
      </c>
      <c r="J217" s="14">
        <v>0</v>
      </c>
      <c r="K217" s="14">
        <v>0</v>
      </c>
      <c r="L217" s="14">
        <v>0</v>
      </c>
      <c r="M217" s="14">
        <v>15</v>
      </c>
      <c r="N217" s="14">
        <v>2</v>
      </c>
      <c r="O217" s="14"/>
    </row>
    <row r="218" spans="1:15">
      <c r="A218" s="8"/>
      <c r="B218" s="14">
        <v>1526</v>
      </c>
      <c r="C218" s="11" t="s">
        <v>2078</v>
      </c>
      <c r="D218" s="11" t="s">
        <v>2079</v>
      </c>
      <c r="E218" s="11" t="s">
        <v>593</v>
      </c>
      <c r="F218" s="14">
        <v>99</v>
      </c>
      <c r="G218" s="14">
        <v>3</v>
      </c>
      <c r="H218" s="14"/>
      <c r="I218" s="23">
        <v>7</v>
      </c>
      <c r="J218" s="14">
        <v>0</v>
      </c>
      <c r="K218" s="14">
        <v>0</v>
      </c>
      <c r="L218" s="14">
        <v>0</v>
      </c>
      <c r="M218" s="14">
        <v>12</v>
      </c>
      <c r="N218" s="14">
        <v>2</v>
      </c>
      <c r="O218" s="14"/>
    </row>
    <row r="219" spans="1:15">
      <c r="A219" s="8"/>
      <c r="B219" s="14">
        <v>1527</v>
      </c>
      <c r="C219" s="11" t="s">
        <v>2293</v>
      </c>
      <c r="D219" s="11" t="s">
        <v>2294</v>
      </c>
      <c r="E219" s="11" t="s">
        <v>593</v>
      </c>
      <c r="F219" s="14">
        <v>2</v>
      </c>
      <c r="G219" s="14">
        <v>0</v>
      </c>
      <c r="H219" s="14"/>
      <c r="I219" s="23">
        <v>99</v>
      </c>
      <c r="J219" s="14">
        <v>0</v>
      </c>
      <c r="K219" s="14">
        <v>0</v>
      </c>
      <c r="L219" s="14">
        <v>0</v>
      </c>
      <c r="M219" s="14">
        <v>0</v>
      </c>
      <c r="N219" s="14">
        <v>20</v>
      </c>
      <c r="O219" s="14"/>
    </row>
    <row r="220" spans="1:15">
      <c r="A220" s="8"/>
      <c r="B220" s="14">
        <v>1528</v>
      </c>
      <c r="C220" s="11" t="s">
        <v>2295</v>
      </c>
      <c r="D220" s="11" t="s">
        <v>2296</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2297</v>
      </c>
      <c r="D221" s="11" t="s">
        <v>2298</v>
      </c>
      <c r="E221" s="11" t="s">
        <v>593</v>
      </c>
      <c r="F221" s="14">
        <v>99</v>
      </c>
      <c r="G221" s="14">
        <v>0</v>
      </c>
      <c r="H221" s="14"/>
      <c r="I221" s="23">
        <v>6</v>
      </c>
      <c r="J221" s="14">
        <v>0</v>
      </c>
      <c r="K221" s="14">
        <v>0</v>
      </c>
      <c r="L221" s="14">
        <v>0</v>
      </c>
      <c r="M221" s="14">
        <v>0</v>
      </c>
      <c r="N221" s="14">
        <v>0</v>
      </c>
      <c r="O221" s="14"/>
    </row>
    <row r="222" spans="1:15">
      <c r="A222" s="8"/>
      <c r="B222" s="14">
        <v>1530</v>
      </c>
      <c r="C222" s="11" t="s">
        <v>2327</v>
      </c>
      <c r="D222" s="11" t="s">
        <v>2299</v>
      </c>
      <c r="E222" s="11" t="s">
        <v>593</v>
      </c>
      <c r="F222" s="14">
        <v>99</v>
      </c>
      <c r="G222" s="14">
        <v>0</v>
      </c>
      <c r="H222" s="14"/>
      <c r="I222" s="23">
        <v>7</v>
      </c>
      <c r="J222" s="14">
        <v>0</v>
      </c>
      <c r="K222" s="14">
        <v>0</v>
      </c>
      <c r="L222" s="14">
        <v>0</v>
      </c>
      <c r="M222" s="14">
        <v>0</v>
      </c>
      <c r="N222" s="14">
        <v>0</v>
      </c>
      <c r="O222" s="14"/>
    </row>
    <row r="223" spans="1:15">
      <c r="A223" s="8"/>
      <c r="B223" s="14">
        <v>1531</v>
      </c>
      <c r="C223" s="11" t="s">
        <v>2494</v>
      </c>
      <c r="D223" s="11" t="s">
        <v>2495</v>
      </c>
      <c r="E223" s="11" t="s">
        <v>593</v>
      </c>
      <c r="F223" s="14">
        <v>99</v>
      </c>
      <c r="G223" s="14">
        <v>3</v>
      </c>
      <c r="H223" s="14" t="s">
        <v>2491</v>
      </c>
      <c r="I223" s="23">
        <v>7</v>
      </c>
      <c r="J223" s="14">
        <v>0</v>
      </c>
      <c r="K223" s="14">
        <v>0</v>
      </c>
      <c r="L223" s="14">
        <v>0</v>
      </c>
      <c r="M223" s="14">
        <v>15</v>
      </c>
      <c r="N223" s="14">
        <v>2</v>
      </c>
      <c r="O223" s="14"/>
    </row>
    <row r="224" spans="1:15">
      <c r="A224" s="8"/>
      <c r="B224" s="14">
        <v>1532</v>
      </c>
      <c r="C224" s="11" t="s">
        <v>2513</v>
      </c>
      <c r="D224" s="11" t="s">
        <v>2514</v>
      </c>
      <c r="E224" s="11" t="s">
        <v>593</v>
      </c>
      <c r="F224" s="14">
        <v>99</v>
      </c>
      <c r="G224" s="14">
        <v>0</v>
      </c>
      <c r="H224" s="14"/>
      <c r="I224" s="23">
        <v>7</v>
      </c>
      <c r="J224" s="14">
        <v>0</v>
      </c>
      <c r="K224" s="14">
        <v>0</v>
      </c>
      <c r="L224" s="14">
        <v>0</v>
      </c>
      <c r="M224" s="14">
        <v>16</v>
      </c>
      <c r="N224" s="14">
        <v>1</v>
      </c>
      <c r="O224" s="14"/>
    </row>
    <row r="225" spans="1:15">
      <c r="A225" s="8"/>
      <c r="B225" s="14">
        <v>1533</v>
      </c>
      <c r="C225" s="11" t="s">
        <v>2580</v>
      </c>
      <c r="D225" s="11" t="s">
        <v>2581</v>
      </c>
      <c r="E225" s="11" t="s">
        <v>593</v>
      </c>
      <c r="F225" s="14">
        <v>99</v>
      </c>
      <c r="G225" s="14">
        <v>0</v>
      </c>
      <c r="H225" s="14" t="s">
        <v>2894</v>
      </c>
      <c r="I225" s="23">
        <v>0</v>
      </c>
      <c r="J225" s="14">
        <v>0</v>
      </c>
      <c r="K225" s="14">
        <v>0</v>
      </c>
      <c r="L225" s="14">
        <v>0</v>
      </c>
      <c r="M225" s="14">
        <v>14</v>
      </c>
      <c r="N225" s="14">
        <v>25</v>
      </c>
      <c r="O225" s="14"/>
    </row>
    <row r="226" spans="1:15">
      <c r="A226" s="8"/>
      <c r="B226" s="14">
        <v>1601</v>
      </c>
      <c r="C226" s="11" t="s">
        <v>2496</v>
      </c>
      <c r="D226" s="11" t="s">
        <v>2080</v>
      </c>
      <c r="E226" s="11" t="s">
        <v>593</v>
      </c>
      <c r="F226" s="14">
        <v>8</v>
      </c>
      <c r="G226" s="14">
        <v>0</v>
      </c>
      <c r="H226" s="14"/>
      <c r="I226" s="23">
        <v>6</v>
      </c>
      <c r="J226" s="14">
        <v>0</v>
      </c>
      <c r="K226" s="14">
        <v>0</v>
      </c>
      <c r="L226" s="14">
        <v>5</v>
      </c>
      <c r="M226" s="14">
        <v>16</v>
      </c>
      <c r="N226" s="14">
        <v>2</v>
      </c>
      <c r="O226" s="14"/>
    </row>
    <row r="227" spans="1:15">
      <c r="A227" s="8"/>
      <c r="B227" s="14">
        <v>1602</v>
      </c>
      <c r="C227" s="11" t="s">
        <v>2081</v>
      </c>
      <c r="D227" s="11" t="s">
        <v>2082</v>
      </c>
      <c r="E227" s="11" t="s">
        <v>593</v>
      </c>
      <c r="F227" s="14">
        <v>8</v>
      </c>
      <c r="G227" s="14">
        <v>0</v>
      </c>
      <c r="H227" s="14"/>
      <c r="I227" s="23">
        <v>6</v>
      </c>
      <c r="J227" s="14">
        <v>0</v>
      </c>
      <c r="K227" s="14">
        <v>0</v>
      </c>
      <c r="L227" s="14">
        <v>0</v>
      </c>
      <c r="M227" s="14">
        <v>14</v>
      </c>
      <c r="N227" s="14">
        <v>10</v>
      </c>
      <c r="O227" s="14"/>
    </row>
    <row r="228" spans="1:15">
      <c r="A228" s="8"/>
      <c r="B228" s="14">
        <v>1603</v>
      </c>
      <c r="C228" s="11" t="s">
        <v>2083</v>
      </c>
      <c r="D228" s="11" t="s">
        <v>2084</v>
      </c>
      <c r="E228" s="11" t="s">
        <v>593</v>
      </c>
      <c r="F228" s="14">
        <v>8</v>
      </c>
      <c r="G228" s="14">
        <v>0</v>
      </c>
      <c r="H228" s="14"/>
      <c r="I228" s="23">
        <v>6</v>
      </c>
      <c r="J228" s="14">
        <v>0</v>
      </c>
      <c r="K228" s="14">
        <v>0</v>
      </c>
      <c r="L228" s="14">
        <v>0</v>
      </c>
      <c r="M228" s="14">
        <v>12</v>
      </c>
      <c r="N228" s="14">
        <v>2</v>
      </c>
      <c r="O228" s="14"/>
    </row>
    <row r="229" spans="1:15">
      <c r="A229" s="8"/>
      <c r="B229" s="14">
        <v>1604</v>
      </c>
      <c r="C229" s="11" t="s">
        <v>2300</v>
      </c>
      <c r="D229" s="11" t="s">
        <v>2085</v>
      </c>
      <c r="E229" s="11" t="s">
        <v>593</v>
      </c>
      <c r="F229" s="14">
        <v>99</v>
      </c>
      <c r="G229" s="14">
        <v>0</v>
      </c>
      <c r="H229" s="14" t="s">
        <v>2086</v>
      </c>
      <c r="I229" s="23">
        <v>6</v>
      </c>
      <c r="J229" s="14">
        <v>0</v>
      </c>
      <c r="K229" s="14">
        <v>0</v>
      </c>
      <c r="L229" s="14">
        <v>0</v>
      </c>
      <c r="M229" s="14">
        <v>14</v>
      </c>
      <c r="N229" s="14">
        <v>50</v>
      </c>
      <c r="O229" s="14"/>
    </row>
    <row r="230" spans="1:15">
      <c r="A230" s="8"/>
      <c r="B230" s="14">
        <v>1605</v>
      </c>
      <c r="C230" s="11" t="s">
        <v>2087</v>
      </c>
      <c r="D230" s="11" t="s">
        <v>2088</v>
      </c>
      <c r="E230" s="11" t="s">
        <v>593</v>
      </c>
      <c r="F230" s="14">
        <v>99</v>
      </c>
      <c r="G230" s="14">
        <v>0</v>
      </c>
      <c r="H230" s="14"/>
      <c r="I230" s="23">
        <v>7</v>
      </c>
      <c r="J230" s="14">
        <v>0</v>
      </c>
      <c r="K230" s="14">
        <v>0</v>
      </c>
      <c r="L230" s="14">
        <v>0</v>
      </c>
      <c r="M230" s="14">
        <v>12</v>
      </c>
      <c r="N230" s="14">
        <v>3</v>
      </c>
      <c r="O230" s="14"/>
    </row>
    <row r="231" spans="1:15">
      <c r="A231" s="8"/>
      <c r="B231" s="14">
        <v>1606</v>
      </c>
      <c r="C231" s="11" t="s">
        <v>2089</v>
      </c>
      <c r="D231" s="11" t="s">
        <v>2090</v>
      </c>
      <c r="E231" s="11" t="s">
        <v>593</v>
      </c>
      <c r="F231" s="14">
        <v>99</v>
      </c>
      <c r="G231" s="14">
        <v>0</v>
      </c>
      <c r="H231" s="14"/>
      <c r="I231" s="23">
        <v>6</v>
      </c>
      <c r="J231" s="14">
        <v>0</v>
      </c>
      <c r="K231" s="14">
        <v>0</v>
      </c>
      <c r="L231" s="14">
        <v>0</v>
      </c>
      <c r="M231" s="14">
        <v>12</v>
      </c>
      <c r="N231" s="14">
        <v>2</v>
      </c>
      <c r="O231" s="14"/>
    </row>
    <row r="232" spans="1:15">
      <c r="A232" s="8"/>
      <c r="B232" s="14">
        <v>1607</v>
      </c>
      <c r="C232" s="11" t="s">
        <v>2092</v>
      </c>
      <c r="D232" s="11" t="s">
        <v>2301</v>
      </c>
      <c r="E232" s="11" t="s">
        <v>593</v>
      </c>
      <c r="F232" s="14">
        <v>8</v>
      </c>
      <c r="G232" s="14">
        <v>0</v>
      </c>
      <c r="H232" s="14"/>
      <c r="I232" s="23">
        <v>6</v>
      </c>
      <c r="J232" s="14">
        <v>0</v>
      </c>
      <c r="K232" s="14">
        <v>0</v>
      </c>
      <c r="L232" s="14">
        <v>0</v>
      </c>
      <c r="M232" s="14">
        <v>29</v>
      </c>
      <c r="N232" s="14">
        <v>2</v>
      </c>
      <c r="O232" s="14"/>
    </row>
    <row r="233" spans="1:15">
      <c r="A233" s="8"/>
      <c r="B233" s="14">
        <v>1608</v>
      </c>
      <c r="C233" s="11" t="s">
        <v>2302</v>
      </c>
      <c r="D233" s="11" t="s">
        <v>2303</v>
      </c>
      <c r="E233" s="11" t="s">
        <v>593</v>
      </c>
      <c r="F233" s="14">
        <v>8</v>
      </c>
      <c r="G233" s="14">
        <v>0</v>
      </c>
      <c r="H233" s="14"/>
      <c r="I233" s="23">
        <v>6</v>
      </c>
      <c r="J233" s="14">
        <v>0</v>
      </c>
      <c r="K233" s="14">
        <v>0</v>
      </c>
      <c r="L233" s="14">
        <v>0</v>
      </c>
      <c r="M233" s="14">
        <v>16</v>
      </c>
      <c r="N233" s="14">
        <v>2</v>
      </c>
      <c r="O233" s="14"/>
    </row>
    <row r="234" spans="1:15">
      <c r="A234" s="8"/>
      <c r="B234" s="14">
        <v>1609</v>
      </c>
      <c r="C234" s="11" t="s">
        <v>2304</v>
      </c>
      <c r="D234" s="11" t="s">
        <v>2305</v>
      </c>
      <c r="E234" s="11" t="s">
        <v>593</v>
      </c>
      <c r="F234" s="14">
        <v>6</v>
      </c>
      <c r="G234" s="14">
        <v>0</v>
      </c>
      <c r="H234" s="14"/>
      <c r="I234" s="23">
        <v>6</v>
      </c>
      <c r="J234" s="14">
        <v>0</v>
      </c>
      <c r="K234" s="14">
        <v>0</v>
      </c>
      <c r="L234" s="14">
        <v>0</v>
      </c>
      <c r="M234" s="14">
        <v>0</v>
      </c>
      <c r="N234" s="14">
        <v>0</v>
      </c>
      <c r="O234" s="14"/>
    </row>
    <row r="235" spans="1:15">
      <c r="A235" s="8"/>
      <c r="B235" s="14">
        <v>1610</v>
      </c>
      <c r="C235" s="11" t="s">
        <v>2306</v>
      </c>
      <c r="D235" s="11" t="s">
        <v>2090</v>
      </c>
      <c r="E235" s="11" t="s">
        <v>593</v>
      </c>
      <c r="F235" s="14">
        <v>99</v>
      </c>
      <c r="G235" s="14">
        <v>0</v>
      </c>
      <c r="H235" s="14"/>
      <c r="I235" s="23">
        <v>6</v>
      </c>
      <c r="J235" s="14">
        <v>0</v>
      </c>
      <c r="K235" s="14">
        <v>0</v>
      </c>
      <c r="L235" s="14">
        <v>0</v>
      </c>
      <c r="M235" s="14">
        <v>12</v>
      </c>
      <c r="N235" s="14">
        <v>2</v>
      </c>
      <c r="O235" s="14"/>
    </row>
    <row r="236" spans="1:15">
      <c r="A236" s="8"/>
      <c r="B236" s="14">
        <v>1611</v>
      </c>
      <c r="C236" s="11" t="s">
        <v>2314</v>
      </c>
      <c r="D236" s="11" t="s">
        <v>2315</v>
      </c>
      <c r="E236" s="11" t="s">
        <v>593</v>
      </c>
      <c r="F236" s="14">
        <v>8</v>
      </c>
      <c r="G236" s="14">
        <v>0</v>
      </c>
      <c r="H236" s="14"/>
      <c r="I236" s="23">
        <v>7</v>
      </c>
      <c r="J236" s="14">
        <v>0</v>
      </c>
      <c r="K236" s="14">
        <v>0</v>
      </c>
      <c r="L236" s="14">
        <v>0</v>
      </c>
      <c r="M236" s="14">
        <v>8</v>
      </c>
      <c r="N236" s="14">
        <v>2</v>
      </c>
      <c r="O236" s="14">
        <v>0</v>
      </c>
    </row>
    <row r="237" spans="1:15">
      <c r="A237" s="8"/>
      <c r="B237" s="14">
        <v>1612</v>
      </c>
      <c r="C237" s="11" t="s">
        <v>2497</v>
      </c>
      <c r="D237" s="11" t="s">
        <v>2090</v>
      </c>
      <c r="E237" s="11" t="s">
        <v>593</v>
      </c>
      <c r="F237" s="14">
        <v>99</v>
      </c>
      <c r="G237" s="14">
        <v>0</v>
      </c>
      <c r="H237" s="14"/>
      <c r="I237" s="23">
        <v>6</v>
      </c>
      <c r="J237" s="14">
        <v>0</v>
      </c>
      <c r="K237" s="14">
        <v>0</v>
      </c>
      <c r="L237" s="14">
        <v>0</v>
      </c>
      <c r="M237" s="14">
        <v>12</v>
      </c>
      <c r="N237" s="14">
        <v>2</v>
      </c>
      <c r="O237" s="14"/>
    </row>
    <row r="238" spans="1:15">
      <c r="A238" s="8"/>
      <c r="B238" s="14">
        <v>1613</v>
      </c>
      <c r="C238" s="11" t="s">
        <v>2498</v>
      </c>
      <c r="D238" s="11" t="s">
        <v>2079</v>
      </c>
      <c r="E238" s="11" t="s">
        <v>593</v>
      </c>
      <c r="F238" s="14">
        <v>99</v>
      </c>
      <c r="G238" s="14">
        <v>3</v>
      </c>
      <c r="H238" s="14"/>
      <c r="I238" s="23">
        <v>7</v>
      </c>
      <c r="J238" s="14">
        <v>0</v>
      </c>
      <c r="K238" s="14">
        <v>0</v>
      </c>
      <c r="L238" s="14">
        <v>0</v>
      </c>
      <c r="M238" s="14">
        <v>12</v>
      </c>
      <c r="N238" s="14">
        <v>2</v>
      </c>
      <c r="O238" s="14"/>
    </row>
    <row r="239" spans="1:15">
      <c r="A239" s="8"/>
      <c r="B239" s="14">
        <v>1614</v>
      </c>
      <c r="C239" s="11" t="s">
        <v>2499</v>
      </c>
      <c r="D239" s="11" t="s">
        <v>2500</v>
      </c>
      <c r="E239" s="11" t="s">
        <v>593</v>
      </c>
      <c r="F239" s="14">
        <v>99</v>
      </c>
      <c r="G239" s="14">
        <v>3</v>
      </c>
      <c r="H239" s="14"/>
      <c r="I239" s="23">
        <v>7</v>
      </c>
      <c r="J239" s="14">
        <v>0</v>
      </c>
      <c r="K239" s="14">
        <v>0</v>
      </c>
      <c r="L239" s="14">
        <v>0</v>
      </c>
      <c r="M239" s="14">
        <v>0</v>
      </c>
      <c r="N239" s="14">
        <v>0</v>
      </c>
      <c r="O239" s="14"/>
    </row>
    <row r="240" spans="1:15">
      <c r="A240" s="8"/>
      <c r="B240" s="14">
        <v>1615</v>
      </c>
      <c r="C240" s="11" t="s">
        <v>2501</v>
      </c>
      <c r="D240" s="11" t="s">
        <v>2502</v>
      </c>
      <c r="E240" s="11" t="s">
        <v>593</v>
      </c>
      <c r="F240" s="14">
        <v>99</v>
      </c>
      <c r="G240" s="14">
        <v>3</v>
      </c>
      <c r="H240" s="14"/>
      <c r="I240" s="23">
        <v>7</v>
      </c>
      <c r="J240" s="14">
        <v>0</v>
      </c>
      <c r="K240" s="14">
        <v>0</v>
      </c>
      <c r="L240" s="14">
        <v>0</v>
      </c>
      <c r="M240" s="14">
        <v>0</v>
      </c>
      <c r="N240" s="14">
        <v>0</v>
      </c>
      <c r="O240" s="14"/>
    </row>
    <row r="241" spans="1:15">
      <c r="A241" s="8"/>
      <c r="B241" s="14">
        <v>1701</v>
      </c>
      <c r="C241" s="11" t="s">
        <v>2503</v>
      </c>
      <c r="D241" s="11" t="s">
        <v>2504</v>
      </c>
      <c r="E241" s="11" t="s">
        <v>593</v>
      </c>
      <c r="F241" s="14">
        <v>7</v>
      </c>
      <c r="G241" s="14">
        <v>3</v>
      </c>
      <c r="H241" s="14"/>
      <c r="I241" s="23">
        <v>7</v>
      </c>
      <c r="J241" s="14">
        <v>0</v>
      </c>
      <c r="K241" s="14">
        <v>0</v>
      </c>
      <c r="L241" s="14">
        <v>0</v>
      </c>
      <c r="M241" s="14">
        <v>30</v>
      </c>
      <c r="N241" s="14">
        <v>1</v>
      </c>
      <c r="O241" s="14"/>
    </row>
    <row r="242" spans="1:15">
      <c r="A242" s="8"/>
      <c r="B242" s="14">
        <v>1901</v>
      </c>
      <c r="C242" s="11" t="s">
        <v>2505</v>
      </c>
      <c r="D242" s="11" t="s">
        <v>2307</v>
      </c>
      <c r="E242" s="11" t="s">
        <v>593</v>
      </c>
      <c r="F242" s="14">
        <v>9</v>
      </c>
      <c r="G242" s="14">
        <v>2</v>
      </c>
      <c r="H242" s="14"/>
      <c r="I242" s="23">
        <v>4</v>
      </c>
      <c r="J242" s="14">
        <v>0</v>
      </c>
      <c r="K242" s="14">
        <v>0</v>
      </c>
      <c r="L242" s="14">
        <v>0</v>
      </c>
      <c r="M242" s="14">
        <v>12</v>
      </c>
      <c r="N242" s="14">
        <v>2</v>
      </c>
      <c r="O242" s="14"/>
    </row>
    <row r="243" spans="1:15">
      <c r="A243" s="8"/>
      <c r="B243" s="14">
        <v>1801</v>
      </c>
      <c r="C243" s="11" t="s">
        <v>2508</v>
      </c>
      <c r="D243" s="11" t="s">
        <v>2509</v>
      </c>
      <c r="E243" s="11"/>
      <c r="F243" s="14">
        <v>8</v>
      </c>
      <c r="G243" s="14">
        <v>0</v>
      </c>
      <c r="H243" s="14"/>
      <c r="I243" s="23">
        <v>3</v>
      </c>
      <c r="J243" s="14">
        <v>0</v>
      </c>
      <c r="K243" s="14">
        <v>0</v>
      </c>
      <c r="L243" s="14">
        <v>0</v>
      </c>
      <c r="M243" s="14">
        <v>13</v>
      </c>
      <c r="N243" s="14">
        <v>30</v>
      </c>
      <c r="O243" s="14"/>
    </row>
    <row r="244" spans="1:15">
      <c r="A244" s="8"/>
      <c r="B244" s="14">
        <v>2001</v>
      </c>
      <c r="C244" s="11" t="s">
        <v>2506</v>
      </c>
      <c r="D244" s="11" t="s">
        <v>2507</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91"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2352</v>
      </c>
      <c r="U2" s="9" t="s">
        <v>2353</v>
      </c>
      <c r="V2" s="9" t="s">
        <v>2354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2190</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2203</v>
      </c>
      <c r="F22" s="14">
        <v>15</v>
      </c>
      <c r="G22" s="14">
        <v>0</v>
      </c>
      <c r="H22" s="11" t="s">
        <v>593</v>
      </c>
      <c r="I22" s="14"/>
      <c r="J22" s="11" t="s">
        <v>593</v>
      </c>
      <c r="K22" s="11" t="s">
        <v>2199</v>
      </c>
      <c r="L22" s="11">
        <v>150</v>
      </c>
      <c r="M22" s="11" t="s">
        <v>593</v>
      </c>
      <c r="N22" s="11" t="s">
        <v>2204</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2205</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2206</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2207</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2208</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2209</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2210</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2211</v>
      </c>
      <c r="F31" s="14">
        <v>0</v>
      </c>
      <c r="G31" s="14">
        <v>0</v>
      </c>
      <c r="H31" s="11" t="s">
        <v>2212</v>
      </c>
      <c r="I31" s="14">
        <v>15</v>
      </c>
      <c r="J31" s="11" t="s">
        <v>2213</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2209</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2214</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2215</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2216</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2217</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2207</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2215</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2215</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2218</v>
      </c>
      <c r="F47" s="14">
        <v>10</v>
      </c>
      <c r="G47" s="14">
        <v>0</v>
      </c>
      <c r="H47" s="11" t="s">
        <v>2189</v>
      </c>
      <c r="I47" s="14">
        <v>-150</v>
      </c>
      <c r="J47" s="11" t="s">
        <v>593</v>
      </c>
      <c r="K47" s="11" t="s">
        <v>2199</v>
      </c>
      <c r="L47" s="11">
        <v>-150</v>
      </c>
      <c r="M47" s="11" t="s">
        <v>593</v>
      </c>
      <c r="N47" s="11" t="s">
        <v>2204</v>
      </c>
      <c r="O47" s="11">
        <v>-150</v>
      </c>
      <c r="P47" s="11" t="s">
        <v>593</v>
      </c>
      <c r="Q47" s="11" t="s">
        <v>2219</v>
      </c>
      <c r="R47" s="11">
        <v>-150</v>
      </c>
      <c r="S47" s="11" t="s">
        <v>593</v>
      </c>
      <c r="T47" s="11" t="s">
        <v>2219</v>
      </c>
      <c r="U47" s="11">
        <v>-150</v>
      </c>
      <c r="V47" s="11" t="s">
        <v>593</v>
      </c>
    </row>
    <row r="48" spans="1:22">
      <c r="A48" s="8"/>
      <c r="B48" s="14">
        <v>70</v>
      </c>
      <c r="C48" s="14">
        <v>2</v>
      </c>
      <c r="D48" s="14">
        <v>2</v>
      </c>
      <c r="E48" s="11" t="s">
        <v>2220</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2205</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2221</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2209</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2222</v>
      </c>
      <c r="F52" s="14">
        <v>10</v>
      </c>
      <c r="G52" s="14">
        <v>0</v>
      </c>
      <c r="H52" s="11" t="s">
        <v>2223</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2224</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2225</v>
      </c>
      <c r="F56" s="14">
        <v>15</v>
      </c>
      <c r="G56" s="14">
        <v>0</v>
      </c>
      <c r="H56" s="11" t="s">
        <v>1939</v>
      </c>
      <c r="I56" s="14">
        <v>150</v>
      </c>
      <c r="J56" s="11" t="s">
        <v>593</v>
      </c>
      <c r="K56" s="11" t="s">
        <v>2204</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2226</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2227</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2228</v>
      </c>
      <c r="F60" s="14">
        <v>10</v>
      </c>
      <c r="G60" s="14">
        <v>0</v>
      </c>
      <c r="H60" s="11" t="s">
        <v>2229</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2230</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2231</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2232</v>
      </c>
      <c r="F65" s="14">
        <v>15</v>
      </c>
      <c r="G65" s="14">
        <v>0</v>
      </c>
      <c r="H65" s="11" t="s">
        <v>2229</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2233</v>
      </c>
      <c r="F66" s="14">
        <v>10</v>
      </c>
      <c r="G66" s="14">
        <v>0</v>
      </c>
      <c r="H66" s="11" t="s">
        <v>2238</v>
      </c>
      <c r="I66" s="14">
        <v>50</v>
      </c>
      <c r="J66" s="11" t="s">
        <v>593</v>
      </c>
      <c r="K66" s="11" t="s">
        <v>2192</v>
      </c>
      <c r="L66" s="11" t="s">
        <v>2235</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2241</v>
      </c>
      <c r="F67" s="14">
        <v>10</v>
      </c>
      <c r="G67" s="14">
        <v>0</v>
      </c>
      <c r="H67" s="11" t="s">
        <v>2201</v>
      </c>
      <c r="I67" s="14">
        <v>20</v>
      </c>
      <c r="J67" s="11" t="s">
        <v>593</v>
      </c>
      <c r="K67" s="11" t="s">
        <v>2219</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2234</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2228</v>
      </c>
      <c r="F70" s="14">
        <v>10</v>
      </c>
      <c r="G70" s="14">
        <v>0</v>
      </c>
      <c r="H70" s="11" t="s">
        <v>2229</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2215</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2362</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2361</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2248</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2249</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2251</v>
      </c>
      <c r="F77" s="14">
        <v>0</v>
      </c>
      <c r="G77" s="14">
        <v>0</v>
      </c>
      <c r="H77" s="11" t="s">
        <v>2250</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2226</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2336</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2337</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2333</v>
      </c>
      <c r="F82" s="14">
        <v>10</v>
      </c>
      <c r="G82" s="14">
        <v>0</v>
      </c>
      <c r="H82" s="11" t="s">
        <v>2189</v>
      </c>
      <c r="I82" s="14">
        <v>-150</v>
      </c>
      <c r="J82" s="11" t="s">
        <v>593</v>
      </c>
      <c r="K82" s="11" t="s">
        <v>2199</v>
      </c>
      <c r="L82" s="11">
        <v>-150</v>
      </c>
      <c r="M82" s="11" t="s">
        <v>593</v>
      </c>
      <c r="N82" s="11" t="s">
        <v>197</v>
      </c>
      <c r="O82" s="11" t="s">
        <v>2334</v>
      </c>
      <c r="P82" s="11" t="s">
        <v>593</v>
      </c>
      <c r="Q82" s="11" t="s">
        <v>2219</v>
      </c>
      <c r="R82" s="11">
        <v>-150</v>
      </c>
      <c r="S82" s="11" t="s">
        <v>593</v>
      </c>
      <c r="T82" s="11" t="s">
        <v>2219</v>
      </c>
      <c r="U82" s="11">
        <v>-150</v>
      </c>
      <c r="V82" s="11" t="s">
        <v>593</v>
      </c>
    </row>
    <row r="83" spans="1:22">
      <c r="A83" s="8"/>
      <c r="B83" s="14">
        <v>75</v>
      </c>
      <c r="C83" s="14">
        <v>2</v>
      </c>
      <c r="D83" s="14">
        <v>2</v>
      </c>
      <c r="E83" s="11" t="s">
        <v>2335</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2338</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2339</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2230</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2357</v>
      </c>
      <c r="F89" s="14">
        <v>0</v>
      </c>
      <c r="G89" s="14">
        <v>0</v>
      </c>
      <c r="H89" s="11" t="s">
        <v>2212</v>
      </c>
      <c r="I89" s="14">
        <v>15</v>
      </c>
      <c r="J89" s="11"/>
      <c r="K89" s="11"/>
      <c r="L89" s="11"/>
      <c r="M89" s="11"/>
      <c r="N89" s="11"/>
      <c r="O89" s="11"/>
      <c r="P89" s="11"/>
      <c r="Q89" s="11"/>
      <c r="R89" s="11"/>
      <c r="S89" s="11"/>
      <c r="T89" s="11"/>
      <c r="U89" s="11"/>
      <c r="V89" s="11"/>
    </row>
    <row r="90" spans="1:22">
      <c r="A90" s="8"/>
      <c r="B90" s="14">
        <v>76</v>
      </c>
      <c r="C90" s="14">
        <v>2</v>
      </c>
      <c r="D90" s="14">
        <v>1</v>
      </c>
      <c r="E90" s="11" t="s">
        <v>2358</v>
      </c>
      <c r="F90" s="14">
        <v>10</v>
      </c>
      <c r="G90" s="14">
        <v>0</v>
      </c>
      <c r="H90" s="11" t="s">
        <v>2212</v>
      </c>
      <c r="I90" s="14">
        <v>15</v>
      </c>
      <c r="J90" s="11" t="s">
        <v>593</v>
      </c>
      <c r="K90" s="11" t="s">
        <v>2204</v>
      </c>
      <c r="L90" s="11" t="s">
        <v>2350</v>
      </c>
      <c r="M90" s="11" t="s">
        <v>593</v>
      </c>
      <c r="N90" s="11" t="s">
        <v>197</v>
      </c>
      <c r="O90" s="11" t="s">
        <v>2350</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2351</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2378</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2379</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2380</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2381</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2382</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2383</v>
      </c>
      <c r="F99" s="14">
        <v>10</v>
      </c>
      <c r="G99" s="14">
        <v>0</v>
      </c>
      <c r="H99" s="11" t="s">
        <v>2204</v>
      </c>
      <c r="I99" s="11" t="s">
        <v>2385</v>
      </c>
      <c r="J99" s="11"/>
      <c r="K99" s="11" t="s">
        <v>194</v>
      </c>
      <c r="L99" s="11" t="s">
        <v>2350</v>
      </c>
      <c r="M99" s="11"/>
      <c r="N99" s="11" t="s">
        <v>197</v>
      </c>
      <c r="O99" s="11" t="s">
        <v>2385</v>
      </c>
      <c r="P99" s="11"/>
      <c r="Q99" s="11" t="s">
        <v>195</v>
      </c>
      <c r="R99" s="11" t="s">
        <v>2385</v>
      </c>
      <c r="S99" s="11"/>
      <c r="T99" s="11"/>
      <c r="U99" s="11"/>
      <c r="V99" s="11"/>
    </row>
    <row r="100" spans="1:22">
      <c r="A100" s="8"/>
      <c r="B100" s="14">
        <v>77</v>
      </c>
      <c r="C100" s="14">
        <v>3</v>
      </c>
      <c r="D100" s="14">
        <v>3</v>
      </c>
      <c r="E100" s="11" t="s">
        <v>2384</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2457</v>
      </c>
      <c r="F101" s="14">
        <v>25</v>
      </c>
      <c r="G101" s="14">
        <v>0</v>
      </c>
      <c r="H101" s="11" t="s">
        <v>2201</v>
      </c>
      <c r="I101" s="14">
        <v>15</v>
      </c>
      <c r="J101" s="11" t="s">
        <v>2458</v>
      </c>
      <c r="K101" s="11"/>
      <c r="L101" s="11"/>
      <c r="M101" s="11"/>
      <c r="N101" s="11"/>
      <c r="O101" s="11"/>
      <c r="P101" s="11"/>
      <c r="Q101" s="11"/>
      <c r="R101" s="11"/>
      <c r="S101" s="11"/>
      <c r="T101" s="11"/>
      <c r="U101" s="11"/>
      <c r="V101" s="11"/>
    </row>
    <row r="102" spans="1:22">
      <c r="A102" s="8"/>
      <c r="B102" s="14">
        <v>79</v>
      </c>
      <c r="C102" s="14">
        <v>1</v>
      </c>
      <c r="D102" s="14">
        <v>2</v>
      </c>
      <c r="E102" s="11" t="s">
        <v>2459</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1966</v>
      </c>
      <c r="D1" s="9" t="s">
        <v>1941</v>
      </c>
      <c r="E1" s="9" t="s">
        <v>1967</v>
      </c>
      <c r="F1" s="9" t="s">
        <v>2331</v>
      </c>
      <c r="G1" s="9" t="s">
        <v>2332</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2025-08-16T03:51:45Z</dcterms:modified>
</cp:coreProperties>
</file>